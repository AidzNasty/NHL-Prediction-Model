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054" documentId="14_{BC0C37BD-5950-BD49-823D-87212FE79B51}" xr6:coauthVersionLast="47" xr6:coauthVersionMax="47" xr10:uidLastSave="{047FDEBA-C802-AF41-98B2-FA912271A883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Model'!$A$1:$AA$90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 calcMode="manual"/>
  <pivotCaches>
    <pivotCache cacheId="4" r:id="rId7"/>
    <pivotCache cacheId="5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4" l="1"/>
  <c r="V3" i="4"/>
  <c r="E373" i="1"/>
  <c r="E372" i="1"/>
  <c r="E371" i="1"/>
  <c r="E370" i="1"/>
  <c r="E369" i="1"/>
  <c r="E368" i="1"/>
  <c r="H368" i="1" s="1"/>
  <c r="E367" i="1"/>
  <c r="E366" i="1"/>
  <c r="E365" i="1"/>
  <c r="E364" i="1"/>
  <c r="G366" i="1"/>
  <c r="H366" i="1" s="1"/>
  <c r="I366" i="1"/>
  <c r="G367" i="1"/>
  <c r="H367" i="1" s="1"/>
  <c r="I367" i="1"/>
  <c r="G368" i="1"/>
  <c r="I368" i="1"/>
  <c r="G369" i="1"/>
  <c r="H369" i="1" s="1"/>
  <c r="I369" i="1"/>
  <c r="G370" i="1"/>
  <c r="H370" i="1"/>
  <c r="I370" i="1"/>
  <c r="J370" i="1" s="1"/>
  <c r="G371" i="1"/>
  <c r="H371" i="1" s="1"/>
  <c r="I371" i="1"/>
  <c r="G372" i="1"/>
  <c r="H372" i="1"/>
  <c r="I372" i="1"/>
  <c r="J372" i="1" s="1"/>
  <c r="G373" i="1"/>
  <c r="H373" i="1" s="1"/>
  <c r="I373" i="1"/>
  <c r="G374" i="1"/>
  <c r="I374" i="1"/>
  <c r="G375" i="1"/>
  <c r="H375" i="1" s="1"/>
  <c r="I375" i="1"/>
  <c r="G376" i="1"/>
  <c r="I376" i="1"/>
  <c r="G377" i="1"/>
  <c r="H377" i="1" s="1"/>
  <c r="I377" i="1"/>
  <c r="G378" i="1"/>
  <c r="H378" i="1"/>
  <c r="I378" i="1"/>
  <c r="J378" i="1" s="1"/>
  <c r="G379" i="1"/>
  <c r="H379" i="1" s="1"/>
  <c r="I379" i="1"/>
  <c r="G380" i="1"/>
  <c r="H380" i="1"/>
  <c r="I380" i="1"/>
  <c r="J380" i="1" s="1"/>
  <c r="G381" i="1"/>
  <c r="H381" i="1" s="1"/>
  <c r="I381" i="1"/>
  <c r="E381" i="1"/>
  <c r="E374" i="1"/>
  <c r="H374" i="1" s="1"/>
  <c r="E375" i="1"/>
  <c r="E376" i="1"/>
  <c r="H376" i="1" s="1"/>
  <c r="E377" i="1"/>
  <c r="E378" i="1"/>
  <c r="E379" i="1"/>
  <c r="E380" i="1"/>
  <c r="G359" i="1"/>
  <c r="I359" i="1"/>
  <c r="G360" i="1"/>
  <c r="I360" i="1"/>
  <c r="G361" i="1"/>
  <c r="H361" i="1" s="1"/>
  <c r="I361" i="1"/>
  <c r="G362" i="1"/>
  <c r="I362" i="1"/>
  <c r="G363" i="1"/>
  <c r="I363" i="1"/>
  <c r="G364" i="1"/>
  <c r="I364" i="1"/>
  <c r="G365" i="1"/>
  <c r="H365" i="1" s="1"/>
  <c r="I365" i="1"/>
  <c r="E359" i="1"/>
  <c r="E360" i="1"/>
  <c r="E361" i="1"/>
  <c r="E362" i="1"/>
  <c r="E363" i="1"/>
  <c r="V5" i="4" l="1"/>
  <c r="V6" i="4" s="1"/>
  <c r="J376" i="1"/>
  <c r="J375" i="1"/>
  <c r="J368" i="1"/>
  <c r="J367" i="1"/>
  <c r="J381" i="1"/>
  <c r="J377" i="1"/>
  <c r="J373" i="1"/>
  <c r="J366" i="1"/>
  <c r="J371" i="1"/>
  <c r="J369" i="1"/>
  <c r="J374" i="1"/>
  <c r="J379" i="1"/>
  <c r="H362" i="1"/>
  <c r="H360" i="1"/>
  <c r="J360" i="1" s="1"/>
  <c r="H364" i="1"/>
  <c r="J364" i="1" s="1"/>
  <c r="H363" i="1"/>
  <c r="J363" i="1" s="1"/>
  <c r="J361" i="1"/>
  <c r="J362" i="1"/>
  <c r="J365" i="1"/>
  <c r="H359" i="1"/>
  <c r="J359" i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H346" i="1" s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58" i="1" l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I310" i="1"/>
  <c r="G311" i="1"/>
  <c r="I311" i="1"/>
  <c r="I312" i="1"/>
  <c r="E311" i="1"/>
  <c r="H334" i="1" l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6" i="1"/>
  <c r="H115" i="1"/>
  <c r="H111" i="1"/>
  <c r="H101" i="1"/>
  <c r="H97" i="1"/>
  <c r="H68" i="1"/>
  <c r="H94" i="1"/>
  <c r="H83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F4" i="5" l="1"/>
  <c r="H223" i="1"/>
  <c r="H85" i="1"/>
  <c r="H92" i="1"/>
  <c r="H127" i="1"/>
  <c r="J127" i="1" s="1"/>
  <c r="H119" i="1"/>
  <c r="J332" i="4"/>
  <c r="H89" i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N32" i="5"/>
  <c r="M32" i="5"/>
  <c r="M16" i="5"/>
  <c r="N24" i="5"/>
  <c r="N16" i="5"/>
  <c r="N8" i="5"/>
  <c r="H67" i="1"/>
  <c r="H79" i="1"/>
  <c r="J79" i="1" s="1"/>
  <c r="H71" i="1"/>
  <c r="J71" i="1" s="1"/>
  <c r="H90" i="1"/>
  <c r="J90" i="1" s="1"/>
  <c r="H88" i="1"/>
  <c r="H84" i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J75" i="1"/>
  <c r="J67" i="1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84" i="1"/>
  <c r="J125" i="1"/>
  <c r="J126" i="1"/>
  <c r="J109" i="1"/>
  <c r="J166" i="1"/>
  <c r="J87" i="1"/>
  <c r="J119" i="1"/>
  <c r="J96" i="1"/>
  <c r="J89" i="1"/>
  <c r="J111" i="1"/>
  <c r="J95" i="1"/>
  <c r="J78" i="1"/>
  <c r="J92" i="1"/>
  <c r="J91" i="1"/>
  <c r="J88" i="1"/>
  <c r="J121" i="1"/>
  <c r="J122" i="1"/>
  <c r="J130" i="1"/>
  <c r="J105" i="1"/>
  <c r="J93" i="1"/>
  <c r="J15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N1089" i="4" s="1"/>
  <c r="K867" i="4"/>
  <c r="M867" i="4" s="1"/>
  <c r="N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N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N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N838" i="4" s="1"/>
  <c r="K729" i="4"/>
  <c r="M729" i="4" s="1"/>
  <c r="N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N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N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N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N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N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N376" i="4" s="1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" i="4" l="1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<sst xmlns="http://schemas.openxmlformats.org/spreadsheetml/2006/main" count="13734" uniqueCount="457">
  <si>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</si>
  <si>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</si>
  <si>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</si>
  <si>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</si>
  <si>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</si>
  <si>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</si>
  <si>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</si>
  <si>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</si>
  <si>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</si>
  <si>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</si>
  <si>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</si>
  <si>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</si>
  <si>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</si>
  <si>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</si>
  <si>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</si>
  <si>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</si>
  <si>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</si>
  <si>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</si>
  <si>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</si>
  <si>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</si>
  <si>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</si>
  <si>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</si>
  <si>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</si>
  <si>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</si>
  <si>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</si>
  <si>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</si>
  <si>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</si>
  <si>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</si>
  <si>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</si>
  <si>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</si>
  <si>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</si>
  <si>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</si>
  <si>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</si>
  <si>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</si>
  <si>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</si>
  <si>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</si>
  <si>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</si>
  <si>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</si>
  <si>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</si>
  <si>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</si>
  <si>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</si>
  <si>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</si>
  <si>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</si>
  <si>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</si>
  <si>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</si>
  <si>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</si>
  <si>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</si>
  <si>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</si>
  <si>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</si>
  <si>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</si>
  <si>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</si>
  <si>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</si>
  <si>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</si>
  <si>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</si>
  <si>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</si>
  <si>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</si>
  <si>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</si>
  <si>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</si>
  <si>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</si>
  <si>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</si>
  <si>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</si>
  <si>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</si>
  <si>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</si>
  <si>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</si>
  <si>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</si>
  <si>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</si>
  <si>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</si>
  <si>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</si>
  <si>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</si>
  <si>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</si>
  <si>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</si>
  <si>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</si>
  <si>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</si>
  <si>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</si>
  <si>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</si>
  <si>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</si>
  <si>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</si>
  <si>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</si>
  <si>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</si>
  <si>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</si>
  <si>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</si>
  <si>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</si>
  <si>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</si>
  <si>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</si>
  <si>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</si>
  <si>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</si>
  <si>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</si>
  <si>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</si>
  <si>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</si>
  <si>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</si>
  <si>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</si>
  <si>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</si>
  <si>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</si>
  <si>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</si>
  <si>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</si>
  <si>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</si>
  <si>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</si>
  <si>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</si>
  <si>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</si>
  <si>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</si>
  <si>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</si>
  <si>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</si>
  <si>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</si>
  <si>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</si>
  <si>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</si>
  <si>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</si>
  <si>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</si>
  <si>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</si>
  <si>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</si>
  <si>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</si>
  <si>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</si>
  <si>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</si>
  <si>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</si>
  <si>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</si>
  <si>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</si>
  <si>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</si>
  <si>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</si>
  <si>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</si>
  <si>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</si>
  <si>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</si>
  <si>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</si>
  <si>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</si>
  <si>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</si>
  <si>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</si>
  <si>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</si>
  <si>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</si>
  <si>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</si>
  <si>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</si>
  <si>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</si>
  <si>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</si>
  <si>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</si>
  <si>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</si>
  <si>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</si>
  <si>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</si>
  <si>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</si>
  <si>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</si>
  <si>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</si>
  <si>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</si>
  <si>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</si>
  <si>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</si>
  <si>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</si>
  <si>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</si>
  <si>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</si>
  <si>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</si>
  <si>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</si>
  <si>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</si>
  <si>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</si>
  <si>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</si>
  <si>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</si>
  <si>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</si>
  <si>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</si>
  <si>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</si>
  <si>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</si>
  <si>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</si>
  <si>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</si>
  <si>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</si>
  <si>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</si>
  <si>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</si>
  <si>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</si>
  <si>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</si>
  <si>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</si>
  <si>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</si>
  <si>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</si>
  <si>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</si>
  <si>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</si>
  <si>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</si>
  <si>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</si>
  <si>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</si>
  <si>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</si>
  <si>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</si>
  <si>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</si>
  <si>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</si>
  <si>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</si>
  <si>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</si>
  <si>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</si>
  <si>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</si>
  <si>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</si>
  <si>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</si>
  <si>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</si>
  <si>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</si>
  <si>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</si>
  <si>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</si>
  <si>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</si>
  <si>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</si>
  <si>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</si>
  <si>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</si>
  <si>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</si>
  <si>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</si>
  <si>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</si>
  <si>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</si>
  <si>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</si>
  <si>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</si>
  <si>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</si>
  <si>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</si>
  <si>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</si>
  <si>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</si>
  <si>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</si>
  <si>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</si>
  <si>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</si>
  <si>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</si>
  <si>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</si>
  <si>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</si>
  <si>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</si>
  <si>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</si>
  <si>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</si>
  <si>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</si>
  <si>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</si>
  <si>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</si>
  <si>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</si>
  <si>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</si>
  <si>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</si>
  <si>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</si>
  <si>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</si>
  <si>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</si>
  <si>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</si>
  <si>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</si>
  <si>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</si>
  <si>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</si>
  <si>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</si>
  <si>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</si>
  <si>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</si>
  <si>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</si>
  <si>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</si>
  <si>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</si>
  <si>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</si>
  <si>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</si>
  <si>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</si>
  <si>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</si>
  <si>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</si>
  <si>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</si>
  <si>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</si>
  <si>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</si>
  <si>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</si>
  <si>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</si>
  <si>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</si>
  <si>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</si>
  <si>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</si>
  <si>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</si>
  <si>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</si>
  <si>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</si>
  <si>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</si>
  <si>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</si>
  <si>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</si>
  <si>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</si>
  <si>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</si>
  <si>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</si>
  <si>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</si>
  <si>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</si>
  <si>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</si>
  <si>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</si>
  <si>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</si>
  <si>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</si>
  <si>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</si>
  <si>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</si>
  <si>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</si>
  <si>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</si>
  <si>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</si>
  <si>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</si>
  <si>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</si>
  <si>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</si>
  <si>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</si>
  <si>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</si>
  <si>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</si>
  <si>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</si>
  <si>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</si>
  <si>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</si>
  <si>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</si>
  <si>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</si>
  <si>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</si>
  <si>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</si>
  <si>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</si>
  <si>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</si>
  <si>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</si>
  <si>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</si>
  <si>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</si>
  <si>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</si>
  <si>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</si>
  <si>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</si>
  <si>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</si>
  <si>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</si>
  <si>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</si>
  <si>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</si>
  <si>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</si>
  <si>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</si>
  <si>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</si>
  <si>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</si>
  <si>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</si>
  <si>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</si>
  <si>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</si>
  <si>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</si>
  <si>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</si>
  <si>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</si>
  <si>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</si>
  <si>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</si>
  <si>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</si>
  <si>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</si>
  <si>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</si>
  <si>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</si>
  <si>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</si>
  <si>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</si>
  <si>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</si>
  <si>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</si>
  <si>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</si>
  <si>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</si>
  <si>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</si>
  <si>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</si>
  <si>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</si>
  <si>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</si>
  <si>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</si>
  <si>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</si>
  <si>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</si>
  <si>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</si>
  <si>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</si>
  <si>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</si>
  <si>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</si>
  <si>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</si>
  <si>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</si>
  <si>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</si>
  <si>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</si>
  <si>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</si>
  <si>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</si>
  <si>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</si>
  <si>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</si>
  <si>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</si>
  <si>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</si>
  <si>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</si>
  <si>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</si>
  <si>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</si>
  <si>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</si>
  <si>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</si>
  <si>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</si>
  <si>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</si>
  <si>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</si>
  <si>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</si>
  <si>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</si>
  <si>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</si>
  <si>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</si>
  <si>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</si>
  <si>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</si>
  <si>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</si>
  <si>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</si>
  <si>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</si>
  <si>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</si>
  <si>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</si>
  <si>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</si>
  <si>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</si>
  <si>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</si>
  <si>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</si>
  <si>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</si>
  <si>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</si>
  <si>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</si>
  <si>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</si>
  <si>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</si>
  <si>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</si>
  <si>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</si>
  <si>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</si>
  <si>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</si>
  <si>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</si>
  <si>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</si>
  <si>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</si>
  <si>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</si>
  <si>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</si>
  <si>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</si>
  <si>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</si>
  <si>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</si>
  <si>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</si>
  <si>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</si>
  <si>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</si>
  <si>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</si>
  <si>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</si>
  <si>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</si>
  <si>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</si>
  <si>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</si>
  <si>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</si>
  <si>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</si>
  <si>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</si>
  <si>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</si>
  <si>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</si>
  <si>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</si>
  <si>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False</t>
  </si>
  <si>
    <t>2025-11-24 11:23:07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</si>
  <si>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</si>
  <si>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</si>
  <si>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</si>
  <si>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</si>
  <si>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</si>
  <si>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</si>
  <si>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</si>
  <si>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</si>
  <si>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</si>
  <si>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</si>
  <si>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</si>
  <si>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</si>
  <si>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</si>
  <si>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</si>
  <si>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</si>
  <si>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</si>
  <si>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</si>
  <si>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</si>
  <si>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</si>
  <si>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</si>
  <si>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</si>
  <si>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</si>
  <si>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</si>
  <si>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</si>
  <si>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</si>
  <si>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</si>
  <si>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</si>
  <si>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</si>
  <si>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</si>
  <si>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</si>
  <si>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</si>
  <si>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</si>
  <si>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</si>
  <si>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✗ Lost (predicted Ottawa Senators, actual nan)</t>
  </si>
  <si>
    <t>✗ Lost (predicted New Jersey Devils, actual nan)</t>
  </si>
  <si>
    <t>✗ Lost (predicted Florida Panthers, actual nan)</t>
  </si>
  <si>
    <t>✗ Lost (predicted New York Rangers, actual nan)</t>
  </si>
  <si>
    <t>✗ Lost (predicted Tampa Bay Lightning, actual nan)</t>
  </si>
  <si>
    <t>✗ Lost (predicted Utah Mammoth, actual nan)</t>
  </si>
  <si>
    <t>✗ Lost (predicted Washington Capitals, actual nan)</t>
  </si>
  <si>
    <t>PENDING</t>
  </si>
  <si>
    <t>Vancouver Canucks @ Anaheim Ducks</t>
  </si>
  <si>
    <t>New York Rangers @ Carolina Hurricanes</t>
  </si>
  <si>
    <t>Toronto Maple Leafs @ Columbus Blue Jackets</t>
  </si>
  <si>
    <t>20:30:00</t>
  </si>
  <si>
    <t>Minnesota Wild @ Chicago Blackhawks</t>
  </si>
  <si>
    <t>San Jose Sharks @ Colorado Avalanche</t>
  </si>
  <si>
    <t>Nashville Predators @ Detroit Red Wings</t>
  </si>
  <si>
    <t>Philadelphia Flyers @ Florida Panthers</t>
  </si>
  <si>
    <t>St. Louis Blues @ New Jersey Devils</t>
  </si>
  <si>
    <t>Boston Bruins @ New York Islanders</t>
  </si>
  <si>
    <t>Buffalo Sabres @ Pittsburgh Penguins</t>
  </si>
  <si>
    <t>Dallas Stars @ Seattle Kraken</t>
  </si>
  <si>
    <t>Calgary Flames @ Tampa Bay Lightning</t>
  </si>
  <si>
    <t>21:30:00</t>
  </si>
  <si>
    <t>Montreal Canadiens @ Utah Mammoth</t>
  </si>
  <si>
    <t>Ottawa Senators @ Vegas Golden Knights</t>
  </si>
  <si>
    <t>Winnipeg Jets @ Washington Capitals</t>
  </si>
  <si>
    <t>2025-11-26 15:57:41</t>
  </si>
  <si>
    <t>Los Angeles Kings @ Anaheim Ducks</t>
  </si>
  <si>
    <t>2025-11-28 12:06:59</t>
  </si>
  <si>
    <t>New York Rangers @ Boston Bruins</t>
  </si>
  <si>
    <t>New Jersey Devils @ Buffalo Sabres</t>
  </si>
  <si>
    <t>Winnipeg Jets @ Carolina Hurricanes</t>
  </si>
  <si>
    <t>Pittsburgh Penguins @ Columbus Blue Jackets</t>
  </si>
  <si>
    <t>Nashville Predators @ Chicago Blackhawks</t>
  </si>
  <si>
    <t>Utah Mammoth @ Dallas Stars</t>
  </si>
  <si>
    <t>12:00:00</t>
  </si>
  <si>
    <t>Tampa Bay Lightning @ Detroit Red Wings</t>
  </si>
  <si>
    <t>Calgary Flames @ Florida Panthers</t>
  </si>
  <si>
    <t>Colorado Avalanche @ Minnesota Wild</t>
  </si>
  <si>
    <t>Philadelphia Flyers @ New York Islanders</t>
  </si>
  <si>
    <t>Vancouver Canucks @ San Jose Sharks</t>
  </si>
  <si>
    <t>Ottawa Senators @ St. Louis Blues</t>
  </si>
  <si>
    <t>Montreal Canadiens @ Vegas Golden Knights</t>
  </si>
  <si>
    <t>Toronto Maple Leafs @ Washington Capitals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</si>
</sst>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90" tableType="queryTable" totalsRowShown="0">
  <autoFilter ref="A1:AA90" xr:uid="{F2332789-251B-774B-AB2B-8BB4F3AFC4B8}"/>
  <tableColumns count="27">
    <tableColumn id="1" xr3:uid="{A82D8364-7061-A147-9648-1020427F222D}" uniqueName="1" name="game_date" queryTableFieldId="1" dataDxfId="26"/>
    <tableColumn id="2" xr3:uid="{2F0B0F85-AE68-C84D-ABF4-9C9BD4BCDE1A}" uniqueName="2" name="game_time" queryTableFieldId="2" dataDxfId="25"/>
    <tableColumn id="3" xr3:uid="{E190D701-E48A-4849-B026-83F6843A3F7C}" uniqueName="3" name="away_team" queryTableFieldId="3" dataDxfId="24"/>
    <tableColumn id="4" xr3:uid="{D8A87A5E-45E9-434D-B896-A1AC29AE2193}" uniqueName="4" name="home_team" queryTableFieldId="4" dataDxfId="23"/>
    <tableColumn id="5" xr3:uid="{F866A432-CB2E-1344-BB8E-B02DE09CEE39}" uniqueName="5" name="matchup" queryTableFieldId="5" dataDxfId="22"/>
    <tableColumn id="6" xr3:uid="{321205EB-FCDC-FF42-A5BC-028328229DA9}" uniqueName="6" name="ml_winner" queryTableFieldId="6" dataDxfId="21"/>
    <tableColumn id="7" xr3:uid="{1146F8DC-3374-2845-B506-3428513D1030}" uniqueName="7" name="ml_away_score" queryTableFieldId="7" dataDxfId="20"/>
    <tableColumn id="8" xr3:uid="{04F6AA09-904F-E441-9223-5D3EABA2C9DE}" uniqueName="8" name="ml_home_score" queryTableFieldId="8" dataDxfId="19"/>
    <tableColumn id="9" xr3:uid="{A52E9546-F206-504B-B50C-DE483A5979F1}" uniqueName="9" name="ml_confidence" queryTableFieldId="9" dataDxfId="18" dataCellStyle="Percent"/>
    <tableColumn id="10" xr3:uid="{B0863A61-8896-F94A-9BD1-877DA74E944C}" uniqueName="10" name="ml_ot" queryTableFieldId="10" dataDxfId="17"/>
    <tableColumn id="11" xr3:uid="{0CEF2C0B-AEAC-D24C-B808-9E65DA36D85B}" uniqueName="11" name="ml_ot_prob" queryTableFieldId="11" dataDxfId="16"/>
    <tableColumn id="12" xr3:uid="{953F4783-1A2A-2049-B662-B96EC4C98B47}" uniqueName="12" name="ml_correct" queryTableFieldId="12" dataDxfId="15"/>
    <tableColumn id="13" xr3:uid="{01F9271B-BF28-974D-9DD2-7B2DE98B6F67}" uniqueName="13" name="ml_result" queryTableFieldId="13" dataDxfId="14"/>
    <tableColumn id="14" xr3:uid="{53D10B71-CBA8-8D4A-96BA-CDF21FB393EA}" uniqueName="14" name="excel_winner" queryTableFieldId="14" dataDxfId="13"/>
    <tableColumn id="15" xr3:uid="{BFE057F3-C344-6344-BBC6-D1E83F6B5653}" uniqueName="15" name="excel_away_score" queryTableFieldId="15" dataDxfId="12"/>
    <tableColumn id="16" xr3:uid="{95A37C51-0AFC-4B48-BDBD-9F547D067C1A}" uniqueName="16" name="excel_home_score" queryTableFieldId="16" dataDxfId="11"/>
    <tableColumn id="17" xr3:uid="{21361EAA-D669-0647-AB36-316C9A355B06}" uniqueName="17" name="excel_confidence" queryTableFieldId="17" dataDxfId="10" dataCellStyle="Percent"/>
    <tableColumn id="18" xr3:uid="{C0D4B874-D9A3-F047-9F50-E1FD6B0B1717}" uniqueName="18" name="excel_ot" queryTableFieldId="18" dataDxfId="9"/>
    <tableColumn id="19" xr3:uid="{B5C6CD51-366A-5E4F-9D9D-FCD85DB91334}" uniqueName="19" name="excel_homeice" queryTableFieldId="19" dataDxfId="8"/>
    <tableColumn id="20" xr3:uid="{8A0C0F6C-7907-0B40-9DDC-02333190C939}" uniqueName="20" name="excel_correct" queryTableFieldId="20" dataDxfId="7"/>
    <tableColumn id="21" xr3:uid="{4F720508-4E4B-1843-AE1F-4E2016CC6849}" uniqueName="21" name="actual_winner" queryTableFieldId="21" dataDxfId="6"/>
    <tableColumn id="22" xr3:uid="{DF1197C5-5856-EF4D-BC04-6C080F1AD21B}" uniqueName="22" name="actual_away_score" queryTableFieldId="22" dataDxfId="5"/>
    <tableColumn id="23" xr3:uid="{521AC888-C59A-E842-8AF4-8F313E19B6CE}" uniqueName="23" name="actual_home_score" queryTableFieldId="23" dataDxfId="4"/>
    <tableColumn id="24" xr3:uid="{BBF8FDF8-3558-D043-9E29-97FCC0E90C92}" uniqueName="24" name="actual_ot" queryTableFieldId="24" dataDxfId="3"/>
    <tableColumn id="25" xr3:uid="{B3C51976-5727-A24B-9842-AC69798A596C}" uniqueName="25" name="game_status" queryTableFieldId="25" dataDxfId="2"/>
    <tableColumn id="26" xr3:uid="{C7B8AFAB-46A9-D04C-A7AF-56BEE52383BA}" uniqueName="26" name="recorded_at" queryTableFieldId="26" dataDxfId="1"/>
    <tableColumn id="27" xr3:uid="{0C0062D0-5688-D346-83F6-DF5908F6B02E}" uniqueName="27" name="updated_at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53" workbookViewId="0">
      <selection activeCell="G377" sqref="G377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10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10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10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10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10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10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10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0.10638193276874311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1969.0132339802669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9.6060347736414392E-2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-8.546798620966356E-3</v>
      </c>
      <c r="J7">
        <f>(Table3[[#This Row],[HomeMargin]]-Table3[[#This Row],[HomeForecast]])^2</f>
        <v>1.0171666450086001</v>
      </c>
    </row>
    <row r="8" spans="1:10" x14ac:dyDescent="0.2">
      <c r="A8" s="4" t="s">
        <v>21</v>
      </c>
      <c r="B8">
        <v>-0.19106480716289626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-1.82285559350266</v>
      </c>
      <c r="J8">
        <f>(Table3[[#This Row],[HomeMargin]]-Table3[[#This Row],[HomeForecast]])^2</f>
        <v>1.3856689537479747</v>
      </c>
    </row>
    <row r="9" spans="1:10" x14ac:dyDescent="0.2">
      <c r="A9" s="4" t="s">
        <v>23</v>
      </c>
      <c r="B9">
        <v>-0.69947324663859312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-0.18002043649811045</v>
      </c>
      <c r="J9">
        <f>(Table3[[#This Row],[HomeMargin]]-Table3[[#This Row],[HomeForecast]])^2</f>
        <v>7.9522847385683075</v>
      </c>
    </row>
    <row r="10" spans="1:10" x14ac:dyDescent="0.2">
      <c r="A10" s="4" t="s">
        <v>16</v>
      </c>
      <c r="B10">
        <v>-1.3446131114659174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0.29548152718411647</v>
      </c>
      <c r="J10">
        <f>(Table3[[#This Row],[HomeMargin]]-Table3[[#This Row],[HomeForecast]])^2</f>
        <v>1.6782723872752907</v>
      </c>
    </row>
    <row r="11" spans="1:10" x14ac:dyDescent="0.2">
      <c r="A11" s="4" t="s">
        <v>25</v>
      </c>
      <c r="B11">
        <v>0.15503279744029827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-0.12241956276891042</v>
      </c>
      <c r="J11">
        <f>(Table3[[#This Row],[HomeMargin]]-Table3[[#This Row],[HomeForecast]])^2</f>
        <v>9.749503925961994</v>
      </c>
    </row>
    <row r="12" spans="1:10" x14ac:dyDescent="0.2">
      <c r="A12" s="4" t="s">
        <v>10</v>
      </c>
      <c r="B12">
        <v>-0.32256919101930787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0.29651459046851558</v>
      </c>
      <c r="J12">
        <f>(Table3[[#This Row],[HomeMargin]]-Table3[[#This Row],[HomeForecast]])^2</f>
        <v>1.6809500832977426</v>
      </c>
    </row>
    <row r="13" spans="1:10" x14ac:dyDescent="0.2">
      <c r="A13" s="4" t="s">
        <v>12</v>
      </c>
      <c r="B13">
        <v>1.4740146843006017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0.42365668771416237</v>
      </c>
      <c r="J13">
        <f>(Table3[[#This Row],[HomeMargin]]-Table3[[#This Row],[HomeForecast]])^2</f>
        <v>5.8741117399015845</v>
      </c>
    </row>
    <row r="14" spans="1:10" x14ac:dyDescent="0.2">
      <c r="A14" s="4" t="s">
        <v>28</v>
      </c>
      <c r="B14">
        <v>-0.89619124881012313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0.23788631662515472</v>
      </c>
      <c r="J14">
        <f>(Table3[[#This Row],[HomeMargin]]-Table3[[#This Row],[HomeForecast]])^2</f>
        <v>0.58081726638717401</v>
      </c>
    </row>
    <row r="15" spans="1:10" x14ac:dyDescent="0.2">
      <c r="A15" s="4" t="s">
        <v>39</v>
      </c>
      <c r="B15">
        <v>8.2462575231143323E-2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-4.3868346605501984E-2</v>
      </c>
      <c r="J15">
        <f>(Table3[[#This Row],[HomeMargin]]-Table3[[#This Row],[HomeForecast]])^2</f>
        <v>15.650977658989886</v>
      </c>
    </row>
    <row r="16" spans="1:10" x14ac:dyDescent="0.2">
      <c r="A16" s="4" t="s">
        <v>26</v>
      </c>
      <c r="B16">
        <v>-0.98948521352045793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0.42659328864257517</v>
      </c>
      <c r="J16">
        <f>(Table3[[#This Row],[HomeMargin]]-Table3[[#This Row],[HomeForecast]])^2</f>
        <v>6.6224221020594367</v>
      </c>
    </row>
    <row r="17" spans="1:10" x14ac:dyDescent="0.2">
      <c r="A17" s="4" t="s">
        <v>17</v>
      </c>
      <c r="B17">
        <v>-1.1555135170505442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1.9294094296617672</v>
      </c>
      <c r="J17">
        <f>(Table3[[#This Row],[HomeMargin]]-Table3[[#This Row],[HomeForecast]])^2</f>
        <v>0.86380188794421142</v>
      </c>
    </row>
    <row r="18" spans="1:10" x14ac:dyDescent="0.2">
      <c r="A18" s="4" t="s">
        <v>11</v>
      </c>
      <c r="B18">
        <v>-0.4374979224090173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-9.1035598901281878E-2</v>
      </c>
      <c r="J18">
        <f>(Table3[[#This Row],[HomeMargin]]-Table3[[#This Row],[HomeForecast]])^2</f>
        <v>15.280002689057058</v>
      </c>
    </row>
    <row r="19" spans="1:10" x14ac:dyDescent="0.2">
      <c r="A19" s="4" t="s">
        <v>13</v>
      </c>
      <c r="B19">
        <v>-0.45522284197080148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0.20251376444226288</v>
      </c>
      <c r="J19">
        <f>(Table3[[#This Row],[HomeMargin]]-Table3[[#This Row],[HomeForecast]])^2</f>
        <v>0.63598429590405059</v>
      </c>
    </row>
    <row r="20" spans="1:10" x14ac:dyDescent="0.2">
      <c r="A20" s="4" t="s">
        <v>34</v>
      </c>
      <c r="B20">
        <v>-0.26693531126155262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-0.57269863793732445</v>
      </c>
      <c r="J20">
        <f>(Table3[[#This Row],[HomeMargin]]-Table3[[#This Row],[HomeForecast]])^2</f>
        <v>2.4733810057699155</v>
      </c>
    </row>
    <row r="21" spans="1:10" x14ac:dyDescent="0.2">
      <c r="A21" s="4" t="s">
        <v>18</v>
      </c>
      <c r="B21">
        <v>-0.79206768185043297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6.9750453009641361E-2</v>
      </c>
      <c r="J21">
        <f>(Table3[[#This Row],[HomeMargin]]-Table3[[#This Row],[HomeForecast]])^2</f>
        <v>0.86536421967576749</v>
      </c>
    </row>
    <row r="22" spans="1:10" x14ac:dyDescent="0.2">
      <c r="A22" s="4" t="s">
        <v>29</v>
      </c>
      <c r="B22">
        <v>-1.5752718195161908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-0.62067481887061071</v>
      </c>
      <c r="J22">
        <f>(Table3[[#This Row],[HomeMargin]]-Table3[[#This Row],[HomeForecast]])^2</f>
        <v>6.8679365062625077</v>
      </c>
    </row>
    <row r="23" spans="1:10" x14ac:dyDescent="0.2">
      <c r="A23" s="4" t="s">
        <v>24</v>
      </c>
      <c r="B23">
        <v>-0.1651785584335338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-0.28999264857465867</v>
      </c>
      <c r="J23">
        <f>(Table3[[#This Row],[HomeMargin]]-Table3[[#This Row],[HomeForecast]])^2</f>
        <v>0.50411043907802811</v>
      </c>
    </row>
    <row r="24" spans="1:10" x14ac:dyDescent="0.2">
      <c r="A24" s="4" t="s">
        <v>30</v>
      </c>
      <c r="B24">
        <v>-0.22618911823839277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-1.2957132281659516</v>
      </c>
      <c r="J24">
        <f>(Table3[[#This Row],[HomeMargin]]-Table3[[#This Row],[HomeForecast]])^2</f>
        <v>13.721740487984716</v>
      </c>
    </row>
    <row r="25" spans="1:10" x14ac:dyDescent="0.2">
      <c r="A25" s="4" t="s">
        <v>15</v>
      </c>
      <c r="B25">
        <v>-0.54922296726434805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0.68865958970305208</v>
      </c>
      <c r="J25">
        <f>(Table3[[#This Row],[HomeMargin]]-Table3[[#This Row],[HomeForecast]])^2</f>
        <v>2.8515712098960804</v>
      </c>
    </row>
    <row r="26" spans="1:10" x14ac:dyDescent="0.2">
      <c r="A26" s="4" t="s">
        <v>36</v>
      </c>
      <c r="B26">
        <v>-0.40987688593271943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0.31868082467414283</v>
      </c>
      <c r="J26">
        <f>(Table3[[#This Row],[HomeMargin]]-Table3[[#This Row],[HomeForecast]])^2</f>
        <v>13.552110870621849</v>
      </c>
    </row>
    <row r="27" spans="1:10" x14ac:dyDescent="0.2">
      <c r="A27" s="4" t="s">
        <v>27</v>
      </c>
      <c r="B27">
        <v>-0.5336297540825371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-0.21425832191859773</v>
      </c>
      <c r="J27">
        <f>(Table3[[#This Row],[HomeMargin]]-Table3[[#This Row],[HomeForecast]])^2</f>
        <v>0.61738998467417805</v>
      </c>
    </row>
    <row r="28" spans="1:10" x14ac:dyDescent="0.2">
      <c r="A28" s="4" t="s">
        <v>14</v>
      </c>
      <c r="B28">
        <v>-0.26282059799749452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0.61479037224444</v>
      </c>
      <c r="J28">
        <f>(Table3[[#This Row],[HomeMargin]]-Table3[[#This Row],[HomeForecast]])^2</f>
        <v>1.9188057128266973</v>
      </c>
    </row>
    <row r="29" spans="1:10" x14ac:dyDescent="0.2">
      <c r="A29" s="4" t="s">
        <v>33</v>
      </c>
      <c r="B29">
        <v>-0.66146476561443079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0.79504448429157848</v>
      </c>
      <c r="J29">
        <f>(Table3[[#This Row],[HomeMargin]]-Table3[[#This Row],[HomeForecast]])^2</f>
        <v>4.2006763419305024E-2</v>
      </c>
    </row>
    <row r="30" spans="1:10" x14ac:dyDescent="0.2">
      <c r="A30" s="4" t="s">
        <v>32</v>
      </c>
      <c r="B30">
        <v>-0.63099640390293943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0.4307992934990732</v>
      </c>
      <c r="J30">
        <f>(Table3[[#This Row],[HomeMargin]]-Table3[[#This Row],[HomeForecast]])^2</f>
        <v>5.9087852052755947</v>
      </c>
    </row>
    <row r="31" spans="1:10" x14ac:dyDescent="0.2">
      <c r="A31" s="4" t="s">
        <v>35</v>
      </c>
      <c r="B31">
        <v>-1.6690304721962474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0.57588042359986824</v>
      </c>
      <c r="J31">
        <f>(Table3[[#This Row],[HomeMargin]]-Table3[[#This Row],[HomeForecast]])^2</f>
        <v>2.4833991094853003</v>
      </c>
    </row>
    <row r="32" spans="1:10" x14ac:dyDescent="0.2">
      <c r="A32" s="4" t="s">
        <v>37</v>
      </c>
      <c r="B32">
        <v>0.17240077100158954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1.4979340418382014</v>
      </c>
      <c r="J32">
        <f>(Table3[[#This Row],[HomeMargin]]-Table3[[#This Row],[HomeForecast]])^2</f>
        <v>6.2396744773741322</v>
      </c>
    </row>
    <row r="33" spans="1:10" x14ac:dyDescent="0.2">
      <c r="A33" s="4" t="s">
        <v>19</v>
      </c>
      <c r="B33">
        <v>-1.0208691773880865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0.13776589663637162</v>
      </c>
      <c r="J33">
        <f>(Table3[[#This Row],[HomeMargin]]-Table3[[#This Row],[HomeForecast]])^2</f>
        <v>8.1923840624577924</v>
      </c>
    </row>
    <row r="34" spans="1:10" x14ac:dyDescent="0.2">
      <c r="A34" t="s">
        <v>55</v>
      </c>
      <c r="B34">
        <v>-0.34901281259242245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8.3182635278716832E-2</v>
      </c>
      <c r="J34">
        <f>(Table3[[#This Row],[HomeMargin]]-Table3[[#This Row],[HomeForecast]])^2</f>
        <v>3.6741888096970445</v>
      </c>
    </row>
    <row r="35" spans="1:10" x14ac:dyDescent="0.2">
      <c r="A35" s="4" t="s">
        <v>38</v>
      </c>
      <c r="B35">
        <v>-1.1323142195605178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7.8760896292445204E-2</v>
      </c>
      <c r="J35">
        <f>(Table3[[#This Row],[HomeMargin]]-Table3[[#This Row],[HomeForecast]])^2</f>
        <v>15.376116108445229</v>
      </c>
    </row>
    <row r="36" spans="1:10" x14ac:dyDescent="0.2">
      <c r="A36" s="4" t="s">
        <v>20</v>
      </c>
      <c r="B36">
        <v>-0.26509018427102904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0.73563787031731365</v>
      </c>
      <c r="J36">
        <f>(Table3[[#This Row],[HomeMargin]]-Table3[[#This Row],[HomeForecast]])^2</f>
        <v>13.954990298148877</v>
      </c>
    </row>
    <row r="37" spans="1:10" x14ac:dyDescent="0.2">
      <c r="A37" s="4" t="s">
        <v>22</v>
      </c>
      <c r="B37">
        <v>0.12620994778252301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-1.119877074155025</v>
      </c>
      <c r="J37">
        <f>(Table3[[#This Row],[HomeMargin]]-Table3[[#This Row],[HomeForecast]])^2</f>
        <v>1.4370512907969368E-2</v>
      </c>
    </row>
    <row r="38" spans="1:10" x14ac:dyDescent="0.2">
      <c r="A38" s="4" t="s">
        <v>40</v>
      </c>
      <c r="B38">
        <v>-0.2381776794561975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-0.24601713325217267</v>
      </c>
      <c r="J38">
        <f>(Table3[[#This Row],[HomeMargin]]-Table3[[#This Row],[HomeForecast]])^2</f>
        <v>3.0764558968449269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0.39278430203559667</v>
      </c>
      <c r="J39">
        <f>(Table3[[#This Row],[HomeMargin]]-Table3[[#This Row],[HomeForecast]])^2</f>
        <v>29.082122528281555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-0.25952428686316731</v>
      </c>
      <c r="J40">
        <f>(Table3[[#This Row],[HomeMargin]]-Table3[[#This Row],[HomeForecast]])^2</f>
        <v>1.5864014291981701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-0.65114318058210208</v>
      </c>
      <c r="J41">
        <f>(Table3[[#This Row],[HomeMargin]]-Table3[[#This Row],[HomeForecast]])^2</f>
        <v>0.12170108045437183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0.44396126220386645</v>
      </c>
      <c r="J42">
        <f>(Table3[[#This Row],[HomeMargin]]-Table3[[#This Row],[HomeForecast]])^2</f>
        <v>5.9729466511531157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0.32342709528334712</v>
      </c>
      <c r="J43">
        <f>(Table3[[#This Row],[HomeMargin]]-Table3[[#This Row],[HomeForecast]])^2</f>
        <v>0.45775089539672903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-0.569050982278128</v>
      </c>
      <c r="J44">
        <f>(Table3[[#This Row],[HomeMargin]]-Table3[[#This Row],[HomeForecast]])^2</f>
        <v>0.18571705587544635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-0.25708364539574269</v>
      </c>
      <c r="J45">
        <f>(Table3[[#This Row],[HomeMargin]]-Table3[[#This Row],[HomeForecast]])^2</f>
        <v>0.55192470993847864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-2.0671059981704518</v>
      </c>
      <c r="J46">
        <f>(Table3[[#This Row],[HomeMargin]]-Table3[[#This Row],[HomeForecast]])^2</f>
        <v>4.5032149904526827E-3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-0.62463075760784625</v>
      </c>
      <c r="J47">
        <f>(Table3[[#This Row],[HomeMargin]]-Table3[[#This Row],[HomeForecast]])^2</f>
        <v>0.14090206813405948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0.13282555434185769</v>
      </c>
      <c r="J48">
        <f>(Table3[[#This Row],[HomeMargin]]-Table3[[#This Row],[HomeForecast]])^2</f>
        <v>3.4863404105187907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0.29466946347799194</v>
      </c>
      <c r="J49">
        <f>(Table3[[#This Row],[HomeMargin]]-Table3[[#This Row],[HomeForecast]])^2</f>
        <v>0.49749116575042374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0.11837049398654784</v>
      </c>
      <c r="J50">
        <f>(Table3[[#This Row],[HomeMargin]]-Table3[[#This Row],[HomeForecast]])^2</f>
        <v>9.7242345377659056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1.2717768663522144</v>
      </c>
      <c r="J51">
        <f>(Table3[[#This Row],[HomeMargin]]-Table3[[#This Row],[HomeForecast]])^2</f>
        <v>18.24807759590194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1.0250101095223285E-2</v>
      </c>
      <c r="J52">
        <f>(Table3[[#This Row],[HomeMargin]]-Table3[[#This Row],[HomeForecast]])^2</f>
        <v>8.9386044580011212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7.4997968901114542E-2</v>
      </c>
      <c r="J53">
        <f>(Table3[[#This Row],[HomeMargin]]-Table3[[#This Row],[HomeForecast]])^2</f>
        <v>1.155620633141522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0.64309818540447283</v>
      </c>
      <c r="J54">
        <f>(Table3[[#This Row],[HomeMargin]]-Table3[[#This Row],[HomeForecast]])^2</f>
        <v>13.272164388497362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0.46526287850265202</v>
      </c>
      <c r="J55">
        <f>(Table3[[#This Row],[HomeMargin]]-Table3[[#This Row],[HomeForecast]])^2</f>
        <v>0.28594378910726947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-0.97314099442614521</v>
      </c>
      <c r="J56">
        <f>(Table3[[#This Row],[HomeMargin]]-Table3[[#This Row],[HomeForecast]])^2</f>
        <v>1.0544394173281257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0.45577981926143907</v>
      </c>
      <c r="J57">
        <f>(Table3[[#This Row],[HomeMargin]]-Table3[[#This Row],[HomeForecast]])^2</f>
        <v>6.473056328077357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-5.4689345178750459E-2</v>
      </c>
      <c r="J58">
        <f>(Table3[[#This Row],[HomeMargin]]-Table3[[#This Row],[HomeForecast]])^2</f>
        <v>1.1123696148335815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0.7126724825549392</v>
      </c>
      <c r="J59">
        <f>(Table3[[#This Row],[HomeMargin]]-Table3[[#This Row],[HomeForecast]])^2</f>
        <v>7.3585919976107768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-0.71011563028598601</v>
      </c>
      <c r="J60">
        <f>(Table3[[#This Row],[HomeMargin]]-Table3[[#This Row],[HomeForecast]])^2</f>
        <v>10.823339166088575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0.66078457489684739</v>
      </c>
      <c r="J61">
        <f>(Table3[[#This Row],[HomeMargin]]-Table3[[#This Row],[HomeForecast]])^2</f>
        <v>5.4719288050405224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6.0191109549676575E-2</v>
      </c>
      <c r="J62">
        <f>(Table3[[#This Row],[HomeMargin]]-Table3[[#This Row],[HomeForecast]])^2</f>
        <v>0.88324075056946805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-0.18321442793713061</v>
      </c>
      <c r="J63">
        <f>(Table3[[#This Row],[HomeMargin]]-Table3[[#This Row],[HomeForecast]])^2</f>
        <v>17.499282950101374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-0.44560535834269754</v>
      </c>
      <c r="J64">
        <f>(Table3[[#This Row],[HomeMargin]]-Table3[[#This Row],[HomeForecast]])^2</f>
        <v>11.872196285439907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-1.2400793484081964</v>
      </c>
      <c r="J65">
        <f>(Table3[[#This Row],[HomeMargin]]-Table3[[#This Row],[HomeForecast]])^2</f>
        <v>14.137003306266534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1.1019822316422381</v>
      </c>
      <c r="J66">
        <f>(Table3[[#This Row],[HomeMargin]]-Table3[[#This Row],[HomeForecast]])^2</f>
        <v>0.806435912286255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4.7409483064859231E-2</v>
      </c>
      <c r="J67">
        <f>(Table3[[#This Row],[HomeMargin]]-Table3[[#This Row],[HomeForecast]])^2</f>
        <v>9.286704557473632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-2.2638240003419816</v>
      </c>
      <c r="J68">
        <f>(Table3[[#This Row],[HomeMargin]]-Table3[[#This Row],[HomeForecast]])^2</f>
        <v>0.54195510247248269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1.3211587275604042</v>
      </c>
      <c r="J69">
        <f>(Table3[[#This Row],[HomeMargin]]-Table3[[#This Row],[HomeForecast]])^2</f>
        <v>11.030095293650644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-8.6020311204563826E-2</v>
      </c>
      <c r="J70">
        <f>(Table3[[#This Row],[HomeMargin]]-Table3[[#This Row],[HomeForecast]])^2</f>
        <v>3.6633182491214744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0.88958607043450089</v>
      </c>
      <c r="J71">
        <f>(Table3[[#This Row],[HomeMargin]]-Table3[[#This Row],[HomeForecast]])^2</f>
        <v>1.2191235842095E-2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0.37870129674422659</v>
      </c>
      <c r="J72">
        <f>(Table3[[#This Row],[HomeMargin]]-Table3[[#This Row],[HomeForecast]])^2</f>
        <v>2.6286094851788526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1.0357063315808945</v>
      </c>
      <c r="J73">
        <f>(Table3[[#This Row],[HomeMargin]]-Table3[[#This Row],[HomeForecast]])^2</f>
        <v>0.92986227895317575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0.32750145073896308</v>
      </c>
      <c r="J74">
        <f>(Table3[[#This Row],[HomeMargin]]-Table3[[#This Row],[HomeForecast]])^2</f>
        <v>0.45225429875819928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-0.18907014185759652</v>
      </c>
      <c r="J75">
        <f>(Table3[[#This Row],[HomeMargin]]-Table3[[#This Row],[HomeForecast]])^2</f>
        <v>7.9013266673964733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-0.36526427735499534</v>
      </c>
      <c r="J76">
        <f>(Table3[[#This Row],[HomeMargin]]-Table3[[#This Row],[HomeForecast]])^2</f>
        <v>1.8639465470216574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3.2356555660610326E-2</v>
      </c>
      <c r="J77">
        <f>(Table3[[#This Row],[HomeMargin]]-Table3[[#This Row],[HomeForecast]])^2</f>
        <v>0.93633383537299741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0.91612696130995308</v>
      </c>
      <c r="J78">
        <f>(Table3[[#This Row],[HomeMargin]]-Table3[[#This Row],[HomeForecast]])^2</f>
        <v>3.6715425318589148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-1.0555040517533043</v>
      </c>
      <c r="J79">
        <f>(Table3[[#This Row],[HomeMargin]]-Table3[[#This Row],[HomeForecast]])^2</f>
        <v>4.225096906774251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0.41883388579075143</v>
      </c>
      <c r="J80">
        <f>(Table3[[#This Row],[HomeMargin]]-Table3[[#This Row],[HomeForecast]])^2</f>
        <v>6.6624185091420731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0.49952719181281874</v>
      </c>
      <c r="J81">
        <f>(Table3[[#This Row],[HomeMargin]]-Table3[[#This Row],[HomeForecast]])^2</f>
        <v>12.253309880857852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-0.15559339146083273</v>
      </c>
      <c r="J82">
        <f>(Table3[[#This Row],[HomeMargin]]-Table3[[#This Row],[HomeForecast]])^2</f>
        <v>9.9577696522312795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-0.96221008704296962</v>
      </c>
      <c r="J83">
        <f>(Table3[[#This Row],[HomeMargin]]-Table3[[#This Row],[HomeForecast]])^2</f>
        <v>3.8502684256931778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1.7714614242322411</v>
      </c>
      <c r="J84">
        <f>(Table3[[#This Row],[HomeMargin]]-Table3[[#This Row],[HomeForecast]])^2</f>
        <v>1.5093070321494735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-0.50387370664235664</v>
      </c>
      <c r="J85">
        <f>(Table3[[#This Row],[HomeMargin]]-Table3[[#This Row],[HomeForecast]])^2</f>
        <v>0.2461412989607944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-0.13646278181734184</v>
      </c>
      <c r="J86">
        <f>(Table3[[#This Row],[HomeMargin]]-Table3[[#This Row],[HomeForecast]])^2</f>
        <v>0.74569652718664381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1.0967168913857535</v>
      </c>
      <c r="J87">
        <f>(Table3[[#This Row],[HomeMargin]]-Table3[[#This Row],[HomeForecast]])^2</f>
        <v>0.81592037430781672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-7.7305834925583572E-2</v>
      </c>
      <c r="J88">
        <f>(Table3[[#This Row],[HomeMargin]]-Table3[[#This Row],[HomeForecast]])^2</f>
        <v>0.85136452226237458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-0.1603125100522414</v>
      </c>
      <c r="J89">
        <f>(Table3[[#This Row],[HomeMargin]]-Table3[[#This Row],[HomeForecast]])^2</f>
        <v>1.3463251209837326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-0.29226223484819319</v>
      </c>
      <c r="J90">
        <f>(Table3[[#This Row],[HomeMargin]]-Table3[[#This Row],[HomeForecast]])^2</f>
        <v>7.3318438048293002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-1.6451111146586477</v>
      </c>
      <c r="J91">
        <f>(Table3[[#This Row],[HomeMargin]]-Table3[[#This Row],[HomeForecast]])^2</f>
        <v>13.286835038208011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-0.28349084071640396</v>
      </c>
      <c r="J92">
        <f>(Table3[[#This Row],[HomeMargin]]-Table3[[#This Row],[HomeForecast]])^2</f>
        <v>0.51338537533728557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1.1859048599636315</v>
      </c>
      <c r="J93">
        <f>(Table3[[#This Row],[HomeMargin]]-Table3[[#This Row],[HomeForecast]])^2</f>
        <v>14.547321737249044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1.4434760728287364</v>
      </c>
      <c r="J94">
        <f>(Table3[[#This Row],[HomeMargin]]-Table3[[#This Row],[HomeForecast]])^2</f>
        <v>2.4227667358566531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-0.31224760598697915</v>
      </c>
      <c r="J95">
        <f>(Table3[[#This Row],[HomeMargin]]-Table3[[#This Row],[HomeForecast]])^2</f>
        <v>1.7219937794185582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0.27241023629882932</v>
      </c>
      <c r="J96">
        <f>(Table3[[#This Row],[HomeMargin]]-Table3[[#This Row],[HomeForecast]])^2</f>
        <v>2.9845663916450671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-5.1566072660783085E-2</v>
      </c>
      <c r="J97">
        <f>(Table3[[#This Row],[HomeMargin]]-Table3[[#This Row],[HomeForecast]])^2</f>
        <v>1.1057912051712235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1.3649061001117839</v>
      </c>
      <c r="J98">
        <f>(Table3[[#This Row],[HomeMargin]]-Table3[[#This Row],[HomeForecast]])^2</f>
        <v>5.5927808623459283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-1.0000534992409769</v>
      </c>
      <c r="J99">
        <f>(Table3[[#This Row],[HomeMargin]]-Table3[[#This Row],[HomeForecast]])^2</f>
        <v>2.8621687851003483E-9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1.3787497556903228E-2</v>
      </c>
      <c r="J100">
        <f>(Table3[[#This Row],[HomeMargin]]-Table3[[#This Row],[HomeForecast]])^2</f>
        <v>3.9450401048612687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-0.17590572323405235</v>
      </c>
      <c r="J101">
        <f>(Table3[[#This Row],[HomeMargin]]-Table3[[#This Row],[HomeForecast]])^2</f>
        <v>3.3273199305302854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0.20374858258914541</v>
      </c>
      <c r="J102">
        <f>(Table3[[#This Row],[HomeMargin]]-Table3[[#This Row],[HomeForecast]])^2</f>
        <v>7.8190219893722137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-0.3137410489425842</v>
      </c>
      <c r="J103">
        <f>(Table3[[#This Row],[HomeMargin]]-Table3[[#This Row],[HomeForecast]])^2</f>
        <v>10.980879739447097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0.35281504801486419</v>
      </c>
      <c r="J104">
        <f>(Table3[[#This Row],[HomeMargin]]-Table3[[#This Row],[HomeForecast]])^2</f>
        <v>1.8301085541354594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1.0850357568100095</v>
      </c>
      <c r="J105">
        <f>(Table3[[#This Row],[HomeMargin]]-Table3[[#This Row],[HomeForecast]])^2</f>
        <v>25.857588648036348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-1.5649502344838619</v>
      </c>
      <c r="J106">
        <f>(Table3[[#This Row],[HomeMargin]]-Table3[[#This Row],[HomeForecast]])^2</f>
        <v>2.0593678295079227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0.54165758014478116</v>
      </c>
      <c r="J107">
        <f>(Table3[[#This Row],[HomeMargin]]-Table3[[#This Row],[HomeForecast]])^2</f>
        <v>0.21007777383873771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0.85201856388656783</v>
      </c>
      <c r="J108">
        <f>(Table3[[#This Row],[HomeMargin]]-Table3[[#This Row],[HomeForecast]])^2</f>
        <v>3.4299727609804651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0.97587555433176643</v>
      </c>
      <c r="J109">
        <f>(Table3[[#This Row],[HomeMargin]]-Table3[[#This Row],[HomeForecast]])^2</f>
        <v>9.1453286628882005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-1.1074256974567027</v>
      </c>
      <c r="J110">
        <f>(Table3[[#This Row],[HomeMargin]]-Table3[[#This Row],[HomeForecast]])^2</f>
        <v>1.1540280474059025E-2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-0.74930868618580959</v>
      </c>
      <c r="J111">
        <f>(Table3[[#This Row],[HomeMargin]]-Table3[[#This Row],[HomeForecast]])^2</f>
        <v>5.0656113900786464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-1.716645564124281</v>
      </c>
      <c r="J112">
        <f>(Table3[[#This Row],[HomeMargin]]-Table3[[#This Row],[HomeForecast]])^2</f>
        <v>7.3801631210761345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0.86358828445420555</v>
      </c>
      <c r="J113">
        <f>(Table3[[#This Row],[HomeMargin]]-Table3[[#This Row],[HomeForecast]])^2</f>
        <v>4.5642550183213242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0.39639389965060789</v>
      </c>
      <c r="J114">
        <f>(Table3[[#This Row],[HomeMargin]]-Table3[[#This Row],[HomeForecast]])^2</f>
        <v>2.5715525250777844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-0.44616349684674128</v>
      </c>
      <c r="J115">
        <f>(Table3[[#This Row],[HomeMargin]]-Table3[[#This Row],[HomeForecast]])^2</f>
        <v>0.30673487222502954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0.20813868559676194</v>
      </c>
      <c r="J116">
        <f>(Table3[[#This Row],[HomeMargin]]-Table3[[#This Row],[HomeForecast]])^2</f>
        <v>7.794489598861376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-0.18074322213056754</v>
      </c>
      <c r="J117">
        <f>(Table3[[#This Row],[HomeMargin]]-Table3[[#This Row],[HomeForecast]])^2</f>
        <v>3.3096952238238693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1.4253638196290466</v>
      </c>
      <c r="J118">
        <f>(Table3[[#This Row],[HomeMargin]]-Table3[[#This Row],[HomeForecast]])^2</f>
        <v>5.8823896575655974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0.64406734997068793</v>
      </c>
      <c r="J119">
        <f>(Table3[[#This Row],[HomeMargin]]-Table3[[#This Row],[HomeForecast]])^2</f>
        <v>2.7029574512396404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-0.25706390243136801</v>
      </c>
      <c r="J120">
        <f>(Table3[[#This Row],[HomeMargin]]-Table3[[#This Row],[HomeForecast]])^2</f>
        <v>1.5802096547959796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-6.8295391642779701E-2</v>
      </c>
      <c r="J121">
        <f>(Table3[[#This Row],[HomeMargin]]-Table3[[#This Row],[HomeForecast]])^2</f>
        <v>3.7314826939485215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-0.33657566718692977</v>
      </c>
      <c r="J122">
        <f>(Table3[[#This Row],[HomeMargin]]-Table3[[#This Row],[HomeForecast]])^2</f>
        <v>1.7864345141161864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0.86967802805080829</v>
      </c>
      <c r="J123">
        <f>(Table3[[#This Row],[HomeMargin]]-Table3[[#This Row],[HomeForecast]])^2</f>
        <v>17.059559591966259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0.21862373111882583</v>
      </c>
      <c r="J124">
        <f>(Table3[[#This Row],[HomeMargin]]-Table3[[#This Row],[HomeForecast]])^2</f>
        <v>1.4850437980459685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0.23013480091856076</v>
      </c>
      <c r="J125">
        <f>(Table3[[#This Row],[HomeMargin]]-Table3[[#This Row],[HomeForecast]])^2</f>
        <v>0.59269242475670403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-1.2136357268350819</v>
      </c>
      <c r="J126">
        <f>(Table3[[#This Row],[HomeMargin]]-Table3[[#This Row],[HomeForecast]])^2</f>
        <v>3.1910973164400263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0.60135189478964057</v>
      </c>
      <c r="J127">
        <f>(Table3[[#This Row],[HomeMargin]]-Table3[[#This Row],[HomeForecast]])^2</f>
        <v>2.5643278909463723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0.49920065721548501</v>
      </c>
      <c r="J128">
        <f>(Table3[[#This Row],[HomeMargin]]-Table3[[#This Row],[HomeForecast]])^2</f>
        <v>12.244405239457281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0.42777786351823643</v>
      </c>
      <c r="J129">
        <f>(Table3[[#This Row],[HomeMargin]]-Table3[[#This Row],[HomeForecast]])^2</f>
        <v>2.4718824464432814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-0.91601926382390308</v>
      </c>
      <c r="J130">
        <f>(Table3[[#This Row],[HomeMargin]]-Table3[[#This Row],[HomeForecast]])^2</f>
        <v>9.5109371811052608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0.60266813994964008</v>
      </c>
      <c r="J131">
        <f>(Table3[[#This Row],[HomeMargin]]-Table3[[#This Row],[HomeForecast]])^2</f>
        <v>1.9525363271117986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1.212817364778463</v>
      </c>
      <c r="J132">
        <f>(Table3[[#This Row],[HomeMargin]]-Table3[[#This Row],[HomeForecast]])^2</f>
        <v>0.61965650119432336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-1.5586975586947549</v>
      </c>
      <c r="J133">
        <f>(Table3[[#This Row],[HomeMargin]]-Table3[[#This Row],[HomeForecast]])^2</f>
        <v>6.5469331968704987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3.3811710559588176E-2</v>
      </c>
      <c r="J134">
        <f>(Table3[[#This Row],[HomeMargin]]-Table3[[#This Row],[HomeForecast]])^2</f>
        <v>0.93351981065178891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0.7859271914445326</v>
      </c>
      <c r="J135">
        <f>(Table3[[#This Row],[HomeMargin]]-Table3[[#This Row],[HomeForecast]])^2</f>
        <v>1.4739727844737602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-6.6025805369245183E-2</v>
      </c>
      <c r="J136">
        <f>(Table3[[#This Row],[HomeMargin]]-Table3[[#This Row],[HomeForecast]])^2</f>
        <v>9.4005142391901284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0.18845943409961294</v>
      </c>
      <c r="J137">
        <f>(Table3[[#This Row],[HomeMargin]]-Table3[[#This Row],[HomeForecast]])^2</f>
        <v>17.543192431098053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-1.013667044776646</v>
      </c>
      <c r="J138">
        <f>(Table3[[#This Row],[HomeMargin]]-Table3[[#This Row],[HomeForecast]])^2</f>
        <v>4.0548549672195122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-0.20105870307540125</v>
      </c>
      <c r="J139">
        <f>(Table3[[#This Row],[HomeMargin]]-Table3[[#This Row],[HomeForecast]])^2</f>
        <v>1.4425420082331648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0.73975258358137175</v>
      </c>
      <c r="J140">
        <f>(Table3[[#This Row],[HomeMargin]]-Table3[[#This Row],[HomeForecast]])^2</f>
        <v>3.0267390520780584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0.63089904591634782</v>
      </c>
      <c r="J141">
        <f>(Table3[[#This Row],[HomeMargin]]-Table3[[#This Row],[HomeForecast]])^2</f>
        <v>0.13623551430546232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0.18272235603391826</v>
      </c>
      <c r="J142">
        <f>(Table3[[#This Row],[HomeMargin]]-Table3[[#This Row],[HomeForecast]])^2</f>
        <v>0.66794274732674941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-0.21501399798075027</v>
      </c>
      <c r="J143">
        <f>(Table3[[#This Row],[HomeMargin]]-Table3[[#This Row],[HomeForecast]])^2</f>
        <v>1.4762590152891668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-0.23386460494134165</v>
      </c>
      <c r="J144">
        <f>(Table3[[#This Row],[HomeMargin]]-Table3[[#This Row],[HomeForecast]])^2</f>
        <v>0.5869634435616865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0.64246876648398554</v>
      </c>
      <c r="J145">
        <f>(Table3[[#This Row],[HomeMargin]]-Table3[[#This Row],[HomeForecast]])^2</f>
        <v>44.122391313715283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-0.6890082114328262</v>
      </c>
      <c r="J146">
        <f>(Table3[[#This Row],[HomeMargin]]-Table3[[#This Row],[HomeForecast]])^2</f>
        <v>21.98679800688447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0.23903558372023673</v>
      </c>
      <c r="J147">
        <f>(Table3[[#This Row],[HomeMargin]]-Table3[[#This Row],[HomeForecast]])^2</f>
        <v>5.0132803451654224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0.50091138712162131</v>
      </c>
      <c r="J148">
        <f>(Table3[[#This Row],[HomeMargin]]-Table3[[#This Row],[HomeForecast]])^2</f>
        <v>2.2527349919913493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-1.5328113099653924</v>
      </c>
      <c r="J149">
        <f>(Table3[[#This Row],[HomeMargin]]-Table3[[#This Row],[HomeForecast]])^2</f>
        <v>6.4151331318886085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-1.551352461978591</v>
      </c>
      <c r="J150">
        <f>(Table3[[#This Row],[HomeMargin]]-Table3[[#This Row],[HomeForecast]])^2</f>
        <v>0.30398953732985362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0.54387288804136169</v>
      </c>
      <c r="J151">
        <f>(Table3[[#This Row],[HomeMargin]]-Table3[[#This Row],[HomeForecast]])^2</f>
        <v>0.20805194226372817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0.12958123025876955</v>
      </c>
      <c r="J152">
        <f>(Table3[[#This Row],[HomeMargin]]-Table3[[#This Row],[HomeForecast]])^2</f>
        <v>0.75762883471783715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0.21721706590496806</v>
      </c>
      <c r="J153">
        <f>(Table3[[#This Row],[HomeMargin]]-Table3[[#This Row],[HomeForecast]])^2</f>
        <v>1.4816173855302996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-0.11243014600108009</v>
      </c>
      <c r="J154">
        <f>(Table3[[#This Row],[HomeMargin]]-Table3[[#This Row],[HomeForecast]])^2</f>
        <v>26.136941997740628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1.512591806967496</v>
      </c>
      <c r="J155">
        <f>(Table3[[#This Row],[HomeMargin]]-Table3[[#This Row],[HomeForecast]])^2</f>
        <v>2.2123831327002188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0.14150624384423963</v>
      </c>
      <c r="J156">
        <f>(Table3[[#This Row],[HomeMargin]]-Table3[[#This Row],[HomeForecast]])^2</f>
        <v>8.1709865539814679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0.3030999349402731</v>
      </c>
      <c r="J157">
        <f>(Table3[[#This Row],[HomeMargin]]-Table3[[#This Row],[HomeForecast]])^2</f>
        <v>1.6980694404413443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0.52650491448007042</v>
      </c>
      <c r="J158">
        <f>(Table3[[#This Row],[HomeMargin]]-Table3[[#This Row],[HomeForecast]])^2</f>
        <v>12.436236911852088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0.19368962768215467</v>
      </c>
      <c r="J159">
        <f>(Table3[[#This Row],[HomeMargin]]-Table3[[#This Row],[HomeForecast]])^2</f>
        <v>14.487998650414415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1.7455751755028786</v>
      </c>
      <c r="J160">
        <f>(Table3[[#This Row],[HomeMargin]]-Table3[[#This Row],[HomeForecast]])^2</f>
        <v>5.082431289308877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6.2634560217363439E-2</v>
      </c>
      <c r="J161">
        <f>(Table3[[#This Row],[HomeMargin]]-Table3[[#This Row],[HomeForecast]])^2</f>
        <v>0.87865396769889559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-0.70011877168937853</v>
      </c>
      <c r="J162">
        <f>(Table3[[#This Row],[HomeMargin]]-Table3[[#This Row],[HomeForecast]])^2</f>
        <v>13.690878924608114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-0.42717633737668859</v>
      </c>
      <c r="J163">
        <f>(Table3[[#This Row],[HomeMargin]]-Table3[[#This Row],[HomeForecast]])^2</f>
        <v>0.32812694846118529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7.7624300963387988E-2</v>
      </c>
      <c r="J164">
        <f>(Table3[[#This Row],[HomeMargin]]-Table3[[#This Row],[HomeForecast]])^2</f>
        <v>1.1612741340268304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-1.6412906577490372</v>
      </c>
      <c r="J165">
        <f>(Table3[[#This Row],[HomeMargin]]-Table3[[#This Row],[HomeForecast]])^2</f>
        <v>1.846091076720044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-0.1644272233162995</v>
      </c>
      <c r="J166">
        <f>(Table3[[#This Row],[HomeMargin]]-Table3[[#This Row],[HomeForecast]])^2</f>
        <v>1.3558907584001074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0.26745321071623662</v>
      </c>
      <c r="J167">
        <f>(Table3[[#This Row],[HomeMargin]]-Table3[[#This Row],[HomeForecast]])^2</f>
        <v>1.6064376413548969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-9.9859990874886229E-2</v>
      </c>
      <c r="J168">
        <f>(Table3[[#This Row],[HomeMargin]]-Table3[[#This Row],[HomeForecast]])^2</f>
        <v>0.81025203602775986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-0.57316332590704633</v>
      </c>
      <c r="J169">
        <f>(Table3[[#This Row],[HomeMargin]]-Table3[[#This Row],[HomeForecast]])^2</f>
        <v>5.8895362427225493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0.43012586684657406</v>
      </c>
      <c r="J170">
        <f>(Table3[[#This Row],[HomeMargin]]-Table3[[#This Row],[HomeForecast]])^2</f>
        <v>0.32475652763736862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-0.47670931952742657</v>
      </c>
      <c r="J171">
        <f>(Table3[[#This Row],[HomeMargin]]-Table3[[#This Row],[HomeForecast]])^2</f>
        <v>2.3204144972145957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0.23105986134670642</v>
      </c>
      <c r="J172">
        <f>(Table3[[#This Row],[HomeMargin]]-Table3[[#This Row],[HomeForecast]])^2</f>
        <v>7.6670294914453203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0.61479037224444</v>
      </c>
      <c r="J173">
        <f>(Table3[[#This Row],[HomeMargin]]-Table3[[#This Row],[HomeForecast]])^2</f>
        <v>0.14838645731557709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0.48760384844743415</v>
      </c>
      <c r="J174">
        <f>(Table3[[#This Row],[HomeMargin]]-Table3[[#This Row],[HomeForecast]])^2</f>
        <v>12.336926725441275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-0.49990861701745293</v>
      </c>
      <c r="J175">
        <f>(Table3[[#This Row],[HomeMargin]]-Table3[[#This Row],[HomeForecast]])^2</f>
        <v>0.25009139133339658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0.64064430431839958</v>
      </c>
      <c r="J176">
        <f>(Table3[[#This Row],[HomeMargin]]-Table3[[#This Row],[HomeForecast]])^2</f>
        <v>2.6917137332924055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0.10226721950468501</v>
      </c>
      <c r="J177">
        <f>(Table3[[#This Row],[HomeMargin]]-Table3[[#This Row],[HomeForecast]])^2</f>
        <v>9.6240619012133291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1.0411181583019411</v>
      </c>
      <c r="J178">
        <f>(Table3[[#This Row],[HomeMargin]]-Table3[[#This Row],[HomeForecast]])^2</f>
        <v>1.6907029421434877E-3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1.1480239982023968</v>
      </c>
      <c r="J179">
        <f>(Table3[[#This Row],[HomeMargin]]-Table3[[#This Row],[HomeForecast]])^2</f>
        <v>3.4298151112342361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-0.38990427441215392</v>
      </c>
      <c r="J180">
        <f>(Table3[[#This Row],[HomeMargin]]-Table3[[#This Row],[HomeForecast]])^2</f>
        <v>11.491450989677793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-0.43033431986698645</v>
      </c>
      <c r="J181">
        <f>(Table3[[#This Row],[HomeMargin]]-Table3[[#This Row],[HomeForecast]])^2</f>
        <v>0.32451898712140892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0.19632012853918934</v>
      </c>
      <c r="J182">
        <f>(Table3[[#This Row],[HomeMargin]]-Table3[[#This Row],[HomeForecast]])^2</f>
        <v>0.64590133579126519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0.19077344433185348</v>
      </c>
      <c r="J183">
        <f>(Table3[[#This Row],[HomeMargin]]-Table3[[#This Row],[HomeForecast]])^2</f>
        <v>7.8917538410711172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1.1919274940256155</v>
      </c>
      <c r="J184">
        <f>(Table3[[#This Row],[HomeMargin]]-Table3[[#This Row],[HomeForecast]])^2</f>
        <v>3.2691261868604906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-1.6327229358028876</v>
      </c>
      <c r="J185">
        <f>(Table3[[#This Row],[HomeMargin]]-Table3[[#This Row],[HomeForecast]])^2</f>
        <v>0.13489244188524979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0.45878099878965889</v>
      </c>
      <c r="J186">
        <f>(Table3[[#This Row],[HomeMargin]]-Table3[[#This Row],[HomeForecast]])^2</f>
        <v>6.0456040000090727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-0.23971567183445142</v>
      </c>
      <c r="J187">
        <f>(Table3[[#This Row],[HomeMargin]]-Table3[[#This Row],[HomeForecast]])^2</f>
        <v>1.5368949469919455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-0.71930126165237307</v>
      </c>
      <c r="J188">
        <f>(Table3[[#This Row],[HomeMargin]]-Table3[[#This Row],[HomeForecast]])^2</f>
        <v>2.9559968283194418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0.8792211561548674</v>
      </c>
      <c r="J189">
        <f>(Table3[[#This Row],[HomeMargin]]-Table3[[#This Row],[HomeForecast]])^2</f>
        <v>1.4587529120566925E-2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-0.72656239326249317</v>
      </c>
      <c r="J190">
        <f>(Table3[[#This Row],[HomeMargin]]-Table3[[#This Row],[HomeForecast]])^2</f>
        <v>2.9810176978283081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-0.41357856487141753</v>
      </c>
      <c r="J191">
        <f>(Table3[[#This Row],[HomeMargin]]-Table3[[#This Row],[HomeForecast]])^2</f>
        <v>1.998204359063936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-0.18366235076852455</v>
      </c>
      <c r="J192">
        <f>(Table3[[#This Row],[HomeMargin]]-Table3[[#This Row],[HomeForecast]])^2</f>
        <v>7.9317577544786735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0.97176084106770833</v>
      </c>
      <c r="J193">
        <f>(Table3[[#This Row],[HomeMargin]]-Table3[[#This Row],[HomeForecast]])^2</f>
        <v>4.1137540858263693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-0.27580886314897046</v>
      </c>
      <c r="J194">
        <f>(Table3[[#This Row],[HomeMargin]]-Table3[[#This Row],[HomeForecast]])^2</f>
        <v>1.6276882552894687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-0.12427677528153014</v>
      </c>
      <c r="J195">
        <f>(Table3[[#This Row],[HomeMargin]]-Table3[[#This Row],[HomeForecast]])^2</f>
        <v>4.5125518180004969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0.59362135607429245</v>
      </c>
      <c r="J196">
        <f>(Table3[[#This Row],[HomeMargin]]-Table3[[#This Row],[HomeForecast]])^2</f>
        <v>12.914114450833237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2.4608496130151702E-2</v>
      </c>
      <c r="J197">
        <f>(Table3[[#This Row],[HomeMargin]]-Table3[[#This Row],[HomeForecast]])^2</f>
        <v>1.0498225703420914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-2.0290975171462895</v>
      </c>
      <c r="J198">
        <f>(Table3[[#This Row],[HomeMargin]]-Table3[[#This Row],[HomeForecast]])^2</f>
        <v>9.1754317683818147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0.13102485131004013</v>
      </c>
      <c r="J199">
        <f>(Table3[[#This Row],[HomeMargin]]-Table3[[#This Row],[HomeForecast]])^2</f>
        <v>8.2310184038005758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0.3676208389386913</v>
      </c>
      <c r="J200">
        <f>(Table3[[#This Row],[HomeMargin]]-Table3[[#This Row],[HomeForecast]])^2</f>
        <v>6.9294200475898382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0.7763840633404735</v>
      </c>
      <c r="J201">
        <f>(Table3[[#This Row],[HomeMargin]]-Table3[[#This Row],[HomeForecast]])^2</f>
        <v>5.0004087128117367E-2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0.91736529015212342</v>
      </c>
      <c r="J202">
        <f>(Table3[[#This Row],[HomeMargin]]-Table3[[#This Row],[HomeForecast]])^2</f>
        <v>3.6762896558801366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0.43440238067477022</v>
      </c>
      <c r="J203">
        <f>(Table3[[#This Row],[HomeMargin]]-Table3[[#This Row],[HomeForecast]])^2</f>
        <v>2.0575101896854489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-0.41503165082526888</v>
      </c>
      <c r="J204">
        <f>(Table3[[#This Row],[HomeMargin]]-Table3[[#This Row],[HomeForecast]])^2</f>
        <v>2.5121246678856721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-0.33657566718692977</v>
      </c>
      <c r="J205">
        <f>(Table3[[#This Row],[HomeMargin]]-Table3[[#This Row],[HomeForecast]])^2</f>
        <v>0.44013184536846739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-0.20204528011488848</v>
      </c>
      <c r="J206">
        <f>(Table3[[#This Row],[HomeMargin]]-Table3[[#This Row],[HomeForecast]])^2</f>
        <v>4.8490034156762585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-0.40713502237696009</v>
      </c>
      <c r="J207">
        <f>(Table3[[#This Row],[HomeMargin]]-Table3[[#This Row],[HomeForecast]])^2</f>
        <v>1.980028971199808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-0.65166664662184881</v>
      </c>
      <c r="J208">
        <f>(Table3[[#This Row],[HomeMargin]]-Table3[[#This Row],[HomeForecast]])^2</f>
        <v>2.7280027115630632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0.63994020291417475</v>
      </c>
      <c r="J209">
        <f>(Table3[[#This Row],[HomeMargin]]-Table3[[#This Row],[HomeForecast]])^2</f>
        <v>11.290001839992438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-0.24407850127742758</v>
      </c>
      <c r="J210">
        <f>(Table3[[#This Row],[HomeMargin]]-Table3[[#This Row],[HomeForecast]])^2</f>
        <v>0.57141731223098002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1.4079958460677553</v>
      </c>
      <c r="J211">
        <f>(Table3[[#This Row],[HomeMargin]]-Table3[[#This Row],[HomeForecast]])^2</f>
        <v>0.16646061040854349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1.3443580250504306</v>
      </c>
      <c r="J212">
        <f>(Table3[[#This Row],[HomeMargin]]-Table3[[#This Row],[HomeForecast]])^2</f>
        <v>0.11858244941663296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-0.11066322974586085</v>
      </c>
      <c r="J213">
        <f>(Table3[[#This Row],[HomeMargin]]-Table3[[#This Row],[HomeForecast]])^2</f>
        <v>9.6762257288929501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1.4147184410233813</v>
      </c>
      <c r="J214">
        <f>(Table3[[#This Row],[HomeMargin]]-Table3[[#This Row],[HomeForecast]])^2</f>
        <v>0.1719913853248638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-0.15205599499915279</v>
      </c>
      <c r="J215">
        <f>(Table3[[#This Row],[HomeMargin]]-Table3[[#This Row],[HomeForecast]])^2</f>
        <v>0.71900903561687679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7.1257621693246592E-2</v>
      </c>
      <c r="J216">
        <f>(Table3[[#This Row],[HomeMargin]]-Table3[[#This Row],[HomeForecast]])^2</f>
        <v>1.1475928920358709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-0.59787383193590327</v>
      </c>
      <c r="J217">
        <f>(Table3[[#This Row],[HomeMargin]]-Table3[[#This Row],[HomeForecast]])^2</f>
        <v>5.7702101272983013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0.83077696201817197</v>
      </c>
      <c r="J218">
        <f>(Table3[[#This Row],[HomeMargin]]-Table3[[#This Row],[HomeForecast]])^2</f>
        <v>2.8636436583799212E-2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-0.34203992988705112</v>
      </c>
      <c r="J219">
        <f>(Table3[[#This Row],[HomeMargin]]-Table3[[#This Row],[HomeForecast]])^2</f>
        <v>18.853310752733545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0.13685029448023445</v>
      </c>
      <c r="J220">
        <f>(Table3[[#This Row],[HomeMargin]]-Table3[[#This Row],[HomeForecast]])^2</f>
        <v>26.387230947901674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-0.56547443202692094</v>
      </c>
      <c r="J221">
        <f>(Table3[[#This Row],[HomeMargin]]-Table3[[#This Row],[HomeForecast]])^2</f>
        <v>6.5816590613838528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-0.70336309577246681</v>
      </c>
      <c r="J222">
        <f>(Table3[[#This Row],[HomeMargin]]-Table3[[#This Row],[HomeForecast]])^2</f>
        <v>5.2745410698598274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1.9016223527475136</v>
      </c>
      <c r="J223">
        <f>(Table3[[#This Row],[HomeMargin]]-Table3[[#This Row],[HomeForecast]])^2</f>
        <v>9.5999440449938529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0.32519401153856631</v>
      </c>
      <c r="J224">
        <f>(Table3[[#This Row],[HomeMargin]]-Table3[[#This Row],[HomeForecast]])^2</f>
        <v>0.45536312206341256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1.0759391583263973</v>
      </c>
      <c r="J225">
        <f>(Table3[[#This Row],[HomeMargin]]-Table3[[#This Row],[HomeForecast]])^2</f>
        <v>16.6132800223785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0.52835004147059395</v>
      </c>
      <c r="J226">
        <f>(Table3[[#This Row],[HomeMargin]]-Table3[[#This Row],[HomeForecast]])^2</f>
        <v>0.22245368338079044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9.2784160263472054E-2</v>
      </c>
      <c r="J227">
        <f>(Table3[[#This Row],[HomeMargin]]-Table3[[#This Row],[HomeForecast]])^2</f>
        <v>4.3797455414496866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8.8657013206958957E-2</v>
      </c>
      <c r="J228">
        <f>(Table3[[#This Row],[HomeMargin]]-Table3[[#This Row],[HomeForecast]])^2</f>
        <v>9.5398021452325334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0.73327105618564226</v>
      </c>
      <c r="J229">
        <f>(Table3[[#This Row],[HomeMargin]]-Table3[[#This Row],[HomeForecast]])^2</f>
        <v>7.1144329468322803E-2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-0.93526013266491048</v>
      </c>
      <c r="J230">
        <f>(Table3[[#This Row],[HomeMargin]]-Table3[[#This Row],[HomeForecast]])^2</f>
        <v>1.1336709850927438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-0.28264861301127442</v>
      </c>
      <c r="J231">
        <f>(Table3[[#This Row],[HomeMargin]]-Table3[[#This Row],[HomeForecast]])^2</f>
        <v>5.2104846904822955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-0.33110902250387547</v>
      </c>
      <c r="J232">
        <f>(Table3[[#This Row],[HomeMargin]]-Table3[[#This Row],[HomeForecast]])^2</f>
        <v>7.1229790497602199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-0.91566198767786644</v>
      </c>
      <c r="J233">
        <f>(Table3[[#This Row],[HomeMargin]]-Table3[[#This Row],[HomeForecast]])^2</f>
        <v>9.5131409742552488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-0.3338803134873668</v>
      </c>
      <c r="J234">
        <f>(Table3[[#This Row],[HomeMargin]]-Table3[[#This Row],[HomeForecast]])^2</f>
        <v>7.1081941828102213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0.14712812579190296</v>
      </c>
      <c r="J235">
        <f>(Table3[[#This Row],[HomeMargin]]-Table3[[#This Row],[HomeForecast]])^2</f>
        <v>9.9044154401504567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-0.31690515338949021</v>
      </c>
      <c r="J236">
        <f>(Table3[[#This Row],[HomeMargin]]-Table3[[#This Row],[HomeForecast]])^2</f>
        <v>1.7342391830237966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0.9608879768476345</v>
      </c>
      <c r="J237">
        <f>(Table3[[#This Row],[HomeMargin]]-Table3[[#This Row],[HomeForecast]])^2</f>
        <v>4.1579778429645335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-2.5231462685824027</v>
      </c>
      <c r="J238">
        <f>(Table3[[#This Row],[HomeMargin]]-Table3[[#This Row],[HomeForecast]])^2</f>
        <v>29.995926795342854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-0.33667293648926744</v>
      </c>
      <c r="J239">
        <f>(Table3[[#This Row],[HomeMargin]]-Table3[[#This Row],[HomeForecast]])^2</f>
        <v>18.806732158078447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0.20402397233270383</v>
      </c>
      <c r="J240">
        <f>(Table3[[#This Row],[HomeMargin]]-Table3[[#This Row],[HomeForecast]])^2</f>
        <v>0.63357783662100819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-1.551352461978591</v>
      </c>
      <c r="J241">
        <f>(Table3[[#This Row],[HomeMargin]]-Table3[[#This Row],[HomeForecast]])^2</f>
        <v>0.30398953732985362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-0.2166519162572122</v>
      </c>
      <c r="J242">
        <f>(Table3[[#This Row],[HomeMargin]]-Table3[[#This Row],[HomeForecast]])^2</f>
        <v>22.880418890245803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-1.7370935381074593E-2</v>
      </c>
      <c r="J243">
        <f>(Table3[[#This Row],[HomeMargin]]-Table3[[#This Row],[HomeForecast]])^2</f>
        <v>0.96555987863386428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-0.11758491043667041</v>
      </c>
      <c r="J244">
        <f>(Table3[[#This Row],[HomeMargin]]-Table3[[#This Row],[HomeForecast]])^2</f>
        <v>4.4841658529090811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-0.93165213552456483</v>
      </c>
      <c r="J245">
        <f>(Table3[[#This Row],[HomeMargin]]-Table3[[#This Row],[HomeForecast]])^2</f>
        <v>4.6714305783524535E-3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0.15257275598780964</v>
      </c>
      <c r="J246">
        <f>(Table3[[#This Row],[HomeMargin]]-Table3[[#This Row],[HomeForecast]])^2</f>
        <v>0.71813293389409649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-0.72342243745644708</v>
      </c>
      <c r="J247">
        <f>(Table3[[#This Row],[HomeMargin]]-Table3[[#This Row],[HomeForecast]])^2</f>
        <v>1.6296502731896387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-0.12974103798165149</v>
      </c>
      <c r="J248">
        <f>(Table3[[#This Row],[HomeMargin]]-Table3[[#This Row],[HomeForecast]])^2</f>
        <v>1.2763148128998594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-0.25476859923870032</v>
      </c>
      <c r="J249">
        <f>(Table3[[#This Row],[HomeMargin]]-Table3[[#This Row],[HomeForecast]])^2</f>
        <v>0.55536984068064887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0.440619959961355</v>
      </c>
      <c r="J250">
        <f>(Table3[[#This Row],[HomeMargin]]-Table3[[#This Row],[HomeForecast]])^2</f>
        <v>6.5504261893482152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0.81984091190282582</v>
      </c>
      <c r="J251">
        <f>(Table3[[#This Row],[HomeMargin]]-Table3[[#This Row],[HomeForecast]])^2</f>
        <v>3.245729702400537E-2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-0.56053408973240693</v>
      </c>
      <c r="J252">
        <f>(Table3[[#This Row],[HomeMargin]]-Table3[[#This Row],[HomeForecast]])^2</f>
        <v>11.829925747892883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1.184059732973108</v>
      </c>
      <c r="J253">
        <f>(Table3[[#This Row],[HomeMargin]]-Table3[[#This Row],[HomeForecast]])^2</f>
        <v>0.6657585193559159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4.5517859428446106E-2</v>
      </c>
      <c r="J254">
        <f>(Table3[[#This Row],[HomeMargin]]-Table3[[#This Row],[HomeForecast]])^2</f>
        <v>3.8200004378131638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0.29878417674205004</v>
      </c>
      <c r="J255">
        <f>(Table3[[#This Row],[HomeMargin]]-Table3[[#This Row],[HomeForecast]])^2</f>
        <v>1.6868403377555248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-1.0695200420596416</v>
      </c>
      <c r="J256">
        <f>(Table3[[#This Row],[HomeMargin]]-Table3[[#This Row],[HomeForecast]])^2</f>
        <v>4.8330362479743335E-3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-2.4999469710923763</v>
      </c>
      <c r="J257">
        <f>(Table3[[#This Row],[HomeMargin]]-Table3[[#This Row],[HomeForecast]])^2</f>
        <v>2.2498409160891941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-0.15294033547167785</v>
      </c>
      <c r="J258">
        <f>(Table3[[#This Row],[HomeMargin]]-Table3[[#This Row],[HomeForecast]])^2</f>
        <v>1.329271417157545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0.16739249257360209</v>
      </c>
      <c r="J259">
        <f>(Table3[[#This Row],[HomeMargin]]-Table3[[#This Row],[HomeForecast]])^2</f>
        <v>1.3628052317172077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1.1324307850205857</v>
      </c>
      <c r="J260">
        <f>(Table3[[#This Row],[HomeMargin]]-Table3[[#This Row],[HomeForecast]])^2</f>
        <v>3.487814772738826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0.27878967090673135</v>
      </c>
      <c r="J261">
        <f>(Table3[[#This Row],[HomeMargin]]-Table3[[#This Row],[HomeForecast]])^2</f>
        <v>1.6353030224177461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0.93618630299393335</v>
      </c>
      <c r="J262">
        <f>(Table3[[#This Row],[HomeMargin]]-Table3[[#This Row],[HomeForecast]])^2</f>
        <v>1.1316995819377156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0.13520478242651837</v>
      </c>
      <c r="J263">
        <f>(Table3[[#This Row],[HomeMargin]]-Table3[[#This Row],[HomeForecast]])^2</f>
        <v>9.8295090277501131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1.4843362693329305</v>
      </c>
      <c r="J264">
        <f>(Table3[[#This Row],[HomeMargin]]-Table3[[#This Row],[HomeForecast]])^2</f>
        <v>2.297236544459619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0.50091138712162131</v>
      </c>
      <c r="J265">
        <f>(Table3[[#This Row],[HomeMargin]]-Table3[[#This Row],[HomeForecast]])^2</f>
        <v>2.2527349919913493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-0.2304629071108884</v>
      </c>
      <c r="J266">
        <f>(Table3[[#This Row],[HomeMargin]]-Table3[[#This Row],[HomeForecast]])^2</f>
        <v>14.209409894666894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-0.38595752839511965</v>
      </c>
      <c r="J267">
        <f>(Table3[[#This Row],[HomeMargin]]-Table3[[#This Row],[HomeForecast]])^2</f>
        <v>0.37704815693463029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0.37157677767592678</v>
      </c>
      <c r="J268">
        <f>(Table3[[#This Row],[HomeMargin]]-Table3[[#This Row],[HomeForecast]])^2</f>
        <v>1.881222857059879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-0.21803542796158681</v>
      </c>
      <c r="J269">
        <f>(Table3[[#This Row],[HomeMargin]]-Table3[[#This Row],[HomeForecast]])^2</f>
        <v>1.483610303769566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-0.78775460733557712</v>
      </c>
      <c r="J270">
        <f>(Table3[[#This Row],[HomeMargin]]-Table3[[#This Row],[HomeForecast]])^2</f>
        <v>1.469538892036121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-5.1008699817030961E-2</v>
      </c>
      <c r="J271">
        <f>(Table3[[#This Row],[HomeMargin]]-Table3[[#This Row],[HomeForecast]])^2</f>
        <v>0.90058448782296208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0.72826569573675015</v>
      </c>
      <c r="J272">
        <f>(Table3[[#This Row],[HomeMargin]]-Table3[[#This Row],[HomeForecast]])^2</f>
        <v>2.986902315060433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0.8280056710346807</v>
      </c>
      <c r="J273">
        <f>(Table3[[#This Row],[HomeMargin]]-Table3[[#This Row],[HomeForecast]])^2</f>
        <v>23.309638759543034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0.45684236681491375</v>
      </c>
      <c r="J274">
        <f>(Table3[[#This Row],[HomeMargin]]-Table3[[#This Row],[HomeForecast]])^2</f>
        <v>6.4676507472275713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0.36570420100916412</v>
      </c>
      <c r="J275">
        <f>(Table3[[#This Row],[HomeMargin]]-Table3[[#This Row],[HomeForecast]])^2</f>
        <v>0.40233116061742286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-0.57676641308274346</v>
      </c>
      <c r="J276">
        <f>(Table3[[#This Row],[HomeMargin]]-Table3[[#This Row],[HomeForecast]])^2</f>
        <v>6.6397251475913066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2.2798698637079378</v>
      </c>
      <c r="J277">
        <f>(Table3[[#This Row],[HomeMargin]]-Table3[[#This Row],[HomeForecast]])^2</f>
        <v>0.51858741319602408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-0.97916362848812921</v>
      </c>
      <c r="J278">
        <f>(Table3[[#This Row],[HomeMargin]]-Table3[[#This Row],[HomeForecast]])^2</f>
        <v>15.833743182282815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-0.45732593742279726</v>
      </c>
      <c r="J279">
        <f>(Table3[[#This Row],[HomeMargin]]-Table3[[#This Row],[HomeForecast]])^2</f>
        <v>11.953102637576423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-0.7681483243128332</v>
      </c>
      <c r="J280">
        <f>(Table3[[#This Row],[HomeMargin]]-Table3[[#This Row],[HomeForecast]])^2</f>
        <v>38.835975307764947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-0.11243014600108009</v>
      </c>
      <c r="J281">
        <f>(Table3[[#This Row],[HomeMargin]]-Table3[[#This Row],[HomeForecast]])^2</f>
        <v>4.4623611217341441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-0.28643679167799885</v>
      </c>
      <c r="J282">
        <f>(Table3[[#This Row],[HomeMargin]]-Table3[[#This Row],[HomeForecast]])^2</f>
        <v>5.2277932023387805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-0.4592644026485419</v>
      </c>
      <c r="J283">
        <f>(Table3[[#This Row],[HomeMargin]]-Table3[[#This Row],[HomeForecast]])^2</f>
        <v>0.29239498624303817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6.7480866736106843E-2</v>
      </c>
      <c r="J284">
        <f>(Table3[[#This Row],[HomeMargin]]-Table3[[#This Row],[HomeForecast]])^2</f>
        <v>1.13951540084767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1.3937289497695593</v>
      </c>
      <c r="J285">
        <f>(Table3[[#This Row],[HomeMargin]]-Table3[[#This Row],[HomeForecast]])^2</f>
        <v>0.15502248588664014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-1.2060692887499531</v>
      </c>
      <c r="J286">
        <f>(Table3[[#This Row],[HomeMargin]]-Table3[[#This Row],[HomeForecast]])^2</f>
        <v>4.8667417067657244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-1.029018785344967</v>
      </c>
      <c r="J287">
        <f>(Table3[[#This Row],[HomeMargin]]-Table3[[#This Row],[HomeForecast]])^2</f>
        <v>8.4208990289727417E-4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-1.6441761585286568E-2</v>
      </c>
      <c r="J288">
        <f>(Table3[[#This Row],[HomeMargin]]-Table3[[#This Row],[HomeForecast]])^2</f>
        <v>0.96738680835345436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1.4169282472595857</v>
      </c>
      <c r="J289">
        <f>(Table3[[#This Row],[HomeMargin]]-Table3[[#This Row],[HomeForecast]])^2</f>
        <v>5.8415421524012929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-0.240586348777032</v>
      </c>
      <c r="J290">
        <f>(Table3[[#This Row],[HomeMargin]]-Table3[[#This Row],[HomeForecast]])^2</f>
        <v>0.57670909366379963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-1.0000534992409769</v>
      </c>
      <c r="J291">
        <f>(Table3[[#This Row],[HomeMargin]]-Table3[[#This Row],[HomeForecast]])^2</f>
        <v>2.8621687851003483E-9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0.80468191913752174</v>
      </c>
      <c r="J292">
        <f>(Table3[[#This Row],[HomeMargin]]-Table3[[#This Row],[HomeForecast]])^2</f>
        <v>3.8149152711801596E-2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0.7224742620824236</v>
      </c>
      <c r="J293">
        <f>(Table3[[#This Row],[HomeMargin]]-Table3[[#This Row],[HomeForecast]])^2</f>
        <v>10.742174962712156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-0.18363003411312173</v>
      </c>
      <c r="J294">
        <f>(Table3[[#This Row],[HomeMargin]]-Table3[[#This Row],[HomeForecast]])^2</f>
        <v>0.66645992120214281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-0.50351676064186379</v>
      </c>
      <c r="J295">
        <f>(Table3[[#This Row],[HomeMargin]]-Table3[[#This Row],[HomeForecast]])^2</f>
        <v>2.2394620856798206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-0.2566137262292239</v>
      </c>
      <c r="J296">
        <f>(Table3[[#This Row],[HomeMargin]]-Table3[[#This Row],[HomeForecast]])^2</f>
        <v>5.0923055094061436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-0.49462094191879363</v>
      </c>
      <c r="J297">
        <f>(Table3[[#This Row],[HomeMargin]]-Table3[[#This Row],[HomeForecast]])^2</f>
        <v>0.25540799234704731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0.15172788880682514</v>
      </c>
      <c r="J298">
        <f>(Table3[[#This Row],[HomeMargin]]-Table3[[#This Row],[HomeForecast]])^2</f>
        <v>1.3264771298554268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0.13685029448023445</v>
      </c>
      <c r="J299">
        <f>(Table3[[#This Row],[HomeMargin]]-Table3[[#This Row],[HomeForecast]])^2</f>
        <v>8.1976262362179213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-1.2975583551564753</v>
      </c>
      <c r="J300">
        <f>(Table3[[#This Row],[HomeMargin]]-Table3[[#This Row],[HomeForecast]])^2</f>
        <v>2.8983075540975256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0.39777043898479991</v>
      </c>
      <c r="J301">
        <f>(Table3[[#This Row],[HomeMargin]]-Table3[[#This Row],[HomeForecast]])^2</f>
        <v>1.9537622000997605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1.8065857353077377</v>
      </c>
      <c r="J302">
        <f>(Table3[[#This Row],[HomeMargin]]-Table3[[#This Row],[HomeForecast]])^2</f>
        <v>1.424237607170973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0.10453680577821953</v>
      </c>
      <c r="J303">
        <f>(Table3[[#This Row],[HomeMargin]]-Table3[[#This Row],[HomeForecast]])^2</f>
        <v>0.8018543322058741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0.54664417902485296</v>
      </c>
      <c r="J304">
        <f>(Table3[[#This Row],[HomeMargin]]-Table3[[#This Row],[HomeForecast]])^2</f>
        <v>2.3921082165114611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1.4188331542874393</v>
      </c>
      <c r="J305">
        <f>(Table3[[#This Row],[HomeMargin]]-Table3[[#This Row],[HomeForecast]])^2</f>
        <v>6.6624222854057313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1.4110969233308506</v>
      </c>
      <c r="J306">
        <f>(Table3[[#This Row],[HomeMargin]]-Table3[[#This Row],[HomeForecast]])^2</f>
        <v>29.279969913680596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0.5514550930975799</v>
      </c>
      <c r="J307">
        <f>(Table3[[#This Row],[HomeMargin]]-Table3[[#This Row],[HomeForecast]])^2</f>
        <v>0.20119253350810071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-0.23971567183445142</v>
      </c>
      <c r="J308">
        <f>(Table3[[#This Row],[HomeMargin]]-Table3[[#This Row],[HomeForecast]])^2</f>
        <v>3.0986009159852363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0.56242220318069414</v>
      </c>
      <c r="J309">
        <f>(Table3[[#This Row],[HomeMargin]]-Table3[[#This Row],[HomeForecast]])^2</f>
        <v>11.816941109185072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2.2583658090529202E-3</v>
      </c>
      <c r="J310">
        <f>(Table3[[#This Row],[HomeMargin]]-Table3[[#This Row],[HomeForecast]])^2</f>
        <v>0.9954883685980217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0.80119822992024359</v>
      </c>
      <c r="J311">
        <f>(Table3[[#This Row],[HomeMargin]]-Table3[[#This Row],[HomeForecast]])^2</f>
        <v>4.8347292241058701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0.68781472252206766</v>
      </c>
      <c r="J312">
        <f>(Table3[[#This Row],[HomeMargin]]-Table3[[#This Row],[HomeForecast]])^2</f>
        <v>9.7459647473973607E-2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1.1284258532153526</v>
      </c>
      <c r="J313">
        <f>(Table3[[#This Row],[HomeMargin]]-Table3[[#This Row],[HomeForecast]])^2</f>
        <v>3.5027897869126807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0.41503362623827922</v>
      </c>
      <c r="J314">
        <f>(Table3[[#This Row],[HomeMargin]]-Table3[[#This Row],[HomeForecast]])^2</f>
        <v>2.002320163385054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-0.25210687684877542</v>
      </c>
      <c r="J315">
        <f>(Table3[[#This Row],[HomeMargin]]-Table3[[#This Row],[HomeForecast]])^2</f>
        <v>5.0719853847495449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-0.20607002025326526</v>
      </c>
      <c r="J316">
        <f>(Table3[[#This Row],[HomeMargin]]-Table3[[#This Row],[HomeForecast]])^2</f>
        <v>1.4546048937537117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0.44396126220386645</v>
      </c>
      <c r="J317">
        <f>(Table3[[#This Row],[HomeMargin]]-Table3[[#This Row],[HomeForecast]])^2</f>
        <v>12.645411504706718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0.75454322757690406</v>
      </c>
      <c r="J318">
        <f>(Table3[[#This Row],[HomeMargin]]-Table3[[#This Row],[HomeForecast]])^2</f>
        <v>6.0249027128363511E-2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0.39051471576206209</v>
      </c>
      <c r="J319">
        <f>(Table3[[#This Row],[HomeMargin]]-Table3[[#This Row],[HomeForecast]])^2</f>
        <v>0.37147231170259998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0.76439550212266871</v>
      </c>
      <c r="J320">
        <f>(Table3[[#This Row],[HomeMargin]]-Table3[[#This Row],[HomeForecast]])^2</f>
        <v>4.9979274709293549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0.39350708766805376</v>
      </c>
      <c r="J321">
        <f>(Table3[[#This Row],[HomeMargin]]-Table3[[#This Row],[HomeForecast]])^2</f>
        <v>0.36783365270888585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0.75152179759606741</v>
      </c>
      <c r="J322">
        <f>(Table3[[#This Row],[HomeMargin]]-Table3[[#This Row],[HomeForecast]])^2</f>
        <v>22.576959393030567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-0.31558617593310778</v>
      </c>
      <c r="J323">
        <f>(Table3[[#This Row],[HomeMargin]]-Table3[[#This Row],[HomeForecast]])^2</f>
        <v>1.730766986306298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1.3881053976018103</v>
      </c>
      <c r="J324">
        <f>(Table3[[#This Row],[HomeMargin]]-Table3[[#This Row],[HomeForecast]])^2</f>
        <v>2.5982042092404183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0.61231916643787687</v>
      </c>
      <c r="J325">
        <f>(Table3[[#This Row],[HomeMargin]]-Table3[[#This Row],[HomeForecast]])^2</f>
        <v>2.5995730944629303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0.4148091456523747</v>
      </c>
      <c r="J326">
        <f>(Table3[[#This Row],[HomeMargin]]-Table3[[#This Row],[HomeForecast]])^2</f>
        <v>2.0016849186216019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2.1296195843336929</v>
      </c>
      <c r="J327">
        <f>(Table3[[#This Row],[HomeMargin]]-Table3[[#This Row],[HomeForecast]])^2</f>
        <v>0.75756206797545345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-0.65691416251332213</v>
      </c>
      <c r="J328">
        <f>(Table3[[#This Row],[HomeMargin]]-Table3[[#This Row],[HomeForecast]])^2</f>
        <v>18.862394591777356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-0.16593743120674043</v>
      </c>
      <c r="J329">
        <f>(Table3[[#This Row],[HomeMargin]]-Table3[[#This Row],[HomeForecast]])^2</f>
        <v>1.3594100934889728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-0.81189569686421292</v>
      </c>
      <c r="J330">
        <f>(Table3[[#This Row],[HomeMargin]]-Table3[[#This Row],[HomeForecast]])^2</f>
        <v>10.164009047672923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1.2417826508824534</v>
      </c>
      <c r="J331">
        <f>(Table3[[#This Row],[HomeMargin]]-Table3[[#This Row],[HomeForecast]])^2</f>
        <v>5.845885026774636E-2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-9.9859990874886229E-2</v>
      </c>
      <c r="J332">
        <f>(Table3[[#This Row],[HomeMargin]]-Table3[[#This Row],[HomeForecast]])^2</f>
        <v>1.209691999527305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1.4342962208208769</v>
      </c>
      <c r="J333">
        <f>(Table3[[#This Row],[HomeMargin]]-Table3[[#This Row],[HomeForecast]])^2</f>
        <v>0.18861320741929591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-1.8295995809220256E-2</v>
      </c>
      <c r="J334">
        <f>(Table3[[#This Row],[HomeMargin]]-Table3[[#This Row],[HomeForecast]])^2</f>
        <v>0.96374275184421054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2.2459304447349698E-2</v>
      </c>
      <c r="J335">
        <f>(Table3[[#This Row],[HomeMargin]]-Table3[[#This Row],[HomeForecast]])^2</f>
        <v>9.1352602470403568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-1.108394862022918</v>
      </c>
      <c r="J336">
        <f>(Table3[[#This Row],[HomeMargin]]-Table3[[#This Row],[HomeForecast]])^2</f>
        <v>0.79495972206713139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-0.27052212285054217</v>
      </c>
      <c r="J337">
        <f>(Table3[[#This Row],[HomeMargin]]-Table3[[#This Row],[HomeForecast]])^2</f>
        <v>39.319447693158068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-0.15777610203916209</v>
      </c>
      <c r="J338">
        <f>(Table3[[#This Row],[HomeMargin]]-Table3[[#This Row],[HomeForecast]])^2</f>
        <v>0.70934109429634784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0.11049664603280121</v>
      </c>
      <c r="J339">
        <f>(Table3[[#This Row],[HomeMargin]]-Table3[[#This Row],[HomeForecast]])^2</f>
        <v>26.117175969112509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-0.28682854412775266</v>
      </c>
      <c r="J340">
        <f>(Table3[[#This Row],[HomeMargin]]-Table3[[#This Row],[HomeForecast]])^2</f>
        <v>0.50861352547094074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0.46753246477618654</v>
      </c>
      <c r="J341">
        <f>(Table3[[#This Row],[HomeMargin]]-Table3[[#This Row],[HomeForecast]])^2</f>
        <v>0.28352167606732309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-1.3206937539283177</v>
      </c>
      <c r="J342">
        <f>(Table3[[#This Row],[HomeMargin]]-Table3[[#This Row],[HomeForecast]])^2</f>
        <v>5.3856194995219058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1.3087968058408284E-2</v>
      </c>
      <c r="J343">
        <f>(Table3[[#This Row],[HomeMargin]]-Table3[[#This Row],[HomeForecast]])^2</f>
        <v>0.97399535879108134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0.82439752741026995</v>
      </c>
      <c r="J344">
        <f>(Table3[[#This Row],[HomeMargin]]-Table3[[#This Row],[HomeForecast]])^2</f>
        <v>14.626016447661787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0.33518342830639658</v>
      </c>
      <c r="J345">
        <f>(Table3[[#This Row],[HomeMargin]]-Table3[[#This Row],[HomeForecast]])^2</f>
        <v>7.1012473607728506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-2.9429045710480493</v>
      </c>
      <c r="J346">
        <f>(Table3[[#This Row],[HomeMargin]]-Table3[[#This Row],[HomeForecast]])^2</f>
        <v>3.259888007207255E-3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1.5492232867265978</v>
      </c>
      <c r="J347">
        <f>(Table3[[#This Row],[HomeMargin]]-Table3[[#This Row],[HomeForecast]])^2</f>
        <v>6.4985393655891572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-0.26206926288026022</v>
      </c>
      <c r="J348">
        <f>(Table3[[#This Row],[HomeMargin]]-Table3[[#This Row],[HomeForecast]])^2</f>
        <v>10.641095875828164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0.47455773867418805</v>
      </c>
      <c r="J349">
        <f>(Table3[[#This Row],[HomeMargin]]-Table3[[#This Row],[HomeForecast]])^2</f>
        <v>2.1743205246839348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-0.14520594691296829</v>
      </c>
      <c r="J350">
        <f>(Table3[[#This Row],[HomeMargin]]-Table3[[#This Row],[HomeForecast]])^2</f>
        <v>0.73067287319295515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0.30659208744066868</v>
      </c>
      <c r="J351">
        <f>(Table3[[#This Row],[HomeMargin]]-Table3[[#This Row],[HomeForecast]])^2</f>
        <v>0.48081453319988926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6.0191109549676575E-2</v>
      </c>
      <c r="J352">
        <f>(Table3[[#This Row],[HomeMargin]]-Table3[[#This Row],[HomeForecast]])^2</f>
        <v>4.244387407867527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-0.74812411131014833</v>
      </c>
      <c r="J353">
        <f>(Table3[[#This Row],[HomeMargin]]-Table3[[#This Row],[HomeForecast]])^2</f>
        <v>14.04843435378449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-1.6902019425511665</v>
      </c>
      <c r="J354">
        <f>(Table3[[#This Row],[HomeMargin]]-Table3[[#This Row],[HomeForecast]])^2</f>
        <v>0.47637872150140376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0.51118921843328979</v>
      </c>
      <c r="J355">
        <f>(Table3[[#This Row],[HomeMargin]]-Table3[[#This Row],[HomeForecast]])^2</f>
        <v>0.23893598017585807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-0.36401802568279146</v>
      </c>
      <c r="J356">
        <f>(Table3[[#This Row],[HomeMargin]]-Table3[[#This Row],[HomeForecast]])^2</f>
        <v>5.5885812257531642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0.31868082467414283</v>
      </c>
      <c r="J357">
        <f>(Table3[[#This Row],[HomeMargin]]-Table3[[#This Row],[HomeForecast]])^2</f>
        <v>11.013642416059849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0.13513956457409823</v>
      </c>
      <c r="J358">
        <f>(Table3[[#This Row],[HomeMargin]]-Table3[[#This Row],[HomeForecast]])^2</f>
        <v>9.8291000893578673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6.1035976730661079E-2</v>
      </c>
      <c r="J359">
        <f>(Table3[[#This Row],[HomeMargin]]-Table3[[#This Row],[HomeForecast]])^2</f>
        <v>0.88165343699414367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0.93068858785566722</v>
      </c>
      <c r="J360">
        <f>(Table3[[#This Row],[HomeMargin]]-Table3[[#This Row],[HomeForecast]])^2</f>
        <v>4.8040718534415622E-3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-1.0313919643384302</v>
      </c>
      <c r="J361">
        <f>(Table3[[#This Row],[HomeMargin]]-Table3[[#This Row],[HomeForecast]])^2</f>
        <v>15.749849740717584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1.2261894377006426</v>
      </c>
      <c r="J362">
        <f>(Table3[[#This Row],[HomeMargin]]-Table3[[#This Row],[HomeForecast]])^2</f>
        <v>5.1161661727332879E-2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0.81241245785286975</v>
      </c>
      <c r="J363">
        <f>(Table3[[#This Row],[HomeMargin]]-Table3[[#This Row],[HomeForecast]])^2</f>
        <v>4.7855392545573237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2.2459304447349698E-2</v>
      </c>
      <c r="J364">
        <f>(Table3[[#This Row],[HomeMargin]]-Table3[[#This Row],[HomeForecast]])^2</f>
        <v>15.820829984777463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1.1287831293613892</v>
      </c>
      <c r="J365">
        <f>(Table3[[#This Row],[HomeMargin]]-Table3[[#This Row],[HomeForecast]])^2</f>
        <v>8.2438863182397757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-1.1315941595129444</v>
      </c>
      <c r="J366">
        <f>(Table3[[#This Row],[HomeMargin]]-Table3[[#This Row],[HomeForecast]])^2</f>
        <v>14.964563746714363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1.3347565000656754</v>
      </c>
      <c r="J367">
        <f>(Table3[[#This Row],[HomeMargin]]-Table3[[#This Row],[HomeForecast]])^2</f>
        <v>5.4510879145989231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0.81063769747338943</v>
      </c>
      <c r="J368">
        <f>(Table3[[#This Row],[HomeMargin]]-Table3[[#This Row],[HomeForecast]])^2</f>
        <v>7.8996842664585172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0.23105986134670642</v>
      </c>
      <c r="J369">
        <f>(Table3[[#This Row],[HomeMargin]]-Table3[[#This Row],[HomeForecast]])^2</f>
        <v>1.5155083822189723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5.0748053010987865E-2</v>
      </c>
      <c r="J370">
        <f>(Table3[[#This Row],[HomeMargin]]-Table3[[#This Row],[HomeForecast]])^2</f>
        <v>1.1040714709063817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2.2418613826837754</v>
      </c>
      <c r="J371">
        <f>(Table3[[#This Row],[HomeMargin]]-Table3[[#This Row],[HomeForecast]])^2</f>
        <v>14.123605866963505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0.69216853876447593</v>
      </c>
      <c r="J372">
        <f>(Table3[[#This Row],[HomeMargin]]-Table3[[#This Row],[HomeForecast]])^2</f>
        <v>13.632108518642205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0.20251376444226288</v>
      </c>
      <c r="J373">
        <f>(Table3[[#This Row],[HomeMargin]]-Table3[[#This Row],[HomeForecast]])^2</f>
        <v>4.8510668825576282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1.6102338465314567</v>
      </c>
      <c r="J374">
        <f>(Table3[[#This Row],[HomeMargin]]-Table3[[#This Row],[HomeForecast]])^2</f>
        <v>0.37238534745257751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7.1257621693246592E-2</v>
      </c>
      <c r="J375">
        <f>(Table3[[#This Row],[HomeMargin]]-Table3[[#This Row],[HomeForecast]])^2</f>
        <v>4.2901081354223649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0.54303458140984173</v>
      </c>
      <c r="J376">
        <f>(Table3[[#This Row],[HomeMargin]]-Table3[[#This Row],[HomeForecast]])^2</f>
        <v>2.1227482309675954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-0.60707704636533966</v>
      </c>
      <c r="J377">
        <f>(Table3[[#This Row],[HomeMargin]]-Table3[[#This Row],[HomeForecast]])^2</f>
        <v>0.15438844749298544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1.62339581523625</v>
      </c>
      <c r="J378">
        <f>(Table3[[#This Row],[HomeMargin]]-Table3[[#This Row],[HomeForecast]])^2</f>
        <v>5.6482474510365686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0.5494368020267536</v>
      </c>
      <c r="J379">
        <f>(Table3[[#This Row],[HomeMargin]]-Table3[[#This Row],[HomeForecast]])^2</f>
        <v>2.4007544034748931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0.25116863443043347</v>
      </c>
      <c r="J380">
        <f>(Table3[[#This Row],[HomeMargin]]-Table3[[#This Row],[HomeForecast]])^2</f>
        <v>1.5654229517825153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0.47076956000746362</v>
      </c>
      <c r="J381">
        <f>(Table3[[#This Row],[HomeMargin]]-Table3[[#This Row],[HomeForecast]])^2</f>
        <v>0.28008485861469368</v>
      </c>
    </row>
    <row r="382" spans="4:10" x14ac:dyDescent="0.2">
      <c r="D382" t="s">
        <v>13</v>
      </c>
      <c r="F382" t="s">
        <v>31</v>
      </c>
    </row>
    <row r="383" spans="4:10" x14ac:dyDescent="0.2">
      <c r="D383" t="s">
        <v>15</v>
      </c>
      <c r="F383" t="s">
        <v>21</v>
      </c>
    </row>
    <row r="384" spans="4:10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F1" zoomScale="85" zoomScaleNormal="70" workbookViewId="0">
      <pane ySplit="1" topLeftCell="A363" activePane="bottomLeft" state="frozen"/>
      <selection activeCell="I1" sqref="I1"/>
      <selection pane="bottomLeft" activeCell="R385" sqref="R385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0.10638193276874311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-0.4374979224090173</v>
      </c>
      <c r="H2" t="s">
        <v>10</v>
      </c>
      <c r="I2">
        <f>VLOOKUP(Table4[[#This Row],[Visitor]],'NHL Model'!$A$6:$B$38,2,FALSE)</f>
        <v>-0.32256919101930787</v>
      </c>
      <c r="J2">
        <f>($B$1+Table4[[#This Row],[Home Differential]])-Table4[[#This Row],[Away Differential]]</f>
        <v>-8.546798620966356E-3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0.42883388671377859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0.1838985023940459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-0.45522284197080148</v>
      </c>
      <c r="H3" t="s">
        <v>12</v>
      </c>
      <c r="I3">
        <f>VLOOKUP(Table4[[#This Row],[Visitor]],'NHL Model'!$A$6:$B$38,2,FALSE)</f>
        <v>1.4740146843006017</v>
      </c>
      <c r="J3">
        <f>($B$1+Table4[[#This Row],[Home Differential]])-Table4[[#This Row],[Away Differential]]</f>
        <v>-1.82285559350266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0.78281775208206872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4.7168128810685765E-2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222</v>
      </c>
      <c r="V3">
        <f>COUNTIF(Table4[Locked Correct],"YES")</f>
        <v>227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-0.54922296726434805</v>
      </c>
      <c r="H4" t="s">
        <v>14</v>
      </c>
      <c r="I4">
        <f>VLOOKUP(Table4[[#This Row],[Visitor]],'NHL Model'!$A$6:$B$38,2,FALSE)</f>
        <v>-0.26282059799749452</v>
      </c>
      <c r="J4">
        <f>($B$1+Table4[[#This Row],[Home Differential]])-Table4[[#This Row],[Away Differential]]</f>
        <v>-0.18002043649811045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0.48274694105281274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0.26755072699022242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153</v>
      </c>
      <c r="V4">
        <f>COUNTIF(Table4[Locked Correct],"NO")</f>
        <v>148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-1.1555135170505442</v>
      </c>
      <c r="H5" t="s">
        <v>16</v>
      </c>
      <c r="I5">
        <f>VLOOKUP(Table4[[#This Row],[Visitor]],'NHL Model'!$A$6:$B$38,2,FALSE)</f>
        <v>-1.3446131114659174</v>
      </c>
      <c r="J5">
        <f>($B$1+Table4[[#This Row],[Home Differential]])-Table4[[#This Row],[Away Differential]]</f>
        <v>0.29548152718411647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0.58438227328989978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0.34150264133547109</v>
      </c>
      <c r="O5">
        <v>-4.1674767740132361E-3</v>
      </c>
      <c r="P5" s="11"/>
      <c r="Q5" t="s">
        <v>16</v>
      </c>
      <c r="R5" t="s">
        <v>248</v>
      </c>
      <c r="T5">
        <f>SUM(T3:T4)</f>
        <v>375</v>
      </c>
      <c r="V5">
        <f>SUM(V3:V4)</f>
        <v>375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-1.0208691773880865</v>
      </c>
      <c r="H6" t="s">
        <v>18</v>
      </c>
      <c r="I6">
        <f>VLOOKUP(Table4[[#This Row],[Visitor]],'NHL Model'!$A$6:$B$38,2,FALSE)</f>
        <v>-0.79206768185043297</v>
      </c>
      <c r="J6">
        <f>($B$1+Table4[[#This Row],[Home Differential]])-Table4[[#This Row],[Away Differential]]</f>
        <v>-0.12241956276891042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0.54178442532517401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0.29353036352492906</v>
      </c>
      <c r="O6">
        <v>-4.4363714293103977E-3</v>
      </c>
      <c r="P6" s="11"/>
      <c r="Q6" t="s">
        <v>18</v>
      </c>
      <c r="R6" t="s">
        <v>249</v>
      </c>
      <c r="T6" s="13">
        <f>T3/T5</f>
        <v>0.59199999999999997</v>
      </c>
      <c r="V6" s="13">
        <f>V3/V5</f>
        <v>0.60533333333333328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-0.26509018427102904</v>
      </c>
      <c r="H7" t="s">
        <v>13</v>
      </c>
      <c r="I7">
        <f>VLOOKUP(Table4[[#This Row],[Visitor]],'NHL Model'!$A$6:$B$38,2,FALSE)</f>
        <v>-0.45522284197080148</v>
      </c>
      <c r="J7">
        <f>($B$1+Table4[[#This Row],[Home Differential]])-Table4[[#This Row],[Away Differential]]</f>
        <v>0.29651459046851558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0.49398859590453792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0.24402473288373686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0.12620994778252301</v>
      </c>
      <c r="H8" t="s">
        <v>21</v>
      </c>
      <c r="I8">
        <f>VLOOKUP(Table4[[#This Row],[Visitor]],'NHL Model'!$A$6:$B$38,2,FALSE)</f>
        <v>-0.19106480716289626</v>
      </c>
      <c r="J8">
        <f>($B$1+Table4[[#This Row],[Home Differential]])-Table4[[#This Row],[Away Differential]]</f>
        <v>0.42365668771416237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0.60672370986692847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0.36811366011468882</v>
      </c>
      <c r="O8">
        <v>-4.9858230986448791E-3</v>
      </c>
      <c r="P8" s="11"/>
      <c r="Q8" t="s">
        <v>21</v>
      </c>
      <c r="R8" t="s">
        <v>248</v>
      </c>
      <c r="T8">
        <f>SUM(Table4[Error])</f>
        <v>84.824563081420948</v>
      </c>
      <c r="V8">
        <f>COUNTIF(Table4[Locked Correct],"")</f>
        <v>937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-0.19106480716289626</v>
      </c>
      <c r="H9" t="s">
        <v>10</v>
      </c>
      <c r="I9">
        <f>VLOOKUP(Table4[[#This Row],[Visitor]],'NHL Model'!$A$6:$B$38,2,FALSE)</f>
        <v>-0.32256919101930787</v>
      </c>
      <c r="J9">
        <f>($B$1+Table4[[#This Row],[Home Differential]])-Table4[[#This Row],[Away Differential]]</f>
        <v>0.23788631662515472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0.62177470814429003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0.14305437139933699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-0.69947324663859312</v>
      </c>
      <c r="H10" t="s">
        <v>15</v>
      </c>
      <c r="I10">
        <f>VLOOKUP(Table4[[#This Row],[Visitor]],'NHL Model'!$A$6:$B$38,2,FALSE)</f>
        <v>-0.54922296726434805</v>
      </c>
      <c r="J10">
        <f>($B$1+Table4[[#This Row],[Home Differential]])-Table4[[#This Row],[Away Differential]]</f>
        <v>-4.3868346605501984E-2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0.54400463519950348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0.20793177271953789</v>
      </c>
      <c r="O10">
        <v>2.893763878885032E-2</v>
      </c>
      <c r="P10" s="11"/>
      <c r="Q10" t="s">
        <v>23</v>
      </c>
      <c r="R10" t="s">
        <v>249</v>
      </c>
      <c r="T10">
        <v>0.12635754859449799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0.15503279744029827</v>
      </c>
      <c r="H11" t="s">
        <v>24</v>
      </c>
      <c r="I11">
        <f>VLOOKUP(Table4[[#This Row],[Visitor]],'NHL Model'!$A$6:$B$38,2,FALSE)</f>
        <v>-0.1651785584335338</v>
      </c>
      <c r="J11">
        <f>($B$1+Table4[[#This Row],[Home Differential]])-Table4[[#This Row],[Away Differential]]</f>
        <v>0.42659328864257517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0.61912067350408873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0.14506906135197897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1.4740146843006017</v>
      </c>
      <c r="H12" t="s">
        <v>55</v>
      </c>
      <c r="I12">
        <f>VLOOKUP(Table4[[#This Row],[Visitor]],'NHL Model'!$A$6:$B$38,2,FALSE)</f>
        <v>-0.34901281259242245</v>
      </c>
      <c r="J12">
        <f>($B$1+Table4[[#This Row],[Home Differential]])-Table4[[#This Row],[Away Differential]]</f>
        <v>1.9294094296617672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0.88390924377570423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1.3477063680728867E-2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-0.98948521352045793</v>
      </c>
      <c r="H13" t="s">
        <v>18</v>
      </c>
      <c r="I13">
        <f>VLOOKUP(Table4[[#This Row],[Visitor]],'NHL Model'!$A$6:$B$38,2,FALSE)</f>
        <v>-0.79206768185043297</v>
      </c>
      <c r="J13">
        <f>($B$1+Table4[[#This Row],[Home Differential]])-Table4[[#This Row],[Away Differential]]</f>
        <v>-9.1035598901281878E-2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0.52369815706321743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0.22686344558497548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-0.4374979224090173</v>
      </c>
      <c r="H14" t="s">
        <v>27</v>
      </c>
      <c r="I14">
        <f>VLOOKUP(Table4[[#This Row],[Visitor]],'NHL Model'!$A$6:$B$38,2,FALSE)</f>
        <v>-0.5336297540825371</v>
      </c>
      <c r="J14">
        <f>($B$1+Table4[[#This Row],[Home Differential]])-Table4[[#This Row],[Away Differential]]</f>
        <v>0.20251376444226288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0.59783520863986561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0.16173651940974043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-1.5752718195161908</v>
      </c>
      <c r="H15" t="s">
        <v>28</v>
      </c>
      <c r="I15">
        <f>VLOOKUP(Table4[[#This Row],[Visitor]],'NHL Model'!$A$6:$B$38,2,FALSE)</f>
        <v>-0.89619124881012313</v>
      </c>
      <c r="J15">
        <f>($B$1+Table4[[#This Row],[Home Differential]])-Table4[[#This Row],[Away Differential]]</f>
        <v>-0.57269863793732445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0.53236479597316833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0.28341227599155316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-0.26282059799749452</v>
      </c>
      <c r="H16" t="s">
        <v>30</v>
      </c>
      <c r="I16">
        <f>VLOOKUP(Table4[[#This Row],[Visitor]],'NHL Model'!$A$6:$B$38,2,FALSE)</f>
        <v>-0.22618911823839277</v>
      </c>
      <c r="J16">
        <f>($B$1+Table4[[#This Row],[Home Differential]])-Table4[[#This Row],[Away Differential]]</f>
        <v>6.9750453009641361E-2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0.47869301432794314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0.27176097331048615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-0.63099640390293943</v>
      </c>
      <c r="H17" t="s">
        <v>31</v>
      </c>
      <c r="I17">
        <f>VLOOKUP(Table4[[#This Row],[Visitor]],'NHL Model'!$A$6:$B$38,2,FALSE)</f>
        <v>9.6060347736414392E-2</v>
      </c>
      <c r="J17">
        <f>($B$1+Table4[[#This Row],[Home Differential]])-Table4[[#This Row],[Away Differential]]</f>
        <v>-0.62067481887061071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0.55668781815204182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0.30990132687888078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-0.66146476561443079</v>
      </c>
      <c r="H18" t="s">
        <v>20</v>
      </c>
      <c r="I18">
        <f>VLOOKUP(Table4[[#This Row],[Visitor]],'NHL Model'!$A$6:$B$38,2,FALSE)</f>
        <v>-0.26509018427102904</v>
      </c>
      <c r="J18">
        <f>($B$1+Table4[[#This Row],[Home Differential]])-Table4[[#This Row],[Away Differential]]</f>
        <v>-0.28999264857465867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0.49664276018431963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0.25336851087486034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-1.6690304721962474</v>
      </c>
      <c r="H19" t="s">
        <v>34</v>
      </c>
      <c r="I19">
        <f>VLOOKUP(Table4[[#This Row],[Visitor]],'NHL Model'!$A$6:$B$38,2,FALSE)</f>
        <v>-0.26693531126155262</v>
      </c>
      <c r="J19">
        <f>($B$1+Table4[[#This Row],[Home Differential]])-Table4[[#This Row],[Away Differential]]</f>
        <v>-1.2957132281659516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0.66623571000658344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0.11139860127480947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0.17240077100158954</v>
      </c>
      <c r="H20" t="s">
        <v>36</v>
      </c>
      <c r="I20">
        <f>VLOOKUP(Table4[[#This Row],[Visitor]],'NHL Model'!$A$6:$B$38,2,FALSE)</f>
        <v>-0.40987688593271943</v>
      </c>
      <c r="J20">
        <f>($B$1+Table4[[#This Row],[Home Differential]])-Table4[[#This Row],[Away Differential]]</f>
        <v>0.68865958970305208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0.63874147550200489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0.4079906725264783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-1.1323142195605178</v>
      </c>
      <c r="H21" t="s">
        <v>16</v>
      </c>
      <c r="I21">
        <f>VLOOKUP(Table4[[#This Row],[Visitor]],'NHL Model'!$A$6:$B$38,2,FALSE)</f>
        <v>-1.3446131114659174</v>
      </c>
      <c r="J21">
        <f>($B$1+Table4[[#This Row],[Home Differential]])-Table4[[#This Row],[Away Differential]]</f>
        <v>0.31868082467414283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0.58026772778989777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0.17617518033465535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-0.2381776794561975</v>
      </c>
      <c r="H22" t="s">
        <v>39</v>
      </c>
      <c r="I22">
        <f>VLOOKUP(Table4[[#This Row],[Visitor]],'NHL Model'!$A$6:$B$38,2,FALSE)</f>
        <v>8.2462575231143323E-2</v>
      </c>
      <c r="J22">
        <f>($B$1+Table4[[#This Row],[Home Differential]])-Table4[[#This Row],[Away Differential]]</f>
        <v>-0.21425832191859773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0.58639519022191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0.17106893867157003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-0.19106480716289626</v>
      </c>
      <c r="H23" t="s">
        <v>23</v>
      </c>
      <c r="I23">
        <f>VLOOKUP(Table4[[#This Row],[Visitor]],'NHL Model'!$A$6:$B$38,2,FALSE)</f>
        <v>-0.69947324663859312</v>
      </c>
      <c r="J23">
        <f>($B$1+Table4[[#This Row],[Home Differential]])-Table4[[#This Row],[Away Differential]]</f>
        <v>0.61479037224444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0.66939938066766724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0.109296769502922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0.15503279744029827</v>
      </c>
      <c r="H24" t="s">
        <v>27</v>
      </c>
      <c r="I24">
        <f>VLOOKUP(Table4[[#This Row],[Visitor]],'NHL Model'!$A$6:$B$38,2,FALSE)</f>
        <v>-0.5336297540825371</v>
      </c>
      <c r="J24">
        <f>($B$1+Table4[[#This Row],[Home Differential]])-Table4[[#This Row],[Away Differential]]</f>
        <v>0.79504448429157848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0.66649760790771728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0.11122384553127468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-1.3446131114659174</v>
      </c>
      <c r="H25" t="s">
        <v>35</v>
      </c>
      <c r="I25">
        <f>VLOOKUP(Table4[[#This Row],[Visitor]],'NHL Model'!$A$6:$B$38,2,FALSE)</f>
        <v>-1.6690304721962474</v>
      </c>
      <c r="J25">
        <f>($B$1+Table4[[#This Row],[Home Differential]])-Table4[[#This Row],[Away Differential]]</f>
        <v>0.4307992934990732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0.59443474266278462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0.35335266328457099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-0.32256919101930787</v>
      </c>
      <c r="H26" t="s">
        <v>18</v>
      </c>
      <c r="I26">
        <f>VLOOKUP(Table4[[#This Row],[Visitor]],'NHL Model'!$A$6:$B$38,2,FALSE)</f>
        <v>-0.79206768185043297</v>
      </c>
      <c r="J26">
        <f>($B$1+Table4[[#This Row],[Home Differential]])-Table4[[#This Row],[Away Differential]]</f>
        <v>0.57588042359986824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0.54645104913595621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0.29860874910178725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1.4740146843006017</v>
      </c>
      <c r="H27" t="s">
        <v>39</v>
      </c>
      <c r="I27">
        <f>VLOOKUP(Table4[[#This Row],[Visitor]],'NHL Model'!$A$6:$B$38,2,FALSE)</f>
        <v>8.2462575231143323E-2</v>
      </c>
      <c r="J27">
        <f>($B$1+Table4[[#This Row],[Home Differential]])-Table4[[#This Row],[Away Differential]]</f>
        <v>1.4979340418382014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0.73094194014959002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0.53427611986964685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-0.98948521352045793</v>
      </c>
      <c r="H28" t="s">
        <v>19</v>
      </c>
      <c r="I28">
        <f>VLOOKUP(Table4[[#This Row],[Visitor]],'NHL Model'!$A$6:$B$38,2,FALSE)</f>
        <v>-1.0208691773880865</v>
      </c>
      <c r="J28">
        <f>($B$1+Table4[[#This Row],[Home Differential]])-Table4[[#This Row],[Away Differential]]</f>
        <v>0.13776589663637162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0.57142438147750996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0.18367706079193491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-1.1555135170505442</v>
      </c>
      <c r="H29" t="s">
        <v>38</v>
      </c>
      <c r="I29">
        <f>VLOOKUP(Table4[[#This Row],[Visitor]],'NHL Model'!$A$6:$B$38,2,FALSE)</f>
        <v>-1.1323142195605178</v>
      </c>
      <c r="J29">
        <f>($B$1+Table4[[#This Row],[Home Differential]])-Table4[[#This Row],[Away Differential]]</f>
        <v>8.3182635278716832E-2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0.51832325387944889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0.23201248775328184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-0.4374979224090173</v>
      </c>
      <c r="H30" t="s">
        <v>36</v>
      </c>
      <c r="I30">
        <f>VLOOKUP(Table4[[#This Row],[Visitor]],'NHL Model'!$A$6:$B$38,2,FALSE)</f>
        <v>-0.40987688593271943</v>
      </c>
      <c r="J30">
        <f>($B$1+Table4[[#This Row],[Home Differential]])-Table4[[#This Row],[Away Differential]]</f>
        <v>7.8760896292445204E-2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0.56167617171165329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0.19212777844535206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-0.26693531126155262</v>
      </c>
      <c r="H31" t="s">
        <v>28</v>
      </c>
      <c r="I31">
        <f>VLOOKUP(Table4[[#This Row],[Visitor]],'NHL Model'!$A$6:$B$38,2,FALSE)</f>
        <v>-0.89619124881012313</v>
      </c>
      <c r="J31">
        <f>($B$1+Table4[[#This Row],[Home Differential]])-Table4[[#This Row],[Away Differential]]</f>
        <v>0.73563787031731365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0.63295339794657302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0.40063000397211285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-1.5752718195161908</v>
      </c>
      <c r="H32" t="s">
        <v>55</v>
      </c>
      <c r="I32">
        <f>VLOOKUP(Table4[[#This Row],[Visitor]],'NHL Model'!$A$6:$B$38,2,FALSE)</f>
        <v>-0.34901281259242245</v>
      </c>
      <c r="J32">
        <f>($B$1+Table4[[#This Row],[Home Differential]])-Table4[[#This Row],[Away Differential]]</f>
        <v>-1.119877074155025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0.60150492181740778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0.15879832733575028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-0.22618911823839277</v>
      </c>
      <c r="H33" t="s">
        <v>22</v>
      </c>
      <c r="I33">
        <f>VLOOKUP(Table4[[#This Row],[Visitor]],'NHL Model'!$A$6:$B$38,2,FALSE)</f>
        <v>0.12620994778252301</v>
      </c>
      <c r="J33">
        <f>($B$1+Table4[[#This Row],[Home Differential]])-Table4[[#This Row],[Away Differential]]</f>
        <v>-0.24601713325217267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0.51185535263922122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0.23828519674697907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-0.26282059799749452</v>
      </c>
      <c r="H34" t="s">
        <v>15</v>
      </c>
      <c r="I34">
        <f>VLOOKUP(Table4[[#This Row],[Visitor]],'NHL Model'!$A$6:$B$38,2,FALSE)</f>
        <v>-0.54922296726434805</v>
      </c>
      <c r="J34">
        <f>($B$1+Table4[[#This Row],[Home Differential]])-Table4[[#This Row],[Away Differential]]</f>
        <v>0.39278430203559667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0.49963126153161891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0.24963139749967697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-0.63099640390293943</v>
      </c>
      <c r="H35" t="s">
        <v>20</v>
      </c>
      <c r="I35">
        <f>VLOOKUP(Table4[[#This Row],[Visitor]],'NHL Model'!$A$6:$B$38,2,FALSE)</f>
        <v>-0.26509018427102904</v>
      </c>
      <c r="J35">
        <f>($B$1+Table4[[#This Row],[Home Differential]])-Table4[[#This Row],[Away Differential]]</f>
        <v>-0.25952428686316731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0.49029737348442515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0.24039151444572587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-0.66146476561443079</v>
      </c>
      <c r="H36" t="s">
        <v>31</v>
      </c>
      <c r="I36">
        <f>VLOOKUP(Table4[[#This Row],[Visitor]],'NHL Model'!$A$6:$B$38,2,FALSE)</f>
        <v>9.6060347736414392E-2</v>
      </c>
      <c r="J36">
        <f>($B$1+Table4[[#This Row],[Home Differential]])-Table4[[#This Row],[Away Differential]]</f>
        <v>-0.65114318058210208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0.56304608685160962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0.1909287222156911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0.17240077100158954</v>
      </c>
      <c r="H37" t="s">
        <v>24</v>
      </c>
      <c r="I37">
        <f>VLOOKUP(Table4[[#This Row],[Visitor]],'NHL Model'!$A$6:$B$38,2,FALSE)</f>
        <v>-0.1651785584335338</v>
      </c>
      <c r="J37">
        <f>($B$1+Table4[[#This Row],[Home Differential]])-Table4[[#This Row],[Away Differential]]</f>
        <v>0.44396126220386645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0.62752642819157112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0.39378941807887108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-0.2381776794561975</v>
      </c>
      <c r="H38" t="s">
        <v>13</v>
      </c>
      <c r="I38">
        <f>VLOOKUP(Table4[[#This Row],[Visitor]],'NHL Model'!$A$6:$B$38,2,FALSE)</f>
        <v>-0.45522284197080148</v>
      </c>
      <c r="J38">
        <f>($B$1+Table4[[#This Row],[Home Differential]])-Table4[[#This Row],[Away Differential]]</f>
        <v>0.32342709528334712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0.49988384835166583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0.25011616513953955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-0.54922296726434805</v>
      </c>
      <c r="H39" t="s">
        <v>22</v>
      </c>
      <c r="I39">
        <f>VLOOKUP(Table4[[#This Row],[Visitor]],'NHL Model'!$A$6:$B$38,2,FALSE)</f>
        <v>0.12620994778252301</v>
      </c>
      <c r="J39">
        <f>($B$1+Table4[[#This Row],[Home Differential]])-Table4[[#This Row],[Away Differential]]</f>
        <v>-0.569050982278128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0.55267311791518614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0.20010133943572098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-0.19106480716289626</v>
      </c>
      <c r="H40" t="s">
        <v>37</v>
      </c>
      <c r="I40">
        <f>VLOOKUP(Table4[[#This Row],[Visitor]],'NHL Model'!$A$6:$B$38,2,FALSE)</f>
        <v>0.17240077100158954</v>
      </c>
      <c r="J40">
        <f>($B$1+Table4[[#This Row],[Home Differential]])-Table4[[#This Row],[Away Differential]]</f>
        <v>-0.25708364539574269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0.50616866974225905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0.24386938274413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-0.69947324663859312</v>
      </c>
      <c r="H41" t="s">
        <v>12</v>
      </c>
      <c r="I41">
        <f>VLOOKUP(Table4[[#This Row],[Visitor]],'NHL Model'!$A$6:$B$38,2,FALSE)</f>
        <v>1.4740146843006017</v>
      </c>
      <c r="J41">
        <f>($B$1+Table4[[#This Row],[Home Differential]])-Table4[[#This Row],[Away Differential]]</f>
        <v>-2.0671059981704518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0.79965598507533953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4.0137724316132578E-2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-0.89619124881012313</v>
      </c>
      <c r="H42" t="s">
        <v>24</v>
      </c>
      <c r="I42">
        <f>VLOOKUP(Table4[[#This Row],[Visitor]],'NHL Model'!$A$6:$B$38,2,FALSE)</f>
        <v>-0.1651785584335338</v>
      </c>
      <c r="J42">
        <f>($B$1+Table4[[#This Row],[Home Differential]])-Table4[[#This Row],[Away Differential]]</f>
        <v>-0.62463075760784625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0.53975630439560907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0.21182425934358726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-0.32256919101930787</v>
      </c>
      <c r="H43" t="s">
        <v>55</v>
      </c>
      <c r="I43">
        <f>VLOOKUP(Table4[[#This Row],[Visitor]],'NHL Model'!$A$6:$B$38,2,FALSE)</f>
        <v>-0.34901281259242245</v>
      </c>
      <c r="J43">
        <f>($B$1+Table4[[#This Row],[Home Differential]])-Table4[[#This Row],[Away Differential]]</f>
        <v>0.13282555434185769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0.5567835114373425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0.19644085573381231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-0.26693531126155262</v>
      </c>
      <c r="H44" t="s">
        <v>13</v>
      </c>
      <c r="I44">
        <f>VLOOKUP(Table4[[#This Row],[Visitor]],'NHL Model'!$A$6:$B$38,2,FALSE)</f>
        <v>-0.45522284197080148</v>
      </c>
      <c r="J44">
        <f>($B$1+Table4[[#This Row],[Home Differential]])-Table4[[#This Row],[Away Differential]]</f>
        <v>0.29466946347799194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0.49375545018116984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0.25628354422127003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-0.22618911823839277</v>
      </c>
      <c r="H45" t="s">
        <v>40</v>
      </c>
      <c r="I45">
        <f>VLOOKUP(Table4[[#This Row],[Visitor]],'NHL Model'!$A$6:$B$38,2,FALSE)</f>
        <v>-0.2381776794561975</v>
      </c>
      <c r="J45">
        <f>($B$1+Table4[[#This Row],[Home Differential]])-Table4[[#This Row],[Away Differential]]</f>
        <v>0.11837049398654784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0.51244444263198963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0.26259930678441051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-0.40987688593271943</v>
      </c>
      <c r="H46" t="s">
        <v>29</v>
      </c>
      <c r="I46">
        <f>VLOOKUP(Table4[[#This Row],[Visitor]],'NHL Model'!$A$6:$B$38,2,FALSE)</f>
        <v>-1.5752718195161908</v>
      </c>
      <c r="J46">
        <f>($B$1+Table4[[#This Row],[Home Differential]])-Table4[[#This Row],[Away Differential]]</f>
        <v>1.2717768663522144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0.70319408639579828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0.49448192314202144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-0.5336297540825371</v>
      </c>
      <c r="H47" t="s">
        <v>11</v>
      </c>
      <c r="I47">
        <f>VLOOKUP(Table4[[#This Row],[Visitor]],'NHL Model'!$A$6:$B$38,2,FALSE)</f>
        <v>-0.4374979224090173</v>
      </c>
      <c r="J47">
        <f>($B$1+Table4[[#This Row],[Home Differential]])-Table4[[#This Row],[Away Differential]]</f>
        <v>1.0250101095223285E-2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0.57354124345553581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0.18186707103345057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-1.0208691773880865</v>
      </c>
      <c r="H48" t="s">
        <v>26</v>
      </c>
      <c r="I48">
        <f>VLOOKUP(Table4[[#This Row],[Visitor]],'NHL Model'!$A$6:$B$38,2,FALSE)</f>
        <v>-0.98948521352045793</v>
      </c>
      <c r="J48">
        <f>($B$1+Table4[[#This Row],[Home Differential]])-Table4[[#This Row],[Away Differential]]</f>
        <v>7.4997968901114542E-2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0.52870732873068049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0.27953143945353187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-1.1323142195605178</v>
      </c>
      <c r="H49" t="s">
        <v>35</v>
      </c>
      <c r="I49">
        <f>VLOOKUP(Table4[[#This Row],[Visitor]],'NHL Model'!$A$6:$B$38,2,FALSE)</f>
        <v>-1.6690304721962474</v>
      </c>
      <c r="J49">
        <f>($B$1+Table4[[#This Row],[Home Differential]])-Table4[[#This Row],[Away Differential]]</f>
        <v>0.64309818540447283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0.62126031021327921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0.38596437304629994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9.6060347736414392E-2</v>
      </c>
      <c r="H50" t="s">
        <v>14</v>
      </c>
      <c r="I50">
        <f>VLOOKUP(Table4[[#This Row],[Visitor]],'NHL Model'!$A$6:$B$38,2,FALSE)</f>
        <v>-0.26282059799749452</v>
      </c>
      <c r="J50">
        <f>($B$1+Table4[[#This Row],[Home Differential]])-Table4[[#This Row],[Away Differential]]</f>
        <v>0.46526287850265202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0.67134690403842046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0.10801285748513122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-1.3446131114659174</v>
      </c>
      <c r="H51" t="s">
        <v>20</v>
      </c>
      <c r="I51">
        <f>VLOOKUP(Table4[[#This Row],[Visitor]],'NHL Model'!$A$6:$B$38,2,FALSE)</f>
        <v>-0.26509018427102904</v>
      </c>
      <c r="J51">
        <f>($B$1+Table4[[#This Row],[Home Differential]])-Table4[[#This Row],[Away Differential]]</f>
        <v>-0.97314099442614521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0.58296371049249973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0.17391926676618358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8.2462575231143323E-2</v>
      </c>
      <c r="H52" t="s">
        <v>34</v>
      </c>
      <c r="I52">
        <f>VLOOKUP(Table4[[#This Row],[Visitor]],'NHL Model'!$A$6:$B$38,2,FALSE)</f>
        <v>-0.26693531126155262</v>
      </c>
      <c r="J52">
        <f>($B$1+Table4[[#This Row],[Home Differential]])-Table4[[#This Row],[Away Differential]]</f>
        <v>0.45577981926143907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0.55759122066071876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0.19572552803647283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-0.79206768185043297</v>
      </c>
      <c r="H53" t="s">
        <v>32</v>
      </c>
      <c r="I53">
        <f>VLOOKUP(Table4[[#This Row],[Visitor]],'NHL Model'!$A$6:$B$38,2,FALSE)</f>
        <v>-0.63099640390293943</v>
      </c>
      <c r="J53">
        <f>($B$1+Table4[[#This Row],[Home Differential]])-Table4[[#This Row],[Away Differential]]</f>
        <v>-5.4689345178750459E-2</v>
      </c>
      <c r="K53" t="str">
        <f>IF(Table4[[#This Row],[HomeIce Differential]]&gt;0,Table4[[#This Row],[Home]],Table4[[#This Row],[Visitor]])</f>
        <v>Seattle Kraken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0.46691041159102525</v>
      </c>
      <c r="M53" t="str">
        <f>IF(OR((NHL2025_26Results[[#This Row],[Winning Team]]="")),"-",IF(Table4[[#This Row],[Predicted Winner]]=NHL2025_26Results[[#This Row],[Winning Team]],"YES","NO"))</f>
        <v>NO</v>
      </c>
      <c r="N53">
        <f>IF(Table4[[#This Row],[Adjusted Correct]]="-", "",IF(Table4[[#This Row],[Adjusted Correct]]="YES",(Table4[[#This Row],[Strength of Win]]-1)^2,(Table4[[#This Row],[Strength of Win]]-0)^2))</f>
        <v>0.2180053324521006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-0.54922296726434805</v>
      </c>
      <c r="H54" t="s">
        <v>17</v>
      </c>
      <c r="I54">
        <f>VLOOKUP(Table4[[#This Row],[Visitor]],'NHL Model'!$A$6:$B$38,2,FALSE)</f>
        <v>-1.1555135170505442</v>
      </c>
      <c r="J54">
        <f>($B$1+Table4[[#This Row],[Home Differential]])-Table4[[#This Row],[Away Differential]]</f>
        <v>0.7126724825549392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0.63005154784639728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0.39696495294364104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-0.66146476561443079</v>
      </c>
      <c r="H55" t="s">
        <v>25</v>
      </c>
      <c r="I55">
        <f>VLOOKUP(Table4[[#This Row],[Visitor]],'NHL Model'!$A$6:$B$38,2,FALSE)</f>
        <v>0.15503279744029827</v>
      </c>
      <c r="J55">
        <f>($B$1+Table4[[#This Row],[Home Differential]])-Table4[[#This Row],[Away Differential]]</f>
        <v>-0.71011563028598601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0.62235163936943028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0.14261828428695683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-1.0208691773880865</v>
      </c>
      <c r="H56" t="s">
        <v>29</v>
      </c>
      <c r="I56">
        <f>VLOOKUP(Table4[[#This Row],[Visitor]],'NHL Model'!$A$6:$B$38,2,FALSE)</f>
        <v>-1.5752718195161908</v>
      </c>
      <c r="J56">
        <f>($B$1+Table4[[#This Row],[Home Differential]])-Table4[[#This Row],[Away Differential]]</f>
        <v>0.66078457489684739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0.62349511903302313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0.14175592539195742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0.12620994778252301</v>
      </c>
      <c r="H57" t="s">
        <v>37</v>
      </c>
      <c r="I57">
        <f>VLOOKUP(Table4[[#This Row],[Visitor]],'NHL Model'!$A$6:$B$38,2,FALSE)</f>
        <v>0.17240077100158954</v>
      </c>
      <c r="J57">
        <f>($B$1+Table4[[#This Row],[Home Differential]])-Table4[[#This Row],[Away Differential]]</f>
        <v>6.0191109549676575E-2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0.49541047909866054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0.25461058460344327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-0.69947324663859312</v>
      </c>
      <c r="H58" t="s">
        <v>36</v>
      </c>
      <c r="I58">
        <f>VLOOKUP(Table4[[#This Row],[Visitor]],'NHL Model'!$A$6:$B$38,2,FALSE)</f>
        <v>-0.40987688593271943</v>
      </c>
      <c r="J58">
        <f>($B$1+Table4[[#This Row],[Home Differential]])-Table4[[#This Row],[Away Differential]]</f>
        <v>-0.18321442793713061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0.48981719264794582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0.23992088221351487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-0.98948521352045793</v>
      </c>
      <c r="H59" t="s">
        <v>11</v>
      </c>
      <c r="I59">
        <f>VLOOKUP(Table4[[#This Row],[Visitor]],'NHL Model'!$A$6:$B$38,2,FALSE)</f>
        <v>-0.4374979224090173</v>
      </c>
      <c r="J59">
        <f>($B$1+Table4[[#This Row],[Home Differential]])-Table4[[#This Row],[Away Differential]]</f>
        <v>-0.44560535834269754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0.50228898022214119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0.25229421965259852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-1.6690304721962474</v>
      </c>
      <c r="H60" t="s">
        <v>10</v>
      </c>
      <c r="I60">
        <f>VLOOKUP(Table4[[#This Row],[Visitor]],'NHL Model'!$A$6:$B$38,2,FALSE)</f>
        <v>-0.32256919101930787</v>
      </c>
      <c r="J60">
        <f>($B$1+Table4[[#This Row],[Home Differential]])-Table4[[#This Row],[Away Differential]]</f>
        <v>-1.2400793484081964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0.61669338652752215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0.14692395993173954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-0.34901281259242245</v>
      </c>
      <c r="H61" t="s">
        <v>16</v>
      </c>
      <c r="I61">
        <f>VLOOKUP(Table4[[#This Row],[Visitor]],'NHL Model'!$A$6:$B$38,2,FALSE)</f>
        <v>-1.3446131114659174</v>
      </c>
      <c r="J61">
        <f>($B$1+Table4[[#This Row],[Home Differential]])-Table4[[#This Row],[Away Differential]]</f>
        <v>1.1019822316422381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0.71967495083111022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7.8582133191540476E-2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9.6060347736414392E-2</v>
      </c>
      <c r="H62" t="s">
        <v>25</v>
      </c>
      <c r="I62">
        <f>VLOOKUP(Table4[[#This Row],[Visitor]],'NHL Model'!$A$6:$B$38,2,FALSE)</f>
        <v>0.15503279744029827</v>
      </c>
      <c r="J62">
        <f>($B$1+Table4[[#This Row],[Home Differential]])-Table4[[#This Row],[Away Differential]]</f>
        <v>4.7409483064859231E-2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0.54765721272687462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0.29992842265176922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-0.89619124881012313</v>
      </c>
      <c r="H63" t="s">
        <v>12</v>
      </c>
      <c r="I63">
        <f>VLOOKUP(Table4[[#This Row],[Visitor]],'NHL Model'!$A$6:$B$38,2,FALSE)</f>
        <v>1.4740146843006017</v>
      </c>
      <c r="J63">
        <f>($B$1+Table4[[#This Row],[Home Differential]])-Table4[[#This Row],[Away Differential]]</f>
        <v>-2.2638240003419816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0.83853743897790667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2.6070158611813214E-2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8.2462575231143323E-2</v>
      </c>
      <c r="H64" t="s">
        <v>38</v>
      </c>
      <c r="I64">
        <f>VLOOKUP(Table4[[#This Row],[Visitor]],'NHL Model'!$A$6:$B$38,2,FALSE)</f>
        <v>-1.1323142195605178</v>
      </c>
      <c r="J64">
        <f>($B$1+Table4[[#This Row],[Home Differential]])-Table4[[#This Row],[Away Differential]]</f>
        <v>1.3211587275604042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0.67016418457037186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0.44912003428087144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-0.45522284197080148</v>
      </c>
      <c r="H65" t="s">
        <v>14</v>
      </c>
      <c r="I65">
        <f>VLOOKUP(Table4[[#This Row],[Visitor]],'NHL Model'!$A$6:$B$38,2,FALSE)</f>
        <v>-0.26282059799749452</v>
      </c>
      <c r="J65">
        <f>($B$1+Table4[[#This Row],[Home Differential]])-Table4[[#This Row],[Away Differential]]</f>
        <v>-8.6020311204563826E-2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0.47086931565314455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0.27997928111737164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-0.79206768185043297</v>
      </c>
      <c r="H66" t="s">
        <v>29</v>
      </c>
      <c r="I66">
        <f>VLOOKUP(Table4[[#This Row],[Visitor]],'NHL Model'!$A$6:$B$38,2,FALSE)</f>
        <v>-1.5752718195161908</v>
      </c>
      <c r="J66">
        <f>($B$1+Table4[[#This Row],[Home Differential]])-Table4[[#This Row],[Away Differential]]</f>
        <v>0.88958607043450089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0.65240591512391599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0.12082164784084229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-0.1651785584335338</v>
      </c>
      <c r="H67" t="s">
        <v>11</v>
      </c>
      <c r="I67">
        <f>VLOOKUP(Table4[[#This Row],[Visitor]],'NHL Model'!$A$6:$B$38,2,FALSE)</f>
        <v>-0.4374979224090173</v>
      </c>
      <c r="J67">
        <f>($B$1+Table4[[#This Row],[Home Differential]])-Table4[[#This Row],[Away Differential]]</f>
        <v>0.37870129674422659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0.70961647338851097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8.4322592527325352E-2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-0.22618911823839277</v>
      </c>
      <c r="H68" t="s">
        <v>17</v>
      </c>
      <c r="I68">
        <f>VLOOKUP(Table4[[#This Row],[Visitor]],'NHL Model'!$A$6:$B$38,2,FALSE)</f>
        <v>-1.1555135170505442</v>
      </c>
      <c r="J68">
        <f>($B$1+Table4[[#This Row],[Home Differential]])-Table4[[#This Row],[Away Differential]]</f>
        <v>1.0357063315808945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0.6708693131223622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0.10832700904454566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-0.40987688593271943</v>
      </c>
      <c r="H69" t="s">
        <v>32</v>
      </c>
      <c r="I69">
        <f>VLOOKUP(Table4[[#This Row],[Visitor]],'NHL Model'!$A$6:$B$38,2,FALSE)</f>
        <v>-0.63099640390293943</v>
      </c>
      <c r="J69">
        <f>($B$1+Table4[[#This Row],[Home Differential]])-Table4[[#This Row],[Away Differential]]</f>
        <v>0.32750145073896308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0.58387775968085709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0.17315771888822254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-0.5336297540825371</v>
      </c>
      <c r="H70" t="s">
        <v>40</v>
      </c>
      <c r="I70">
        <f>VLOOKUP(Table4[[#This Row],[Visitor]],'NHL Model'!$A$6:$B$38,2,FALSE)</f>
        <v>-0.2381776794561975</v>
      </c>
      <c r="J70">
        <f>($B$1+Table4[[#This Row],[Home Differential]])-Table4[[#This Row],[Away Differential]]</f>
        <v>-0.18907014185759652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0.49376995770982901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0.25626885571710833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-1.0208691773880865</v>
      </c>
      <c r="H71" t="s">
        <v>15</v>
      </c>
      <c r="I71">
        <f>VLOOKUP(Table4[[#This Row],[Visitor]],'NHL Model'!$A$6:$B$38,2,FALSE)</f>
        <v>-0.54922296726434805</v>
      </c>
      <c r="J71">
        <f>($B$1+Table4[[#This Row],[Home Differential]])-Table4[[#This Row],[Away Differential]]</f>
        <v>-0.36526427735499534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0.59864008652102196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0.35836995318989667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-0.26509018427102904</v>
      </c>
      <c r="H72" t="s">
        <v>21</v>
      </c>
      <c r="I72">
        <f>VLOOKUP(Table4[[#This Row],[Visitor]],'NHL Model'!$A$6:$B$38,2,FALSE)</f>
        <v>-0.19106480716289626</v>
      </c>
      <c r="J72">
        <f>($B$1+Table4[[#This Row],[Home Differential]])-Table4[[#This Row],[Away Differential]]</f>
        <v>3.2356555660610326E-2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0.54325900196667853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0.20861233928447456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-0.32256919101930787</v>
      </c>
      <c r="H73" t="s">
        <v>38</v>
      </c>
      <c r="I73">
        <f>VLOOKUP(Table4[[#This Row],[Visitor]],'NHL Model'!$A$6:$B$38,2,FALSE)</f>
        <v>-1.1323142195605178</v>
      </c>
      <c r="J73">
        <f>($B$1+Table4[[#This Row],[Home Differential]])-Table4[[#This Row],[Away Differential]]</f>
        <v>0.91612696130995308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0.61647282379422119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0.3800387424768209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-0.98948521352045793</v>
      </c>
      <c r="H74" t="s">
        <v>37</v>
      </c>
      <c r="I74">
        <f>VLOOKUP(Table4[[#This Row],[Visitor]],'NHL Model'!$A$6:$B$38,2,FALSE)</f>
        <v>0.17240077100158954</v>
      </c>
      <c r="J74">
        <f>($B$1+Table4[[#This Row],[Home Differential]])-Table4[[#This Row],[Away Differential]]</f>
        <v>-1.0555040517533043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0.64556602646232719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0.41675549452235811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-0.34901281259242245</v>
      </c>
      <c r="H75" t="s">
        <v>33</v>
      </c>
      <c r="I75">
        <f>VLOOKUP(Table4[[#This Row],[Visitor]],'NHL Model'!$A$6:$B$38,2,FALSE)</f>
        <v>-0.66146476561443079</v>
      </c>
      <c r="J75">
        <f>($B$1+Table4[[#This Row],[Home Differential]])-Table4[[#This Row],[Away Differential]]</f>
        <v>0.41883388579075143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0.63335400052293001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0.13442928893253961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0.12620994778252301</v>
      </c>
      <c r="H76" t="s">
        <v>34</v>
      </c>
      <c r="I76">
        <f>VLOOKUP(Table4[[#This Row],[Visitor]],'NHL Model'!$A$6:$B$38,2,FALSE)</f>
        <v>-0.26693531126155262</v>
      </c>
      <c r="J76">
        <f>($B$1+Table4[[#This Row],[Home Differential]])-Table4[[#This Row],[Away Differential]]</f>
        <v>0.49952719181281874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0.57474693839050561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0.18084016640824843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-0.69947324663859312</v>
      </c>
      <c r="H77" t="s">
        <v>11</v>
      </c>
      <c r="I77">
        <f>VLOOKUP(Table4[[#This Row],[Visitor]],'NHL Model'!$A$6:$B$38,2,FALSE)</f>
        <v>-0.4374979224090173</v>
      </c>
      <c r="J77">
        <f>($B$1+Table4[[#This Row],[Home Differential]])-Table4[[#This Row],[Away Differential]]</f>
        <v>-0.15559339146083273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0.46564377902388004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0.21682412894364003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-0.89619124881012313</v>
      </c>
      <c r="H78" t="s">
        <v>37</v>
      </c>
      <c r="I78">
        <f>VLOOKUP(Table4[[#This Row],[Visitor]],'NHL Model'!$A$6:$B$38,2,FALSE)</f>
        <v>0.17240077100158954</v>
      </c>
      <c r="J78">
        <f>($B$1+Table4[[#This Row],[Home Differential]])-Table4[[#This Row],[Away Differential]]</f>
        <v>-0.96221008704296962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0.64789829730533233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0.41977220365114881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1.4740146843006017</v>
      </c>
      <c r="H79" t="s">
        <v>21</v>
      </c>
      <c r="I79">
        <f>VLOOKUP(Table4[[#This Row],[Visitor]],'NHL Model'!$A$6:$B$38,2,FALSE)</f>
        <v>-0.19106480716289626</v>
      </c>
      <c r="J79">
        <f>($B$1+Table4[[#This Row],[Home Differential]])-Table4[[#This Row],[Away Differential]]</f>
        <v>1.7714614242322411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0.86318178529078604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1.8719223876216572E-2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-0.45522284197080148</v>
      </c>
      <c r="H80" t="s">
        <v>25</v>
      </c>
      <c r="I80">
        <f>VLOOKUP(Table4[[#This Row],[Visitor]],'NHL Model'!$A$6:$B$38,2,FALSE)</f>
        <v>0.15503279744029827</v>
      </c>
      <c r="J80">
        <f>($B$1+Table4[[#This Row],[Home Differential]])-Table4[[#This Row],[Away Differential]]</f>
        <v>-0.50387370664235664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0.59629141548040765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0.16298062121481285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-0.79206768185043297</v>
      </c>
      <c r="H81" t="s">
        <v>15</v>
      </c>
      <c r="I81">
        <f>VLOOKUP(Table4[[#This Row],[Visitor]],'NHL Model'!$A$6:$B$38,2,FALSE)</f>
        <v>-0.54922296726434805</v>
      </c>
      <c r="J81">
        <f>($B$1+Table4[[#This Row],[Home Differential]])-Table4[[#This Row],[Away Differential]]</f>
        <v>-0.13646278181734184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0.5697292904301291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0.1851328835137602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-0.1651785584335338</v>
      </c>
      <c r="H82" t="s">
        <v>17</v>
      </c>
      <c r="I82">
        <f>VLOOKUP(Table4[[#This Row],[Visitor]],'NHL Model'!$A$6:$B$38,2,FALSE)</f>
        <v>-1.1555135170505442</v>
      </c>
      <c r="J82">
        <f>($B$1+Table4[[#This Row],[Home Differential]])-Table4[[#This Row],[Away Differential]]</f>
        <v>1.0967168913857535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0.80034316378003501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3.9862852249365928E-2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-0.40987688593271943</v>
      </c>
      <c r="H83" t="s">
        <v>30</v>
      </c>
      <c r="I83">
        <f>VLOOKUP(Table4[[#This Row],[Visitor]],'NHL Model'!$A$6:$B$38,2,FALSE)</f>
        <v>-0.22618911823839277</v>
      </c>
      <c r="J83">
        <f>($B$1+Table4[[#This Row],[Home Differential]])-Table4[[#This Row],[Away Differential]]</f>
        <v>-7.7305834925583572E-2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0.53988865772095851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0.21170244729382126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-0.5336297540825371</v>
      </c>
      <c r="H84" t="s">
        <v>34</v>
      </c>
      <c r="I84">
        <f>VLOOKUP(Table4[[#This Row],[Visitor]],'NHL Model'!$A$6:$B$38,2,FALSE)</f>
        <v>-0.26693531126155262</v>
      </c>
      <c r="J84">
        <f>($B$1+Table4[[#This Row],[Home Differential]])-Table4[[#This Row],[Away Differential]]</f>
        <v>-0.1603125100522414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0.49013621385152117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0.24023350812870409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-0.66146476561443079</v>
      </c>
      <c r="H85" t="s">
        <v>14</v>
      </c>
      <c r="I85">
        <f>VLOOKUP(Table4[[#This Row],[Visitor]],'NHL Model'!$A$6:$B$38,2,FALSE)</f>
        <v>-0.26282059799749452</v>
      </c>
      <c r="J85">
        <f>($B$1+Table4[[#This Row],[Home Differential]])-Table4[[#This Row],[Away Differential]]</f>
        <v>-0.29226223484819319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0.49692953954216718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0.25307988818525601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-1.6690304721962474</v>
      </c>
      <c r="H86" t="s">
        <v>39</v>
      </c>
      <c r="I86">
        <f>VLOOKUP(Table4[[#This Row],[Visitor]],'NHL Model'!$A$6:$B$38,2,FALSE)</f>
        <v>8.2462575231143323E-2</v>
      </c>
      <c r="J86">
        <f>($B$1+Table4[[#This Row],[Home Differential]])-Table4[[#This Row],[Away Differential]]</f>
        <v>-1.6451111146586477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0.76966996042281755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0.59239184797726152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-1.0208691773880865</v>
      </c>
      <c r="H87" t="s">
        <v>32</v>
      </c>
      <c r="I87">
        <f>VLOOKUP(Table4[[#This Row],[Visitor]],'NHL Model'!$A$6:$B$38,2,FALSE)</f>
        <v>-0.63099640390293943</v>
      </c>
      <c r="J87">
        <f>($B$1+Table4[[#This Row],[Home Differential]])-Table4[[#This Row],[Away Differential]]</f>
        <v>-0.28349084071640396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0.49582120768191812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0.25419625462331946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-0.26509018427102904</v>
      </c>
      <c r="H88" t="s">
        <v>16</v>
      </c>
      <c r="I88">
        <f>VLOOKUP(Table4[[#This Row],[Visitor]],'NHL Model'!$A$6:$B$38,2,FALSE)</f>
        <v>-1.3446131114659174</v>
      </c>
      <c r="J88">
        <f>($B$1+Table4[[#This Row],[Home Differential]])-Table4[[#This Row],[Away Differential]]</f>
        <v>1.1859048599636315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0.68984803097130598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9.6194243892375977E-2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-0.2381776794561975</v>
      </c>
      <c r="H89" t="s">
        <v>29</v>
      </c>
      <c r="I89">
        <f>VLOOKUP(Table4[[#This Row],[Visitor]],'NHL Model'!$A$6:$B$38,2,FALSE)</f>
        <v>-1.5752718195161908</v>
      </c>
      <c r="J89">
        <f>($B$1+Table4[[#This Row],[Home Differential]])-Table4[[#This Row],[Away Differential]]</f>
        <v>1.4434760728287364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0.72488957722179215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7.5685744721204262E-2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-0.32256919101930787</v>
      </c>
      <c r="H90" t="s">
        <v>31</v>
      </c>
      <c r="I90">
        <f>VLOOKUP(Table4[[#This Row],[Visitor]],'NHL Model'!$A$6:$B$38,2,FALSE)</f>
        <v>9.6060347736414392E-2</v>
      </c>
      <c r="J90">
        <f>($B$1+Table4[[#This Row],[Home Differential]])-Table4[[#This Row],[Away Differential]]</f>
        <v>-0.31224760598697915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0.52022407281624616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0.270633085937523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-0.98948521352045793</v>
      </c>
      <c r="H91" t="s">
        <v>17</v>
      </c>
      <c r="I91">
        <f>VLOOKUP(Table4[[#This Row],[Visitor]],'NHL Model'!$A$6:$B$38,2,FALSE)</f>
        <v>-1.1555135170505442</v>
      </c>
      <c r="J91">
        <f>($B$1+Table4[[#This Row],[Home Differential]])-Table4[[#This Row],[Away Differential]]</f>
        <v>0.27241023629882932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0.58843771016938295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0.16938351841062083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-0.34901281259242245</v>
      </c>
      <c r="H92" t="s">
        <v>21</v>
      </c>
      <c r="I92">
        <f>VLOOKUP(Table4[[#This Row],[Visitor]],'NHL Model'!$A$6:$B$38,2,FALSE)</f>
        <v>-0.19106480716289626</v>
      </c>
      <c r="J92">
        <f>($B$1+Table4[[#This Row],[Home Differential]])-Table4[[#This Row],[Away Differential]]</f>
        <v>-5.1566072660783085E-2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0.42689792813715788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0.182241841047798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0.12620994778252301</v>
      </c>
      <c r="H93" t="s">
        <v>38</v>
      </c>
      <c r="I93">
        <f>VLOOKUP(Table4[[#This Row],[Visitor]],'NHL Model'!$A$6:$B$38,2,FALSE)</f>
        <v>-1.1323142195605178</v>
      </c>
      <c r="J93">
        <f>($B$1+Table4[[#This Row],[Home Differential]])-Table4[[#This Row],[Away Differential]]</f>
        <v>1.3649061001117839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0.68731767402031618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0.47240558502069763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-1.3446131114659174</v>
      </c>
      <c r="H94" t="s">
        <v>40</v>
      </c>
      <c r="I94">
        <f>VLOOKUP(Table4[[#This Row],[Visitor]],'NHL Model'!$A$6:$B$38,2,FALSE)</f>
        <v>-0.2381776794561975</v>
      </c>
      <c r="J94">
        <f>($B$1+Table4[[#This Row],[Home Differential]])-Table4[[#This Row],[Away Differential]]</f>
        <v>-1.0000534992409769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0.62887687144150983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0.13773237655104162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-0.79206768185043297</v>
      </c>
      <c r="H95" t="s">
        <v>23</v>
      </c>
      <c r="I95">
        <f>VLOOKUP(Table4[[#This Row],[Visitor]],'NHL Model'!$A$6:$B$38,2,FALSE)</f>
        <v>-0.69947324663859312</v>
      </c>
      <c r="J95">
        <f>($B$1+Table4[[#This Row],[Home Differential]])-Table4[[#This Row],[Away Differential]]</f>
        <v>1.3787497556903228E-2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0.54174215439254292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0.21000025306078798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-0.54922296726434805</v>
      </c>
      <c r="H96" t="s">
        <v>34</v>
      </c>
      <c r="I96">
        <f>VLOOKUP(Table4[[#This Row],[Visitor]],'NHL Model'!$A$6:$B$38,2,FALSE)</f>
        <v>-0.26693531126155262</v>
      </c>
      <c r="J96">
        <f>($B$1+Table4[[#This Row],[Home Differential]])-Table4[[#This Row],[Away Differential]]</f>
        <v>-0.17590572323405235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0.52473957878566735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0.2258724679728249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-0.5336297540825371</v>
      </c>
      <c r="H97" t="s">
        <v>32</v>
      </c>
      <c r="I97">
        <f>VLOOKUP(Table4[[#This Row],[Visitor]],'NHL Model'!$A$6:$B$38,2,FALSE)</f>
        <v>-0.63099640390293943</v>
      </c>
      <c r="J97">
        <f>($B$1+Table4[[#This Row],[Home Differential]])-Table4[[#This Row],[Away Differential]]</f>
        <v>0.20374858258914541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0.5979912372338656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0.16161104534075812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-0.26509018427102904</v>
      </c>
      <c r="H98" t="s">
        <v>25</v>
      </c>
      <c r="I98">
        <f>VLOOKUP(Table4[[#This Row],[Visitor]],'NHL Model'!$A$6:$B$38,2,FALSE)</f>
        <v>0.15503279744029827</v>
      </c>
      <c r="J98">
        <f>($B$1+Table4[[#This Row],[Home Differential]])-Table4[[#This Row],[Away Differential]]</f>
        <v>-0.3137410489425842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0.57226671894570758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0.32748919761288547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-0.19106480716289626</v>
      </c>
      <c r="H99" t="s">
        <v>11</v>
      </c>
      <c r="I99">
        <f>VLOOKUP(Table4[[#This Row],[Visitor]],'NHL Model'!$A$6:$B$38,2,FALSE)</f>
        <v>-0.4374979224090173</v>
      </c>
      <c r="J99">
        <f>($B$1+Table4[[#This Row],[Home Differential]])-Table4[[#This Row],[Away Differential]]</f>
        <v>0.35281504801486419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0.63629682090576922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0.40487364429478856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8.2462575231143323E-2</v>
      </c>
      <c r="H100" t="s">
        <v>28</v>
      </c>
      <c r="I100">
        <f>VLOOKUP(Table4[[#This Row],[Visitor]],'NHL Model'!$A$6:$B$38,2,FALSE)</f>
        <v>-0.89619124881012313</v>
      </c>
      <c r="J100">
        <f>($B$1+Table4[[#This Row],[Home Differential]])-Table4[[#This Row],[Away Differential]]</f>
        <v>1.0850357568100095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0.67959793757222864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0.46185335675242678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-1.5752718195161908</v>
      </c>
      <c r="H101" t="s">
        <v>31</v>
      </c>
      <c r="I101">
        <f>VLOOKUP(Table4[[#This Row],[Visitor]],'NHL Model'!$A$6:$B$38,2,FALSE)</f>
        <v>9.6060347736414392E-2</v>
      </c>
      <c r="J101">
        <f>($B$1+Table4[[#This Row],[Home Differential]])-Table4[[#This Row],[Away Differential]]</f>
        <v>-1.5649502344838619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0.67851250607099634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0.10335420875275117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-0.22618911823839277</v>
      </c>
      <c r="H102" t="s">
        <v>33</v>
      </c>
      <c r="I102">
        <f>VLOOKUP(Table4[[#This Row],[Visitor]],'NHL Model'!$A$6:$B$38,2,FALSE)</f>
        <v>-0.66146476561443079</v>
      </c>
      <c r="J102">
        <f>($B$1+Table4[[#This Row],[Home Differential]])-Table4[[#This Row],[Away Differential]]</f>
        <v>0.54165758014478116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0.60844252400472243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0.15331725700779236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-0.40987688593271943</v>
      </c>
      <c r="H103" t="s">
        <v>17</v>
      </c>
      <c r="I103">
        <f>VLOOKUP(Table4[[#This Row],[Visitor]],'NHL Model'!$A$6:$B$38,2,FALSE)</f>
        <v>-1.1555135170505442</v>
      </c>
      <c r="J103">
        <f>($B$1+Table4[[#This Row],[Home Differential]])-Table4[[#This Row],[Away Differential]]</f>
        <v>0.85201856388656783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0.65015445629405133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0.42270081703901352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-0.26282059799749452</v>
      </c>
      <c r="H104" t="s">
        <v>38</v>
      </c>
      <c r="I104">
        <f>VLOOKUP(Table4[[#This Row],[Visitor]],'NHL Model'!$A$6:$B$38,2,FALSE)</f>
        <v>-1.1323142195605178</v>
      </c>
      <c r="J104">
        <f>($B$1+Table4[[#This Row],[Home Differential]])-Table4[[#This Row],[Away Differential]]</f>
        <v>0.97587555433176643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0.62653504923027181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0.13947606945343549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-1.6690304721962474</v>
      </c>
      <c r="H105" t="s">
        <v>13</v>
      </c>
      <c r="I105">
        <f>VLOOKUP(Table4[[#This Row],[Visitor]],'NHL Model'!$A$6:$B$38,2,FALSE)</f>
        <v>-0.45522284197080148</v>
      </c>
      <c r="J105">
        <f>($B$1+Table4[[#This Row],[Home Differential]])-Table4[[#This Row],[Away Differential]]</f>
        <v>-1.1074256974567027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0.68340985725074643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0.10022931848599276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-1.0208691773880865</v>
      </c>
      <c r="H106" t="s">
        <v>24</v>
      </c>
      <c r="I106">
        <f>VLOOKUP(Table4[[#This Row],[Visitor]],'NHL Model'!$A$6:$B$38,2,FALSE)</f>
        <v>-0.1651785584335338</v>
      </c>
      <c r="J106">
        <f>($B$1+Table4[[#This Row],[Home Differential]])-Table4[[#This Row],[Away Differential]]</f>
        <v>-0.74930868618580959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0.5555103018145604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0.19757109179298318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-0.34901281259242245</v>
      </c>
      <c r="H107" t="s">
        <v>12</v>
      </c>
      <c r="I107">
        <f>VLOOKUP(Table4[[#This Row],[Visitor]],'NHL Model'!$A$6:$B$38,2,FALSE)</f>
        <v>1.4740146843006017</v>
      </c>
      <c r="J107">
        <f>($B$1+Table4[[#This Row],[Home Differential]])-Table4[[#This Row],[Away Differential]]</f>
        <v>-1.716645564124281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0.72853903226510752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0.53076912153377942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0.12620994778252301</v>
      </c>
      <c r="H108" t="s">
        <v>32</v>
      </c>
      <c r="I108">
        <f>VLOOKUP(Table4[[#This Row],[Visitor]],'NHL Model'!$A$6:$B$38,2,FALSE)</f>
        <v>-0.63099640390293943</v>
      </c>
      <c r="J108">
        <f>($B$1+Table4[[#This Row],[Home Differential]])-Table4[[#This Row],[Away Differential]]</f>
        <v>0.86358828445420555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0.66313751911717644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0.11347633102653067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-0.69947324663859312</v>
      </c>
      <c r="H109" t="s">
        <v>26</v>
      </c>
      <c r="I109">
        <f>VLOOKUP(Table4[[#This Row],[Visitor]],'NHL Model'!$A$6:$B$38,2,FALSE)</f>
        <v>-0.98948521352045793</v>
      </c>
      <c r="J109">
        <f>($B$1+Table4[[#This Row],[Home Differential]])-Table4[[#This Row],[Away Differential]]</f>
        <v>0.39639389965060789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0.58342069477099756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0.17353831754507837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-1.3446131114659174</v>
      </c>
      <c r="H110" t="s">
        <v>18</v>
      </c>
      <c r="I110">
        <f>VLOOKUP(Table4[[#This Row],[Visitor]],'NHL Model'!$A$6:$B$38,2,FALSE)</f>
        <v>-0.79206768185043297</v>
      </c>
      <c r="J110">
        <f>($B$1+Table4[[#This Row],[Home Differential]])-Table4[[#This Row],[Away Differential]]</f>
        <v>-0.44616349684674128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0.58269191520758745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0.17414603763311137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-0.1651785584335338</v>
      </c>
      <c r="H111" t="s">
        <v>34</v>
      </c>
      <c r="I111">
        <f>VLOOKUP(Table4[[#This Row],[Visitor]],'NHL Model'!$A$6:$B$38,2,FALSE)</f>
        <v>-0.26693531126155262</v>
      </c>
      <c r="J111">
        <f>($B$1+Table4[[#This Row],[Home Differential]])-Table4[[#This Row],[Away Differential]]</f>
        <v>0.20813868559676194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0.64894140351365015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0.1232421381669658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-0.19106480716289626</v>
      </c>
      <c r="H112" t="s">
        <v>31</v>
      </c>
      <c r="I112">
        <f>VLOOKUP(Table4[[#This Row],[Visitor]],'NHL Model'!$A$6:$B$38,2,FALSE)</f>
        <v>9.6060347736414392E-2</v>
      </c>
      <c r="J112">
        <f>($B$1+Table4[[#This Row],[Home Differential]])-Table4[[#This Row],[Away Differential]]</f>
        <v>-0.18074322213056754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0.45140969904491796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0.30095131830198757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1.4740146843006017</v>
      </c>
      <c r="H113" t="s">
        <v>25</v>
      </c>
      <c r="I113">
        <f>VLOOKUP(Table4[[#This Row],[Visitor]],'NHL Model'!$A$6:$B$38,2,FALSE)</f>
        <v>0.15503279744029827</v>
      </c>
      <c r="J113">
        <f>($B$1+Table4[[#This Row],[Home Differential]])-Table4[[#This Row],[Away Differential]]</f>
        <v>1.4253638196290466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0.75083718542068967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0.56375647901046311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8.2462575231143323E-2</v>
      </c>
      <c r="H114" t="s">
        <v>13</v>
      </c>
      <c r="I114">
        <f>VLOOKUP(Table4[[#This Row],[Visitor]],'NHL Model'!$A$6:$B$38,2,FALSE)</f>
        <v>-0.45522284197080148</v>
      </c>
      <c r="J114">
        <f>($B$1+Table4[[#This Row],[Home Differential]])-Table4[[#This Row],[Away Differential]]</f>
        <v>0.64406734997068793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0.54039916491467377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0.29203125744047675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-1.1555135170505442</v>
      </c>
      <c r="H115" t="s">
        <v>18</v>
      </c>
      <c r="I115">
        <f>VLOOKUP(Table4[[#This Row],[Visitor]],'NHL Model'!$A$6:$B$38,2,FALSE)</f>
        <v>-0.79206768185043297</v>
      </c>
      <c r="J115">
        <f>($B$1+Table4[[#This Row],[Home Differential]])-Table4[[#This Row],[Away Differential]]</f>
        <v>-0.25706390243136801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0.5517127337741321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0.30438694060852639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-0.4374979224090173</v>
      </c>
      <c r="H116" t="s">
        <v>14</v>
      </c>
      <c r="I116">
        <f>VLOOKUP(Table4[[#This Row],[Visitor]],'NHL Model'!$A$6:$B$38,2,FALSE)</f>
        <v>-0.26282059799749452</v>
      </c>
      <c r="J116">
        <f>($B$1+Table4[[#This Row],[Home Differential]])-Table4[[#This Row],[Away Differential]]</f>
        <v>-6.8295391642779701E-2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0.43638357245998527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0.31766347739296869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-1.5752718195161908</v>
      </c>
      <c r="H117" t="s">
        <v>38</v>
      </c>
      <c r="I117">
        <f>VLOOKUP(Table4[[#This Row],[Visitor]],'NHL Model'!$A$6:$B$38,2,FALSE)</f>
        <v>-1.1323142195605178</v>
      </c>
      <c r="J117">
        <f>($B$1+Table4[[#This Row],[Home Differential]])-Table4[[#This Row],[Away Differential]]</f>
        <v>-0.33657566718692977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0.5418156094605292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0.29356415465508467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-0.22618911823839277</v>
      </c>
      <c r="H118" t="s">
        <v>26</v>
      </c>
      <c r="I118">
        <f>VLOOKUP(Table4[[#This Row],[Visitor]],'NHL Model'!$A$6:$B$38,2,FALSE)</f>
        <v>-0.98948521352045793</v>
      </c>
      <c r="J118">
        <f>($B$1+Table4[[#This Row],[Home Differential]])-Table4[[#This Row],[Away Differential]]</f>
        <v>0.86967802805080829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0.62912115292176651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0.1375511192100797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-0.54922296726434805</v>
      </c>
      <c r="H119" t="s">
        <v>33</v>
      </c>
      <c r="I119">
        <f>VLOOKUP(Table4[[#This Row],[Visitor]],'NHL Model'!$A$6:$B$38,2,FALSE)</f>
        <v>-0.66146476561443079</v>
      </c>
      <c r="J119">
        <f>($B$1+Table4[[#This Row],[Home Differential]])-Table4[[#This Row],[Away Differential]]</f>
        <v>0.21862373111882583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0.56762475872875751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0.32219786672188017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-0.40987688593271943</v>
      </c>
      <c r="H120" t="s">
        <v>27</v>
      </c>
      <c r="I120">
        <f>VLOOKUP(Table4[[#This Row],[Visitor]],'NHL Model'!$A$6:$B$38,2,FALSE)</f>
        <v>-0.5336297540825371</v>
      </c>
      <c r="J120">
        <f>($B$1+Table4[[#This Row],[Home Differential]])-Table4[[#This Row],[Away Differential]]</f>
        <v>0.23013480091856076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0.57157474849469214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0.18354819612738629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-1.6690304721962474</v>
      </c>
      <c r="H121" t="s">
        <v>55</v>
      </c>
      <c r="I121">
        <f>VLOOKUP(Table4[[#This Row],[Visitor]],'NHL Model'!$A$6:$B$38,2,FALSE)</f>
        <v>-0.34901281259242245</v>
      </c>
      <c r="J121">
        <f>($B$1+Table4[[#This Row],[Home Differential]])-Table4[[#This Row],[Away Differential]]</f>
        <v>-1.2136357268350819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0.61335203532958271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0.14949664858377626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0.17240077100158954</v>
      </c>
      <c r="H122" t="s">
        <v>10</v>
      </c>
      <c r="I122">
        <f>VLOOKUP(Table4[[#This Row],[Visitor]],'NHL Model'!$A$6:$B$38,2,FALSE)</f>
        <v>-0.32256919101930787</v>
      </c>
      <c r="J122">
        <f>($B$1+Table4[[#This Row],[Home Differential]])-Table4[[#This Row],[Away Differential]]</f>
        <v>0.60135189478964057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0.64823141707657306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0.42020397008510202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-0.2381776794561975</v>
      </c>
      <c r="H123" t="s">
        <v>32</v>
      </c>
      <c r="I123">
        <f>VLOOKUP(Table4[[#This Row],[Visitor]],'NHL Model'!$A$6:$B$38,2,FALSE)</f>
        <v>-0.63099640390293943</v>
      </c>
      <c r="J123">
        <f>($B$1+Table4[[#This Row],[Home Differential]])-Table4[[#This Row],[Away Differential]]</f>
        <v>0.49920065721548501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0.60557325050685096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0.36671896172943325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-0.69947324663859312</v>
      </c>
      <c r="H124" t="s">
        <v>19</v>
      </c>
      <c r="I124">
        <f>VLOOKUP(Table4[[#This Row],[Visitor]],'NHL Model'!$A$6:$B$38,2,FALSE)</f>
        <v>-1.0208691773880865</v>
      </c>
      <c r="J124">
        <f>($B$1+Table4[[#This Row],[Home Differential]])-Table4[[#This Row],[Away Differential]]</f>
        <v>0.42777786351823643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0.60806958267577105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0.15360945202394427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-0.89619124881012313</v>
      </c>
      <c r="H125" t="s">
        <v>22</v>
      </c>
      <c r="I125">
        <f>VLOOKUP(Table4[[#This Row],[Visitor]],'NHL Model'!$A$6:$B$38,2,FALSE)</f>
        <v>0.12620994778252301</v>
      </c>
      <c r="J125">
        <f>($B$1+Table4[[#This Row],[Home Differential]])-Table4[[#This Row],[Away Differential]]</f>
        <v>-0.91601926382390308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0.59651517941135579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0.1628000004454504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-0.1651785584335338</v>
      </c>
      <c r="H126" t="s">
        <v>33</v>
      </c>
      <c r="I126">
        <f>VLOOKUP(Table4[[#This Row],[Visitor]],'NHL Model'!$A$6:$B$38,2,FALSE)</f>
        <v>-0.66146476561443079</v>
      </c>
      <c r="J126">
        <f>($B$1+Table4[[#This Row],[Home Differential]])-Table4[[#This Row],[Away Differential]]</f>
        <v>0.60266813994964008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0.73791637466239535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6.8687826670101926E-2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-0.2381776794561975</v>
      </c>
      <c r="H127" t="s">
        <v>16</v>
      </c>
      <c r="I127">
        <f>VLOOKUP(Table4[[#This Row],[Visitor]],'NHL Model'!$A$6:$B$38,2,FALSE)</f>
        <v>-1.3446131114659174</v>
      </c>
      <c r="J127">
        <f>($B$1+Table4[[#This Row],[Home Differential]])-Table4[[#This Row],[Away Differential]]</f>
        <v>1.212817364778463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0.69574410831058553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9.2571647627720716E-2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-0.19106480716289626</v>
      </c>
      <c r="H128" t="s">
        <v>12</v>
      </c>
      <c r="I128">
        <f>VLOOKUP(Table4[[#This Row],[Visitor]],'NHL Model'!$A$6:$B$38,2,FALSE)</f>
        <v>1.4740146843006017</v>
      </c>
      <c r="J128">
        <f>($B$1+Table4[[#This Row],[Home Differential]])-Table4[[#This Row],[Away Differential]]</f>
        <v>-1.5586975586947549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0.69695320251689785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0.48574376649856005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8.2462575231143323E-2</v>
      </c>
      <c r="H129" t="s">
        <v>25</v>
      </c>
      <c r="I129">
        <f>VLOOKUP(Table4[[#This Row],[Visitor]],'NHL Model'!$A$6:$B$38,2,FALSE)</f>
        <v>0.15503279744029827</v>
      </c>
      <c r="J129">
        <f>($B$1+Table4[[#This Row],[Home Differential]])-Table4[[#This Row],[Away Differential]]</f>
        <v>3.3811710559588176E-2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0.47415188293238536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0.2765162422235557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-0.98948521352045793</v>
      </c>
      <c r="H130" t="s">
        <v>35</v>
      </c>
      <c r="I130">
        <f>VLOOKUP(Table4[[#This Row],[Visitor]],'NHL Model'!$A$6:$B$38,2,FALSE)</f>
        <v>-1.6690304721962474</v>
      </c>
      <c r="J130">
        <f>($B$1+Table4[[#This Row],[Home Differential]])-Table4[[#This Row],[Away Differential]]</f>
        <v>0.7859271914445326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0.65332445378330484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0.12018393434464394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-0.4374979224090173</v>
      </c>
      <c r="H131" t="s">
        <v>20</v>
      </c>
      <c r="I131">
        <f>VLOOKUP(Table4[[#This Row],[Visitor]],'NHL Model'!$A$6:$B$38,2,FALSE)</f>
        <v>-0.26509018427102904</v>
      </c>
      <c r="J131">
        <f>($B$1+Table4[[#This Row],[Home Differential]])-Table4[[#This Row],[Away Differential]]</f>
        <v>-6.6025805369245183E-2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0.43609679310213773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0.19018041295396873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-0.26693531126155262</v>
      </c>
      <c r="H132" t="s">
        <v>55</v>
      </c>
      <c r="I132">
        <f>VLOOKUP(Table4[[#This Row],[Visitor]],'NHL Model'!$A$6:$B$38,2,FALSE)</f>
        <v>-0.34901281259242245</v>
      </c>
      <c r="J132">
        <f>($B$1+Table4[[#This Row],[Home Differential]])-Table4[[#This Row],[Away Differential]]</f>
        <v>0.18845943409961294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0.56381327210233345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0.31788540579873992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-1.5752718195161908</v>
      </c>
      <c r="H133" t="s">
        <v>13</v>
      </c>
      <c r="I133">
        <f>VLOOKUP(Table4[[#This Row],[Visitor]],'NHL Model'!$A$6:$B$38,2,FALSE)</f>
        <v>-0.45522284197080148</v>
      </c>
      <c r="J133">
        <f>($B$1+Table4[[#This Row],[Home Differential]])-Table4[[#This Row],[Away Differential]]</f>
        <v>-1.013667044776646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0.6715627437385715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0.45099651877767827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-0.5336297540825371</v>
      </c>
      <c r="H134" t="s">
        <v>30</v>
      </c>
      <c r="I134">
        <f>VLOOKUP(Table4[[#This Row],[Visitor]],'NHL Model'!$A$6:$B$38,2,FALSE)</f>
        <v>-0.22618911823839277</v>
      </c>
      <c r="J134">
        <f>($B$1+Table4[[#This Row],[Home Differential]])-Table4[[#This Row],[Away Differential]]</f>
        <v>-0.20105870307540125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0.5254052848441968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0.2760507133422116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-0.26282059799749452</v>
      </c>
      <c r="H135" t="s">
        <v>28</v>
      </c>
      <c r="I135">
        <f>VLOOKUP(Table4[[#This Row],[Visitor]],'NHL Model'!$A$6:$B$38,2,FALSE)</f>
        <v>-0.89619124881012313</v>
      </c>
      <c r="J135">
        <f>($B$1+Table4[[#This Row],[Home Differential]])-Table4[[#This Row],[Away Differential]]</f>
        <v>0.73975258358137175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0.63596880223212859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0.40445631741256827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-0.63099640390293943</v>
      </c>
      <c r="H136" t="s">
        <v>17</v>
      </c>
      <c r="I136">
        <f>VLOOKUP(Table4[[#This Row],[Visitor]],'NHL Model'!$A$6:$B$38,2,FALSE)</f>
        <v>-1.1555135170505442</v>
      </c>
      <c r="J136">
        <f>($B$1+Table4[[#This Row],[Home Differential]])-Table4[[#This Row],[Away Differential]]</f>
        <v>0.63089904591634782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0.62221433605693732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0.1427220078809007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0.17240077100158954</v>
      </c>
      <c r="H137" t="s">
        <v>31</v>
      </c>
      <c r="I137">
        <f>VLOOKUP(Table4[[#This Row],[Visitor]],'NHL Model'!$A$6:$B$38,2,FALSE)</f>
        <v>9.6060347736414392E-2</v>
      </c>
      <c r="J137">
        <f>($B$1+Table4[[#This Row],[Home Differential]])-Table4[[#This Row],[Away Differential]]</f>
        <v>0.18272235603391826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0.57481248691289144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0.18078442128520011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-1.0208691773880865</v>
      </c>
      <c r="H138" t="s">
        <v>23</v>
      </c>
      <c r="I138">
        <f>VLOOKUP(Table4[[#This Row],[Visitor]],'NHL Model'!$A$6:$B$38,2,FALSE)</f>
        <v>-0.69947324663859312</v>
      </c>
      <c r="J138">
        <f>($B$1+Table4[[#This Row],[Home Differential]])-Table4[[#This Row],[Away Differential]]</f>
        <v>-0.21501399798075027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0.48716864169834995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0.23733328545421528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-1.1323142195605178</v>
      </c>
      <c r="H139" t="s">
        <v>18</v>
      </c>
      <c r="I139">
        <f>VLOOKUP(Table4[[#This Row],[Visitor]],'NHL Model'!$A$6:$B$38,2,FALSE)</f>
        <v>-0.79206768185043297</v>
      </c>
      <c r="J139">
        <f>($B$1+Table4[[#This Row],[Home Differential]])-Table4[[#This Row],[Away Differential]]</f>
        <v>-0.23386460494134165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0.55586634765709286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0.19725470114345031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0.12620994778252301</v>
      </c>
      <c r="H140" t="s">
        <v>36</v>
      </c>
      <c r="I140">
        <f>VLOOKUP(Table4[[#This Row],[Visitor]],'NHL Model'!$A$6:$B$38,2,FALSE)</f>
        <v>-0.40987688593271943</v>
      </c>
      <c r="J140">
        <f>($B$1+Table4[[#This Row],[Home Differential]])-Table4[[#This Row],[Away Differential]]</f>
        <v>0.64246876648398554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0.61451411171478076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0.37762759349660607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-1.3446131114659174</v>
      </c>
      <c r="H141" t="s">
        <v>15</v>
      </c>
      <c r="I141">
        <f>VLOOKUP(Table4[[#This Row],[Visitor]],'NHL Model'!$A$6:$B$38,2,FALSE)</f>
        <v>-0.54922296726434805</v>
      </c>
      <c r="J141">
        <f>($B$1+Table4[[#This Row],[Home Differential]])-Table4[[#This Row],[Away Differential]]</f>
        <v>-0.6890082114328262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0.6395475764034354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0.40902110248350804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-0.32256919101930787</v>
      </c>
      <c r="H142" t="s">
        <v>13</v>
      </c>
      <c r="I142">
        <f>VLOOKUP(Table4[[#This Row],[Visitor]],'NHL Model'!$A$6:$B$38,2,FALSE)</f>
        <v>-0.45522284197080148</v>
      </c>
      <c r="J142">
        <f>($B$1+Table4[[#This Row],[Home Differential]])-Table4[[#This Row],[Away Differential]]</f>
        <v>0.23903558372023673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0.48672568951617884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0.23690189683499974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-0.26693531126155262</v>
      </c>
      <c r="H143" t="s">
        <v>33</v>
      </c>
      <c r="I143">
        <f>VLOOKUP(Table4[[#This Row],[Visitor]],'NHL Model'!$A$6:$B$38,2,FALSE)</f>
        <v>-0.66146476561443079</v>
      </c>
      <c r="J143">
        <f>($B$1+Table4[[#This Row],[Home Differential]])-Table4[[#This Row],[Away Differential]]</f>
        <v>0.50091138712162131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0.60329393493975769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0.3639635719350966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-0.1651785584335338</v>
      </c>
      <c r="H144" t="s">
        <v>12</v>
      </c>
      <c r="I144">
        <f>VLOOKUP(Table4[[#This Row],[Visitor]],'NHL Model'!$A$6:$B$38,2,FALSE)</f>
        <v>1.4740146843006017</v>
      </c>
      <c r="J144">
        <f>($B$1+Table4[[#This Row],[Home Differential]])-Table4[[#This Row],[Away Differential]]</f>
        <v>-1.5328113099653924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0.61921419447876525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0.38342621864398613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-1.5752718195161908</v>
      </c>
      <c r="H145" t="s">
        <v>39</v>
      </c>
      <c r="I145">
        <f>VLOOKUP(Table4[[#This Row],[Visitor]],'NHL Model'!$A$6:$B$38,2,FALSE)</f>
        <v>8.2462575231143323E-2</v>
      </c>
      <c r="J145">
        <f>($B$1+Table4[[#This Row],[Home Differential]])-Table4[[#This Row],[Away Differential]]</f>
        <v>-1.551352461978591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0.75782284691064261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5.8649773478466047E-2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0.17240077100158954</v>
      </c>
      <c r="H146" t="s">
        <v>20</v>
      </c>
      <c r="I146">
        <f>VLOOKUP(Table4[[#This Row],[Visitor]],'NHL Model'!$A$6:$B$38,2,FALSE)</f>
        <v>-0.26509018427102904</v>
      </c>
      <c r="J146">
        <f>($B$1+Table4[[#This Row],[Home Differential]])-Table4[[#This Row],[Away Differential]]</f>
        <v>0.54387288804136169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0.64096851068821392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0.12890361031743916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-1.1323142195605178</v>
      </c>
      <c r="H147" t="s">
        <v>17</v>
      </c>
      <c r="I147">
        <f>VLOOKUP(Table4[[#This Row],[Visitor]],'NHL Model'!$A$6:$B$38,2,FALSE)</f>
        <v>-1.1555135170505442</v>
      </c>
      <c r="J147">
        <f>($B$1+Table4[[#This Row],[Home Differential]])-Table4[[#This Row],[Away Differential]]</f>
        <v>0.12958123025876955</v>
      </c>
      <c r="K147" t="str">
        <f>IF(Table4[[#This Row],[HomeIce Differential]]&gt;0,Table4[[#This Row],[Home]],Table4[[#This Row],[Visitor]])</f>
        <v>Vancouver Canucks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0.55637356659935733</v>
      </c>
      <c r="M147" t="str">
        <f>IF(OR((NHL2025_26Results[[#This Row],[Winning Team]]="")),"-",IF(Table4[[#This Row],[Predicted Winner]]=NHL2025_26Results[[#This Row],[Winning Team]],"YES","NO"))</f>
        <v>YES</v>
      </c>
      <c r="N147">
        <f>IF(Table4[[#This Row],[Adjusted Correct]]="-", "",IF(Table4[[#This Row],[Adjusted Correct]]="YES",(Table4[[#This Row],[Strength of Win]]-1)^2,(Table4[[#This Row],[Strength of Win]]-0)^2))</f>
        <v>0.19680441241177485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-0.2381776794561975</v>
      </c>
      <c r="H148" t="s">
        <v>55</v>
      </c>
      <c r="I148">
        <f>VLOOKUP(Table4[[#This Row],[Visitor]],'NHL Model'!$A$6:$B$38,2,FALSE)</f>
        <v>-0.34901281259242245</v>
      </c>
      <c r="J148">
        <f>($B$1+Table4[[#This Row],[Home Differential]])-Table4[[#This Row],[Away Differential]]</f>
        <v>0.21721706590496806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0.56994249516498119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0.32483444779488463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-0.40987688593271943</v>
      </c>
      <c r="H149" t="s">
        <v>21</v>
      </c>
      <c r="I149">
        <f>VLOOKUP(Table4[[#This Row],[Visitor]],'NHL Model'!$A$6:$B$38,2,FALSE)</f>
        <v>-0.19106480716289626</v>
      </c>
      <c r="J149">
        <f>($B$1+Table4[[#This Row],[Home Differential]])-Table4[[#This Row],[Away Differential]]</f>
        <v>-0.11243014600108009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0.47253973097015128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0.22329379734534296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-0.26282059799749452</v>
      </c>
      <c r="H150" t="s">
        <v>35</v>
      </c>
      <c r="I150">
        <f>VLOOKUP(Table4[[#This Row],[Visitor]],'NHL Model'!$A$6:$B$38,2,FALSE)</f>
        <v>-1.6690304721962474</v>
      </c>
      <c r="J150">
        <f>($B$1+Table4[[#This Row],[Home Differential]])-Table4[[#This Row],[Away Differential]]</f>
        <v>1.512591806967496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0.73362287195687481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7.0956774344503509E-2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-0.19106480716289626</v>
      </c>
      <c r="H151" t="s">
        <v>30</v>
      </c>
      <c r="I151">
        <f>VLOOKUP(Table4[[#This Row],[Visitor]],'NHL Model'!$A$6:$B$38,2,FALSE)</f>
        <v>-0.22618911823839277</v>
      </c>
      <c r="J151">
        <f>($B$1+Table4[[#This Row],[Home Differential]])-Table4[[#This Row],[Away Differential]]</f>
        <v>0.14150624384423963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0.5378803820829734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0.21355454126377865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-0.69947324663859312</v>
      </c>
      <c r="H152" t="s">
        <v>28</v>
      </c>
      <c r="I152">
        <f>VLOOKUP(Table4[[#This Row],[Visitor]],'NHL Model'!$A$6:$B$38,2,FALSE)</f>
        <v>-0.89619124881012313</v>
      </c>
      <c r="J152">
        <f>($B$1+Table4[[#This Row],[Home Differential]])-Table4[[#This Row],[Away Differential]]</f>
        <v>0.3030999349402731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0.59231558525681971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0.35083775253812888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0.15503279744029827</v>
      </c>
      <c r="H153" t="s">
        <v>20</v>
      </c>
      <c r="I153">
        <f>VLOOKUP(Table4[[#This Row],[Visitor]],'NHL Model'!$A$6:$B$38,2,FALSE)</f>
        <v>-0.26509018427102904</v>
      </c>
      <c r="J153">
        <f>($B$1+Table4[[#This Row],[Home Differential]])-Table4[[#This Row],[Away Differential]]</f>
        <v>0.52650491448007042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0.63256560616571411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0.40013924610379731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-0.32256919101930787</v>
      </c>
      <c r="H154" t="s">
        <v>36</v>
      </c>
      <c r="I154">
        <f>VLOOKUP(Table4[[#This Row],[Visitor]],'NHL Model'!$A$6:$B$38,2,FALSE)</f>
        <v>-0.40987688593271943</v>
      </c>
      <c r="J154">
        <f>($B$1+Table4[[#This Row],[Home Differential]])-Table4[[#This Row],[Away Differential]]</f>
        <v>0.19368962768215467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0.54370491577286739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0.20820520388984604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1.4740146843006017</v>
      </c>
      <c r="H155" t="s">
        <v>24</v>
      </c>
      <c r="I155">
        <f>VLOOKUP(Table4[[#This Row],[Visitor]],'NHL Model'!$A$6:$B$38,2,FALSE)</f>
        <v>-0.1651785584335338</v>
      </c>
      <c r="J155">
        <f>($B$1+Table4[[#This Row],[Home Differential]])-Table4[[#This Row],[Away Differential]]</f>
        <v>1.7455751755028786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0.85991086235903635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1.9624966484988859E-2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8.2462575231143323E-2</v>
      </c>
      <c r="H156" t="s">
        <v>22</v>
      </c>
      <c r="I156">
        <f>VLOOKUP(Table4[[#This Row],[Visitor]],'NHL Model'!$A$6:$B$38,2,FALSE)</f>
        <v>0.12620994778252301</v>
      </c>
      <c r="J156">
        <f>($B$1+Table4[[#This Row],[Home Differential]])-Table4[[#This Row],[Away Differential]]</f>
        <v>6.2634560217363439E-2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0.52965347992114309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0.22122584895029054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-1.1555135170505442</v>
      </c>
      <c r="H157" t="s">
        <v>55</v>
      </c>
      <c r="I157">
        <f>VLOOKUP(Table4[[#This Row],[Visitor]],'NHL Model'!$A$6:$B$38,2,FALSE)</f>
        <v>-0.34901281259242245</v>
      </c>
      <c r="J157">
        <f>($B$1+Table4[[#This Row],[Home Differential]])-Table4[[#This Row],[Away Differential]]</f>
        <v>-0.70011877168937853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0.54141933985570467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0.29313490156978705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-0.4374979224090173</v>
      </c>
      <c r="H158" t="s">
        <v>31</v>
      </c>
      <c r="I158">
        <f>VLOOKUP(Table4[[#This Row],[Visitor]],'NHL Model'!$A$6:$B$38,2,FALSE)</f>
        <v>9.6060347736414392E-2</v>
      </c>
      <c r="J158">
        <f>($B$1+Table4[[#This Row],[Home Differential]])-Table4[[#This Row],[Away Differential]]</f>
        <v>-0.42717633737668859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0.50225281687746015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0.24775225830642322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-0.26693531126155262</v>
      </c>
      <c r="H159" t="s">
        <v>40</v>
      </c>
      <c r="I159">
        <f>VLOOKUP(Table4[[#This Row],[Visitor]],'NHL Model'!$A$6:$B$38,2,FALSE)</f>
        <v>-0.2381776794561975</v>
      </c>
      <c r="J159">
        <f>($B$1+Table4[[#This Row],[Home Differential]])-Table4[[#This Row],[Away Differential]]</f>
        <v>7.7624300963387988E-2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0.50729585356702489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0.25734908304629633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-1.5752718195161908</v>
      </c>
      <c r="H160" t="s">
        <v>37</v>
      </c>
      <c r="I160">
        <f>VLOOKUP(Table4[[#This Row],[Visitor]],'NHL Model'!$A$6:$B$38,2,FALSE)</f>
        <v>0.17240077100158954</v>
      </c>
      <c r="J160">
        <f>($B$1+Table4[[#This Row],[Home Differential]])-Table4[[#This Row],[Away Differential]]</f>
        <v>-1.6412906577490372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0.73370525351790372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7.0912892003963932E-2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-0.5336297540825371</v>
      </c>
      <c r="H161" t="s">
        <v>14</v>
      </c>
      <c r="I161">
        <f>VLOOKUP(Table4[[#This Row],[Visitor]],'NHL Model'!$A$6:$B$38,2,FALSE)</f>
        <v>-0.26282059799749452</v>
      </c>
      <c r="J161">
        <f>($B$1+Table4[[#This Row],[Home Differential]])-Table4[[#This Row],[Away Differential]]</f>
        <v>-0.1644272233162995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0.44853055505215012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0.20117965881538988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-0.63099640390293943</v>
      </c>
      <c r="H162" t="s">
        <v>18</v>
      </c>
      <c r="I162">
        <f>VLOOKUP(Table4[[#This Row],[Visitor]],'NHL Model'!$A$6:$B$38,2,FALSE)</f>
        <v>-0.79206768185043297</v>
      </c>
      <c r="J162">
        <f>($B$1+Table4[[#This Row],[Home Differential]])-Table4[[#This Row],[Away Differential]]</f>
        <v>0.26745321071623662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0.50998520826030747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0.26008491264430916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-0.66146476561443079</v>
      </c>
      <c r="H163" t="s">
        <v>13</v>
      </c>
      <c r="I163">
        <f>VLOOKUP(Table4[[#This Row],[Visitor]],'NHL Model'!$A$6:$B$38,2,FALSE)</f>
        <v>-0.45522284197080148</v>
      </c>
      <c r="J163">
        <f>($B$1+Table4[[#This Row],[Home Differential]])-Table4[[#This Row],[Away Differential]]</f>
        <v>-9.9859990874886229E-2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0.55609632451918489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0.19705047310537682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-1.6690304721962474</v>
      </c>
      <c r="H164" t="s">
        <v>26</v>
      </c>
      <c r="I164">
        <f>VLOOKUP(Table4[[#This Row],[Visitor]],'NHL Model'!$A$6:$B$38,2,FALSE)</f>
        <v>-0.98948521352045793</v>
      </c>
      <c r="J164">
        <f>($B$1+Table4[[#This Row],[Home Differential]])-Table4[[#This Row],[Away Differential]]</f>
        <v>-0.57316332590704633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0.55319274357511439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0.19963672439393348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-1.0208691773880865</v>
      </c>
      <c r="H165" t="s">
        <v>16</v>
      </c>
      <c r="I165">
        <f>VLOOKUP(Table4[[#This Row],[Visitor]],'NHL Model'!$A$6:$B$38,2,FALSE)</f>
        <v>-1.3446131114659174</v>
      </c>
      <c r="J165">
        <f>($B$1+Table4[[#This Row],[Home Differential]])-Table4[[#This Row],[Away Differential]]</f>
        <v>0.43012586684657406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0.59434965012181662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0.16455220635629259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-1.1323142195605178</v>
      </c>
      <c r="H166" t="s">
        <v>15</v>
      </c>
      <c r="I166">
        <f>VLOOKUP(Table4[[#This Row],[Visitor]],'NHL Model'!$A$6:$B$38,2,FALSE)</f>
        <v>-0.54922296726434805</v>
      </c>
      <c r="J166">
        <f>($B$1+Table4[[#This Row],[Home Differential]])-Table4[[#This Row],[Away Differential]]</f>
        <v>-0.47670931952742657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0.61272200885294081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0.14998424242690164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-0.89619124881012313</v>
      </c>
      <c r="H167" t="s">
        <v>19</v>
      </c>
      <c r="I167">
        <f>VLOOKUP(Table4[[#This Row],[Visitor]],'NHL Model'!$A$6:$B$38,2,FALSE)</f>
        <v>-1.0208691773880865</v>
      </c>
      <c r="J167">
        <f>($B$1+Table4[[#This Row],[Home Differential]])-Table4[[#This Row],[Away Differential]]</f>
        <v>0.23105986134670642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0.56919615765835441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0.18559195057632544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-0.19106480716289626</v>
      </c>
      <c r="H168" t="s">
        <v>23</v>
      </c>
      <c r="I168">
        <f>VLOOKUP(Table4[[#This Row],[Visitor]],'NHL Model'!$A$6:$B$38,2,FALSE)</f>
        <v>-0.69947324663859312</v>
      </c>
      <c r="J168">
        <f>($B$1+Table4[[#This Row],[Home Differential]])-Table4[[#This Row],[Away Differential]]</f>
        <v>0.61479037224444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0.66939938066766724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0.109296769502922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0.15503279744029827</v>
      </c>
      <c r="H169" t="s">
        <v>30</v>
      </c>
      <c r="I169">
        <f>VLOOKUP(Table4[[#This Row],[Visitor]],'NHL Model'!$A$6:$B$38,2,FALSE)</f>
        <v>-0.22618911823839277</v>
      </c>
      <c r="J169">
        <f>($B$1+Table4[[#This Row],[Home Differential]])-Table4[[#This Row],[Away Differential]]</f>
        <v>0.48760384844743415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0.5552833130510102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0.1977729316508858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-1.1555135170505442</v>
      </c>
      <c r="H170" t="s">
        <v>15</v>
      </c>
      <c r="I170">
        <f>VLOOKUP(Table4[[#This Row],[Visitor]],'NHL Model'!$A$6:$B$38,2,FALSE)</f>
        <v>-0.54922296726434805</v>
      </c>
      <c r="J170">
        <f>($B$1+Table4[[#This Row],[Home Differential]])-Table4[[#This Row],[Away Differential]]</f>
        <v>-0.49990861701745293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0.60862177282213648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0.15317691670888736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-0.45522284197080148</v>
      </c>
      <c r="H171" t="s">
        <v>26</v>
      </c>
      <c r="I171">
        <f>VLOOKUP(Table4[[#This Row],[Visitor]],'NHL Model'!$A$6:$B$38,2,FALSE)</f>
        <v>-0.98948521352045793</v>
      </c>
      <c r="J171">
        <f>($B$1+Table4[[#This Row],[Home Differential]])-Table4[[#This Row],[Away Differential]]</f>
        <v>0.64064430431839958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0.60018101304546978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0.36021724842028635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-0.26693531126155262</v>
      </c>
      <c r="H172" t="s">
        <v>14</v>
      </c>
      <c r="I172">
        <f>VLOOKUP(Table4[[#This Row],[Visitor]],'NHL Model'!$A$6:$B$38,2,FALSE)</f>
        <v>-0.26282059799749452</v>
      </c>
      <c r="J172">
        <f>($B$1+Table4[[#This Row],[Home Differential]])-Table4[[#This Row],[Away Differential]]</f>
        <v>0.10226721950468501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0.5529222351581875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0.30572299813232601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-0.40987688593271943</v>
      </c>
      <c r="H173" t="s">
        <v>16</v>
      </c>
      <c r="I173">
        <f>VLOOKUP(Table4[[#This Row],[Visitor]],'NHL Model'!$A$6:$B$38,2,FALSE)</f>
        <v>-1.3446131114659174</v>
      </c>
      <c r="J173">
        <f>($B$1+Table4[[#This Row],[Home Differential]])-Table4[[#This Row],[Away Differential]]</f>
        <v>1.0411181583019411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0.67404861748459166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0.10624430376370604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-0.5336297540825371</v>
      </c>
      <c r="H174" t="s">
        <v>29</v>
      </c>
      <c r="I174">
        <f>VLOOKUP(Table4[[#This Row],[Visitor]],'NHL Model'!$A$6:$B$38,2,FALSE)</f>
        <v>-1.5752718195161908</v>
      </c>
      <c r="J174">
        <f>($B$1+Table4[[#This Row],[Home Differential]])-Table4[[#This Row],[Away Differential]]</f>
        <v>1.1480239982023968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0.7173075639488069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7.9915013400557899E-2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-0.66146476561443079</v>
      </c>
      <c r="H175" t="s">
        <v>24</v>
      </c>
      <c r="I175">
        <f>VLOOKUP(Table4[[#This Row],[Visitor]],'NHL Model'!$A$6:$B$38,2,FALSE)</f>
        <v>-0.1651785584335338</v>
      </c>
      <c r="J175">
        <f>($B$1+Table4[[#This Row],[Home Differential]])-Table4[[#This Row],[Away Differential]]</f>
        <v>-0.38990427441215392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0.51009684138879374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0.26019878759482418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-1.6690304721962474</v>
      </c>
      <c r="H176" t="s">
        <v>38</v>
      </c>
      <c r="I176">
        <f>VLOOKUP(Table4[[#This Row],[Visitor]],'NHL Model'!$A$6:$B$38,2,FALSE)</f>
        <v>-1.1323142195605178</v>
      </c>
      <c r="J176">
        <f>($B$1+Table4[[#This Row],[Home Differential]])-Table4[[#This Row],[Away Differential]]</f>
        <v>-0.43033431986698645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0.55366272297270414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0.19921696486414106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0.17240077100158954</v>
      </c>
      <c r="H177" t="s">
        <v>39</v>
      </c>
      <c r="I177">
        <f>VLOOKUP(Table4[[#This Row],[Visitor]],'NHL Model'!$A$6:$B$38,2,FALSE)</f>
        <v>8.2462575231143323E-2</v>
      </c>
      <c r="J177">
        <f>($B$1+Table4[[#This Row],[Home Differential]])-Table4[[#This Row],[Away Differential]]</f>
        <v>0.19632012853918934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0.49539476547608635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0.25462644270893386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-0.2381776794561975</v>
      </c>
      <c r="H178" t="s">
        <v>10</v>
      </c>
      <c r="I178">
        <f>VLOOKUP(Table4[[#This Row],[Visitor]],'NHL Model'!$A$6:$B$38,2,FALSE)</f>
        <v>-0.32256919101930787</v>
      </c>
      <c r="J178">
        <f>($B$1+Table4[[#This Row],[Home Differential]])-Table4[[#This Row],[Away Differential]]</f>
        <v>0.19077344433185348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0.56660114396704186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0.18783456841067678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9.6060347736414392E-2</v>
      </c>
      <c r="H179" t="s">
        <v>26</v>
      </c>
      <c r="I179">
        <f>VLOOKUP(Table4[[#This Row],[Visitor]],'NHL Model'!$A$6:$B$38,2,FALSE)</f>
        <v>-0.98948521352045793</v>
      </c>
      <c r="J179">
        <f>($B$1+Table4[[#This Row],[Home Differential]])-Table4[[#This Row],[Away Differential]]</f>
        <v>1.1919274940256155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0.74320162884005248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6.5945403430402172E-2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-0.26509018427102904</v>
      </c>
      <c r="H180" t="s">
        <v>12</v>
      </c>
      <c r="I180">
        <f>VLOOKUP(Table4[[#This Row],[Visitor]],'NHL Model'!$A$6:$B$38,2,FALSE)</f>
        <v>1.4740146843006017</v>
      </c>
      <c r="J180">
        <f>($B$1+Table4[[#This Row],[Home Differential]])-Table4[[#This Row],[Away Differential]]</f>
        <v>-1.6327229358028876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0.75879305554736876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5.8180790052174733E-2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0.12620994778252301</v>
      </c>
      <c r="H181" t="s">
        <v>30</v>
      </c>
      <c r="I181">
        <f>VLOOKUP(Table4[[#This Row],[Visitor]],'NHL Model'!$A$6:$B$38,2,FALSE)</f>
        <v>-0.22618911823839277</v>
      </c>
      <c r="J181">
        <f>($B$1+Table4[[#This Row],[Home Differential]])-Table4[[#This Row],[Away Differential]]</f>
        <v>0.45878099878965889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0.53945192383027807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0.29100837812418812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-0.19106480716289626</v>
      </c>
      <c r="H182" t="s">
        <v>25</v>
      </c>
      <c r="I182">
        <f>VLOOKUP(Table4[[#This Row],[Visitor]],'NHL Model'!$A$6:$B$38,2,FALSE)</f>
        <v>0.15503279744029827</v>
      </c>
      <c r="J182">
        <f>($B$1+Table4[[#This Row],[Home Differential]])-Table4[[#This Row],[Away Differential]]</f>
        <v>-0.23971567183445142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0.51028988465268454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0.26039576637885009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-0.69947324663859312</v>
      </c>
      <c r="H183" t="s">
        <v>22</v>
      </c>
      <c r="I183">
        <f>VLOOKUP(Table4[[#This Row],[Visitor]],'NHL Model'!$A$6:$B$38,2,FALSE)</f>
        <v>0.12620994778252301</v>
      </c>
      <c r="J183">
        <f>($B$1+Table4[[#This Row],[Home Differential]])-Table4[[#This Row],[Away Differential]]</f>
        <v>-0.71930126165237307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0.55755581078999006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0.31086848214568319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-0.89619124881012313</v>
      </c>
      <c r="H184" t="s">
        <v>35</v>
      </c>
      <c r="I184">
        <f>VLOOKUP(Table4[[#This Row],[Visitor]],'NHL Model'!$A$6:$B$38,2,FALSE)</f>
        <v>-1.6690304721962474</v>
      </c>
      <c r="J184">
        <f>($B$1+Table4[[#This Row],[Home Differential]])-Table4[[#This Row],[Away Differential]]</f>
        <v>0.8792211561548674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0.6510962299641494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0.12173384074522972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-1.1555135170505442</v>
      </c>
      <c r="H185" t="s">
        <v>10</v>
      </c>
      <c r="I185">
        <f>VLOOKUP(Table4[[#This Row],[Visitor]],'NHL Model'!$A$6:$B$38,2,FALSE)</f>
        <v>-0.32256919101930787</v>
      </c>
      <c r="J185">
        <f>($B$1+Table4[[#This Row],[Home Differential]])-Table4[[#This Row],[Away Differential]]</f>
        <v>-0.72656239326249317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0.544760691053644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0.29676421051724378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-0.4374979224090173</v>
      </c>
      <c r="H186" t="s">
        <v>39</v>
      </c>
      <c r="I186">
        <f>VLOOKUP(Table4[[#This Row],[Visitor]],'NHL Model'!$A$6:$B$38,2,FALSE)</f>
        <v>8.2462575231143323E-2</v>
      </c>
      <c r="J186">
        <f>($B$1+Table4[[#This Row],[Home Differential]])-Table4[[#This Row],[Away Differential]]</f>
        <v>-0.41357856487141753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0.5816705383142653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0.33834061514280717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-0.45522284197080148</v>
      </c>
      <c r="H187" t="s">
        <v>24</v>
      </c>
      <c r="I187">
        <f>VLOOKUP(Table4[[#This Row],[Visitor]],'NHL Model'!$A$6:$B$38,2,FALSE)</f>
        <v>-0.1651785584335338</v>
      </c>
      <c r="J187">
        <f>($B$1+Table4[[#This Row],[Home Differential]])-Table4[[#This Row],[Away Differential]]</f>
        <v>-0.18366235076852455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0.48403661749977112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0.26621821208107749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-0.26693531126155262</v>
      </c>
      <c r="H188" t="s">
        <v>38</v>
      </c>
      <c r="I188">
        <f>VLOOKUP(Table4[[#This Row],[Visitor]],'NHL Model'!$A$6:$B$38,2,FALSE)</f>
        <v>-1.1323142195605178</v>
      </c>
      <c r="J188">
        <f>($B$1+Table4[[#This Row],[Home Differential]])-Table4[[#This Row],[Away Differential]]</f>
        <v>0.97176084106770833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0.62350258445921214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0.14175030390889268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-0.79206768185043297</v>
      </c>
      <c r="H189" t="s">
        <v>36</v>
      </c>
      <c r="I189">
        <f>VLOOKUP(Table4[[#This Row],[Visitor]],'NHL Model'!$A$6:$B$38,2,FALSE)</f>
        <v>-0.40987688593271943</v>
      </c>
      <c r="J189">
        <f>($B$1+Table4[[#This Row],[Home Differential]])-Table4[[#This Row],[Away Differential]]</f>
        <v>-0.27580886314897046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0.51561976259736997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0.26586373958096815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-1.5752718195161908</v>
      </c>
      <c r="H190" t="s">
        <v>16</v>
      </c>
      <c r="I190">
        <f>VLOOKUP(Table4[[#This Row],[Visitor]],'NHL Model'!$A$6:$B$38,2,FALSE)</f>
        <v>-1.3446131114659174</v>
      </c>
      <c r="J190">
        <f>($B$1+Table4[[#This Row],[Home Differential]])-Table4[[#This Row],[Away Differential]]</f>
        <v>-0.12427677528153014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0.47570330867180349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0.22629363788130116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-0.5336297540825371</v>
      </c>
      <c r="H191" t="s">
        <v>19</v>
      </c>
      <c r="I191">
        <f>VLOOKUP(Table4[[#This Row],[Visitor]],'NHL Model'!$A$6:$B$38,2,FALSE)</f>
        <v>-1.0208691773880865</v>
      </c>
      <c r="J191">
        <f>($B$1+Table4[[#This Row],[Home Differential]])-Table4[[#This Row],[Away Differential]]</f>
        <v>0.59362135607429245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0.64725460515518685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0.41893852389459685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-0.63099640390293943</v>
      </c>
      <c r="H192" t="s">
        <v>15</v>
      </c>
      <c r="I192">
        <f>VLOOKUP(Table4[[#This Row],[Visitor]],'NHL Model'!$A$6:$B$38,2,FALSE)</f>
        <v>-0.54922296726434805</v>
      </c>
      <c r="J192">
        <f>($B$1+Table4[[#This Row],[Home Differential]])-Table4[[#This Row],[Away Differential]]</f>
        <v>2.4608496130151702E-2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0.45310946924560319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0.20530819112003224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-0.66146476561443079</v>
      </c>
      <c r="H193" t="s">
        <v>12</v>
      </c>
      <c r="I193">
        <f>VLOOKUP(Table4[[#This Row],[Visitor]],'NHL Model'!$A$6:$B$38,2,FALSE)</f>
        <v>1.4740146843006017</v>
      </c>
      <c r="J193">
        <f>($B$1+Table4[[#This Row],[Home Differential]])-Table4[[#This Row],[Away Differential]]</f>
        <v>-2.0290975171462895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0.80887797597109135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0.65428358001108944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-0.2381776794561975</v>
      </c>
      <c r="H194" t="s">
        <v>14</v>
      </c>
      <c r="I194">
        <f>VLOOKUP(Table4[[#This Row],[Visitor]],'NHL Model'!$A$6:$B$38,2,FALSE)</f>
        <v>-0.26282059799749452</v>
      </c>
      <c r="J194">
        <f>($B$1+Table4[[#This Row],[Home Differential]])-Table4[[#This Row],[Away Differential]]</f>
        <v>0.13102485131004013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0.55905145822083524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0.19443561649717181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9.6060347736414392E-2</v>
      </c>
      <c r="H195" t="s">
        <v>24</v>
      </c>
      <c r="I195">
        <f>VLOOKUP(Table4[[#This Row],[Visitor]],'NHL Model'!$A$6:$B$38,2,FALSE)</f>
        <v>-0.1651785584335338</v>
      </c>
      <c r="J195">
        <f>($B$1+Table4[[#This Row],[Home Differential]])-Table4[[#This Row],[Away Differential]]</f>
        <v>0.3676208389386913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0.65821637390289878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0.11681604706808309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-0.22618911823839277</v>
      </c>
      <c r="H196" t="s">
        <v>28</v>
      </c>
      <c r="I196">
        <f>VLOOKUP(Table4[[#This Row],[Visitor]],'NHL Model'!$A$6:$B$38,2,FALSE)</f>
        <v>-0.89619124881012313</v>
      </c>
      <c r="J196">
        <f>($B$1+Table4[[#This Row],[Home Differential]])-Table4[[#This Row],[Away Differential]]</f>
        <v>0.7763840633404735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0.63810198701153775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0.13097017180499718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-0.5336297540825371</v>
      </c>
      <c r="H197" t="s">
        <v>16</v>
      </c>
      <c r="I197">
        <f>VLOOKUP(Table4[[#This Row],[Visitor]],'NHL Model'!$A$6:$B$38,2,FALSE)</f>
        <v>-1.3446131114659174</v>
      </c>
      <c r="J197">
        <f>($B$1+Table4[[#This Row],[Home Differential]])-Table4[[#This Row],[Away Differential]]</f>
        <v>0.91736529015212342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0.68816209503760029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0.47356706904653922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-0.66146476561443079</v>
      </c>
      <c r="H198" t="s">
        <v>26</v>
      </c>
      <c r="I198">
        <f>VLOOKUP(Table4[[#This Row],[Visitor]],'NHL Model'!$A$6:$B$38,2,FALSE)</f>
        <v>-0.98948521352045793</v>
      </c>
      <c r="J198">
        <f>($B$1+Table4[[#This Row],[Home Differential]])-Table4[[#This Row],[Away Differential]]</f>
        <v>0.43440238067477022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0.57412078915644715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0.32961468054162163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-0.34901281259242245</v>
      </c>
      <c r="H199" t="s">
        <v>37</v>
      </c>
      <c r="I199">
        <f>VLOOKUP(Table4[[#This Row],[Visitor]],'NHL Model'!$A$6:$B$38,2,FALSE)</f>
        <v>0.17240077100158954</v>
      </c>
      <c r="J199">
        <f>($B$1+Table4[[#This Row],[Home Differential]])-Table4[[#This Row],[Away Differential]]</f>
        <v>-0.41503165082526888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0.53773649963446746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0.21368754377019469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-1.5752718195161908</v>
      </c>
      <c r="H200" t="s">
        <v>38</v>
      </c>
      <c r="I200">
        <f>VLOOKUP(Table4[[#This Row],[Visitor]],'NHL Model'!$A$6:$B$38,2,FALSE)</f>
        <v>-1.1323142195605178</v>
      </c>
      <c r="J200">
        <f>($B$1+Table4[[#This Row],[Home Differential]])-Table4[[#This Row],[Away Differential]]</f>
        <v>-0.33657566718692977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0.5418156094605292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0.2099329357340263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-0.63099640390293943</v>
      </c>
      <c r="H201" t="s">
        <v>10</v>
      </c>
      <c r="I201">
        <f>VLOOKUP(Table4[[#This Row],[Visitor]],'NHL Model'!$A$6:$B$38,2,FALSE)</f>
        <v>-0.32256919101930787</v>
      </c>
      <c r="J201">
        <f>($B$1+Table4[[#This Row],[Home Differential]])-Table4[[#This Row],[Away Differential]]</f>
        <v>-0.20204528011488848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0.48303446709606607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0.23332229640278054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-1.6690304721962474</v>
      </c>
      <c r="H202" t="s">
        <v>17</v>
      </c>
      <c r="I202">
        <f>VLOOKUP(Table4[[#This Row],[Visitor]],'NHL Model'!$A$6:$B$38,2,FALSE)</f>
        <v>-1.1555135170505442</v>
      </c>
      <c r="J202">
        <f>($B$1+Table4[[#This Row],[Home Differential]])-Table4[[#This Row],[Away Differential]]</f>
        <v>-0.40713502237696009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0.51144458337451881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0.26157556186313513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-1.0208691773880865</v>
      </c>
      <c r="H203" t="s">
        <v>14</v>
      </c>
      <c r="I203">
        <f>VLOOKUP(Table4[[#This Row],[Visitor]],'NHL Model'!$A$6:$B$38,2,FALSE)</f>
        <v>-0.26282059799749452</v>
      </c>
      <c r="J203">
        <f>($B$1+Table4[[#This Row],[Home Differential]])-Table4[[#This Row],[Away Differential]]</f>
        <v>-0.65166664662184881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0.54234299996793389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0.29413592961421836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9.6060347736414392E-2</v>
      </c>
      <c r="H204" t="s">
        <v>11</v>
      </c>
      <c r="I204">
        <f>VLOOKUP(Table4[[#This Row],[Visitor]],'NHL Model'!$A$6:$B$38,2,FALSE)</f>
        <v>-0.4374979224090173</v>
      </c>
      <c r="J204">
        <f>($B$1+Table4[[#This Row],[Home Differential]])-Table4[[#This Row],[Away Differential]]</f>
        <v>0.63994020291417475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0.69341870254610627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9.3992091948512865E-2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-0.69947324663859312</v>
      </c>
      <c r="H205" t="s">
        <v>55</v>
      </c>
      <c r="I205">
        <f>VLOOKUP(Table4[[#This Row],[Visitor]],'NHL Model'!$A$6:$B$38,2,FALSE)</f>
        <v>-0.34901281259242245</v>
      </c>
      <c r="J205">
        <f>($B$1+Table4[[#This Row],[Home Differential]])-Table4[[#This Row],[Away Differential]]</f>
        <v>-0.24407850127742758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0.47682454058741991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0.2737125613315643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1.4740146843006017</v>
      </c>
      <c r="H206" t="s">
        <v>37</v>
      </c>
      <c r="I206">
        <f>VLOOKUP(Table4[[#This Row],[Visitor]],'NHL Model'!$A$6:$B$38,2,FALSE)</f>
        <v>0.17240077100158954</v>
      </c>
      <c r="J206">
        <f>($B$1+Table4[[#This Row],[Home Differential]])-Table4[[#This Row],[Away Differential]]</f>
        <v>1.4079958460677553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0.75483398046343475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6.0106377135403496E-2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8.2462575231143323E-2</v>
      </c>
      <c r="H207" t="s">
        <v>17</v>
      </c>
      <c r="I207">
        <f>VLOOKUP(Table4[[#This Row],[Visitor]],'NHL Model'!$A$6:$B$38,2,FALSE)</f>
        <v>-1.1555135170505442</v>
      </c>
      <c r="J207">
        <f>($B$1+Table4[[#This Row],[Home Differential]])-Table4[[#This Row],[Away Differential]]</f>
        <v>1.3443580250504306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0.71236526368305308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8.2733741536119579E-2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-0.45522284197080148</v>
      </c>
      <c r="H208" t="s">
        <v>40</v>
      </c>
      <c r="I208">
        <f>VLOOKUP(Table4[[#This Row],[Visitor]],'NHL Model'!$A$6:$B$38,2,FALSE)</f>
        <v>-0.2381776794561975</v>
      </c>
      <c r="J208">
        <f>($B$1+Table4[[#This Row],[Home Differential]])-Table4[[#This Row],[Away Differential]]</f>
        <v>-0.11066322974586085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0.51649569724430699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0.26676780527188282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-0.26693531126155262</v>
      </c>
      <c r="H209" t="s">
        <v>29</v>
      </c>
      <c r="I209">
        <f>VLOOKUP(Table4[[#This Row],[Visitor]],'NHL Model'!$A$6:$B$38,2,FALSE)</f>
        <v>-1.5752718195161908</v>
      </c>
      <c r="J209">
        <f>($B$1+Table4[[#This Row],[Home Differential]])-Table4[[#This Row],[Away Differential]]</f>
        <v>1.4147184410233813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0.71876035415914441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7.9095738392689879E-2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-0.79206768185043297</v>
      </c>
      <c r="H210" t="s">
        <v>27</v>
      </c>
      <c r="I210">
        <f>VLOOKUP(Table4[[#This Row],[Visitor]],'NHL Model'!$A$6:$B$38,2,FALSE)</f>
        <v>-0.5336297540825371</v>
      </c>
      <c r="J210">
        <f>($B$1+Table4[[#This Row],[Home Differential]])-Table4[[#This Row],[Away Differential]]</f>
        <v>-0.15205599499915279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0.4792134227771902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0.27121865901544956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-0.22618911823839277</v>
      </c>
      <c r="H211" t="s">
        <v>21</v>
      </c>
      <c r="I211">
        <f>VLOOKUP(Table4[[#This Row],[Visitor]],'NHL Model'!$A$6:$B$38,2,FALSE)</f>
        <v>-0.19106480716289626</v>
      </c>
      <c r="J211">
        <f>($B$1+Table4[[#This Row],[Home Differential]])-Table4[[#This Row],[Away Differential]]</f>
        <v>7.1257621693246592E-2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0.54817444530827519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0.30049522248903521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-0.54922296726434805</v>
      </c>
      <c r="H212" t="s">
        <v>25</v>
      </c>
      <c r="I212">
        <f>VLOOKUP(Table4[[#This Row],[Visitor]],'NHL Model'!$A$6:$B$38,2,FALSE)</f>
        <v>0.15503279744029827</v>
      </c>
      <c r="J212">
        <f>($B$1+Table4[[#This Row],[Home Differential]])-Table4[[#This Row],[Away Differential]]</f>
        <v>-0.59787383193590327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0.60816904088007584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0.15353150052483969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-0.26509018427102904</v>
      </c>
      <c r="H213" t="s">
        <v>26</v>
      </c>
      <c r="I213">
        <f>VLOOKUP(Table4[[#This Row],[Visitor]],'NHL Model'!$A$6:$B$38,2,FALSE)</f>
        <v>-0.98948521352045793</v>
      </c>
      <c r="J213">
        <f>($B$1+Table4[[#This Row],[Home Differential]])-Table4[[#This Row],[Away Differential]]</f>
        <v>0.83077696201817197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0.62420570958016985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0.14122134871214365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-1.3446131114659174</v>
      </c>
      <c r="H214" t="s">
        <v>28</v>
      </c>
      <c r="I214">
        <f>VLOOKUP(Table4[[#This Row],[Visitor]],'NHL Model'!$A$6:$B$38,2,FALSE)</f>
        <v>-0.89619124881012313</v>
      </c>
      <c r="J214">
        <f>($B$1+Table4[[#This Row],[Home Differential]])-Table4[[#This Row],[Away Differential]]</f>
        <v>-0.34203992988705112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0.50321932706196182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0.2532296911286937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-0.63099640390293943</v>
      </c>
      <c r="H215" t="s">
        <v>33</v>
      </c>
      <c r="I215">
        <f>VLOOKUP(Table4[[#This Row],[Visitor]],'NHL Model'!$A$6:$B$38,2,FALSE)</f>
        <v>-0.66146476561443079</v>
      </c>
      <c r="J215">
        <f>($B$1+Table4[[#This Row],[Home Differential]])-Table4[[#This Row],[Away Differential]]</f>
        <v>0.13685029448023445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0.55978754693929755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0.31336209770831625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-1.0208691773880865</v>
      </c>
      <c r="H216" t="s">
        <v>55</v>
      </c>
      <c r="I216">
        <f>VLOOKUP(Table4[[#This Row],[Visitor]],'NHL Model'!$A$6:$B$38,2,FALSE)</f>
        <v>-0.34901281259242245</v>
      </c>
      <c r="J216">
        <f>($B$1+Table4[[#This Row],[Home Differential]])-Table4[[#This Row],[Away Differential]]</f>
        <v>-0.56547443202692094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0.53145196302378783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0.28244118900183757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-1.1323142195605178</v>
      </c>
      <c r="H217" t="s">
        <v>10</v>
      </c>
      <c r="I217">
        <f>VLOOKUP(Table4[[#This Row],[Visitor]],'NHL Model'!$A$6:$B$38,2,FALSE)</f>
        <v>-0.32256919101930787</v>
      </c>
      <c r="J217">
        <f>($B$1+Table4[[#This Row],[Home Differential]])-Table4[[#This Row],[Away Differential]]</f>
        <v>-0.70336309577246681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0.54887523655364601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0.20351355219452885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0.12620994778252301</v>
      </c>
      <c r="H218" t="s">
        <v>35</v>
      </c>
      <c r="I218">
        <f>VLOOKUP(Table4[[#This Row],[Visitor]],'NHL Model'!$A$6:$B$38,2,FALSE)</f>
        <v>-1.6690304721962474</v>
      </c>
      <c r="J218">
        <f>($B$1+Table4[[#This Row],[Home Differential]])-Table4[[#This Row],[Away Differential]]</f>
        <v>1.9016223527475136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0.79430095934429257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4.231209532667838E-2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-0.19106480716289626</v>
      </c>
      <c r="H219" t="s">
        <v>36</v>
      </c>
      <c r="I219">
        <f>VLOOKUP(Table4[[#This Row],[Visitor]],'NHL Model'!$A$6:$B$38,2,FALSE)</f>
        <v>-0.40987688593271943</v>
      </c>
      <c r="J219">
        <f>($B$1+Table4[[#This Row],[Home Differential]])-Table4[[#This Row],[Away Differential]]</f>
        <v>0.32519401153856631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0.61251928954419566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0.15014130097533487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-0.69947324663859312</v>
      </c>
      <c r="H220" t="s">
        <v>35</v>
      </c>
      <c r="I220">
        <f>VLOOKUP(Table4[[#This Row],[Visitor]],'NHL Model'!$A$6:$B$38,2,FALSE)</f>
        <v>-1.6690304721962474</v>
      </c>
      <c r="J220">
        <f>($B$1+Table4[[#This Row],[Home Differential]])-Table4[[#This Row],[Away Differential]]</f>
        <v>1.0759391583263973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0.68996965498156604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0.47605812479538129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0.15503279744029827</v>
      </c>
      <c r="H221" t="s">
        <v>34</v>
      </c>
      <c r="I221">
        <f>VLOOKUP(Table4[[#This Row],[Visitor]],'NHL Model'!$A$6:$B$38,2,FALSE)</f>
        <v>-0.26693531126155262</v>
      </c>
      <c r="J221">
        <f>($B$1+Table4[[#This Row],[Home Differential]])-Table4[[#This Row],[Away Differential]]</f>
        <v>0.52835004147059395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0.59057053984954933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0.16763248283908946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8.2462575231143323E-2</v>
      </c>
      <c r="H222" t="s">
        <v>31</v>
      </c>
      <c r="I222">
        <f>VLOOKUP(Table4[[#This Row],[Visitor]],'NHL Model'!$A$6:$B$38,2,FALSE)</f>
        <v>9.6060347736414392E-2</v>
      </c>
      <c r="J222">
        <f>($B$1+Table4[[#This Row],[Home Differential]])-Table4[[#This Row],[Away Differential]]</f>
        <v>9.2784160263472054E-2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0.53346310947407394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0.28458288916974778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-0.45522284197080148</v>
      </c>
      <c r="H223" t="s">
        <v>11</v>
      </c>
      <c r="I223">
        <f>VLOOKUP(Table4[[#This Row],[Visitor]],'NHL Model'!$A$6:$B$38,2,FALSE)</f>
        <v>-0.4374979224090173</v>
      </c>
      <c r="J223">
        <f>($B$1+Table4[[#This Row],[Home Differential]])-Table4[[#This Row],[Away Differential]]</f>
        <v>8.8657013206958957E-2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0.55120248285454143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0.30382417710501103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-0.1651785584335338</v>
      </c>
      <c r="H224" t="s">
        <v>18</v>
      </c>
      <c r="I224">
        <f>VLOOKUP(Table4[[#This Row],[Visitor]],'NHL Model'!$A$6:$B$38,2,FALSE)</f>
        <v>-0.79206768185043297</v>
      </c>
      <c r="J224">
        <f>($B$1+Table4[[#This Row],[Home Differential]])-Table4[[#This Row],[Away Differential]]</f>
        <v>0.73327105618564226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0.6926543331149162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9.4461358953036895E-2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-1.5752718195161908</v>
      </c>
      <c r="H225" t="s">
        <v>27</v>
      </c>
      <c r="I225">
        <f>VLOOKUP(Table4[[#This Row],[Visitor]],'NHL Model'!$A$6:$B$38,2,FALSE)</f>
        <v>-0.5336297540825371</v>
      </c>
      <c r="J225">
        <f>($B$1+Table4[[#This Row],[Home Differential]])-Table4[[#This Row],[Away Differential]]</f>
        <v>-0.93526013266491048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0.57817717766170307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0.17793449344544643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-0.26282059799749452</v>
      </c>
      <c r="H226" t="s">
        <v>22</v>
      </c>
      <c r="I226">
        <f>VLOOKUP(Table4[[#This Row],[Visitor]],'NHL Model'!$A$6:$B$38,2,FALSE)</f>
        <v>0.12620994778252301</v>
      </c>
      <c r="J226">
        <f>($B$1+Table4[[#This Row],[Home Differential]])-Table4[[#This Row],[Away Differential]]</f>
        <v>-0.28264861301127442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0.51397565541895696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0.26417097436334636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-0.26509018427102904</v>
      </c>
      <c r="H227" t="s">
        <v>37</v>
      </c>
      <c r="I227">
        <f>VLOOKUP(Table4[[#This Row],[Visitor]],'NHL Model'!$A$6:$B$38,2,FALSE)</f>
        <v>0.17240077100158954</v>
      </c>
      <c r="J227">
        <f>($B$1+Table4[[#This Row],[Home Differential]])-Table4[[#This Row],[Away Differential]]</f>
        <v>-0.33110902250387547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0.56815391387479441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0.18649104210165848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-1.3446131114659174</v>
      </c>
      <c r="H228" t="s">
        <v>10</v>
      </c>
      <c r="I228">
        <f>VLOOKUP(Table4[[#This Row],[Visitor]],'NHL Model'!$A$6:$B$38,2,FALSE)</f>
        <v>-0.32256919101930787</v>
      </c>
      <c r="J228">
        <f>($B$1+Table4[[#This Row],[Home Differential]])-Table4[[#This Row],[Away Differential]]</f>
        <v>-0.91566198767786644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0.57570080410414071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0.18002980763787277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-0.98948521352045793</v>
      </c>
      <c r="H229" t="s">
        <v>15</v>
      </c>
      <c r="I229">
        <f>VLOOKUP(Table4[[#This Row],[Visitor]],'NHL Model'!$A$6:$B$38,2,FALSE)</f>
        <v>-0.54922296726434805</v>
      </c>
      <c r="J229">
        <f>($B$1+Table4[[#This Row],[Home Differential]])-Table4[[#This Row],[Away Differential]]</f>
        <v>-0.3338803134873668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0.58064983639776457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0.17585455971322161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-0.22618911823839277</v>
      </c>
      <c r="H230" t="s">
        <v>34</v>
      </c>
      <c r="I230">
        <f>VLOOKUP(Table4[[#This Row],[Visitor]],'NHL Model'!$A$6:$B$38,2,FALSE)</f>
        <v>-0.26693531126155262</v>
      </c>
      <c r="J230">
        <f>($B$1+Table4[[#This Row],[Home Differential]])-Table4[[#This Row],[Away Differential]]</f>
        <v>0.14712812579190296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0.51607818649029746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0.26633669457111425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-0.66146476561443079</v>
      </c>
      <c r="H231" t="s">
        <v>40</v>
      </c>
      <c r="I231">
        <f>VLOOKUP(Table4[[#This Row],[Visitor]],'NHL Model'!$A$6:$B$38,2,FALSE)</f>
        <v>-0.2381776794561975</v>
      </c>
      <c r="J231">
        <f>($B$1+Table4[[#This Row],[Home Differential]])-Table4[[#This Row],[Away Differential]]</f>
        <v>-0.31690515338949021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0.54255592113332962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0.2943669275568358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0.15503279744029827</v>
      </c>
      <c r="H232" t="s">
        <v>23</v>
      </c>
      <c r="I232">
        <f>VLOOKUP(Table4[[#This Row],[Visitor]],'NHL Model'!$A$6:$B$38,2,FALSE)</f>
        <v>-0.69947324663859312</v>
      </c>
      <c r="J232">
        <f>($B$1+Table4[[#This Row],[Home Differential]])-Table4[[#This Row],[Away Differential]]</f>
        <v>0.9608879768476345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0.68745318507745046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9.7685511518230433E-2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-1.1555135170505442</v>
      </c>
      <c r="H233" t="s">
        <v>12</v>
      </c>
      <c r="I233">
        <f>VLOOKUP(Table4[[#This Row],[Visitor]],'NHL Model'!$A$6:$B$38,2,FALSE)</f>
        <v>1.4740146843006017</v>
      </c>
      <c r="J233">
        <f>($B$1+Table4[[#This Row],[Home Differential]])-Table4[[#This Row],[Away Differential]]</f>
        <v>-2.5231462685824027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0.86427312269797263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1.8421785222159592E-2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-0.79206768185043297</v>
      </c>
      <c r="H234" t="s">
        <v>55</v>
      </c>
      <c r="I234">
        <f>VLOOKUP(Table4[[#This Row],[Visitor]],'NHL Model'!$A$6:$B$38,2,FALSE)</f>
        <v>-0.34901281259242245</v>
      </c>
      <c r="J234">
        <f>($B$1+Table4[[#This Row],[Home Differential]])-Table4[[#This Row],[Away Differential]]</f>
        <v>-0.33667293648926744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0.50254116693289497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0.2525476244622758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-0.1651785584335338</v>
      </c>
      <c r="H235" t="s">
        <v>14</v>
      </c>
      <c r="I235">
        <f>VLOOKUP(Table4[[#This Row],[Visitor]],'NHL Model'!$A$6:$B$38,2,FALSE)</f>
        <v>-0.26282059799749452</v>
      </c>
      <c r="J235">
        <f>($B$1+Table4[[#This Row],[Home Differential]])-Table4[[#This Row],[Away Differential]]</f>
        <v>0.20402397233270383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0.68754467488082505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9.7628330195329321E-2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-1.5752718195161908</v>
      </c>
      <c r="H236" t="s">
        <v>39</v>
      </c>
      <c r="I236">
        <f>VLOOKUP(Table4[[#This Row],[Visitor]],'NHL Model'!$A$6:$B$38,2,FALSE)</f>
        <v>8.2462575231143323E-2</v>
      </c>
      <c r="J236">
        <f>($B$1+Table4[[#This Row],[Home Differential]])-Table4[[#This Row],[Away Differential]]</f>
        <v>-1.551352461978591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0.75782284691064261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5.8649773478466047E-2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-0.54922296726434805</v>
      </c>
      <c r="H237" t="s">
        <v>30</v>
      </c>
      <c r="I237">
        <f>VLOOKUP(Table4[[#This Row],[Visitor]],'NHL Model'!$A$6:$B$38,2,FALSE)</f>
        <v>-0.22618911823839277</v>
      </c>
      <c r="J237">
        <f>($B$1+Table4[[#This Row],[Home Differential]])-Table4[[#This Row],[Away Differential]]</f>
        <v>-0.2166519162572122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0.55999877414441801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0.19360107875441487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-0.5336297540825371</v>
      </c>
      <c r="H238" t="s">
        <v>36</v>
      </c>
      <c r="I238">
        <f>VLOOKUP(Table4[[#This Row],[Visitor]],'NHL Model'!$A$6:$B$38,2,FALSE)</f>
        <v>-0.40987688593271943</v>
      </c>
      <c r="J238">
        <f>($B$1+Table4[[#This Row],[Home Differential]])-Table4[[#This Row],[Away Differential]]</f>
        <v>-1.7370935381074593E-2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0.45047081088051155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0.30198232969432248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-0.66146476561443079</v>
      </c>
      <c r="H239" t="s">
        <v>11</v>
      </c>
      <c r="I239">
        <f>VLOOKUP(Table4[[#This Row],[Visitor]],'NHL Model'!$A$6:$B$38,2,FALSE)</f>
        <v>-0.4374979224090173</v>
      </c>
      <c r="J239">
        <f>($B$1+Table4[[#This Row],[Home Differential]])-Table4[[#This Row],[Away Differential]]</f>
        <v>-0.11758491043667041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0.47485774103448131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0.22548987422037051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-1.6690304721962474</v>
      </c>
      <c r="H240" t="s">
        <v>32</v>
      </c>
      <c r="I240">
        <f>VLOOKUP(Table4[[#This Row],[Visitor]],'NHL Model'!$A$6:$B$38,2,FALSE)</f>
        <v>-0.63099640390293943</v>
      </c>
      <c r="J240">
        <f>($B$1+Table4[[#This Row],[Home Differential]])-Table4[[#This Row],[Away Differential]]</f>
        <v>-0.93165213552456483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0.57772127998771305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0.17831931737521542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0.17240077100158954</v>
      </c>
      <c r="H241" t="s">
        <v>22</v>
      </c>
      <c r="I241">
        <f>VLOOKUP(Table4[[#This Row],[Visitor]],'NHL Model'!$A$6:$B$38,2,FALSE)</f>
        <v>0.12620994778252301</v>
      </c>
      <c r="J241">
        <f>($B$1+Table4[[#This Row],[Home Differential]])-Table4[[#This Row],[Away Differential]]</f>
        <v>0.15257275598780964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0.57100285735996059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0.18403854839331832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-1.0208691773880865</v>
      </c>
      <c r="H242" t="s">
        <v>21</v>
      </c>
      <c r="I242">
        <f>VLOOKUP(Table4[[#This Row],[Visitor]],'NHL Model'!$A$6:$B$38,2,FALSE)</f>
        <v>-0.19106480716289626</v>
      </c>
      <c r="J242">
        <f>($B$1+Table4[[#This Row],[Home Differential]])-Table4[[#This Row],[Away Differential]]</f>
        <v>-0.72342243745644708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0.55223937888281072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0.20048957382325114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-1.1323142195605178</v>
      </c>
      <c r="H243" t="s">
        <v>28</v>
      </c>
      <c r="I243">
        <f>VLOOKUP(Table4[[#This Row],[Visitor]],'NHL Model'!$A$6:$B$38,2,FALSE)</f>
        <v>-0.89619124881012313</v>
      </c>
      <c r="J243">
        <f>($B$1+Table4[[#This Row],[Home Differential]])-Table4[[#This Row],[Away Differential]]</f>
        <v>-0.12974103798165149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0.47639375951146717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0.22695101410146962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-0.26509018427102904</v>
      </c>
      <c r="H244" t="s">
        <v>31</v>
      </c>
      <c r="I244">
        <f>VLOOKUP(Table4[[#This Row],[Visitor]],'NHL Model'!$A$6:$B$38,2,FALSE)</f>
        <v>9.6060347736414392E-2</v>
      </c>
      <c r="J244">
        <f>($B$1+Table4[[#This Row],[Home Differential]])-Table4[[#This Row],[Away Differential]]</f>
        <v>-0.25476859923870032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0.51296116642788703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0.23720682540728436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9.6060347736414392E-2</v>
      </c>
      <c r="H245" t="s">
        <v>40</v>
      </c>
      <c r="I245">
        <f>VLOOKUP(Table4[[#This Row],[Visitor]],'NHL Model'!$A$6:$B$38,2,FALSE)</f>
        <v>-0.2381776794561975</v>
      </c>
      <c r="J245">
        <f>($B$1+Table4[[#This Row],[Home Differential]])-Table4[[#This Row],[Away Differential]]</f>
        <v>0.440619959961355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0.62710422943109423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0.139051255708178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8.2462575231143323E-2</v>
      </c>
      <c r="H246" t="s">
        <v>32</v>
      </c>
      <c r="I246">
        <f>VLOOKUP(Table4[[#This Row],[Visitor]],'NHL Model'!$A$6:$B$38,2,FALSE)</f>
        <v>-0.63099640390293943</v>
      </c>
      <c r="J246">
        <f>($B$1+Table4[[#This Row],[Home Differential]])-Table4[[#This Row],[Away Differential]]</f>
        <v>0.81984091190282582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0.64608856706985884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0.1252533023586658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-0.98948521352045793</v>
      </c>
      <c r="H247" t="s">
        <v>10</v>
      </c>
      <c r="I247">
        <f>VLOOKUP(Table4[[#This Row],[Visitor]],'NHL Model'!$A$6:$B$38,2,FALSE)</f>
        <v>-0.32256919101930787</v>
      </c>
      <c r="J247">
        <f>($B$1+Table4[[#This Row],[Home Differential]])-Table4[[#This Row],[Away Differential]]</f>
        <v>-0.56053408973240693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0.51681109298362038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0.23347151986368356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-0.26693531126155262</v>
      </c>
      <c r="H248" t="s">
        <v>16</v>
      </c>
      <c r="I248">
        <f>VLOOKUP(Table4[[#This Row],[Visitor]],'NHL Model'!$A$6:$B$38,2,FALSE)</f>
        <v>-1.3446131114659174</v>
      </c>
      <c r="J248">
        <f>($B$1+Table4[[#This Row],[Home Differential]])-Table4[[#This Row],[Away Differential]]</f>
        <v>1.184059732973108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0.68961488524793779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9.6338919459650826E-2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-0.40987688593271943</v>
      </c>
      <c r="H249" t="s">
        <v>55</v>
      </c>
      <c r="I249">
        <f>VLOOKUP(Table4[[#This Row],[Visitor]],'NHL Model'!$A$6:$B$38,2,FALSE)</f>
        <v>-0.34901281259242245</v>
      </c>
      <c r="J249">
        <f>($B$1+Table4[[#This Row],[Home Differential]])-Table4[[#This Row],[Away Differential]]</f>
        <v>4.5517859428446106E-2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0.54824700433898732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0.20408076908869893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-0.26282059799749452</v>
      </c>
      <c r="H250" t="s">
        <v>13</v>
      </c>
      <c r="I250">
        <f>VLOOKUP(Table4[[#This Row],[Visitor]],'NHL Model'!$A$6:$B$38,2,FALSE)</f>
        <v>-0.45522284197080148</v>
      </c>
      <c r="J250">
        <f>($B$1+Table4[[#This Row],[Home Differential]])-Table4[[#This Row],[Away Differential]]</f>
        <v>0.29878417674205004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0.49677002957457361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0.24678046228352274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-1.0208691773880865</v>
      </c>
      <c r="H251" t="s">
        <v>25</v>
      </c>
      <c r="I251">
        <f>VLOOKUP(Table4[[#This Row],[Visitor]],'NHL Model'!$A$6:$B$38,2,FALSE)</f>
        <v>0.15503279744029827</v>
      </c>
      <c r="J251">
        <f>($B$1+Table4[[#This Row],[Home Differential]])-Table4[[#This Row],[Away Differential]]</f>
        <v>-1.0695200420596416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0.66776509979519694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0.11038002891409546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-1.1323142195605178</v>
      </c>
      <c r="H252" t="s">
        <v>12</v>
      </c>
      <c r="I252">
        <f>VLOOKUP(Table4[[#This Row],[Visitor]],'NHL Model'!$A$6:$B$38,2,FALSE)</f>
        <v>1.4740146843006017</v>
      </c>
      <c r="J252">
        <f>($B$1+Table4[[#This Row],[Home Differential]])-Table4[[#This Row],[Away Differential]]</f>
        <v>-2.4999469710923763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0.86837335872877697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1.7325572692343236E-2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-1.1555135170505442</v>
      </c>
      <c r="H253" t="s">
        <v>28</v>
      </c>
      <c r="I253">
        <f>VLOOKUP(Table4[[#This Row],[Visitor]],'NHL Model'!$A$6:$B$38,2,FALSE)</f>
        <v>-0.89619124881012313</v>
      </c>
      <c r="J253">
        <f>($B$1+Table4[[#This Row],[Home Differential]])-Table4[[#This Row],[Away Differential]]</f>
        <v>-0.15294033547167785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0.47227921401146516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0.22304765598728732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-0.1651785584335338</v>
      </c>
      <c r="H254" t="s">
        <v>30</v>
      </c>
      <c r="I254">
        <f>VLOOKUP(Table4[[#This Row],[Visitor]],'NHL Model'!$A$6:$B$38,2,FALSE)</f>
        <v>-0.22618911823839277</v>
      </c>
      <c r="J254">
        <f>($B$1+Table4[[#This Row],[Home Differential]])-Table4[[#This Row],[Away Differential]]</f>
        <v>0.16739249257360209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0.61505993445634743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0.37829872297344641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-0.54922296726434805</v>
      </c>
      <c r="H255" t="s">
        <v>29</v>
      </c>
      <c r="I255">
        <f>VLOOKUP(Table4[[#This Row],[Visitor]],'NHL Model'!$A$6:$B$38,2,FALSE)</f>
        <v>-1.5752718195161908</v>
      </c>
      <c r="J255">
        <f>($B$1+Table4[[#This Row],[Home Differential]])-Table4[[#This Row],[Away Differential]]</f>
        <v>1.1324307850205857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0.68309117794814422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0.10043120149429478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-0.26509018427102904</v>
      </c>
      <c r="H256" t="s">
        <v>11</v>
      </c>
      <c r="I256">
        <f>VLOOKUP(Table4[[#This Row],[Visitor]],'NHL Model'!$A$6:$B$38,2,FALSE)</f>
        <v>-0.4374979224090173</v>
      </c>
      <c r="J256">
        <f>($B$1+Table4[[#This Row],[Home Differential]])-Table4[[#This Row],[Away Differential]]</f>
        <v>0.27878967090673135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0.57522717938924139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0.33088630790810247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-0.19106480716289626</v>
      </c>
      <c r="H257" t="s">
        <v>19</v>
      </c>
      <c r="I257">
        <f>VLOOKUP(Table4[[#This Row],[Visitor]],'NHL Model'!$A$6:$B$38,2,FALSE)</f>
        <v>-1.0208691773880865</v>
      </c>
      <c r="J257">
        <f>($B$1+Table4[[#This Row],[Home Differential]])-Table4[[#This Row],[Away Differential]]</f>
        <v>0.93618630299393335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0.71001018260542026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8.4094094192541699E-2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0.15503279744029827</v>
      </c>
      <c r="H258" t="s">
        <v>22</v>
      </c>
      <c r="I258">
        <f>VLOOKUP(Table4[[#This Row],[Visitor]],'NHL Model'!$A$6:$B$38,2,FALSE)</f>
        <v>0.12620994778252301</v>
      </c>
      <c r="J258">
        <f>($B$1+Table4[[#This Row],[Home Differential]])-Table4[[#This Row],[Away Differential]]</f>
        <v>0.13520478242651837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0.56253869032021275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0.31644977810718022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1.4740146843006017</v>
      </c>
      <c r="H259" t="s">
        <v>31</v>
      </c>
      <c r="I259">
        <f>VLOOKUP(Table4[[#This Row],[Visitor]],'NHL Model'!$A$6:$B$38,2,FALSE)</f>
        <v>9.6060347736414392E-2</v>
      </c>
      <c r="J259">
        <f>($B$1+Table4[[#This Row],[Home Differential]])-Table4[[#This Row],[Away Differential]]</f>
        <v>1.4843362693329305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0.80824674745522529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3.6769309861500149E-2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-0.26693531126155262</v>
      </c>
      <c r="H260" t="s">
        <v>33</v>
      </c>
      <c r="I260">
        <f>VLOOKUP(Table4[[#This Row],[Visitor]],'NHL Model'!$A$6:$B$38,2,FALSE)</f>
        <v>-0.66146476561443079</v>
      </c>
      <c r="J260">
        <f>($B$1+Table4[[#This Row],[Home Differential]])-Table4[[#This Row],[Away Differential]]</f>
        <v>0.50091138712162131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0.60329393493975769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0.3639635719350966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-0.79206768185043297</v>
      </c>
      <c r="H261" t="s">
        <v>13</v>
      </c>
      <c r="I261">
        <f>VLOOKUP(Table4[[#This Row],[Visitor]],'NHL Model'!$A$6:$B$38,2,FALSE)</f>
        <v>-0.45522284197080148</v>
      </c>
      <c r="J261">
        <f>($B$1+Table4[[#This Row],[Home Differential]])-Table4[[#This Row],[Away Differential]]</f>
        <v>-0.2304629071108884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0.57259898885405869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0.18267162432857306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-0.40987688593271943</v>
      </c>
      <c r="H262" t="s">
        <v>39</v>
      </c>
      <c r="I262">
        <f>VLOOKUP(Table4[[#This Row],[Visitor]],'NHL Model'!$A$6:$B$38,2,FALSE)</f>
        <v>8.2462575231143323E-2</v>
      </c>
      <c r="J262">
        <f>($B$1+Table4[[#This Row],[Home Differential]])-Table4[[#This Row],[Away Differential]]</f>
        <v>-0.38595752839511965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0.60809068104790387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0.15359291428149582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-0.63099640390293943</v>
      </c>
      <c r="H263" t="s">
        <v>28</v>
      </c>
      <c r="I263">
        <f>VLOOKUP(Table4[[#This Row],[Visitor]],'NHL Model'!$A$6:$B$38,2,FALSE)</f>
        <v>-0.89619124881012313</v>
      </c>
      <c r="J263">
        <f>($B$1+Table4[[#This Row],[Home Differential]])-Table4[[#This Row],[Away Differential]]</f>
        <v>0.37157677767592678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0.58944700994611288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0.34744777753441292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-1.6690304721962474</v>
      </c>
      <c r="H264" t="s">
        <v>16</v>
      </c>
      <c r="I264">
        <f>VLOOKUP(Table4[[#This Row],[Visitor]],'NHL Model'!$A$6:$B$38,2,FALSE)</f>
        <v>-1.3446131114659174</v>
      </c>
      <c r="J264">
        <f>($B$1+Table4[[#This Row],[Home Differential]])-Table4[[#This Row],[Away Differential]]</f>
        <v>-0.21803542796158681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0.48755042218397837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0.23770541417177554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-1.1323142195605178</v>
      </c>
      <c r="H265" t="s">
        <v>40</v>
      </c>
      <c r="I265">
        <f>VLOOKUP(Table4[[#This Row],[Visitor]],'NHL Model'!$A$6:$B$38,2,FALSE)</f>
        <v>-0.2381776794561975</v>
      </c>
      <c r="J265">
        <f>($B$1+Table4[[#This Row],[Home Differential]])-Table4[[#This Row],[Away Differential]]</f>
        <v>-0.78775460733557712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0.60205130389101513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0.15836316473484119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-0.32256919101930787</v>
      </c>
      <c r="H266" t="s">
        <v>24</v>
      </c>
      <c r="I266">
        <f>VLOOKUP(Table4[[#This Row],[Visitor]],'NHL Model'!$A$6:$B$38,2,FALSE)</f>
        <v>-0.1651785584335338</v>
      </c>
      <c r="J266">
        <f>($B$1+Table4[[#This Row],[Home Differential]])-Table4[[#This Row],[Away Differential]]</f>
        <v>-5.1008699817030961E-2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0.46727482735343018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0.28379610957131762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-0.5336297540825371</v>
      </c>
      <c r="H267" t="s">
        <v>17</v>
      </c>
      <c r="I267">
        <f>VLOOKUP(Table4[[#This Row],[Visitor]],'NHL Model'!$A$6:$B$38,2,FALSE)</f>
        <v>-1.1555135170505442</v>
      </c>
      <c r="J267">
        <f>($B$1+Table4[[#This Row],[Home Differential]])-Table4[[#This Row],[Away Differential]]</f>
        <v>0.72826569573675015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0.66426793384705995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0.44125188793744202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0.17240077100158954</v>
      </c>
      <c r="H268" t="s">
        <v>15</v>
      </c>
      <c r="I268">
        <f>VLOOKUP(Table4[[#This Row],[Visitor]],'NHL Model'!$A$6:$B$38,2,FALSE)</f>
        <v>-0.54922296726434805</v>
      </c>
      <c r="J268">
        <f>($B$1+Table4[[#This Row],[Home Differential]])-Table4[[#This Row],[Away Differential]]</f>
        <v>0.8280056710346807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0.58462476681428466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0.34178611797265673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-0.34901281259242245</v>
      </c>
      <c r="H269" t="s">
        <v>23</v>
      </c>
      <c r="I269">
        <f>VLOOKUP(Table4[[#This Row],[Visitor]],'NHL Model'!$A$6:$B$38,2,FALSE)</f>
        <v>-0.69947324663859312</v>
      </c>
      <c r="J269">
        <f>($B$1+Table4[[#This Row],[Home Differential]])-Table4[[#This Row],[Away Differential]]</f>
        <v>0.45684236681491375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0.63815665901094365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0.13093060341812252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-0.89619124881012313</v>
      </c>
      <c r="H270" t="s">
        <v>17</v>
      </c>
      <c r="I270">
        <f>VLOOKUP(Table4[[#This Row],[Visitor]],'NHL Model'!$A$6:$B$38,2,FALSE)</f>
        <v>-1.1555135170505442</v>
      </c>
      <c r="J270">
        <f>($B$1+Table4[[#This Row],[Home Differential]])-Table4[[#This Row],[Away Differential]]</f>
        <v>0.36570420100916412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0.58620948635022752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0.17122258918654254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-1.3446131114659174</v>
      </c>
      <c r="H271" t="s">
        <v>33</v>
      </c>
      <c r="I271">
        <f>VLOOKUP(Table4[[#This Row],[Visitor]],'NHL Model'!$A$6:$B$38,2,FALSE)</f>
        <v>-0.66146476561443079</v>
      </c>
      <c r="J271">
        <f>($B$1+Table4[[#This Row],[Home Differential]])-Table4[[#This Row],[Away Differential]]</f>
        <v>-0.57676641308274346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0.53287879006877703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0.28395980490516376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1.4740146843006017</v>
      </c>
      <c r="H272" t="s">
        <v>23</v>
      </c>
      <c r="I272">
        <f>VLOOKUP(Table4[[#This Row],[Visitor]],'NHL Model'!$A$6:$B$38,2,FALSE)</f>
        <v>-0.69947324663859312</v>
      </c>
      <c r="J272">
        <f>($B$1+Table4[[#This Row],[Home Differential]])-Table4[[#This Row],[Away Differential]]</f>
        <v>2.2798698637079378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0.92819256510114212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5.1563077067537126E-3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-0.98948521352045793</v>
      </c>
      <c r="H273" t="s">
        <v>31</v>
      </c>
      <c r="I273">
        <f>VLOOKUP(Table4[[#This Row],[Visitor]],'NHL Model'!$A$6:$B$38,2,FALSE)</f>
        <v>9.6060347736414392E-2</v>
      </c>
      <c r="J273">
        <f>($B$1+Table4[[#This Row],[Home Differential]])-Table4[[#This Row],[Away Differential]]</f>
        <v>-0.97916362848812921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0.59039138243532041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0.34856198445388875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-0.4374979224090173</v>
      </c>
      <c r="H274" t="s">
        <v>22</v>
      </c>
      <c r="I274">
        <f>VLOOKUP(Table4[[#This Row],[Visitor]],'NHL Model'!$A$6:$B$38,2,FALSE)</f>
        <v>0.12620994778252301</v>
      </c>
      <c r="J274">
        <f>($B$1+Table4[[#This Row],[Home Differential]])-Table4[[#This Row],[Away Differential]]</f>
        <v>-0.45732593742279726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0.506062446430391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0.25609919968711237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-0.79206768185043297</v>
      </c>
      <c r="H275" t="s">
        <v>39</v>
      </c>
      <c r="I275">
        <f>VLOOKUP(Table4[[#This Row],[Visitor]],'NHL Model'!$A$6:$B$38,2,FALSE)</f>
        <v>8.2462575231143323E-2</v>
      </c>
      <c r="J275">
        <f>($B$1+Table4[[#This Row],[Home Differential]])-Table4[[#This Row],[Away Differential]]</f>
        <v>-0.7681483243128332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0.65885909202612969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0.11637711909323666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-0.40987688593271943</v>
      </c>
      <c r="H276" t="s">
        <v>21</v>
      </c>
      <c r="I276">
        <f>VLOOKUP(Table4[[#This Row],[Visitor]],'NHL Model'!$A$6:$B$38,2,FALSE)</f>
        <v>-0.19106480716289626</v>
      </c>
      <c r="J276">
        <f>($B$1+Table4[[#This Row],[Home Differential]])-Table4[[#This Row],[Away Differential]]</f>
        <v>-0.11243014600108009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0.47253973097015128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0.22329379734534296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-0.63099640390293943</v>
      </c>
      <c r="H277" t="s">
        <v>40</v>
      </c>
      <c r="I277">
        <f>VLOOKUP(Table4[[#This Row],[Visitor]],'NHL Model'!$A$6:$B$38,2,FALSE)</f>
        <v>-0.2381776794561975</v>
      </c>
      <c r="J277">
        <f>($B$1+Table4[[#This Row],[Home Differential]])-Table4[[#This Row],[Away Differential]]</f>
        <v>-0.28643679167799885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0.53619345082370484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0.28750341670623281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-1.0208691773880865</v>
      </c>
      <c r="H278" t="s">
        <v>13</v>
      </c>
      <c r="I278">
        <f>VLOOKUP(Table4[[#This Row],[Visitor]],'NHL Model'!$A$6:$B$38,2,FALSE)</f>
        <v>-0.45522284197080148</v>
      </c>
      <c r="J278">
        <f>($B$1+Table4[[#This Row],[Home Differential]])-Table4[[#This Row],[Away Differential]]</f>
        <v>-0.4592644026485419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0.60150978494495155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0.15879445149461877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-0.26509018427102904</v>
      </c>
      <c r="H279" t="s">
        <v>30</v>
      </c>
      <c r="I279">
        <f>VLOOKUP(Table4[[#This Row],[Visitor]],'NHL Model'!$A$6:$B$38,2,FALSE)</f>
        <v>-0.22618911823839277</v>
      </c>
      <c r="J279">
        <f>($B$1+Table4[[#This Row],[Home Differential]])-Table4[[#This Row],[Away Differential]]</f>
        <v>6.7480866736106843E-2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0.47590354778995031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0.22648418679906152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0.15503279744029827</v>
      </c>
      <c r="H280" t="s">
        <v>38</v>
      </c>
      <c r="I280">
        <f>VLOOKUP(Table4[[#This Row],[Visitor]],'NHL Model'!$A$6:$B$38,2,FALSE)</f>
        <v>-1.1323142195605178</v>
      </c>
      <c r="J280">
        <f>($B$1+Table4[[#This Row],[Home Differential]])-Table4[[#This Row],[Away Differential]]</f>
        <v>1.3937289497695593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0.70313520052509282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8.8128709167276845E-2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-1.5752718195161908</v>
      </c>
      <c r="H281" t="s">
        <v>14</v>
      </c>
      <c r="I281">
        <f>VLOOKUP(Table4[[#This Row],[Visitor]],'NHL Model'!$A$6:$B$38,2,FALSE)</f>
        <v>-0.26282059799749452</v>
      </c>
      <c r="J281">
        <f>($B$1+Table4[[#This Row],[Home Differential]])-Table4[[#This Row],[Away Differential]]</f>
        <v>-1.2060692887499531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0.61239595876155384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0.37502881030748275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-1.6690304721962474</v>
      </c>
      <c r="H282" t="s">
        <v>27</v>
      </c>
      <c r="I282">
        <f>VLOOKUP(Table4[[#This Row],[Visitor]],'NHL Model'!$A$6:$B$38,2,FALSE)</f>
        <v>-0.5336297540825371</v>
      </c>
      <c r="J282">
        <f>($B$1+Table4[[#This Row],[Home Differential]])-Table4[[#This Row],[Away Differential]]</f>
        <v>-1.029018785344967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0.590024291173878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0.16808008182748116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-0.34901281259242245</v>
      </c>
      <c r="H283" t="s">
        <v>30</v>
      </c>
      <c r="I283">
        <f>VLOOKUP(Table4[[#This Row],[Visitor]],'NHL Model'!$A$6:$B$38,2,FALSE)</f>
        <v>-0.22618911823839277</v>
      </c>
      <c r="J283">
        <f>($B$1+Table4[[#This Row],[Home Differential]])-Table4[[#This Row],[Away Differential]]</f>
        <v>-1.6441761585286568E-2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0.49369765242033559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0.25634206716467933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0.15503279744029827</v>
      </c>
      <c r="H284" t="s">
        <v>17</v>
      </c>
      <c r="I284">
        <f>VLOOKUP(Table4[[#This Row],[Visitor]],'NHL Model'!$A$6:$B$38,2,FALSE)</f>
        <v>-1.1555135170505442</v>
      </c>
      <c r="J284">
        <f>($B$1+Table4[[#This Row],[Home Differential]])-Table4[[#This Row],[Away Differential]]</f>
        <v>1.4169282472595857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0.74507731570707658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0.55514020638126271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-0.89619124881012313</v>
      </c>
      <c r="H285" t="s">
        <v>15</v>
      </c>
      <c r="I285">
        <f>VLOOKUP(Table4[[#This Row],[Visitor]],'NHL Model'!$A$6:$B$38,2,FALSE)</f>
        <v>-0.54922296726434805</v>
      </c>
      <c r="J285">
        <f>($B$1+Table4[[#This Row],[Home Differential]])-Table4[[#This Row],[Away Differential]]</f>
        <v>-0.240586348777032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0.58288608910207051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0.17398401466456587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-1.3446131114659174</v>
      </c>
      <c r="H286" t="s">
        <v>40</v>
      </c>
      <c r="I286">
        <f>VLOOKUP(Table4[[#This Row],[Visitor]],'NHL Model'!$A$6:$B$38,2,FALSE)</f>
        <v>-0.2381776794561975</v>
      </c>
      <c r="J286">
        <f>($B$1+Table4[[#This Row],[Home Differential]])-Table4[[#This Row],[Away Differential]]</f>
        <v>-1.0000534992409769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0.62887687144150983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0.13773237655104162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-0.32256919101930787</v>
      </c>
      <c r="H287" t="s">
        <v>19</v>
      </c>
      <c r="I287">
        <f>VLOOKUP(Table4[[#This Row],[Visitor]],'NHL Model'!$A$6:$B$38,2,FALSE)</f>
        <v>-1.0208691773880865</v>
      </c>
      <c r="J287">
        <f>($B$1+Table4[[#This Row],[Home Differential]])-Table4[[#This Row],[Away Differential]]</f>
        <v>0.80468191913752174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0.64167763470053329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0.12839491747380447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8.2462575231143323E-2</v>
      </c>
      <c r="H288" t="s">
        <v>27</v>
      </c>
      <c r="I288">
        <f>VLOOKUP(Table4[[#This Row],[Visitor]],'NHL Model'!$A$6:$B$38,2,FALSE)</f>
        <v>-0.5336297540825371</v>
      </c>
      <c r="J288">
        <f>($B$1+Table4[[#This Row],[Home Differential]])-Table4[[#This Row],[Away Differential]]</f>
        <v>0.7224742620824236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0.6337855558836939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0.13411301907941509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-0.98948521352045793</v>
      </c>
      <c r="H289" t="s">
        <v>23</v>
      </c>
      <c r="I289">
        <f>VLOOKUP(Table4[[#This Row],[Visitor]],'NHL Model'!$A$6:$B$38,2,FALSE)</f>
        <v>-0.69947324663859312</v>
      </c>
      <c r="J289">
        <f>($B$1+Table4[[#This Row],[Home Differential]])-Table4[[#This Row],[Away Differential]]</f>
        <v>-0.18363003411312173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0.46918642046024323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0.28176305622380976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-0.4374979224090173</v>
      </c>
      <c r="H290" t="s">
        <v>37</v>
      </c>
      <c r="I290">
        <f>VLOOKUP(Table4[[#This Row],[Visitor]],'NHL Model'!$A$6:$B$38,2,FALSE)</f>
        <v>0.17240077100158954</v>
      </c>
      <c r="J290">
        <f>($B$1+Table4[[#This Row],[Home Differential]])-Table4[[#This Row],[Away Differential]]</f>
        <v>-0.50351676064186379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0.55729402962689778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0.19598857620399007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-0.26693531126155262</v>
      </c>
      <c r="H291" t="s">
        <v>31</v>
      </c>
      <c r="I291">
        <f>VLOOKUP(Table4[[#This Row],[Visitor]],'NHL Model'!$A$6:$B$38,2,FALSE)</f>
        <v>9.6060347736414392E-2</v>
      </c>
      <c r="J291">
        <f>($B$1+Table4[[#This Row],[Home Differential]])-Table4[[#This Row],[Away Differential]]</f>
        <v>-0.2566137262292239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0.51319431215125511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0.26336840202439987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-0.79206768185043297</v>
      </c>
      <c r="H292" t="s">
        <v>21</v>
      </c>
      <c r="I292">
        <f>VLOOKUP(Table4[[#This Row],[Visitor]],'NHL Model'!$A$6:$B$38,2,FALSE)</f>
        <v>-0.19106480716289626</v>
      </c>
      <c r="J292">
        <f>($B$1+Table4[[#This Row],[Home Differential]])-Table4[[#This Row],[Away Differential]]</f>
        <v>-0.49462094191879363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0.52332858279191785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0.22721563998316152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-0.40987688593271943</v>
      </c>
      <c r="H293" t="s">
        <v>13</v>
      </c>
      <c r="I293">
        <f>VLOOKUP(Table4[[#This Row],[Visitor]],'NHL Model'!$A$6:$B$38,2,FALSE)</f>
        <v>-0.45522284197080148</v>
      </c>
      <c r="J293">
        <f>($B$1+Table4[[#This Row],[Home Differential]])-Table4[[#This Row],[Away Differential]]</f>
        <v>0.15172788880682514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0.47818835752567196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0.22866410527309988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-0.63099640390293943</v>
      </c>
      <c r="H294" t="s">
        <v>33</v>
      </c>
      <c r="I294">
        <f>VLOOKUP(Table4[[#This Row],[Visitor]],'NHL Model'!$A$6:$B$38,2,FALSE)</f>
        <v>-0.66146476561443079</v>
      </c>
      <c r="J294">
        <f>($B$1+Table4[[#This Row],[Home Differential]])-Table4[[#This Row],[Away Differential]]</f>
        <v>0.13685029448023445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0.55978754693929755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0.19378700382972117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-1.6690304721962474</v>
      </c>
      <c r="H295" t="s">
        <v>20</v>
      </c>
      <c r="I295">
        <f>VLOOKUP(Table4[[#This Row],[Visitor]],'NHL Model'!$A$6:$B$38,2,FALSE)</f>
        <v>-0.26509018427102904</v>
      </c>
      <c r="J295">
        <f>($B$1+Table4[[#This Row],[Home Differential]])-Table4[[#This Row],[Away Differential]]</f>
        <v>-1.2975583551564753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0.62395629291588128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0.14140886963756646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0.12620994778252301</v>
      </c>
      <c r="H296" t="s">
        <v>24</v>
      </c>
      <c r="I296">
        <f>VLOOKUP(Table4[[#This Row],[Visitor]],'NHL Model'!$A$6:$B$38,2,FALSE)</f>
        <v>-0.1651785584335338</v>
      </c>
      <c r="J296">
        <f>($B$1+Table4[[#This Row],[Home Differential]])-Table4[[#This Row],[Away Differential]]</f>
        <v>0.39777043898479991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0.60345278693517879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0.36415526605983428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1.4740146843006017</v>
      </c>
      <c r="H297" t="s">
        <v>30</v>
      </c>
      <c r="I297">
        <f>VLOOKUP(Table4[[#This Row],[Visitor]],'NHL Model'!$A$6:$B$38,2,FALSE)</f>
        <v>-0.22618911823839277</v>
      </c>
      <c r="J297">
        <f>($B$1+Table4[[#This Row],[Home Differential]])-Table4[[#This Row],[Away Differential]]</f>
        <v>1.8065857353077377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0.7990074521563475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4.039800428868294E-2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-0.26693531126155262</v>
      </c>
      <c r="H298" t="s">
        <v>20</v>
      </c>
      <c r="I298">
        <f>VLOOKUP(Table4[[#This Row],[Visitor]],'NHL Model'!$A$6:$B$38,2,FALSE)</f>
        <v>-0.26509018427102904</v>
      </c>
      <c r="J298">
        <f>($B$1+Table4[[#This Row],[Home Differential]])-Table4[[#This Row],[Away Differential]]</f>
        <v>0.10453680577821953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0.55320901451603499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0.19962218470973264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-0.54922296726434805</v>
      </c>
      <c r="H299" t="s">
        <v>26</v>
      </c>
      <c r="I299">
        <f>VLOOKUP(Table4[[#This Row],[Visitor]],'NHL Model'!$A$6:$B$38,2,FALSE)</f>
        <v>-0.98948521352045793</v>
      </c>
      <c r="J299">
        <f>($B$1+Table4[[#This Row],[Home Differential]])-Table4[[#This Row],[Away Differential]]</f>
        <v>0.54664417902485296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0.58830338764580159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0.3461008759155263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-0.26282059799749452</v>
      </c>
      <c r="H300" t="s">
        <v>29</v>
      </c>
      <c r="I300">
        <f>VLOOKUP(Table4[[#This Row],[Visitor]],'NHL Model'!$A$6:$B$38,2,FALSE)</f>
        <v>-1.5752718195161908</v>
      </c>
      <c r="J300">
        <f>($B$1+Table4[[#This Row],[Home Differential]])-Table4[[#This Row],[Away Differential]]</f>
        <v>1.4188331542874393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0.72177575844469988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7.7408728589021994E-2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0.17240077100158954</v>
      </c>
      <c r="H301" t="s">
        <v>38</v>
      </c>
      <c r="I301">
        <f>VLOOKUP(Table4[[#This Row],[Visitor]],'NHL Model'!$A$6:$B$38,2,FALSE)</f>
        <v>-1.1323142195605178</v>
      </c>
      <c r="J301">
        <f>($B$1+Table4[[#This Row],[Home Differential]])-Table4[[#This Row],[Away Differential]]</f>
        <v>1.4110969233308506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0.71163608139465806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0.50642591234274437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9.6060347736414392E-2</v>
      </c>
      <c r="H302" t="s">
        <v>55</v>
      </c>
      <c r="I302">
        <f>VLOOKUP(Table4[[#This Row],[Visitor]],'NHL Model'!$A$6:$B$38,2,FALSE)</f>
        <v>-0.34901281259242245</v>
      </c>
      <c r="J302">
        <f>($B$1+Table4[[#This Row],[Home Differential]])-Table4[[#This Row],[Away Differential]]</f>
        <v>0.5514550930975799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0.6822379409825664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0.10097272615099895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-0.19106480716289626</v>
      </c>
      <c r="H303" t="s">
        <v>25</v>
      </c>
      <c r="I303">
        <f>VLOOKUP(Table4[[#This Row],[Visitor]],'NHL Model'!$A$6:$B$38,2,FALSE)</f>
        <v>0.15503279744029827</v>
      </c>
      <c r="J303">
        <f>($B$1+Table4[[#This Row],[Home Differential]])-Table4[[#This Row],[Away Differential]]</f>
        <v>-0.23971567183445142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0.51028988465268454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0.239815997073481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-0.69947324663859312</v>
      </c>
      <c r="H304" t="s">
        <v>17</v>
      </c>
      <c r="I304">
        <f>VLOOKUP(Table4[[#This Row],[Visitor]],'NHL Model'!$A$6:$B$38,2,FALSE)</f>
        <v>-1.1555135170505442</v>
      </c>
      <c r="J304">
        <f>($B$1+Table4[[#This Row],[Home Differential]])-Table4[[#This Row],[Away Differential]]</f>
        <v>0.56242220318069414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0.62508291136764416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0.14056282334856177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-0.89619124881012313</v>
      </c>
      <c r="H305" t="s">
        <v>18</v>
      </c>
      <c r="I305">
        <f>VLOOKUP(Table4[[#This Row],[Visitor]],'NHL Model'!$A$6:$B$38,2,FALSE)</f>
        <v>-0.79206768185043297</v>
      </c>
      <c r="J305">
        <f>($B$1+Table4[[#This Row],[Home Differential]])-Table4[[#This Row],[Away Differential]]</f>
        <v>2.2583658090529202E-3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0.47396957209377732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0.27670801108320375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-0.4374979224090173</v>
      </c>
      <c r="H306" t="s">
        <v>38</v>
      </c>
      <c r="I306">
        <f>VLOOKUP(Table4[[#This Row],[Visitor]],'NHL Model'!$A$6:$B$38,2,FALSE)</f>
        <v>-1.1323142195605178</v>
      </c>
      <c r="J306">
        <f>($B$1+Table4[[#This Row],[Home Differential]])-Table4[[#This Row],[Away Differential]]</f>
        <v>0.80119822992024359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0.63457077760430636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0.13353851658072133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0.12620994778252301</v>
      </c>
      <c r="H307" t="s">
        <v>13</v>
      </c>
      <c r="I307">
        <f>VLOOKUP(Table4[[#This Row],[Visitor]],'NHL Model'!$A$6:$B$38,2,FALSE)</f>
        <v>-0.45522284197080148</v>
      </c>
      <c r="J307">
        <f>($B$1+Table4[[#This Row],[Home Differential]])-Table4[[#This Row],[Away Differential]]</f>
        <v>0.68781472252206766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0.55749881751921093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0.1958072964968966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-0.32256919101930787</v>
      </c>
      <c r="H308" t="s">
        <v>16</v>
      </c>
      <c r="I308">
        <f>VLOOKUP(Table4[[#This Row],[Visitor]],'NHL Model'!$A$6:$B$38,2,FALSE)</f>
        <v>-1.3446131114659174</v>
      </c>
      <c r="J308">
        <f>($B$1+Table4[[#This Row],[Home Differential]])-Table4[[#This Row],[Away Differential]]</f>
        <v>1.1284258532153526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0.68258512458294684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0.10075220313602337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8.2462575231143323E-2</v>
      </c>
      <c r="H309" t="s">
        <v>30</v>
      </c>
      <c r="I309">
        <f>VLOOKUP(Table4[[#This Row],[Visitor]],'NHL Model'!$A$6:$B$38,2,FALSE)</f>
        <v>-0.22618911823839277</v>
      </c>
      <c r="J309">
        <f>($B$1+Table4[[#This Row],[Home Differential]])-Table4[[#This Row],[Away Differential]]</f>
        <v>0.41503362623827922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0.52232214966804325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0.27282042803384576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-0.98948521352045793</v>
      </c>
      <c r="H310" t="s">
        <v>32</v>
      </c>
      <c r="I310">
        <f>VLOOKUP(Table4[[#This Row],[Visitor]],'NHL Model'!$A$6:$B$38,2,FALSE)</f>
        <v>-0.63099640390293943</v>
      </c>
      <c r="J310">
        <f>($B$1+Table4[[#This Row],[Home Differential]])-Table4[[#This Row],[Away Differential]]</f>
        <v>-0.25210687684877542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0.4778389864438114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0.22833009696564896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-0.66146476561443079</v>
      </c>
      <c r="H311" t="s">
        <v>55</v>
      </c>
      <c r="I311">
        <f>VLOOKUP(Table4[[#This Row],[Visitor]],'NHL Model'!$A$6:$B$38,2,FALSE)</f>
        <v>-0.34901281259242245</v>
      </c>
      <c r="J311">
        <f>($B$1+Table4[[#This Row],[Home Differential]])-Table4[[#This Row],[Away Differential]]</f>
        <v>-0.20607002025326526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0.48603850259802117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0.23623342600772662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0.17240077100158954</v>
      </c>
      <c r="H312" t="s">
        <v>24</v>
      </c>
      <c r="I312">
        <f>VLOOKUP(Table4[[#This Row],[Visitor]],'NHL Model'!$A$6:$B$38,2,FALSE)</f>
        <v>-0.1651785584335338</v>
      </c>
      <c r="J312">
        <f>($B$1+Table4[[#This Row],[Home Differential]])-Table4[[#This Row],[Away Differential]]</f>
        <v>0.44396126220386645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0.62752642819157112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0.13873656169572882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-1.0208691773880865</v>
      </c>
      <c r="H313" t="s">
        <v>35</v>
      </c>
      <c r="I313">
        <f>VLOOKUP(Table4[[#This Row],[Visitor]],'NHL Model'!$A$6:$B$38,2,FALSE)</f>
        <v>-1.6690304721962474</v>
      </c>
      <c r="J313">
        <f>($B$1+Table4[[#This Row],[Home Differential]])-Table4[[#This Row],[Away Differential]]</f>
        <v>0.75454322757690406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0.63534223254519806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0.1329752873651204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-0.26509018427102904</v>
      </c>
      <c r="H314" t="s">
        <v>15</v>
      </c>
      <c r="I314">
        <f>VLOOKUP(Table4[[#This Row],[Visitor]],'NHL Model'!$A$6:$B$38,2,FALSE)</f>
        <v>-0.54922296726434805</v>
      </c>
      <c r="J314">
        <f>($B$1+Table4[[#This Row],[Home Differential]])-Table4[[#This Row],[Away Differential]]</f>
        <v>0.39051471576206209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0.49685829432846756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0.25315157598605892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-0.2381776794561975</v>
      </c>
      <c r="H315" t="s">
        <v>28</v>
      </c>
      <c r="I315">
        <f>VLOOKUP(Table4[[#This Row],[Visitor]],'NHL Model'!$A$6:$B$38,2,FALSE)</f>
        <v>-0.89619124881012313</v>
      </c>
      <c r="J315">
        <f>($B$1+Table4[[#This Row],[Home Differential]])-Table4[[#This Row],[Away Differential]]</f>
        <v>0.76439550212266871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0.63908262100922075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0.13026135445757378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9.6060347736414392E-2</v>
      </c>
      <c r="H316" t="s">
        <v>21</v>
      </c>
      <c r="I316">
        <f>VLOOKUP(Table4[[#This Row],[Visitor]],'NHL Model'!$A$6:$B$38,2,FALSE)</f>
        <v>-0.19106480716289626</v>
      </c>
      <c r="J316">
        <f>($B$1+Table4[[#This Row],[Home Differential]])-Table4[[#This Row],[Away Differential]]</f>
        <v>0.39350708766805376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0.66148729683464846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0.11459085020431339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-0.69947324663859312</v>
      </c>
      <c r="H317" t="s">
        <v>16</v>
      </c>
      <c r="I317">
        <f>VLOOKUP(Table4[[#This Row],[Visitor]],'NHL Model'!$A$6:$B$38,2,FALSE)</f>
        <v>-1.3446131114659174</v>
      </c>
      <c r="J317">
        <f>($B$1+Table4[[#This Row],[Home Differential]])-Table4[[#This Row],[Away Differential]]</f>
        <v>0.75152179759606741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0.6489770725581846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0.42117124070619122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-0.26693531126155262</v>
      </c>
      <c r="H318" t="s">
        <v>25</v>
      </c>
      <c r="I318">
        <f>VLOOKUP(Table4[[#This Row],[Visitor]],'NHL Model'!$A$6:$B$38,2,FALSE)</f>
        <v>0.15503279744029827</v>
      </c>
      <c r="J318">
        <f>($B$1+Table4[[#This Row],[Home Differential]])-Table4[[#This Row],[Away Differential]]</f>
        <v>-0.31558617593310778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0.57249986466907565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0.32775609504610992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0.12620994778252301</v>
      </c>
      <c r="H319" t="s">
        <v>17</v>
      </c>
      <c r="I319">
        <f>VLOOKUP(Table4[[#This Row],[Visitor]],'NHL Model'!$A$6:$B$38,2,FALSE)</f>
        <v>-1.1555135170505442</v>
      </c>
      <c r="J319">
        <f>($B$1+Table4[[#This Row],[Home Differential]])-Table4[[#This Row],[Away Differential]]</f>
        <v>1.3881053976018103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0.72941421573037069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7.321666664881038E-2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9.6060347736414392E-2</v>
      </c>
      <c r="H320" t="s">
        <v>36</v>
      </c>
      <c r="I320">
        <f>VLOOKUP(Table4[[#This Row],[Visitor]],'NHL Model'!$A$6:$B$38,2,FALSE)</f>
        <v>-0.40987688593271943</v>
      </c>
      <c r="J320">
        <f>($B$1+Table4[[#This Row],[Home Differential]])-Table4[[#This Row],[Away Differential]]</f>
        <v>0.61231916643787687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0.66996374142110904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0.44885141481897067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-0.32256919101930787</v>
      </c>
      <c r="H321" t="s">
        <v>32</v>
      </c>
      <c r="I321">
        <f>VLOOKUP(Table4[[#This Row],[Visitor]],'NHL Model'!$A$6:$B$38,2,FALSE)</f>
        <v>-0.63099640390293943</v>
      </c>
      <c r="J321">
        <f>($B$1+Table4[[#This Row],[Home Differential]])-Table4[[#This Row],[Away Differential]]</f>
        <v>0.4148091456523747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0.59241426677921216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0.35095466348355153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1.4740146843006017</v>
      </c>
      <c r="H322" t="s">
        <v>15</v>
      </c>
      <c r="I322">
        <f>VLOOKUP(Table4[[#This Row],[Visitor]],'NHL Model'!$A$6:$B$38,2,FALSE)</f>
        <v>-0.54922296726434805</v>
      </c>
      <c r="J322">
        <f>($B$1+Table4[[#This Row],[Home Differential]])-Table4[[#This Row],[Away Differential]]</f>
        <v>2.1296195843336929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0.82011391827850466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3.23590023971125E-2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-0.98948521352045793</v>
      </c>
      <c r="H323" t="s">
        <v>30</v>
      </c>
      <c r="I323">
        <f>VLOOKUP(Table4[[#This Row],[Visitor]],'NHL Model'!$A$6:$B$38,2,FALSE)</f>
        <v>-0.22618911823839277</v>
      </c>
      <c r="J323">
        <f>($B$1+Table4[[#This Row],[Home Differential]])-Table4[[#This Row],[Away Differential]]</f>
        <v>-0.65691416251332213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0.60152458173070966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0.15878265896488589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-0.4374979224090173</v>
      </c>
      <c r="H324" t="s">
        <v>24</v>
      </c>
      <c r="I324">
        <f>VLOOKUP(Table4[[#This Row],[Visitor]],'NHL Model'!$A$6:$B$38,2,FALSE)</f>
        <v>-0.1651785584335338</v>
      </c>
      <c r="J324">
        <f>($B$1+Table4[[#This Row],[Home Differential]])-Table4[[#This Row],[Away Differential]]</f>
        <v>-0.16593743120674043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0.44953887559878042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0.20208520067461577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-0.79206768185043297</v>
      </c>
      <c r="H325" t="s">
        <v>22</v>
      </c>
      <c r="I325">
        <f>VLOOKUP(Table4[[#This Row],[Visitor]],'NHL Model'!$A$6:$B$38,2,FALSE)</f>
        <v>0.12620994778252301</v>
      </c>
      <c r="J325">
        <f>($B$1+Table4[[#This Row],[Home Differential]])-Table4[[#This Row],[Away Differential]]</f>
        <v>-0.81189569686421292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0.58335838073941426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0.17359023890008288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-0.5336297540825371</v>
      </c>
      <c r="H326" t="s">
        <v>35</v>
      </c>
      <c r="I326">
        <f>VLOOKUP(Table4[[#This Row],[Visitor]],'NHL Model'!$A$6:$B$38,2,FALSE)</f>
        <v>-1.6690304721962474</v>
      </c>
      <c r="J326">
        <f>($B$1+Table4[[#This Row],[Home Differential]])-Table4[[#This Row],[Away Differential]]</f>
        <v>1.2417826508824534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0.72915467746098173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7.3357188741264845E-2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-0.66146476561443079</v>
      </c>
      <c r="H327" t="s">
        <v>13</v>
      </c>
      <c r="I327">
        <f>VLOOKUP(Table4[[#This Row],[Visitor]],'NHL Model'!$A$6:$B$38,2,FALSE)</f>
        <v>-0.45522284197080148</v>
      </c>
      <c r="J327">
        <f>($B$1+Table4[[#This Row],[Home Differential]])-Table4[[#This Row],[Away Differential]]</f>
        <v>-9.9859990874886229E-2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0.55609632451918489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0.30924312214374661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0.17240077100158954</v>
      </c>
      <c r="H328" t="s">
        <v>17</v>
      </c>
      <c r="I328">
        <f>VLOOKUP(Table4[[#This Row],[Visitor]],'NHL Model'!$A$6:$B$38,2,FALSE)</f>
        <v>-1.1555135170505442</v>
      </c>
      <c r="J328">
        <f>($B$1+Table4[[#This Row],[Home Differential]])-Table4[[#This Row],[Away Differential]]</f>
        <v>1.4342962208208769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0.75348022022957639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6.0772001818058155E-2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-1.0208691773880865</v>
      </c>
      <c r="H329" t="s">
        <v>28</v>
      </c>
      <c r="I329">
        <f>VLOOKUP(Table4[[#This Row],[Visitor]],'NHL Model'!$A$6:$B$38,2,FALSE)</f>
        <v>-0.89619124881012313</v>
      </c>
      <c r="J329">
        <f>($B$1+Table4[[#This Row],[Home Differential]])-Table4[[#This Row],[Away Differential]]</f>
        <v>-1.8295995809220256E-2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0.46231183717954832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0.2891085604372326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-0.34901281259242245</v>
      </c>
      <c r="H330" t="s">
        <v>20</v>
      </c>
      <c r="I330">
        <f>VLOOKUP(Table4[[#This Row],[Visitor]],'NHL Model'!$A$6:$B$38,2,FALSE)</f>
        <v>-0.26509018427102904</v>
      </c>
      <c r="J330">
        <f>($B$1+Table4[[#This Row],[Home Differential]])-Table4[[#This Row],[Away Differential]]</f>
        <v>2.2459304447349698E-2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0.5832690800992073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0.34020281979977551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-1.1323142195605178</v>
      </c>
      <c r="H331" t="s">
        <v>39</v>
      </c>
      <c r="I331">
        <f>VLOOKUP(Table4[[#This Row],[Visitor]],'NHL Model'!$A$6:$B$38,2,FALSE)</f>
        <v>8.2462575231143323E-2</v>
      </c>
      <c r="J331">
        <f>($B$1+Table4[[#This Row],[Home Differential]])-Table4[[#This Row],[Away Differential]]</f>
        <v>-1.108394862022918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0.70185181044894152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8.8892342932573906E-2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-0.69947324663859312</v>
      </c>
      <c r="H332" t="s">
        <v>10</v>
      </c>
      <c r="I332">
        <f>VLOOKUP(Table4[[#This Row],[Visitor]],'NHL Model'!$A$6:$B$38,2,FALSE)</f>
        <v>-0.32256919101930787</v>
      </c>
      <c r="J332">
        <f>($B$1+Table4[[#This Row],[Home Differential]])-Table4[[#This Row],[Away Differential]]</f>
        <v>-0.27052212285054217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0.48016589178535923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0.23055928363402931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-0.45522284197080148</v>
      </c>
      <c r="H333" t="s">
        <v>21</v>
      </c>
      <c r="I333">
        <f>VLOOKUP(Table4[[#This Row],[Visitor]],'NHL Model'!$A$6:$B$38,2,FALSE)</f>
        <v>-0.19106480716289626</v>
      </c>
      <c r="J333">
        <f>($B$1+Table4[[#This Row],[Home Differential]])-Table4[[#This Row],[Away Differential]]</f>
        <v>-0.15777610203916209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0.48076569456802143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0.2696042639374292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-0.26282059799749452</v>
      </c>
      <c r="H334" t="s">
        <v>34</v>
      </c>
      <c r="I334">
        <f>VLOOKUP(Table4[[#This Row],[Visitor]],'NHL Model'!$A$6:$B$38,2,FALSE)</f>
        <v>-0.26693531126155262</v>
      </c>
      <c r="J334">
        <f>($B$1+Table4[[#This Row],[Home Differential]])-Table4[[#This Row],[Away Differential]]</f>
        <v>0.11049664603280121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0.51396208532061871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0.26415702514711897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-0.2381776794561975</v>
      </c>
      <c r="H335" t="s">
        <v>25</v>
      </c>
      <c r="I335">
        <f>VLOOKUP(Table4[[#This Row],[Visitor]],'NHL Model'!$A$6:$B$38,2,FALSE)</f>
        <v>0.15503279744029827</v>
      </c>
      <c r="J335">
        <f>($B$1+Table4[[#This Row],[Home Differential]])-Table4[[#This Row],[Away Differential]]</f>
        <v>-0.28682854412775266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0.56636343363062247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0.18804067169262356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9.6060347736414392E-2</v>
      </c>
      <c r="H336" t="s">
        <v>20</v>
      </c>
      <c r="I336">
        <f>VLOOKUP(Table4[[#This Row],[Visitor]],'NHL Model'!$A$6:$B$38,2,FALSE)</f>
        <v>-0.26509018427102904</v>
      </c>
      <c r="J336">
        <f>($B$1+Table4[[#This Row],[Home Differential]])-Table4[[#This Row],[Away Differential]]</f>
        <v>0.46753246477618654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0.67163368339626794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0.1078244378799024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-1.3446131114659174</v>
      </c>
      <c r="H337" t="s">
        <v>39</v>
      </c>
      <c r="I337">
        <f>VLOOKUP(Table4[[#This Row],[Visitor]],'NHL Model'!$A$6:$B$38,2,FALSE)</f>
        <v>8.2462575231143323E-2</v>
      </c>
      <c r="J337">
        <f>($B$1+Table4[[#This Row],[Home Differential]])-Table4[[#This Row],[Away Differential]]</f>
        <v>-1.3206937539283177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0.7286773779994361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0.53097072120813305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-0.98948521352045793</v>
      </c>
      <c r="H338" t="s">
        <v>28</v>
      </c>
      <c r="I338">
        <f>VLOOKUP(Table4[[#This Row],[Visitor]],'NHL Model'!$A$6:$B$38,2,FALSE)</f>
        <v>-0.89619124881012313</v>
      </c>
      <c r="J338">
        <f>($B$1+Table4[[#This Row],[Home Differential]])-Table4[[#This Row],[Away Differential]]</f>
        <v>1.3087968058408284E-2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0.55567038405855851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0.1974288076026689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-0.4374979224090173</v>
      </c>
      <c r="H339" t="s">
        <v>17</v>
      </c>
      <c r="I339">
        <f>VLOOKUP(Table4[[#This Row],[Visitor]],'NHL Model'!$A$6:$B$38,2,FALSE)</f>
        <v>-1.1555135170505442</v>
      </c>
      <c r="J339">
        <f>($B$1+Table4[[#This Row],[Home Differential]])-Table4[[#This Row],[Away Differential]]</f>
        <v>0.82439752741026995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0.6764149164392248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0.45753713918148348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-0.79206768185043297</v>
      </c>
      <c r="H340" t="s">
        <v>19</v>
      </c>
      <c r="I340">
        <f>VLOOKUP(Table4[[#This Row],[Visitor]],'NHL Model'!$A$6:$B$38,2,FALSE)</f>
        <v>-1.0208691773880865</v>
      </c>
      <c r="J340">
        <f>($B$1+Table4[[#This Row],[Home Differential]])-Table4[[#This Row],[Away Differential]]</f>
        <v>0.33518342830639658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0.58235295633029593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0.1744290530860437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-1.5752718195161908</v>
      </c>
      <c r="H341" t="s">
        <v>12</v>
      </c>
      <c r="I341">
        <f>VLOOKUP(Table4[[#This Row],[Visitor]],'NHL Model'!$A$6:$B$38,2,FALSE)</f>
        <v>1.4740146843006017</v>
      </c>
      <c r="J341">
        <f>($B$1+Table4[[#This Row],[Home Differential]])-Table4[[#This Row],[Away Differential]]</f>
        <v>-2.9429045710480493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0.92434439519047806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5.7237705390945585E-3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-0.22618911823839277</v>
      </c>
      <c r="H342" t="s">
        <v>35</v>
      </c>
      <c r="I342">
        <f>VLOOKUP(Table4[[#This Row],[Visitor]],'NHL Model'!$A$6:$B$38,2,FALSE)</f>
        <v>-1.6690304721962474</v>
      </c>
      <c r="J342">
        <f>($B$1+Table4[[#This Row],[Home Differential]])-Table4[[#This Row],[Away Differential]]</f>
        <v>1.5492232867265978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0.73575605673628397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0.54133697502412592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-0.5336297540825371</v>
      </c>
      <c r="H343" t="s">
        <v>24</v>
      </c>
      <c r="I343">
        <f>VLOOKUP(Table4[[#This Row],[Visitor]],'NHL Model'!$A$6:$B$38,2,FALSE)</f>
        <v>-0.1651785584335338</v>
      </c>
      <c r="J343">
        <f>($B$1+Table4[[#This Row],[Home Differential]])-Table4[[#This Row],[Away Differential]]</f>
        <v>-0.26206926288026022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0.46168585819094532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0.21315383165350968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-0.26282059799749452</v>
      </c>
      <c r="H344" t="s">
        <v>32</v>
      </c>
      <c r="I344">
        <f>VLOOKUP(Table4[[#This Row],[Visitor]],'NHL Model'!$A$6:$B$38,2,FALSE)</f>
        <v>-0.63099640390293943</v>
      </c>
      <c r="J344">
        <f>($B$1+Table4[[#This Row],[Home Differential]])-Table4[[#This Row],[Away Differential]]</f>
        <v>0.47455773867418805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0.60245943172975869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0.36295736688014379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-0.66146476561443079</v>
      </c>
      <c r="H345" t="s">
        <v>36</v>
      </c>
      <c r="I345">
        <f>VLOOKUP(Table4[[#This Row],[Visitor]],'NHL Model'!$A$6:$B$38,2,FALSE)</f>
        <v>-0.40987688593271943</v>
      </c>
      <c r="J345">
        <f>($B$1+Table4[[#This Row],[Home Differential]])-Table4[[#This Row],[Away Differential]]</f>
        <v>-0.14520594691296829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0.49911709826249623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0.25088368125298194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-0.34901281259242245</v>
      </c>
      <c r="H346" t="s">
        <v>15</v>
      </c>
      <c r="I346">
        <f>VLOOKUP(Table4[[#This Row],[Visitor]],'NHL Model'!$A$6:$B$38,2,FALSE)</f>
        <v>-0.54922296726434805</v>
      </c>
      <c r="J346">
        <f>($B$1+Table4[[#This Row],[Home Differential]])-Table4[[#This Row],[Away Differential]]</f>
        <v>0.30659208744066868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0.52711231761072874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0.22362276015549629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0.12620994778252301</v>
      </c>
      <c r="H347" t="s">
        <v>37</v>
      </c>
      <c r="I347">
        <f>VLOOKUP(Table4[[#This Row],[Visitor]],'NHL Model'!$A$6:$B$38,2,FALSE)</f>
        <v>0.17240077100158954</v>
      </c>
      <c r="J347">
        <f>($B$1+Table4[[#This Row],[Home Differential]])-Table4[[#This Row],[Away Differential]]</f>
        <v>6.0191109549676575E-2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0.49541047909866054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0.24543154280076437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-0.69947324663859312</v>
      </c>
      <c r="H348" t="s">
        <v>25</v>
      </c>
      <c r="I348">
        <f>VLOOKUP(Table4[[#This Row],[Visitor]],'NHL Model'!$A$6:$B$38,2,FALSE)</f>
        <v>0.15503279744029827</v>
      </c>
      <c r="J348">
        <f>($B$1+Table4[[#This Row],[Home Differential]])-Table4[[#This Row],[Away Differential]]</f>
        <v>-0.74812411131014833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0.61304964726810629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0.37582987001554952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-0.32256919101930787</v>
      </c>
      <c r="H349" t="s">
        <v>12</v>
      </c>
      <c r="I349">
        <f>VLOOKUP(Table4[[#This Row],[Visitor]],'NHL Model'!$A$6:$B$38,2,FALSE)</f>
        <v>1.4740146843006017</v>
      </c>
      <c r="J349">
        <f>($B$1+Table4[[#This Row],[Home Differential]])-Table4[[#This Row],[Away Differential]]</f>
        <v>-1.6902019425511665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0.76605596193572789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5.4729812945817601E-2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-0.22618911823839277</v>
      </c>
      <c r="H350" t="s">
        <v>32</v>
      </c>
      <c r="I350">
        <f>VLOOKUP(Table4[[#This Row],[Visitor]],'NHL Model'!$A$6:$B$38,2,FALSE)</f>
        <v>-0.63099640390293943</v>
      </c>
      <c r="J350">
        <f>($B$1+Table4[[#This Row],[Home Differential]])-Table4[[#This Row],[Away Differential]]</f>
        <v>0.51118921843328979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0.60459261650916796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0.15634699891906592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-0.66146476561443079</v>
      </c>
      <c r="H351" t="s">
        <v>21</v>
      </c>
      <c r="I351">
        <f>VLOOKUP(Table4[[#This Row],[Visitor]],'NHL Model'!$A$6:$B$38,2,FALSE)</f>
        <v>-0.19106480716289626</v>
      </c>
      <c r="J351">
        <f>($B$1+Table4[[#This Row],[Home Differential]])-Table4[[#This Row],[Away Differential]]</f>
        <v>-0.36401802568279146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0.50682591845704406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0.25687251161982627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-1.1323142195605178</v>
      </c>
      <c r="H352" t="s">
        <v>16</v>
      </c>
      <c r="I352">
        <f>VLOOKUP(Table4[[#This Row],[Visitor]],'NHL Model'!$A$6:$B$38,2,FALSE)</f>
        <v>-1.3446131114659174</v>
      </c>
      <c r="J352">
        <f>($B$1+Table4[[#This Row],[Home Differential]])-Table4[[#This Row],[Away Differential]]</f>
        <v>0.31868082467414283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0.58026772778989777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0.33671063591445088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-0.2381776794561975</v>
      </c>
      <c r="H353" t="s">
        <v>34</v>
      </c>
      <c r="I353">
        <f>VLOOKUP(Table4[[#This Row],[Visitor]],'NHL Model'!$A$6:$B$38,2,FALSE)</f>
        <v>-0.26693531126155262</v>
      </c>
      <c r="J353">
        <f>($B$1+Table4[[#This Row],[Home Differential]])-Table4[[#This Row],[Away Differential]]</f>
        <v>0.13513956457409823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0.51707590409771087</v>
      </c>
      <c r="M353" t="str">
        <f>IF(OR((NHL2025_26Results[[#This Row],[Winning Team]]="")),"-",IF(Table4[[#This Row],[Predicted Winner]]=NHL2025_26Results[[#This Row],[Winning Team]],"YES","NO"))</f>
        <v>NO</v>
      </c>
      <c r="N353">
        <f>IF(Table4[[#This Row],[Adjusted Correct]]="-", "",IF(Table4[[#This Row],[Adjusted Correct]]="YES",(Table4[[#This Row],[Strength of Win]]-1)^2,(Table4[[#This Row],[Strength of Win]]-0)^2))</f>
        <v>0.2673674905984651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-0.45522284197080148</v>
      </c>
      <c r="H354" t="s">
        <v>36</v>
      </c>
      <c r="I354">
        <f>VLOOKUP(Table4[[#This Row],[Visitor]],'NHL Model'!$A$6:$B$38,2,FALSE)</f>
        <v>-0.40987688593271943</v>
      </c>
      <c r="J354">
        <f>($B$1+Table4[[#This Row],[Home Differential]])-Table4[[#This Row],[Away Differential]]</f>
        <v>6.1035976730661079E-2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0.52694312562652645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0.22378280639200032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-0.1651785584335338</v>
      </c>
      <c r="H355" t="s">
        <v>26</v>
      </c>
      <c r="I355">
        <f>VLOOKUP(Table4[[#This Row],[Visitor]],'NHL Model'!$A$6:$B$38,2,FALSE)</f>
        <v>-0.98948521352045793</v>
      </c>
      <c r="J355">
        <f>($B$1+Table4[[#This Row],[Home Differential]])-Table4[[#This Row],[Away Differential]]</f>
        <v>0.93068858785566722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0.76045667132346007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5.7381006313436837E-2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-1.5752718195161908</v>
      </c>
      <c r="H356" t="s">
        <v>11</v>
      </c>
      <c r="I356">
        <f>VLOOKUP(Table4[[#This Row],[Visitor]],'NHL Model'!$A$6:$B$38,2,FALSE)</f>
        <v>-0.4374979224090173</v>
      </c>
      <c r="J356">
        <f>($B$1+Table4[[#This Row],[Home Differential]])-Table4[[#This Row],[Away Differential]]</f>
        <v>-1.0313919643384302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0.59032416025386791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0.1678342936716985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-0.54922296726434805</v>
      </c>
      <c r="H357" t="s">
        <v>35</v>
      </c>
      <c r="I357">
        <f>VLOOKUP(Table4[[#This Row],[Visitor]],'NHL Model'!$A$6:$B$38,2,FALSE)</f>
        <v>-1.6690304721962474</v>
      </c>
      <c r="J357">
        <f>($B$1+Table4[[#This Row],[Home Differential]])-Table4[[#This Row],[Away Differential]]</f>
        <v>1.2261894377006426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0.69493829146031916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9.3062646017149184E-2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0.17240077100158954</v>
      </c>
      <c r="H358" t="s">
        <v>27</v>
      </c>
      <c r="I358">
        <f>VLOOKUP(Table4[[#This Row],[Visitor]],'NHL Model'!$A$6:$B$38,2,FALSE)</f>
        <v>-0.5336297540825371</v>
      </c>
      <c r="J358">
        <f>($B$1+Table4[[#This Row],[Home Differential]])-Table4[[#This Row],[Away Differential]]</f>
        <v>0.81241245785286975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0.6749005124302172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0.10568967681813536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-0.34901281259242245</v>
      </c>
      <c r="H359" t="s">
        <v>20</v>
      </c>
      <c r="I359">
        <f>VLOOKUP(Table4[[#This Row],[Visitor]],'NHL Model'!$A$6:$B$38,2,FALSE)</f>
        <v>-0.26509018427102904</v>
      </c>
      <c r="J359">
        <f>($B$1+Table4[[#This Row],[Home Differential]])-Table4[[#This Row],[Away Differential]]</f>
        <v>2.2459304447349698E-2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0.5832690800992073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0.1736646596013609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0.12620994778252301</v>
      </c>
      <c r="H360" t="s">
        <v>28</v>
      </c>
      <c r="I360">
        <f>VLOOKUP(Table4[[#This Row],[Visitor]],'NHL Model'!$A$6:$B$38,2,FALSE)</f>
        <v>-0.89619124881012313</v>
      </c>
      <c r="J360">
        <f>($B$1+Table4[[#This Row],[Home Differential]])-Table4[[#This Row],[Away Differential]]</f>
        <v>1.1287831293613892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0.69664688961954624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9.2023109577495765E-2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-1.1555135170505442</v>
      </c>
      <c r="H361" t="s">
        <v>39</v>
      </c>
      <c r="I361">
        <f>VLOOKUP(Table4[[#This Row],[Visitor]],'NHL Model'!$A$6:$B$38,2,FALSE)</f>
        <v>8.2462575231143323E-2</v>
      </c>
      <c r="J361">
        <f>($B$1+Table4[[#This Row],[Home Differential]])-Table4[[#This Row],[Away Differential]]</f>
        <v>-1.1315941595129444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0.69777998454785217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9.133693773989647E-2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9.6060347736414392E-2</v>
      </c>
      <c r="H362" t="s">
        <v>38</v>
      </c>
      <c r="I362">
        <f>VLOOKUP(Table4[[#This Row],[Visitor]],'NHL Model'!$A$6:$B$38,2,FALSE)</f>
        <v>-1.1323142195605178</v>
      </c>
      <c r="J362">
        <f>($B$1+Table4[[#This Row],[Home Differential]])-Table4[[#This Row],[Away Differential]]</f>
        <v>1.3347565000656754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0.74324219467798658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0.55240895994975014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0.15503279744029827</v>
      </c>
      <c r="H363" t="s">
        <v>15</v>
      </c>
      <c r="I363">
        <f>VLOOKUP(Table4[[#This Row],[Visitor]],'NHL Model'!$A$6:$B$38,2,FALSE)</f>
        <v>-0.54922296726434805</v>
      </c>
      <c r="J363">
        <f>($B$1+Table4[[#This Row],[Home Differential]])-Table4[[#This Row],[Away Differential]]</f>
        <v>0.81063769747338943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0.57611440277734161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0.33190780508749301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-0.89619124881012313</v>
      </c>
      <c r="H364" t="s">
        <v>19</v>
      </c>
      <c r="I364">
        <f>VLOOKUP(Table4[[#This Row],[Visitor]],'NHL Model'!$A$6:$B$38,2,FALSE)</f>
        <v>-1.0208691773880865</v>
      </c>
      <c r="J364">
        <f>($B$1+Table4[[#This Row],[Home Differential]])-Table4[[#This Row],[Away Differential]]</f>
        <v>0.23105986134670642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0.56919615765835441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0.32398426589303425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-0.32256919101930787</v>
      </c>
      <c r="H365" t="s">
        <v>34</v>
      </c>
      <c r="I365">
        <f>VLOOKUP(Table4[[#This Row],[Visitor]],'NHL Model'!$A$6:$B$38,2,FALSE)</f>
        <v>-0.26693531126155262</v>
      </c>
      <c r="J365">
        <f>($B$1+Table4[[#This Row],[Home Differential]])-Table4[[#This Row],[Away Differential]]</f>
        <v>5.0748053010987865E-2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0.50389983676034178</v>
      </c>
      <c r="M365" t="str">
        <f>IF(OR((NHL2025_26Results[[#This Row],[Winning Team]]="")),"-",IF(Table4[[#This Row],[Predicted Winner]]=NHL2025_26Results[[#This Row],[Winning Team]],"YES","NO"))</f>
        <v>NO</v>
      </c>
      <c r="N365">
        <f>IF(Table4[[#This Row],[Adjusted Correct]]="-", "",IF(Table4[[#This Row],[Adjusted Correct]]="YES",(Table4[[#This Row],[Strength of Win]]-1)^2,(Table4[[#This Row],[Strength of Win]]-0)^2))</f>
        <v>0.25391504548709909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1.4740146843006017</v>
      </c>
      <c r="H366" t="s">
        <v>33</v>
      </c>
      <c r="I366">
        <f>VLOOKUP(Table4[[#This Row],[Visitor]],'NHL Model'!$A$6:$B$38,2,FALSE)</f>
        <v>-0.66146476561443079</v>
      </c>
      <c r="J366">
        <f>($B$1+Table4[[#This Row],[Home Differential]])-Table4[[#This Row],[Away Differential]]</f>
        <v>2.2418613826837754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0.92338990661312847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5.8691064087451764E-3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-0.98948521352045793</v>
      </c>
      <c r="H367" t="s">
        <v>29</v>
      </c>
      <c r="I367">
        <f>VLOOKUP(Table4[[#This Row],[Visitor]],'NHL Model'!$A$6:$B$38,2,FALSE)</f>
        <v>-1.5752718195161908</v>
      </c>
      <c r="J367">
        <f>($B$1+Table4[[#This Row],[Home Differential]])-Table4[[#This Row],[Away Differential]]</f>
        <v>0.69216853876447593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0.6414773402711299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0.41149317808132296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-0.4374979224090173</v>
      </c>
      <c r="H368" t="s">
        <v>27</v>
      </c>
      <c r="I368">
        <f>VLOOKUP(Table4[[#This Row],[Visitor]],'NHL Model'!$A$6:$B$38,2,FALSE)</f>
        <v>-0.5336297540825371</v>
      </c>
      <c r="J368">
        <f>($B$1+Table4[[#This Row],[Home Differential]])-Table4[[#This Row],[Away Differential]]</f>
        <v>0.20251376444226288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0.59783520863986561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0.35740693668947165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-0.1651785584335338</v>
      </c>
      <c r="H369" t="s">
        <v>35</v>
      </c>
      <c r="I369">
        <f>VLOOKUP(Table4[[#This Row],[Visitor]],'NHL Model'!$A$6:$B$38,2,FALSE)</f>
        <v>-1.6690304721962474</v>
      </c>
      <c r="J369">
        <f>($B$1+Table4[[#This Row],[Home Differential]])-Table4[[#This Row],[Away Differential]]</f>
        <v>1.6102338465314567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0.86522990739395689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1.8162977861041436E-2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-0.22618911823839277</v>
      </c>
      <c r="H370" t="s">
        <v>21</v>
      </c>
      <c r="I370">
        <f>VLOOKUP(Table4[[#This Row],[Visitor]],'NHL Model'!$A$6:$B$38,2,FALSE)</f>
        <v>-0.19106480716289626</v>
      </c>
      <c r="J370">
        <f>($B$1+Table4[[#This Row],[Home Differential]])-Table4[[#This Row],[Away Differential]]</f>
        <v>7.1257621693246592E-2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0.54817444530827519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0.30049522248903521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-0.26282059799749452</v>
      </c>
      <c r="H371" t="s">
        <v>23</v>
      </c>
      <c r="I371">
        <f>VLOOKUP(Table4[[#This Row],[Visitor]],'NHL Model'!$A$6:$B$38,2,FALSE)</f>
        <v>-0.69947324663859312</v>
      </c>
      <c r="J371">
        <f>($B$1+Table4[[#This Row],[Home Differential]])-Table4[[#This Row],[Away Differential]]</f>
        <v>0.54303458140984173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0.61111199771332692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0.15123387832251944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-0.63099640390293943</v>
      </c>
      <c r="H372" t="s">
        <v>39</v>
      </c>
      <c r="I372">
        <f>VLOOKUP(Table4[[#This Row],[Visitor]],'NHL Model'!$A$6:$B$38,2,FALSE)</f>
        <v>8.2462575231143323E-2</v>
      </c>
      <c r="J372">
        <f>($B$1+Table4[[#This Row],[Home Differential]])-Table4[[#This Row],[Away Differential]]</f>
        <v>-0.60707704636533966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0.63603080128501788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0.13247357761322615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0.17240077100158954</v>
      </c>
      <c r="H373" t="s">
        <v>16</v>
      </c>
      <c r="I373">
        <f>VLOOKUP(Table4[[#This Row],[Visitor]],'NHL Model'!$A$6:$B$38,2,FALSE)</f>
        <v>-1.3446131114659174</v>
      </c>
      <c r="J373">
        <f>($B$1+Table4[[#This Row],[Home Differential]])-Table4[[#This Row],[Away Differential]]</f>
        <v>1.62339581523625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0.77737438142011672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4.9562166048075673E-2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-0.34901281259242245</v>
      </c>
      <c r="H374" t="s">
        <v>18</v>
      </c>
      <c r="I374">
        <f>VLOOKUP(Table4[[#This Row],[Visitor]],'NHL Model'!$A$6:$B$38,2,FALSE)</f>
        <v>-0.79206768185043297</v>
      </c>
      <c r="J374">
        <f>($B$1+Table4[[#This Row],[Home Differential]])-Table4[[#This Row],[Away Differential]]</f>
        <v>0.5494368020267536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0.58413136976464231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0.34120945714311729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-0.26509018427102904</v>
      </c>
      <c r="H375" t="s">
        <v>36</v>
      </c>
      <c r="I375">
        <f>VLOOKUP(Table4[[#This Row],[Visitor]],'NHL Model'!$A$6:$B$38,2,FALSE)</f>
        <v>-0.40987688593271943</v>
      </c>
      <c r="J375">
        <f>($B$1+Table4[[#This Row],[Home Differential]])-Table4[[#This Row],[Away Differential]]</f>
        <v>0.25116863443043347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0.55096782216122642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0.30356554105708483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0.12620994778252301</v>
      </c>
      <c r="H376" t="s">
        <v>40</v>
      </c>
      <c r="I376">
        <f>VLOOKUP(Table4[[#This Row],[Visitor]],'NHL Model'!$A$6:$B$38,2,FALSE)</f>
        <v>-0.2381776794561975</v>
      </c>
      <c r="J376">
        <f>($B$1+Table4[[#This Row],[Home Differential]])-Table4[[#This Row],[Away Differential]]</f>
        <v>0.47076956000746362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0.57111319453219778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0.18394389190437643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9.6060347736414392E-2</v>
      </c>
      <c r="H377" t="s">
        <v>13</v>
      </c>
      <c r="I377">
        <f>VLOOKUP(Table4[[#This Row],[Visitor]],'NHL Model'!$A$6:$B$38,2,FALSE)</f>
        <v>-0.45522284197080148</v>
      </c>
      <c r="J377">
        <f>($B$1+Table4[[#This Row],[Home Differential]])-Table4[[#This Row],[Away Differential]]</f>
        <v>0.65766512247595899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0.61390663987595384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O377">
        <v>0.65766512247595899</v>
      </c>
      <c r="P377" s="11">
        <v>0.61390663987595384</v>
      </c>
      <c r="Q377" t="s">
        <v>31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-0.19106480716289626</v>
      </c>
      <c r="H378" t="s">
        <v>15</v>
      </c>
      <c r="I378">
        <f>VLOOKUP(Table4[[#This Row],[Visitor]],'NHL Model'!$A$6:$B$38,2,FALSE)</f>
        <v>-0.54922296726434805</v>
      </c>
      <c r="J378">
        <f>($B$1+Table4[[#This Row],[Home Differential]])-Table4[[#This Row],[Away Differential]]</f>
        <v>0.46454009287019493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0.5586981473589383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O378">
        <v>0.46454009287019493</v>
      </c>
      <c r="P378" s="11">
        <v>0.5586981473589383</v>
      </c>
      <c r="Q378" t="s">
        <v>21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-0.69947324663859312</v>
      </c>
      <c r="H379" t="s">
        <v>24</v>
      </c>
      <c r="I379">
        <f>VLOOKUP(Table4[[#This Row],[Visitor]],'NHL Model'!$A$6:$B$38,2,FALSE)</f>
        <v>-0.1651785584335338</v>
      </c>
      <c r="J379">
        <f>($B$1+Table4[[#This Row],[Home Differential]])-Table4[[#This Row],[Away Differential]]</f>
        <v>-0.42791275543631624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0.50087851742754785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O379">
        <v>-0.42791275543631624</v>
      </c>
      <c r="P379" s="11">
        <v>0.50087851742754785</v>
      </c>
      <c r="Q379" t="s">
        <v>24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0.15503279744029827</v>
      </c>
      <c r="H380" t="s">
        <v>40</v>
      </c>
      <c r="I380">
        <f>VLOOKUP(Table4[[#This Row],[Visitor]],'NHL Model'!$A$6:$B$38,2,FALSE)</f>
        <v>-0.2381776794561975</v>
      </c>
      <c r="J380">
        <f>($B$1+Table4[[#This Row],[Home Differential]])-Table4[[#This Row],[Away Differential]]</f>
        <v>0.49959240966523888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0.58693679599124149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O380">
        <v>0.49959240966523888</v>
      </c>
      <c r="P380" s="11">
        <v>0.58693679599124149</v>
      </c>
      <c r="Q380" t="s">
        <v>25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-0.89619124881012313</v>
      </c>
      <c r="H381" t="s">
        <v>14</v>
      </c>
      <c r="I381">
        <f>VLOOKUP(Table4[[#This Row],[Visitor]],'NHL Model'!$A$6:$B$38,2,FALSE)</f>
        <v>-0.26282059799749452</v>
      </c>
      <c r="J381">
        <f>($B$1+Table4[[#This Row],[Home Differential]])-Table4[[#This Row],[Away Differential]]</f>
        <v>-0.52698871804388547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0.52658900254898244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O381">
        <v>-0.52698871804388547</v>
      </c>
      <c r="P381" s="11">
        <v>0.52658900254898244</v>
      </c>
      <c r="Q381" t="s">
        <v>14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-0.32256919101930787</v>
      </c>
      <c r="H382" t="s">
        <v>29</v>
      </c>
      <c r="I382">
        <f>VLOOKUP(Table4[[#This Row],[Visitor]],'NHL Model'!$A$6:$B$38,2,FALSE)</f>
        <v>-1.5752718195161908</v>
      </c>
      <c r="J382">
        <f>($B$1+Table4[[#This Row],[Home Differential]])-Table4[[#This Row],[Away Differential]]</f>
        <v>1.3590845612656259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0.71173059349415335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O382">
        <v>1.3590845612656259</v>
      </c>
      <c r="P382" s="11">
        <v>0.71173059349415335</v>
      </c>
      <c r="Q382" t="s">
        <v>10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8.2462575231143323E-2</v>
      </c>
      <c r="H383" t="s">
        <v>55</v>
      </c>
      <c r="I383">
        <f>VLOOKUP(Table4[[#This Row],[Visitor]],'NHL Model'!$A$6:$B$38,2,FALSE)</f>
        <v>-0.34901281259242245</v>
      </c>
      <c r="J383">
        <f>($B$1+Table4[[#This Row],[Home Differential]])-Table4[[#This Row],[Away Differential]]</f>
        <v>0.53785732059230895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0.61045781172798907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O383">
        <v>0.53785732059230895</v>
      </c>
      <c r="P383" s="11">
        <v>0.61045781172798907</v>
      </c>
      <c r="Q383" t="s">
        <v>39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-0.98948521352045793</v>
      </c>
      <c r="H384" t="s">
        <v>37</v>
      </c>
      <c r="I384">
        <f>VLOOKUP(Table4[[#This Row],[Visitor]],'NHL Model'!$A$6:$B$38,2,FALSE)</f>
        <v>0.17240077100158954</v>
      </c>
      <c r="J384">
        <f>($B$1+Table4[[#This Row],[Home Differential]])-Table4[[#This Row],[Away Differential]]</f>
        <v>-1.0555040517533043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0.64556602646232719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O384">
        <v>-1.0555040517533043</v>
      </c>
      <c r="P384" s="11">
        <v>0.64556602646232719</v>
      </c>
      <c r="Q384" t="s">
        <v>37</v>
      </c>
    </row>
    <row r="385" spans="4:17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-0.4374979224090173</v>
      </c>
      <c r="H385" t="s">
        <v>16</v>
      </c>
      <c r="I385">
        <f>VLOOKUP(Table4[[#This Row],[Visitor]],'NHL Model'!$A$6:$B$38,2,FALSE)</f>
        <v>-1.3446131114659174</v>
      </c>
      <c r="J385">
        <f>($B$1+Table4[[#This Row],[Home Differential]])-Table4[[#This Row],[Away Differential]]</f>
        <v>1.0134971218256432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0.70030907762976513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O385">
        <v>1.0134971218256432</v>
      </c>
      <c r="P385" s="11">
        <v>0.70030907762976513</v>
      </c>
      <c r="Q385" t="s">
        <v>11</v>
      </c>
    </row>
    <row r="386" spans="4:17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-0.26693531126155262</v>
      </c>
      <c r="H386" t="s">
        <v>12</v>
      </c>
      <c r="I386">
        <f>VLOOKUP(Table4[[#This Row],[Visitor]],'NHL Model'!$A$6:$B$38,2,FALSE)</f>
        <v>1.4740146843006017</v>
      </c>
      <c r="J386">
        <f>($B$1+Table4[[#This Row],[Home Differential]])-Table4[[#This Row],[Away Differential]]</f>
        <v>-1.6345680627934112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0.75902620127073683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O386">
        <v>-1.6345680627934112</v>
      </c>
      <c r="P386" s="11">
        <v>0.75902620127073683</v>
      </c>
      <c r="Q386" t="s">
        <v>12</v>
      </c>
    </row>
    <row r="387" spans="4:17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-0.22618911823839277</v>
      </c>
      <c r="H387" t="s">
        <v>27</v>
      </c>
      <c r="I387">
        <f>VLOOKUP(Table4[[#This Row],[Visitor]],'NHL Model'!$A$6:$B$38,2,FALSE)</f>
        <v>-0.5336297540825371</v>
      </c>
      <c r="J387">
        <f>($B$1+Table4[[#This Row],[Home Differential]])-Table4[[#This Row],[Away Differential]]</f>
        <v>0.41382256861288746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0.5922896053230029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O387">
        <v>0.41382256861288746</v>
      </c>
      <c r="P387" s="11">
        <v>0.5922896053230029</v>
      </c>
      <c r="Q387" t="s">
        <v>30</v>
      </c>
    </row>
    <row r="388" spans="4:17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-0.66146476561443079</v>
      </c>
      <c r="H388" t="s">
        <v>38</v>
      </c>
      <c r="I388">
        <f>VLOOKUP(Table4[[#This Row],[Visitor]],'NHL Model'!$A$6:$B$38,2,FALSE)</f>
        <v>-1.1323142195605178</v>
      </c>
      <c r="J388">
        <f>($B$1+Table4[[#This Row],[Home Differential]])-Table4[[#This Row],[Away Differential]]</f>
        <v>0.5772313867148301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0.57365080975885752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O388">
        <v>0.5772313867148301</v>
      </c>
      <c r="P388" s="11">
        <v>0.57365080975885752</v>
      </c>
      <c r="Q388" t="s">
        <v>33</v>
      </c>
    </row>
    <row r="389" spans="4:17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-1.6690304721962474</v>
      </c>
      <c r="H389" t="s">
        <v>36</v>
      </c>
      <c r="I389">
        <f>VLOOKUP(Table4[[#This Row],[Visitor]],'NHL Model'!$A$6:$B$38,2,FALSE)</f>
        <v>-0.40987688593271943</v>
      </c>
      <c r="J389">
        <f>($B$1+Table4[[#This Row],[Home Differential]])-Table4[[#This Row],[Away Differential]]</f>
        <v>-1.1527716534947849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0.62643063099405782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O389">
        <v>-1.1527716534947849</v>
      </c>
      <c r="P389" s="11">
        <v>0.62643063099405782</v>
      </c>
      <c r="Q389" t="s">
        <v>36</v>
      </c>
    </row>
    <row r="390" spans="4:17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-0.26509018427102904</v>
      </c>
      <c r="H390" t="s">
        <v>18</v>
      </c>
      <c r="I390">
        <f>VLOOKUP(Table4[[#This Row],[Visitor]],'NHL Model'!$A$6:$B$38,2,FALSE)</f>
        <v>-0.79206768185043297</v>
      </c>
      <c r="J390">
        <f>($B$1+Table4[[#This Row],[Home Differential]])-Table4[[#This Row],[Away Differential]]</f>
        <v>0.63335943034814701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0.55371395552431535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O390">
        <v>0.63335943034814701</v>
      </c>
      <c r="P390" s="11">
        <v>0.55371395552431535</v>
      </c>
      <c r="Q390" t="s">
        <v>20</v>
      </c>
    </row>
    <row r="391" spans="4:17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0.12620994778252301</v>
      </c>
      <c r="H391" t="s">
        <v>19</v>
      </c>
      <c r="I391">
        <f>VLOOKUP(Table4[[#This Row],[Visitor]],'NHL Model'!$A$6:$B$38,2,FALSE)</f>
        <v>-1.0208691773880865</v>
      </c>
      <c r="J391">
        <f>($B$1+Table4[[#This Row],[Home Differential]])-Table4[[#This Row],[Away Differential]]</f>
        <v>1.2534610579393526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0.71240088703849758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O391">
        <v>1.2534610579393526</v>
      </c>
      <c r="P391" s="11">
        <v>0.71240088703849758</v>
      </c>
      <c r="Q391" t="s">
        <v>22</v>
      </c>
    </row>
    <row r="392" spans="4:17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-0.19106480716289626</v>
      </c>
      <c r="H392" t="s">
        <v>26</v>
      </c>
      <c r="I392">
        <f>VLOOKUP(Table4[[#This Row],[Visitor]],'NHL Model'!$A$6:$B$38,2,FALSE)</f>
        <v>-0.98948521352045793</v>
      </c>
      <c r="J392">
        <f>($B$1+Table4[[#This Row],[Home Differential]])-Table4[[#This Row],[Away Differential]]</f>
        <v>0.90480233912630481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0.68575717696313898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7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1.4740146843006017</v>
      </c>
      <c r="H393" t="s">
        <v>18</v>
      </c>
      <c r="I393">
        <f>VLOOKUP(Table4[[#This Row],[Visitor]],'NHL Model'!$A$6:$B$38,2,FALSE)</f>
        <v>-0.79206768185043297</v>
      </c>
      <c r="J393">
        <f>($B$1+Table4[[#This Row],[Home Differential]])-Table4[[#This Row],[Away Differential]]</f>
        <v>2.3724642989197777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0.8767018498625444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7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-0.45522284197080148</v>
      </c>
      <c r="H394" t="s">
        <v>38</v>
      </c>
      <c r="I394">
        <f>VLOOKUP(Table4[[#This Row],[Visitor]],'NHL Model'!$A$6:$B$38,2,FALSE)</f>
        <v>-1.1323142195605178</v>
      </c>
      <c r="J394">
        <f>($B$1+Table4[[#This Row],[Home Differential]])-Table4[[#This Row],[Away Differential]]</f>
        <v>0.78347331035845946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0.59971103364788025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7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-0.26693531126155262</v>
      </c>
      <c r="H395" t="s">
        <v>23</v>
      </c>
      <c r="I395">
        <f>VLOOKUP(Table4[[#This Row],[Visitor]],'NHL Model'!$A$6:$B$38,2,FALSE)</f>
        <v>-0.69947324663859312</v>
      </c>
      <c r="J395">
        <f>($B$1+Table4[[#This Row],[Home Differential]])-Table4[[#This Row],[Away Differential]]</f>
        <v>0.53891986814578363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0.60809659342777134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7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-0.1651785584335338</v>
      </c>
      <c r="H396" t="s">
        <v>27</v>
      </c>
      <c r="I396">
        <f>VLOOKUP(Table4[[#This Row],[Visitor]],'NHL Model'!$A$6:$B$38,2,FALSE)</f>
        <v>-0.5336297540825371</v>
      </c>
      <c r="J396">
        <f>($B$1+Table4[[#This Row],[Home Differential]])-Table4[[#This Row],[Away Differential]]</f>
        <v>0.47483312841774639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0.72176345598067582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7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-1.5752718195161908</v>
      </c>
      <c r="H397" t="s">
        <v>40</v>
      </c>
      <c r="I397">
        <f>VLOOKUP(Table4[[#This Row],[Visitor]],'NHL Model'!$A$6:$B$38,2,FALSE)</f>
        <v>-0.2381776794561975</v>
      </c>
      <c r="J397">
        <f>($B$1+Table4[[#This Row],[Home Differential]])-Table4[[#This Row],[Away Differential]]</f>
        <v>-1.23071220729125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0.65802234035271634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7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-0.54922296726434805</v>
      </c>
      <c r="H398" t="s">
        <v>37</v>
      </c>
      <c r="I398">
        <f>VLOOKUP(Table4[[#This Row],[Visitor]],'NHL Model'!$A$6:$B$38,2,FALSE)</f>
        <v>0.17240077100158954</v>
      </c>
      <c r="J398">
        <f>($B$1+Table4[[#This Row],[Home Differential]])-Table4[[#This Row],[Away Differential]]</f>
        <v>-0.61524180549719454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0.60405623580916257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7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-0.26282059799749452</v>
      </c>
      <c r="H399" t="s">
        <v>19</v>
      </c>
      <c r="I399">
        <f>VLOOKUP(Table4[[#This Row],[Visitor]],'NHL Model'!$A$6:$B$38,2,FALSE)</f>
        <v>-1.0208691773880865</v>
      </c>
      <c r="J399">
        <f>($B$1+Table4[[#This Row],[Home Differential]])-Table4[[#This Row],[Away Differential]]</f>
        <v>0.86443051215933508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0.65172279965107993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7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-0.63099640390293943</v>
      </c>
      <c r="H400" t="s">
        <v>17</v>
      </c>
      <c r="I400">
        <f>VLOOKUP(Table4[[#This Row],[Visitor]],'NHL Model'!$A$6:$B$38,2,FALSE)</f>
        <v>-1.1555135170505442</v>
      </c>
      <c r="J400">
        <f>($B$1+Table4[[#This Row],[Home Differential]])-Table4[[#This Row],[Away Differential]]</f>
        <v>0.63089904591634782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0.62221433605693732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-1.6690304721962474</v>
      </c>
      <c r="H401" t="s">
        <v>55</v>
      </c>
      <c r="I401">
        <f>VLOOKUP(Table4[[#This Row],[Visitor]],'NHL Model'!$A$6:$B$38,2,FALSE)</f>
        <v>-0.34901281259242245</v>
      </c>
      <c r="J401">
        <f>($B$1+Table4[[#This Row],[Home Differential]])-Table4[[#This Row],[Away Differential]]</f>
        <v>-1.2136357268350819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0.61335203532958271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-0.26509018427102904</v>
      </c>
      <c r="H402" t="s">
        <v>33</v>
      </c>
      <c r="I402">
        <f>VLOOKUP(Table4[[#This Row],[Visitor]],'NHL Model'!$A$6:$B$38,2,FALSE)</f>
        <v>-0.66146476561443079</v>
      </c>
      <c r="J402">
        <f>($B$1+Table4[[#This Row],[Home Differential]])-Table4[[#This Row],[Away Differential]]</f>
        <v>0.50275651411214484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0.60352708066312577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0.15503279744029827</v>
      </c>
      <c r="H403" t="s">
        <v>16</v>
      </c>
      <c r="I403">
        <f>VLOOKUP(Table4[[#This Row],[Visitor]],'NHL Model'!$A$6:$B$38,2,FALSE)</f>
        <v>-1.3446131114659174</v>
      </c>
      <c r="J403">
        <f>($B$1+Table4[[#This Row],[Home Differential]])-Table4[[#This Row],[Away Differential]]</f>
        <v>1.6060278416749587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0.76897147689761691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-0.32256919101930787</v>
      </c>
      <c r="H404" t="s">
        <v>31</v>
      </c>
      <c r="I404">
        <f>VLOOKUP(Table4[[#This Row],[Visitor]],'NHL Model'!$A$6:$B$38,2,FALSE)</f>
        <v>9.6060347736414392E-2</v>
      </c>
      <c r="J404">
        <f>($B$1+Table4[[#This Row],[Home Differential]])-Table4[[#This Row],[Away Differential]]</f>
        <v>-0.31224760598697915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0.52022407281624616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8.2462575231143323E-2</v>
      </c>
      <c r="H405" t="s">
        <v>36</v>
      </c>
      <c r="I405">
        <f>VLOOKUP(Table4[[#This Row],[Visitor]],'NHL Model'!$A$6:$B$38,2,FALSE)</f>
        <v>-0.40987688593271943</v>
      </c>
      <c r="J405">
        <f>($B$1+Table4[[#This Row],[Home Differential]])-Table4[[#This Row],[Away Differential]]</f>
        <v>0.59872139393260593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0.59739209806318738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-0.22618911823839277</v>
      </c>
      <c r="H406" t="s">
        <v>22</v>
      </c>
      <c r="I406">
        <f>VLOOKUP(Table4[[#This Row],[Visitor]],'NHL Model'!$A$6:$B$38,2,FALSE)</f>
        <v>0.12620994778252301</v>
      </c>
      <c r="J406">
        <f>($B$1+Table4[[#This Row],[Home Differential]])-Table4[[#This Row],[Away Differential]]</f>
        <v>-0.24601713325217267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0.51185535263922122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-0.69947324663859312</v>
      </c>
      <c r="H407" t="s">
        <v>40</v>
      </c>
      <c r="I407">
        <f>VLOOKUP(Table4[[#This Row],[Visitor]],'NHL Model'!$A$6:$B$38,2,FALSE)</f>
        <v>-0.2381776794561975</v>
      </c>
      <c r="J407">
        <f>($B$1+Table4[[#This Row],[Home Differential]])-Table4[[#This Row],[Away Differential]]</f>
        <v>-0.35491363441365253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0.53321810983052875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-0.1651785584335338</v>
      </c>
      <c r="H408" t="s">
        <v>28</v>
      </c>
      <c r="I408">
        <f>VLOOKUP(Table4[[#This Row],[Visitor]],'NHL Model'!$A$6:$B$38,2,FALSE)</f>
        <v>-0.89619124881012313</v>
      </c>
      <c r="J408">
        <f>($B$1+Table4[[#This Row],[Home Differential]])-Table4[[#This Row],[Away Differential]]</f>
        <v>0.83739462314533242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0.76757583766921056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-0.5336297540825371</v>
      </c>
      <c r="H409" t="s">
        <v>14</v>
      </c>
      <c r="I409">
        <f>VLOOKUP(Table4[[#This Row],[Visitor]],'NHL Model'!$A$6:$B$38,2,FALSE)</f>
        <v>-0.26282059799749452</v>
      </c>
      <c r="J409">
        <f>($B$1+Table4[[#This Row],[Home Differential]])-Table4[[#This Row],[Away Differential]]</f>
        <v>-0.1644272233162995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0.44853055505215012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-0.66146476561443079</v>
      </c>
      <c r="H410" t="s">
        <v>55</v>
      </c>
      <c r="I410">
        <f>VLOOKUP(Table4[[#This Row],[Visitor]],'NHL Model'!$A$6:$B$38,2,FALSE)</f>
        <v>-0.34901281259242245</v>
      </c>
      <c r="J410">
        <f>($B$1+Table4[[#This Row],[Home Differential]])-Table4[[#This Row],[Away Differential]]</f>
        <v>-0.20607002025326526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0.48603850259802117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-1.6690304721962474</v>
      </c>
      <c r="H411" t="s">
        <v>31</v>
      </c>
      <c r="I411">
        <f>VLOOKUP(Table4[[#This Row],[Visitor]],'NHL Model'!$A$6:$B$38,2,FALSE)</f>
        <v>9.6060347736414392E-2</v>
      </c>
      <c r="J411">
        <f>($B$1+Table4[[#This Row],[Home Differential]])-Table4[[#This Row],[Away Differential]]</f>
        <v>-1.6587088871639186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0.69035961958317127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1.4740146843006017</v>
      </c>
      <c r="H412" t="s">
        <v>38</v>
      </c>
      <c r="I412">
        <f>VLOOKUP(Table4[[#This Row],[Visitor]],'NHL Model'!$A$6:$B$38,2,FALSE)</f>
        <v>-1.1323142195605178</v>
      </c>
      <c r="J412">
        <f>($B$1+Table4[[#This Row],[Home Differential]])-Table4[[#This Row],[Away Differential]]</f>
        <v>2.7127108366298627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0.94586427486743396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-0.98948521352045793</v>
      </c>
      <c r="H413" t="s">
        <v>21</v>
      </c>
      <c r="I413">
        <f>VLOOKUP(Table4[[#This Row],[Visitor]],'NHL Model'!$A$6:$B$38,2,FALSE)</f>
        <v>-0.19106480716289626</v>
      </c>
      <c r="J413">
        <f>($B$1+Table4[[#This Row],[Home Differential]])-Table4[[#This Row],[Away Differential]]</f>
        <v>-0.69203847358881854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0.53425279569405926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-1.1555135170505442</v>
      </c>
      <c r="H414" t="s">
        <v>34</v>
      </c>
      <c r="I414">
        <f>VLOOKUP(Table4[[#This Row],[Visitor]],'NHL Model'!$A$6:$B$38,2,FALSE)</f>
        <v>-0.26693531126155262</v>
      </c>
      <c r="J414">
        <f>($B$1+Table4[[#This Row],[Home Differential]])-Table4[[#This Row],[Away Differential]]</f>
        <v>-0.7821962730202483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0.59424924761528852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-0.4374979224090173</v>
      </c>
      <c r="H415" t="s">
        <v>19</v>
      </c>
      <c r="I415">
        <f>VLOOKUP(Table4[[#This Row],[Visitor]],'NHL Model'!$A$6:$B$38,2,FALSE)</f>
        <v>-1.0208691773880865</v>
      </c>
      <c r="J415">
        <f>($B$1+Table4[[#This Row],[Home Differential]])-Table4[[#This Row],[Away Differential]]</f>
        <v>0.68975318774781225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0.65940158774735169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-0.45522284197080148</v>
      </c>
      <c r="H416" t="s">
        <v>22</v>
      </c>
      <c r="I416">
        <f>VLOOKUP(Table4[[#This Row],[Visitor]],'NHL Model'!$A$6:$B$38,2,FALSE)</f>
        <v>0.12620994778252301</v>
      </c>
      <c r="J416">
        <f>($B$1+Table4[[#This Row],[Home Differential]])-Table4[[#This Row],[Away Differential]]</f>
        <v>-0.47505085698458138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0.54079549251551784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-0.79206768185043297</v>
      </c>
      <c r="H417" t="s">
        <v>36</v>
      </c>
      <c r="I417">
        <f>VLOOKUP(Table4[[#This Row],[Visitor]],'NHL Model'!$A$6:$B$38,2,FALSE)</f>
        <v>-0.40987688593271943</v>
      </c>
      <c r="J417">
        <f>($B$1+Table4[[#This Row],[Home Differential]])-Table4[[#This Row],[Away Differential]]</f>
        <v>-0.27580886314897046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0.51561976259736997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-1.5752718195161908</v>
      </c>
      <c r="H418" t="s">
        <v>16</v>
      </c>
      <c r="I418">
        <f>VLOOKUP(Table4[[#This Row],[Visitor]],'NHL Model'!$A$6:$B$38,2,FALSE)</f>
        <v>-1.3446131114659174</v>
      </c>
      <c r="J418">
        <f>($B$1+Table4[[#This Row],[Home Differential]])-Table4[[#This Row],[Away Differential]]</f>
        <v>-0.12427677528153014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0.47570330867180349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-0.22618911823839277</v>
      </c>
      <c r="H419" t="s">
        <v>37</v>
      </c>
      <c r="I419">
        <f>VLOOKUP(Table4[[#This Row],[Visitor]],'NHL Model'!$A$6:$B$38,2,FALSE)</f>
        <v>0.17240077100158954</v>
      </c>
      <c r="J419">
        <f>($B$1+Table4[[#This Row],[Home Differential]])-Table4[[#This Row],[Away Differential]]</f>
        <v>-0.29220795647123921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0.56323847053319775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-0.54922296726434805</v>
      </c>
      <c r="H420" t="s">
        <v>39</v>
      </c>
      <c r="I420">
        <f>VLOOKUP(Table4[[#This Row],[Visitor]],'NHL Model'!$A$6:$B$38,2,FALSE)</f>
        <v>8.2462575231143323E-2</v>
      </c>
      <c r="J420">
        <f>($B$1+Table4[[#This Row],[Home Differential]])-Table4[[#This Row],[Away Differential]]</f>
        <v>-0.52530360972674828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0.62817382920190146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-0.26509018427102904</v>
      </c>
      <c r="H421" t="s">
        <v>10</v>
      </c>
      <c r="I421">
        <f>VLOOKUP(Table4[[#This Row],[Visitor]],'NHL Model'!$A$6:$B$38,2,FALSE)</f>
        <v>-0.32256919101930787</v>
      </c>
      <c r="J421">
        <f>($B$1+Table4[[#This Row],[Home Differential]])-Table4[[#This Row],[Away Differential]]</f>
        <v>0.16386093951702194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0.56070506662776221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9.6060347736414392E-2</v>
      </c>
      <c r="H422" t="s">
        <v>55</v>
      </c>
      <c r="I422">
        <f>VLOOKUP(Table4[[#This Row],[Visitor]],'NHL Model'!$A$6:$B$38,2,FALSE)</f>
        <v>-0.34901281259242245</v>
      </c>
      <c r="J422">
        <f>($B$1+Table4[[#This Row],[Home Differential]])-Table4[[#This Row],[Away Differential]]</f>
        <v>0.5514550930975799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0.6822379409825664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-0.79206768185043297</v>
      </c>
      <c r="H423" t="s">
        <v>40</v>
      </c>
      <c r="I423">
        <f>VLOOKUP(Table4[[#This Row],[Visitor]],'NHL Model'!$A$6:$B$38,2,FALSE)</f>
        <v>-0.2381776794561975</v>
      </c>
      <c r="J423">
        <f>($B$1+Table4[[#This Row],[Home Differential]])-Table4[[#This Row],[Away Differential]]</f>
        <v>-0.44750806962549239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0.55905858546820342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-0.1651785584335338</v>
      </c>
      <c r="H424" t="s">
        <v>39</v>
      </c>
      <c r="I424">
        <f>VLOOKUP(Table4[[#This Row],[Visitor]],'NHL Model'!$A$6:$B$38,2,FALSE)</f>
        <v>8.2462575231143323E-2</v>
      </c>
      <c r="J424">
        <f>($B$1+Table4[[#This Row],[Home Differential]])-Table4[[#This Row],[Away Differential]]</f>
        <v>-0.14125920089593402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0.45263177503728003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-0.5336297540825371</v>
      </c>
      <c r="H425" t="s">
        <v>23</v>
      </c>
      <c r="I425">
        <f>VLOOKUP(Table4[[#This Row],[Visitor]],'NHL Model'!$A$6:$B$38,2,FALSE)</f>
        <v>-0.69947324663859312</v>
      </c>
      <c r="J425">
        <f>($B$1+Table4[[#This Row],[Home Differential]])-Table4[[#This Row],[Away Differential]]</f>
        <v>0.2722254253247991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0.60664380321743383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-0.66146476561443079</v>
      </c>
      <c r="H426" t="s">
        <v>22</v>
      </c>
      <c r="I426">
        <f>VLOOKUP(Table4[[#This Row],[Visitor]],'NHL Model'!$A$6:$B$38,2,FALSE)</f>
        <v>0.12620994778252301</v>
      </c>
      <c r="J426">
        <f>($B$1+Table4[[#This Row],[Home Differential]])-Table4[[#This Row],[Away Differential]]</f>
        <v>-0.68129278062821075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0.56685571640454047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-0.19106480716289626</v>
      </c>
      <c r="H427" t="s">
        <v>35</v>
      </c>
      <c r="I427">
        <f>VLOOKUP(Table4[[#This Row],[Visitor]],'NHL Model'!$A$6:$B$38,2,FALSE)</f>
        <v>-1.6690304721962474</v>
      </c>
      <c r="J427">
        <f>($B$1+Table4[[#This Row],[Home Differential]])-Table4[[#This Row],[Away Differential]]</f>
        <v>1.5843475978020942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0.79191025491121514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0.15503279744029827</v>
      </c>
      <c r="H428" t="s">
        <v>19</v>
      </c>
      <c r="I428">
        <f>VLOOKUP(Table4[[#This Row],[Visitor]],'NHL Model'!$A$6:$B$38,2,FALSE)</f>
        <v>-1.0208691773880865</v>
      </c>
      <c r="J428">
        <f>($B$1+Table4[[#This Row],[Home Differential]])-Table4[[#This Row],[Away Differential]]</f>
        <v>1.2822839075971277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0.72806398701520347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-0.89619124881012313</v>
      </c>
      <c r="H429" t="s">
        <v>26</v>
      </c>
      <c r="I429">
        <f>VLOOKUP(Table4[[#This Row],[Visitor]],'NHL Model'!$A$6:$B$38,2,FALSE)</f>
        <v>-0.98948521352045793</v>
      </c>
      <c r="J429">
        <f>($B$1+Table4[[#This Row],[Home Differential]])-Table4[[#This Row],[Away Differential]]</f>
        <v>0.19967589747907788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0.54446132614963183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-1.3446131114659174</v>
      </c>
      <c r="H430" t="s">
        <v>34</v>
      </c>
      <c r="I430">
        <f>VLOOKUP(Table4[[#This Row],[Visitor]],'NHL Model'!$A$6:$B$38,2,FALSE)</f>
        <v>-0.26693531126155262</v>
      </c>
      <c r="J430">
        <f>($B$1+Table4[[#This Row],[Home Differential]])-Table4[[#This Row],[Away Differential]]</f>
        <v>-0.97129586743562157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0.625243127583202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-1.1555135170505442</v>
      </c>
      <c r="H431" t="s">
        <v>32</v>
      </c>
      <c r="I431">
        <f>VLOOKUP(Table4[[#This Row],[Visitor]],'NHL Model'!$A$6:$B$38,2,FALSE)</f>
        <v>-0.63099640390293943</v>
      </c>
      <c r="J431">
        <f>($B$1+Table4[[#This Row],[Home Differential]])-Table4[[#This Row],[Away Differential]]</f>
        <v>-0.41813518037886155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0.50578858451383502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-0.4374979224090173</v>
      </c>
      <c r="H432" t="s">
        <v>29</v>
      </c>
      <c r="I432">
        <f>VLOOKUP(Table4[[#This Row],[Visitor]],'NHL Model'!$A$6:$B$38,2,FALSE)</f>
        <v>-1.5752718195161908</v>
      </c>
      <c r="J432">
        <f>($B$1+Table4[[#This Row],[Home Differential]])-Table4[[#This Row],[Away Differential]]</f>
        <v>1.2441558298759166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0.72945454654097175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-0.45522284197080148</v>
      </c>
      <c r="H433" t="s">
        <v>10</v>
      </c>
      <c r="I433">
        <f>VLOOKUP(Table4[[#This Row],[Visitor]],'NHL Model'!$A$6:$B$38,2,FALSE)</f>
        <v>-0.32256919101930787</v>
      </c>
      <c r="J433">
        <f>($B$1+Table4[[#This Row],[Home Differential]])-Table4[[#This Row],[Away Differential]]</f>
        <v>-2.6271718182750481E-2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0.46331962990693787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-0.22618911823839277</v>
      </c>
      <c r="H434" t="s">
        <v>12</v>
      </c>
      <c r="I434">
        <f>VLOOKUP(Table4[[#This Row],[Visitor]],'NHL Model'!$A$6:$B$38,2,FALSE)</f>
        <v>1.4740146843006017</v>
      </c>
      <c r="J434">
        <f>($B$1+Table4[[#This Row],[Home Differential]])-Table4[[#This Row],[Away Differential]]</f>
        <v>-1.5938218697702513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0.7538776122057721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-0.40987688593271943</v>
      </c>
      <c r="H435" t="s">
        <v>15</v>
      </c>
      <c r="I435">
        <f>VLOOKUP(Table4[[#This Row],[Visitor]],'NHL Model'!$A$6:$B$38,2,FALSE)</f>
        <v>-0.54922296726434805</v>
      </c>
      <c r="J435">
        <f>($B$1+Table4[[#This Row],[Home Differential]])-Table4[[#This Row],[Away Differential]]</f>
        <v>0.24572801410037171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0.4810495894827172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0.17240077100158954</v>
      </c>
      <c r="H436" t="s">
        <v>14</v>
      </c>
      <c r="I436">
        <f>VLOOKUP(Table4[[#This Row],[Visitor]],'NHL Model'!$A$6:$B$38,2,FALSE)</f>
        <v>-0.26282059799749452</v>
      </c>
      <c r="J436">
        <f>($B$1+Table4[[#This Row],[Home Differential]])-Table4[[#This Row],[Away Differential]]</f>
        <v>0.54160330176782723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0.64068173133036643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9.6060347736414392E-2</v>
      </c>
      <c r="H437" t="s">
        <v>22</v>
      </c>
      <c r="I437">
        <f>VLOOKUP(Table4[[#This Row],[Visitor]],'NHL Model'!$A$6:$B$38,2,FALSE)</f>
        <v>0.12620994778252301</v>
      </c>
      <c r="J437">
        <f>($B$1+Table4[[#This Row],[Home Differential]])-Table4[[#This Row],[Away Differential]]</f>
        <v>7.6232332722634494E-2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0.60222512327906474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8.2462575231143323E-2</v>
      </c>
      <c r="H438" t="s">
        <v>33</v>
      </c>
      <c r="I438">
        <f>VLOOKUP(Table4[[#This Row],[Visitor]],'NHL Model'!$A$6:$B$38,2,FALSE)</f>
        <v>-0.66146476561443079</v>
      </c>
      <c r="J438">
        <f>($B$1+Table4[[#This Row],[Home Differential]])-Table4[[#This Row],[Away Differential]]</f>
        <v>0.85030927361431718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0.64993847456541332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-0.1651785584335338</v>
      </c>
      <c r="H439" t="s">
        <v>20</v>
      </c>
      <c r="I439">
        <f>VLOOKUP(Table4[[#This Row],[Visitor]],'NHL Model'!$A$6:$B$38,2,FALSE)</f>
        <v>-0.26509018427102904</v>
      </c>
      <c r="J439">
        <f>($B$1+Table4[[#This Row],[Home Differential]])-Table4[[#This Row],[Away Differential]]</f>
        <v>0.20629355860623835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0.68783145423867265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-1.1323142195605178</v>
      </c>
      <c r="H440" t="s">
        <v>55</v>
      </c>
      <c r="I440">
        <f>VLOOKUP(Table4[[#This Row],[Visitor]],'NHL Model'!$A$6:$B$38,2,FALSE)</f>
        <v>-0.34901281259242245</v>
      </c>
      <c r="J440">
        <f>($B$1+Table4[[#This Row],[Home Differential]])-Table4[[#This Row],[Away Differential]]</f>
        <v>-0.67691947419935217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0.54553388535570668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-0.2381776794561975</v>
      </c>
      <c r="H441" t="s">
        <v>23</v>
      </c>
      <c r="I441">
        <f>VLOOKUP(Table4[[#This Row],[Visitor]],'NHL Model'!$A$6:$B$38,2,FALSE)</f>
        <v>-0.69947324663859312</v>
      </c>
      <c r="J441">
        <f>($B$1+Table4[[#This Row],[Home Differential]])-Table4[[#This Row],[Away Differential]]</f>
        <v>0.5676774999511387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0.61422581649041907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-0.19106480716289626</v>
      </c>
      <c r="H442" t="s">
        <v>24</v>
      </c>
      <c r="I442">
        <f>VLOOKUP(Table4[[#This Row],[Visitor]],'NHL Model'!$A$6:$B$38,2,FALSE)</f>
        <v>-0.1651785584335338</v>
      </c>
      <c r="J442">
        <f>($B$1+Table4[[#This Row],[Home Differential]])-Table4[[#This Row],[Away Differential]]</f>
        <v>8.0495684039380649E-2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0.60108032821674418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0.15503279744029827</v>
      </c>
      <c r="H443" t="s">
        <v>29</v>
      </c>
      <c r="I443">
        <f>VLOOKUP(Table4[[#This Row],[Visitor]],'NHL Model'!$A$6:$B$38,2,FALSE)</f>
        <v>-1.5752718195161908</v>
      </c>
      <c r="J443">
        <f>($B$1+Table4[[#This Row],[Home Differential]])-Table4[[#This Row],[Away Differential]]</f>
        <v>1.8366865497252323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0.79811694580882353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-1.3446131114659174</v>
      </c>
      <c r="H444" t="s">
        <v>55</v>
      </c>
      <c r="I444">
        <f>VLOOKUP(Table4[[#This Row],[Visitor]],'NHL Model'!$A$6:$B$38,2,FALSE)</f>
        <v>-0.34901281259242245</v>
      </c>
      <c r="J444">
        <f>($B$1+Table4[[#This Row],[Home Differential]])-Table4[[#This Row],[Away Differential]]</f>
        <v>-0.8892183661047518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0.57235945290620127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-1.1555135170505442</v>
      </c>
      <c r="H445" t="s">
        <v>40</v>
      </c>
      <c r="I445">
        <f>VLOOKUP(Table4[[#This Row],[Visitor]],'NHL Model'!$A$6:$B$38,2,FALSE)</f>
        <v>-0.2381776794561975</v>
      </c>
      <c r="J445">
        <f>($B$1+Table4[[#This Row],[Home Differential]])-Table4[[#This Row],[Away Differential]]</f>
        <v>-0.81095390482560348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0.59788299147359636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-0.4374979224090173</v>
      </c>
      <c r="H446" t="s">
        <v>28</v>
      </c>
      <c r="I446">
        <f>VLOOKUP(Table4[[#This Row],[Visitor]],'NHL Model'!$A$6:$B$38,2,FALSE)</f>
        <v>-0.89619124881012313</v>
      </c>
      <c r="J446">
        <f>($B$1+Table4[[#This Row],[Home Differential]])-Table4[[#This Row],[Away Differential]]</f>
        <v>0.56507525916984891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0.64364759032840035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-0.45522284197080148</v>
      </c>
      <c r="H447" t="s">
        <v>10</v>
      </c>
      <c r="I447">
        <f>VLOOKUP(Table4[[#This Row],[Visitor]],'NHL Model'!$A$6:$B$38,2,FALSE)</f>
        <v>-0.32256919101930787</v>
      </c>
      <c r="J447">
        <f>($B$1+Table4[[#This Row],[Home Differential]])-Table4[[#This Row],[Away Differential]]</f>
        <v>-2.6271718182750481E-2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0.46331962990693787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-0.54922296726434805</v>
      </c>
      <c r="H448" t="s">
        <v>12</v>
      </c>
      <c r="I448">
        <f>VLOOKUP(Table4[[#This Row],[Visitor]],'NHL Model'!$A$6:$B$38,2,FALSE)</f>
        <v>1.4740146843006017</v>
      </c>
      <c r="J448">
        <f>($B$1+Table4[[#This Row],[Home Differential]])-Table4[[#This Row],[Away Differential]]</f>
        <v>-1.9168557187962065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0.79469537748173691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-0.40987688593271943</v>
      </c>
      <c r="H449" t="s">
        <v>35</v>
      </c>
      <c r="I449">
        <f>VLOOKUP(Table4[[#This Row],[Visitor]],'NHL Model'!$A$6:$B$38,2,FALSE)</f>
        <v>-1.6690304721962474</v>
      </c>
      <c r="J449">
        <f>($B$1+Table4[[#This Row],[Home Differential]])-Table4[[#This Row],[Away Differential]]</f>
        <v>1.3655355190322711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0.7150411999079731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-0.63099640390293943</v>
      </c>
      <c r="H450" t="s">
        <v>26</v>
      </c>
      <c r="I450">
        <f>VLOOKUP(Table4[[#This Row],[Visitor]],'NHL Model'!$A$6:$B$38,2,FALSE)</f>
        <v>-0.98948521352045793</v>
      </c>
      <c r="J450">
        <f>($B$1+Table4[[#This Row],[Home Differential]])-Table4[[#This Row],[Away Differential]]</f>
        <v>0.46487074238626158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0.58047905785601506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0.17240077100158954</v>
      </c>
      <c r="H451" t="s">
        <v>30</v>
      </c>
      <c r="I451">
        <f>VLOOKUP(Table4[[#This Row],[Visitor]],'NHL Model'!$A$6:$B$38,2,FALSE)</f>
        <v>-0.22618911823839277</v>
      </c>
      <c r="J451">
        <f>($B$1+Table4[[#This Row],[Home Differential]])-Table4[[#This Row],[Away Differential]]</f>
        <v>0.50497182200872537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0.56380700153831975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-1.0208691773880865</v>
      </c>
      <c r="H452" t="s">
        <v>18</v>
      </c>
      <c r="I452">
        <f>VLOOKUP(Table4[[#This Row],[Visitor]],'NHL Model'!$A$6:$B$38,2,FALSE)</f>
        <v>-0.79206768185043297</v>
      </c>
      <c r="J452">
        <f>($B$1+Table4[[#This Row],[Home Differential]])-Table4[[#This Row],[Away Differential]]</f>
        <v>-0.12241956276891042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0.54178442532517401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-1.1323142195605178</v>
      </c>
      <c r="H453" t="s">
        <v>34</v>
      </c>
      <c r="I453">
        <f>VLOOKUP(Table4[[#This Row],[Visitor]],'NHL Model'!$A$6:$B$38,2,FALSE)</f>
        <v>-0.26693531126155262</v>
      </c>
      <c r="J453">
        <f>($B$1+Table4[[#This Row],[Home Differential]])-Table4[[#This Row],[Away Differential]]</f>
        <v>-0.75899697553022194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0.5984175600327073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9.6060347736414392E-2</v>
      </c>
      <c r="H454" t="s">
        <v>10</v>
      </c>
      <c r="I454">
        <f>VLOOKUP(Table4[[#This Row],[Visitor]],'NHL Model'!$A$6:$B$38,2,FALSE)</f>
        <v>-0.32256919101930787</v>
      </c>
      <c r="J454">
        <f>($B$1+Table4[[#This Row],[Home Differential]])-Table4[[#This Row],[Away Differential]]</f>
        <v>0.52501147152446537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0.67889658978462708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0.15503279744029827</v>
      </c>
      <c r="H455" t="s">
        <v>33</v>
      </c>
      <c r="I455">
        <f>VLOOKUP(Table4[[#This Row],[Visitor]],'NHL Model'!$A$6:$B$38,2,FALSE)</f>
        <v>-0.66146476561443079</v>
      </c>
      <c r="J455">
        <f>($B$1+Table4[[#This Row],[Home Differential]])-Table4[[#This Row],[Away Differential]]</f>
        <v>0.92287949582347217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0.68265052658943681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8.2462575231143323E-2</v>
      </c>
      <c r="H456" t="s">
        <v>14</v>
      </c>
      <c r="I456">
        <f>VLOOKUP(Table4[[#This Row],[Visitor]],'NHL Model'!$A$6:$B$38,2,FALSE)</f>
        <v>-0.26282059799749452</v>
      </c>
      <c r="J456">
        <f>($B$1+Table4[[#This Row],[Home Differential]])-Table4[[#This Row],[Away Differential]]</f>
        <v>0.45166510599738097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0.59956677478384313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-0.4374979224090173</v>
      </c>
      <c r="H457" t="s">
        <v>30</v>
      </c>
      <c r="I457">
        <f>VLOOKUP(Table4[[#This Row],[Visitor]],'NHL Model'!$A$6:$B$38,2,FALSE)</f>
        <v>-0.22618911823839277</v>
      </c>
      <c r="J457">
        <f>($B$1+Table4[[#This Row],[Home Differential]])-Table4[[#This Row],[Away Differential]]</f>
        <v>-0.10492687140188145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0.51325830225203184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-0.79206768185043297</v>
      </c>
      <c r="H458" t="s">
        <v>35</v>
      </c>
      <c r="I458">
        <f>VLOOKUP(Table4[[#This Row],[Visitor]],'NHL Model'!$A$6:$B$38,2,FALSE)</f>
        <v>-1.6690304721962474</v>
      </c>
      <c r="J458">
        <f>($B$1+Table4[[#This Row],[Home Differential]])-Table4[[#This Row],[Away Differential]]</f>
        <v>0.98334472311455756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0.66425302863609093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-0.54922296726434805</v>
      </c>
      <c r="H459" t="s">
        <v>20</v>
      </c>
      <c r="I459">
        <f>VLOOKUP(Table4[[#This Row],[Visitor]],'NHL Model'!$A$6:$B$38,2,FALSE)</f>
        <v>-0.26509018427102904</v>
      </c>
      <c r="J459">
        <f>($B$1+Table4[[#This Row],[Home Differential]])-Table4[[#This Row],[Away Differential]]</f>
        <v>-0.17775085022457593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0.48246016169496519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-0.5336297540825371</v>
      </c>
      <c r="H460" t="s">
        <v>12</v>
      </c>
      <c r="I460">
        <f>VLOOKUP(Table4[[#This Row],[Visitor]],'NHL Model'!$A$6:$B$38,2,FALSE)</f>
        <v>1.4740146843006017</v>
      </c>
      <c r="J460">
        <f>($B$1+Table4[[#This Row],[Home Differential]])-Table4[[#This Row],[Away Differential]]</f>
        <v>-1.9012625056143957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0.76023886944406804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0.12620994778252301</v>
      </c>
      <c r="H461" t="s">
        <v>28</v>
      </c>
      <c r="I461">
        <f>VLOOKUP(Table4[[#This Row],[Visitor]],'NHL Model'!$A$6:$B$38,2,FALSE)</f>
        <v>-0.89619124881012313</v>
      </c>
      <c r="J461">
        <f>($B$1+Table4[[#This Row],[Home Differential]])-Table4[[#This Row],[Away Differential]]</f>
        <v>1.1287831293613892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0.69664688961954624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-1.3446131114659174</v>
      </c>
      <c r="H462" t="s">
        <v>23</v>
      </c>
      <c r="I462">
        <f>VLOOKUP(Table4[[#This Row],[Visitor]],'NHL Model'!$A$6:$B$38,2,FALSE)</f>
        <v>-0.69947324663859312</v>
      </c>
      <c r="J462">
        <f>($B$1+Table4[[#This Row],[Home Differential]])-Table4[[#This Row],[Away Differential]]</f>
        <v>-0.53875793205858113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0.52807613158076339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-0.63099640390293943</v>
      </c>
      <c r="H463" t="s">
        <v>34</v>
      </c>
      <c r="I463">
        <f>VLOOKUP(Table4[[#This Row],[Visitor]],'NHL Model'!$A$6:$B$38,2,FALSE)</f>
        <v>-0.26693531126155262</v>
      </c>
      <c r="J463">
        <f>($B$1+Table4[[#This Row],[Home Differential]])-Table4[[#This Row],[Away Differential]]</f>
        <v>-0.25767915987264373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0.53255970696539701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-1.0208691773880865</v>
      </c>
      <c r="H464" t="s">
        <v>37</v>
      </c>
      <c r="I464">
        <f>VLOOKUP(Table4[[#This Row],[Visitor]],'NHL Model'!$A$6:$B$38,2,FALSE)</f>
        <v>0.17240077100158954</v>
      </c>
      <c r="J464">
        <f>($B$1+Table4[[#This Row],[Home Differential]])-Table4[[#This Row],[Away Differential]]</f>
        <v>-1.0868880156209328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0.66365229472428366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-0.34901281259242245</v>
      </c>
      <c r="H465" t="s">
        <v>13</v>
      </c>
      <c r="I465">
        <f>VLOOKUP(Table4[[#This Row],[Visitor]],'NHL Model'!$A$6:$B$38,2,FALSE)</f>
        <v>-0.45522284197080148</v>
      </c>
      <c r="J465">
        <f>($B$1+Table4[[#This Row],[Home Differential]])-Table4[[#This Row],[Away Differential]]</f>
        <v>0.21259196214712214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0.52432452812181485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-1.1323142195605178</v>
      </c>
      <c r="H466" t="s">
        <v>26</v>
      </c>
      <c r="I466">
        <f>VLOOKUP(Table4[[#This Row],[Visitor]],'NHL Model'!$A$6:$B$38,2,FALSE)</f>
        <v>-0.98948521352045793</v>
      </c>
      <c r="J466">
        <f>($B$1+Table4[[#This Row],[Home Differential]])-Table4[[#This Row],[Away Differential]]</f>
        <v>-3.6447073271316688E-2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0.48537459360123836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0.15503279744029827</v>
      </c>
      <c r="H467" t="s">
        <v>28</v>
      </c>
      <c r="I467">
        <f>VLOOKUP(Table4[[#This Row],[Visitor]],'NHL Model'!$A$6:$B$38,2,FALSE)</f>
        <v>-0.89619124881012313</v>
      </c>
      <c r="J467">
        <f>($B$1+Table4[[#This Row],[Home Differential]])-Table4[[#This Row],[Away Differential]]</f>
        <v>1.1576059790191646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0.71230998959625214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-1.1555135170505442</v>
      </c>
      <c r="H468" t="s">
        <v>23</v>
      </c>
      <c r="I468">
        <f>VLOOKUP(Table4[[#This Row],[Visitor]],'NHL Model'!$A$6:$B$38,2,FALSE)</f>
        <v>-0.69947324663859312</v>
      </c>
      <c r="J468">
        <f>($B$1+Table4[[#This Row],[Home Differential]])-Table4[[#This Row],[Away Differential]]</f>
        <v>-0.34965833764320786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0.49713601853026684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-0.79206768185043297</v>
      </c>
      <c r="H469" t="s">
        <v>37</v>
      </c>
      <c r="I469">
        <f>VLOOKUP(Table4[[#This Row],[Visitor]],'NHL Model'!$A$6:$B$38,2,FALSE)</f>
        <v>0.17240077100158954</v>
      </c>
      <c r="J469">
        <f>($B$1+Table4[[#This Row],[Home Differential]])-Table4[[#This Row],[Away Differential]]</f>
        <v>-0.85808652008327946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0.6347414986333908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-1.5752718195161908</v>
      </c>
      <c r="H470" t="s">
        <v>12</v>
      </c>
      <c r="I470">
        <f>VLOOKUP(Table4[[#This Row],[Visitor]],'NHL Model'!$A$6:$B$38,2,FALSE)</f>
        <v>1.4740146843006017</v>
      </c>
      <c r="J470">
        <f>($B$1+Table4[[#This Row],[Home Differential]])-Table4[[#This Row],[Away Differential]]</f>
        <v>-2.9429045710480493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0.92434439519047806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-0.22618911823839277</v>
      </c>
      <c r="H471" t="s">
        <v>20</v>
      </c>
      <c r="I471">
        <f>VLOOKUP(Table4[[#This Row],[Visitor]],'NHL Model'!$A$6:$B$38,2,FALSE)</f>
        <v>-0.26509018427102904</v>
      </c>
      <c r="J471">
        <f>($B$1+Table4[[#This Row],[Home Differential]])-Table4[[#This Row],[Away Differential]]</f>
        <v>0.14528299880137938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0.55835760358099973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-0.40987688593271943</v>
      </c>
      <c r="H472" t="s">
        <v>24</v>
      </c>
      <c r="I472">
        <f>VLOOKUP(Table4[[#This Row],[Visitor]],'NHL Model'!$A$6:$B$38,2,FALSE)</f>
        <v>-0.1651785584335338</v>
      </c>
      <c r="J472">
        <f>($B$1+Table4[[#This Row],[Home Differential]])-Table4[[#This Row],[Away Differential]]</f>
        <v>-0.13831639473044255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0.47581065390190097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-0.5336297540825371</v>
      </c>
      <c r="H473" t="s">
        <v>33</v>
      </c>
      <c r="I473">
        <f>VLOOKUP(Table4[[#This Row],[Visitor]],'NHL Model'!$A$6:$B$38,2,FALSE)</f>
        <v>-0.66146476561443079</v>
      </c>
      <c r="J473">
        <f>($B$1+Table4[[#This Row],[Home Differential]])-Table4[[#This Row],[Away Differential]]</f>
        <v>0.23421694430063678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0.60184114472942019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-0.26282059799749452</v>
      </c>
      <c r="H474" t="s">
        <v>31</v>
      </c>
      <c r="I474">
        <f>VLOOKUP(Table4[[#This Row],[Visitor]],'NHL Model'!$A$6:$B$38,2,FALSE)</f>
        <v>9.6060347736414392E-2</v>
      </c>
      <c r="J474">
        <f>($B$1+Table4[[#This Row],[Home Differential]])-Table4[[#This Row],[Away Differential]]</f>
        <v>-0.2524990129651658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0.51016602586602611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-1.6690304721962474</v>
      </c>
      <c r="H475" t="s">
        <v>21</v>
      </c>
      <c r="I475">
        <f>VLOOKUP(Table4[[#This Row],[Visitor]],'NHL Model'!$A$6:$B$38,2,FALSE)</f>
        <v>-0.19106480716289626</v>
      </c>
      <c r="J475">
        <f>($B$1+Table4[[#This Row],[Home Differential]])-Table4[[#This Row],[Away Differential]]</f>
        <v>-1.3715837322646081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0.63413945118860571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-0.2381776794561975</v>
      </c>
      <c r="H476" t="s">
        <v>39</v>
      </c>
      <c r="I476">
        <f>VLOOKUP(Table4[[#This Row],[Visitor]],'NHL Model'!$A$6:$B$38,2,FALSE)</f>
        <v>8.2462575231143323E-2</v>
      </c>
      <c r="J476">
        <f>($B$1+Table4[[#This Row],[Home Differential]])-Table4[[#This Row],[Away Differential]]</f>
        <v>-0.21425832191859773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0.58639519022191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-1.3446131114659174</v>
      </c>
      <c r="H477" t="s">
        <v>26</v>
      </c>
      <c r="I477">
        <f>VLOOKUP(Table4[[#This Row],[Visitor]],'NHL Model'!$A$6:$B$38,2,FALSE)</f>
        <v>-0.98948521352045793</v>
      </c>
      <c r="J477">
        <f>($B$1+Table4[[#This Row],[Home Differential]])-Table4[[#This Row],[Away Differential]]</f>
        <v>-0.24874596517671632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0.51220016115173295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-0.32256919101930787</v>
      </c>
      <c r="H478" t="s">
        <v>15</v>
      </c>
      <c r="I478">
        <f>VLOOKUP(Table4[[#This Row],[Visitor]],'NHL Model'!$A$6:$B$38,2,FALSE)</f>
        <v>-0.54922296726434805</v>
      </c>
      <c r="J478">
        <f>($B$1+Table4[[#This Row],[Home Differential]])-Table4[[#This Row],[Away Differential]]</f>
        <v>0.33303570901378332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0.48959538794010843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-0.63099640390293943</v>
      </c>
      <c r="H479" t="s">
        <v>13</v>
      </c>
      <c r="I479">
        <f>VLOOKUP(Table4[[#This Row],[Visitor]],'NHL Model'!$A$6:$B$38,2,FALSE)</f>
        <v>-0.45522284197080148</v>
      </c>
      <c r="J479">
        <f>($B$1+Table4[[#This Row],[Home Differential]])-Table4[[#This Row],[Away Differential]]</f>
        <v>-6.9391629163394863E-2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0.5497517627114421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-0.34901281259242245</v>
      </c>
      <c r="H480" t="s">
        <v>11</v>
      </c>
      <c r="I480">
        <f>VLOOKUP(Table4[[#This Row],[Visitor]],'NHL Model'!$A$6:$B$38,2,FALSE)</f>
        <v>-0.4374979224090173</v>
      </c>
      <c r="J480">
        <f>($B$1+Table4[[#This Row],[Home Differential]])-Table4[[#This Row],[Away Differential]]</f>
        <v>0.19486704258533796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0.60505409924904563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-0.89619124881012313</v>
      </c>
      <c r="H481" t="s">
        <v>36</v>
      </c>
      <c r="I481">
        <f>VLOOKUP(Table4[[#This Row],[Visitor]],'NHL Model'!$A$6:$B$38,2,FALSE)</f>
        <v>-0.40987688593271943</v>
      </c>
      <c r="J481">
        <f>($B$1+Table4[[#This Row],[Home Differential]])-Table4[[#This Row],[Away Differential]]</f>
        <v>-0.37993243010866062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0.5287765612693115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1.4740146843006017</v>
      </c>
      <c r="H482" t="s">
        <v>11</v>
      </c>
      <c r="I482">
        <f>VLOOKUP(Table4[[#This Row],[Visitor]],'NHL Model'!$A$6:$B$38,2,FALSE)</f>
        <v>-0.4374979224090173</v>
      </c>
      <c r="J482">
        <f>($B$1+Table4[[#This Row],[Home Differential]])-Table4[[#This Row],[Away Differential]]</f>
        <v>2.0178945394783621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0.8950900053392441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-1.1555135170505442</v>
      </c>
      <c r="H483" t="s">
        <v>26</v>
      </c>
      <c r="I483">
        <f>VLOOKUP(Table4[[#This Row],[Visitor]],'NHL Model'!$A$6:$B$38,2,FALSE)</f>
        <v>-0.98948521352045793</v>
      </c>
      <c r="J483">
        <f>($B$1+Table4[[#This Row],[Home Differential]])-Table4[[#This Row],[Away Differential]]</f>
        <v>-5.9646370761343048E-2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0.4812209797182776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-0.26693531126155262</v>
      </c>
      <c r="H484" t="s">
        <v>39</v>
      </c>
      <c r="I484">
        <f>VLOOKUP(Table4[[#This Row],[Visitor]],'NHL Model'!$A$6:$B$38,2,FALSE)</f>
        <v>8.2462575231143323E-2</v>
      </c>
      <c r="J484">
        <f>($B$1+Table4[[#This Row],[Home Differential]])-Table4[[#This Row],[Away Differential]]</f>
        <v>-0.24301595372395285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0.59250465299090138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-0.1651785584335338</v>
      </c>
      <c r="H485" t="s">
        <v>37</v>
      </c>
      <c r="I485">
        <f>VLOOKUP(Table4[[#This Row],[Visitor]],'NHL Model'!$A$6:$B$38,2,FALSE)</f>
        <v>0.17240077100158954</v>
      </c>
      <c r="J485">
        <f>($B$1+Table4[[#This Row],[Home Differential]])-Table4[[#This Row],[Away Differential]]</f>
        <v>-0.23119739666638023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0.42921353628419351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-1.5752718195161908</v>
      </c>
      <c r="H486" t="s">
        <v>35</v>
      </c>
      <c r="I486">
        <f>VLOOKUP(Table4[[#This Row],[Visitor]],'NHL Model'!$A$6:$B$38,2,FALSE)</f>
        <v>-1.6690304721962474</v>
      </c>
      <c r="J486">
        <f>($B$1+Table4[[#This Row],[Home Differential]])-Table4[[#This Row],[Away Differential]]</f>
        <v>0.20014058544879987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0.565289273751578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-0.22618911823839277</v>
      </c>
      <c r="H487" t="s">
        <v>31</v>
      </c>
      <c r="I487">
        <f>VLOOKUP(Table4[[#This Row],[Visitor]],'NHL Model'!$A$6:$B$38,2,FALSE)</f>
        <v>9.6060347736414392E-2</v>
      </c>
      <c r="J487">
        <f>($B$1+Table4[[#This Row],[Home Differential]])-Table4[[#This Row],[Away Differential]]</f>
        <v>-0.21586753320606406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0.50804572308629037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-0.5336297540825371</v>
      </c>
      <c r="H488" t="s">
        <v>20</v>
      </c>
      <c r="I488">
        <f>VLOOKUP(Table4[[#This Row],[Visitor]],'NHL Model'!$A$6:$B$38,2,FALSE)</f>
        <v>-0.26509018427102904</v>
      </c>
      <c r="J488">
        <f>($B$1+Table4[[#This Row],[Home Differential]])-Table4[[#This Row],[Away Differential]]</f>
        <v>-0.16215763704276498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0.44824377569430257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-0.26282059799749452</v>
      </c>
      <c r="H489" t="s">
        <v>18</v>
      </c>
      <c r="I489">
        <f>VLOOKUP(Table4[[#This Row],[Visitor]],'NHL Model'!$A$6:$B$38,2,FALSE)</f>
        <v>-0.79206768185043297</v>
      </c>
      <c r="J489">
        <f>($B$1+Table4[[#This Row],[Home Differential]])-Table4[[#This Row],[Away Differential]]</f>
        <v>0.63562901662168159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0.55650700054632318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-1.0208691773880865</v>
      </c>
      <c r="H490" t="s">
        <v>33</v>
      </c>
      <c r="I490">
        <f>VLOOKUP(Table4[[#This Row],[Visitor]],'NHL Model'!$A$6:$B$38,2,FALSE)</f>
        <v>-0.66146476561443079</v>
      </c>
      <c r="J490">
        <f>($B$1+Table4[[#This Row],[Home Differential]])-Table4[[#This Row],[Away Differential]]</f>
        <v>-0.25302247900491259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0.49197130018636359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-1.1323142195605178</v>
      </c>
      <c r="H491" t="s">
        <v>23</v>
      </c>
      <c r="I491">
        <f>VLOOKUP(Table4[[#This Row],[Visitor]],'NHL Model'!$A$6:$B$38,2,FALSE)</f>
        <v>-0.69947324663859312</v>
      </c>
      <c r="J491">
        <f>($B$1+Table4[[#This Row],[Home Differential]])-Table4[[#This Row],[Away Differential]]</f>
        <v>-0.3264590401531815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0.5012505640302688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-0.2381776794561975</v>
      </c>
      <c r="H492" t="s">
        <v>21</v>
      </c>
      <c r="I492">
        <f>VLOOKUP(Table4[[#This Row],[Visitor]],'NHL Model'!$A$6:$B$38,2,FALSE)</f>
        <v>-0.19106480716289626</v>
      </c>
      <c r="J492">
        <f>($B$1+Table4[[#This Row],[Home Differential]])-Table4[[#This Row],[Away Differential]]</f>
        <v>5.9269060475441865E-2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0.54915575985584253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0.12620994778252301</v>
      </c>
      <c r="H493" t="s">
        <v>25</v>
      </c>
      <c r="I493">
        <f>VLOOKUP(Table4[[#This Row],[Visitor]],'NHL Model'!$A$6:$B$38,2,FALSE)</f>
        <v>0.15503279744029827</v>
      </c>
      <c r="J493">
        <f>($B$1+Table4[[#This Row],[Home Differential]])-Table4[[#This Row],[Away Differential]]</f>
        <v>7.7559083110967847E-2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0.49128165709462029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-1.6690304721962474</v>
      </c>
      <c r="H494" t="s">
        <v>10</v>
      </c>
      <c r="I494">
        <f>VLOOKUP(Table4[[#This Row],[Visitor]],'NHL Model'!$A$6:$B$38,2,FALSE)</f>
        <v>-0.32256919101930787</v>
      </c>
      <c r="J494">
        <f>($B$1+Table4[[#This Row],[Home Differential]])-Table4[[#This Row],[Away Differential]]</f>
        <v>-1.2400793484081964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0.61669338652752215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-0.34901281259242245</v>
      </c>
      <c r="H495" t="s">
        <v>32</v>
      </c>
      <c r="I495">
        <f>VLOOKUP(Table4[[#This Row],[Visitor]],'NHL Model'!$A$6:$B$38,2,FALSE)</f>
        <v>-0.63099640390293943</v>
      </c>
      <c r="J495">
        <f>($B$1+Table4[[#This Row],[Home Differential]])-Table4[[#This Row],[Away Differential]]</f>
        <v>0.38836552407926006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0.62950409302737553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-0.89619124881012313</v>
      </c>
      <c r="H496" t="s">
        <v>20</v>
      </c>
      <c r="I496">
        <f>VLOOKUP(Table4[[#This Row],[Visitor]],'NHL Model'!$A$6:$B$38,2,FALSE)</f>
        <v>-0.26509018427102904</v>
      </c>
      <c r="J496">
        <f>($B$1+Table4[[#This Row],[Home Differential]])-Table4[[#This Row],[Away Differential]]</f>
        <v>-0.52471913177035101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0.52630222319113495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-0.32256919101930787</v>
      </c>
      <c r="H497" t="s">
        <v>26</v>
      </c>
      <c r="I497">
        <f>VLOOKUP(Table4[[#This Row],[Visitor]],'NHL Model'!$A$6:$B$38,2,FALSE)</f>
        <v>-0.98948521352045793</v>
      </c>
      <c r="J497">
        <f>($B$1+Table4[[#This Row],[Home Differential]])-Table4[[#This Row],[Away Differential]]</f>
        <v>0.7732979552698932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0.61694280319181072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1.4740146843006017</v>
      </c>
      <c r="H498" t="s">
        <v>29</v>
      </c>
      <c r="I498">
        <f>VLOOKUP(Table4[[#This Row],[Visitor]],'NHL Model'!$A$6:$B$38,2,FALSE)</f>
        <v>-1.5752718195161908</v>
      </c>
      <c r="J498">
        <f>($B$1+Table4[[#This Row],[Home Differential]])-Table4[[#This Row],[Away Differential]]</f>
        <v>3.1556684365855356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8.2462575231143323E-2</v>
      </c>
      <c r="H499" t="s">
        <v>11</v>
      </c>
      <c r="I499">
        <f>VLOOKUP(Table4[[#This Row],[Visitor]],'NHL Model'!$A$6:$B$38,2,FALSE)</f>
        <v>-0.4374979224090173</v>
      </c>
      <c r="J499">
        <f>($B$1+Table4[[#This Row],[Home Differential]])-Table4[[#This Row],[Away Differential]]</f>
        <v>0.62634243040890381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0.62163857329152894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-0.45522284197080148</v>
      </c>
      <c r="H500" t="s">
        <v>16</v>
      </c>
      <c r="I500">
        <f>VLOOKUP(Table4[[#This Row],[Visitor]],'NHL Model'!$A$6:$B$38,2,FALSE)</f>
        <v>-1.3446131114659174</v>
      </c>
      <c r="J500">
        <f>($B$1+Table4[[#This Row],[Home Differential]])-Table4[[#This Row],[Away Differential]]</f>
        <v>0.9957722022638591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0.66582333443660591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-0.26693531126155262</v>
      </c>
      <c r="H501" t="s">
        <v>36</v>
      </c>
      <c r="I501">
        <f>VLOOKUP(Table4[[#This Row],[Visitor]],'NHL Model'!$A$6:$B$38,2,FALSE)</f>
        <v>-0.40987688593271943</v>
      </c>
      <c r="J501">
        <f>($B$1+Table4[[#This Row],[Home Differential]])-Table4[[#This Row],[Away Differential]]</f>
        <v>0.24932350743990991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0.55073467643785834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-0.1651785584335338</v>
      </c>
      <c r="H502" t="s">
        <v>31</v>
      </c>
      <c r="I502">
        <f>VLOOKUP(Table4[[#This Row],[Visitor]],'NHL Model'!$A$6:$B$38,2,FALSE)</f>
        <v>9.6060347736414392E-2</v>
      </c>
      <c r="J502">
        <f>($B$1+Table4[[#This Row],[Home Differential]])-Table4[[#This Row],[Away Differential]]</f>
        <v>-0.15485697340120508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0.37671020468459682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-0.22618911823839277</v>
      </c>
      <c r="H503" t="s">
        <v>37</v>
      </c>
      <c r="I503">
        <f>VLOOKUP(Table4[[#This Row],[Visitor]],'NHL Model'!$A$6:$B$38,2,FALSE)</f>
        <v>0.17240077100158954</v>
      </c>
      <c r="J503">
        <f>($B$1+Table4[[#This Row],[Home Differential]])-Table4[[#This Row],[Away Differential]]</f>
        <v>-0.29220795647123921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0.56323847053319775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-0.54922296726434805</v>
      </c>
      <c r="H504" t="s">
        <v>18</v>
      </c>
      <c r="I504">
        <f>VLOOKUP(Table4[[#This Row],[Visitor]],'NHL Model'!$A$6:$B$38,2,FALSE)</f>
        <v>-0.79206768185043297</v>
      </c>
      <c r="J504">
        <f>($B$1+Table4[[#This Row],[Home Differential]])-Table4[[#This Row],[Away Differential]]</f>
        <v>0.349226647354828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0.51781163358994708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-0.5336297540825371</v>
      </c>
      <c r="H505" t="s">
        <v>25</v>
      </c>
      <c r="I505">
        <f>VLOOKUP(Table4[[#This Row],[Visitor]],'NHL Model'!$A$6:$B$38,2,FALSE)</f>
        <v>0.15503279744029827</v>
      </c>
      <c r="J505">
        <f>($B$1+Table4[[#This Row],[Home Differential]])-Table4[[#This Row],[Away Differential]]</f>
        <v>-0.58228061875409232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0.57357555157985463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-0.26282059799749452</v>
      </c>
      <c r="H506" t="s">
        <v>33</v>
      </c>
      <c r="I506">
        <f>VLOOKUP(Table4[[#This Row],[Visitor]],'NHL Model'!$A$6:$B$38,2,FALSE)</f>
        <v>-0.66146476561443079</v>
      </c>
      <c r="J506">
        <f>($B$1+Table4[[#This Row],[Home Differential]])-Table4[[#This Row],[Away Differential]]</f>
        <v>0.50502610038567941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0.60630933922531327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-1.0208691773880865</v>
      </c>
      <c r="H507" t="s">
        <v>17</v>
      </c>
      <c r="I507">
        <f>VLOOKUP(Table4[[#This Row],[Visitor]],'NHL Model'!$A$6:$B$38,2,FALSE)</f>
        <v>-1.1555135170505442</v>
      </c>
      <c r="J507">
        <f>($B$1+Table4[[#This Row],[Home Differential]])-Table4[[#This Row],[Away Differential]]</f>
        <v>0.24102627243120078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0.57045548893127618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-0.2381776794561975</v>
      </c>
      <c r="H508" t="s">
        <v>22</v>
      </c>
      <c r="I508">
        <f>VLOOKUP(Table4[[#This Row],[Visitor]],'NHL Model'!$A$6:$B$38,2,FALSE)</f>
        <v>0.12620994778252301</v>
      </c>
      <c r="J508">
        <f>($B$1+Table4[[#This Row],[Home Differential]])-Table4[[#This Row],[Away Differential]]</f>
        <v>-0.2580056944699774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0.5108618366418648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0.15503279744029827</v>
      </c>
      <c r="H509" t="s">
        <v>27</v>
      </c>
      <c r="I509">
        <f>VLOOKUP(Table4[[#This Row],[Visitor]],'NHL Model'!$A$6:$B$38,2,FALSE)</f>
        <v>-0.5336297540825371</v>
      </c>
      <c r="J509">
        <f>($B$1+Table4[[#This Row],[Home Differential]])-Table4[[#This Row],[Away Differential]]</f>
        <v>0.79504448429157848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0.66649760790771728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-0.26693531126155262</v>
      </c>
      <c r="H510" t="s">
        <v>21</v>
      </c>
      <c r="I510">
        <f>VLOOKUP(Table4[[#This Row],[Visitor]],'NHL Model'!$A$6:$B$38,2,FALSE)</f>
        <v>-0.19106480716289626</v>
      </c>
      <c r="J510">
        <f>($B$1+Table4[[#This Row],[Home Differential]])-Table4[[#This Row],[Away Differential]]</f>
        <v>3.0511428670086743E-2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0.54302585624331046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-0.79206768185043297</v>
      </c>
      <c r="H511" t="s">
        <v>17</v>
      </c>
      <c r="I511">
        <f>VLOOKUP(Table4[[#This Row],[Visitor]],'NHL Model'!$A$6:$B$38,2,FALSE)</f>
        <v>-1.1555135170505442</v>
      </c>
      <c r="J511">
        <f>($B$1+Table4[[#This Row],[Home Differential]])-Table4[[#This Row],[Away Differential]]</f>
        <v>0.46982776796885428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0.59936628502216904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-0.1651785584335338</v>
      </c>
      <c r="H512" t="s">
        <v>38</v>
      </c>
      <c r="I512">
        <f>VLOOKUP(Table4[[#This Row],[Visitor]],'NHL Model'!$A$6:$B$38,2,FALSE)</f>
        <v>-1.1323142195605178</v>
      </c>
      <c r="J512">
        <f>($B$1+Table4[[#This Row],[Home Differential]])-Table4[[#This Row],[Away Differential]]</f>
        <v>1.0735175938957271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0.76131550073558896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-0.26282059799749452</v>
      </c>
      <c r="H513" t="s">
        <v>55</v>
      </c>
      <c r="I513">
        <f>VLOOKUP(Table4[[#This Row],[Visitor]],'NHL Model'!$A$6:$B$38,2,FALSE)</f>
        <v>-0.34901281259242245</v>
      </c>
      <c r="J513">
        <f>($B$1+Table4[[#This Row],[Home Differential]])-Table4[[#This Row],[Away Differential]]</f>
        <v>0.19257414736367104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0.56682867638788903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-0.63099640390293943</v>
      </c>
      <c r="H514" t="s">
        <v>23</v>
      </c>
      <c r="I514">
        <f>VLOOKUP(Table4[[#This Row],[Visitor]],'NHL Model'!$A$6:$B$38,2,FALSE)</f>
        <v>-0.69947324663859312</v>
      </c>
      <c r="J514">
        <f>($B$1+Table4[[#This Row],[Home Differential]])-Table4[[#This Row],[Away Differential]]</f>
        <v>0.17485877550439677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0.5645902054273112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8.2462575231143323E-2</v>
      </c>
      <c r="H515" t="s">
        <v>13</v>
      </c>
      <c r="I515">
        <f>VLOOKUP(Table4[[#This Row],[Visitor]],'NHL Model'!$A$6:$B$38,2,FALSE)</f>
        <v>-0.45522284197080148</v>
      </c>
      <c r="J515">
        <f>($B$1+Table4[[#This Row],[Home Differential]])-Table4[[#This Row],[Away Differential]]</f>
        <v>0.64406734997068793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0.54039916491467377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-0.54922296726434805</v>
      </c>
      <c r="H516" t="s">
        <v>31</v>
      </c>
      <c r="I516">
        <f>VLOOKUP(Table4[[#This Row],[Visitor]],'NHL Model'!$A$6:$B$38,2,FALSE)</f>
        <v>9.6060347736414392E-2</v>
      </c>
      <c r="J516">
        <f>($B$1+Table4[[#This Row],[Home Differential]])-Table4[[#This Row],[Away Differential]]</f>
        <v>-0.53890138223201933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0.54886348836225529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-1.6690304721962474</v>
      </c>
      <c r="H517" t="s">
        <v>29</v>
      </c>
      <c r="I517">
        <f>VLOOKUP(Table4[[#This Row],[Visitor]],'NHL Model'!$A$6:$B$38,2,FALSE)</f>
        <v>-1.5752718195161908</v>
      </c>
      <c r="J517">
        <f>($B$1+Table4[[#This Row],[Home Differential]])-Table4[[#This Row],[Away Differential]]</f>
        <v>1.2623280088686517E-2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0.54159504672722825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0.17240077100158954</v>
      </c>
      <c r="H518" t="s">
        <v>11</v>
      </c>
      <c r="I518">
        <f>VLOOKUP(Table4[[#This Row],[Visitor]],'NHL Model'!$A$6:$B$38,2,FALSE)</f>
        <v>-0.4374979224090173</v>
      </c>
      <c r="J518">
        <f>($B$1+Table4[[#This Row],[Home Differential]])-Table4[[#This Row],[Away Differential]]</f>
        <v>0.71628062617934996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0.66275352983805225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-0.2381776794561975</v>
      </c>
      <c r="H519" t="s">
        <v>36</v>
      </c>
      <c r="I519">
        <f>VLOOKUP(Table4[[#This Row],[Visitor]],'NHL Model'!$A$6:$B$38,2,FALSE)</f>
        <v>-0.40987688593271943</v>
      </c>
      <c r="J519">
        <f>($B$1+Table4[[#This Row],[Home Differential]])-Table4[[#This Row],[Away Differential]]</f>
        <v>0.27808113924526501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0.5568767815001795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-0.19106480716289626</v>
      </c>
      <c r="H520" t="s">
        <v>55</v>
      </c>
      <c r="I520">
        <f>VLOOKUP(Table4[[#This Row],[Visitor]],'NHL Model'!$A$6:$B$38,2,FALSE)</f>
        <v>-0.34901281259242245</v>
      </c>
      <c r="J520">
        <f>($B$1+Table4[[#This Row],[Home Differential]])-Table4[[#This Row],[Away Differential]]</f>
        <v>0.26432993819826933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0.62511605934222936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-0.89619124881012313</v>
      </c>
      <c r="H521" t="s">
        <v>31</v>
      </c>
      <c r="I521">
        <f>VLOOKUP(Table4[[#This Row],[Visitor]],'NHL Model'!$A$6:$B$38,2,FALSE)</f>
        <v>9.6060347736414392E-2</v>
      </c>
      <c r="J521">
        <f>($B$1+Table4[[#This Row],[Home Differential]])-Table4[[#This Row],[Away Differential]]</f>
        <v>-0.88586966377779441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0.59270554985842494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-0.98948521352045793</v>
      </c>
      <c r="H522" t="s">
        <v>30</v>
      </c>
      <c r="I522">
        <f>VLOOKUP(Table4[[#This Row],[Visitor]],'NHL Model'!$A$6:$B$38,2,FALSE)</f>
        <v>-0.22618911823839277</v>
      </c>
      <c r="J522">
        <f>($B$1+Table4[[#This Row],[Home Differential]])-Table4[[#This Row],[Away Differential]]</f>
        <v>-0.65691416251332213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0.60152458173070966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-0.26693531126155262</v>
      </c>
      <c r="H523" t="s">
        <v>22</v>
      </c>
      <c r="I523">
        <f>VLOOKUP(Table4[[#This Row],[Visitor]],'NHL Model'!$A$6:$B$38,2,FALSE)</f>
        <v>0.12620994778252301</v>
      </c>
      <c r="J523">
        <f>($B$1+Table4[[#This Row],[Home Differential]])-Table4[[#This Row],[Away Differential]]</f>
        <v>-0.28676332627533252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0.51700394170418595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-0.79206768185043297</v>
      </c>
      <c r="H524" t="s">
        <v>27</v>
      </c>
      <c r="I524">
        <f>VLOOKUP(Table4[[#This Row],[Visitor]],'NHL Model'!$A$6:$B$38,2,FALSE)</f>
        <v>-0.5336297540825371</v>
      </c>
      <c r="J524">
        <f>($B$1+Table4[[#This Row],[Home Differential]])-Table4[[#This Row],[Away Differential]]</f>
        <v>-0.15205599499915279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0.4792134227771902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-0.54922296726434805</v>
      </c>
      <c r="H525" t="s">
        <v>38</v>
      </c>
      <c r="I525">
        <f>VLOOKUP(Table4[[#This Row],[Visitor]],'NHL Model'!$A$6:$B$38,2,FALSE)</f>
        <v>-1.1323142195605178</v>
      </c>
      <c r="J525">
        <f>($B$1+Table4[[#This Row],[Home Differential]])-Table4[[#This Row],[Away Differential]]</f>
        <v>0.68947318506491284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0.58783340824821195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-0.26282059799749452</v>
      </c>
      <c r="H526" t="s">
        <v>17</v>
      </c>
      <c r="I526">
        <f>VLOOKUP(Table4[[#This Row],[Visitor]],'NHL Model'!$A$6:$B$38,2,FALSE)</f>
        <v>-1.1555135170505442</v>
      </c>
      <c r="J526">
        <f>($B$1+Table4[[#This Row],[Home Differential]])-Table4[[#This Row],[Away Differential]]</f>
        <v>0.99907485182179279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0.66873612834295304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-0.63099640390293943</v>
      </c>
      <c r="H527" t="s">
        <v>12</v>
      </c>
      <c r="I527">
        <f>VLOOKUP(Table4[[#This Row],[Visitor]],'NHL Model'!$A$6:$B$38,2,FALSE)</f>
        <v>1.4740146843006017</v>
      </c>
      <c r="J527">
        <f>($B$1+Table4[[#This Row],[Home Differential]])-Table4[[#This Row],[Away Differential]]</f>
        <v>-1.9986291554347981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0.80254188063023302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-0.66146476561443079</v>
      </c>
      <c r="H528" t="s">
        <v>16</v>
      </c>
      <c r="I528">
        <f>VLOOKUP(Table4[[#This Row],[Visitor]],'NHL Model'!$A$6:$B$38,2,FALSE)</f>
        <v>-1.3446131114659174</v>
      </c>
      <c r="J528">
        <f>($B$1+Table4[[#This Row],[Home Differential]])-Table4[[#This Row],[Away Differential]]</f>
        <v>0.78953027862022973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0.63976311054758328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-1.0208691773880865</v>
      </c>
      <c r="H529" t="s">
        <v>10</v>
      </c>
      <c r="I529">
        <f>VLOOKUP(Table4[[#This Row],[Visitor]],'NHL Model'!$A$6:$B$38,2,FALSE)</f>
        <v>-0.32256919101930787</v>
      </c>
      <c r="J529">
        <f>($B$1+Table4[[#This Row],[Home Differential]])-Table4[[#This Row],[Away Differential]]</f>
        <v>-0.59191805360003547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0.53479331422172716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-0.98948521352045793</v>
      </c>
      <c r="H530" t="s">
        <v>55</v>
      </c>
      <c r="I530">
        <f>VLOOKUP(Table4[[#This Row],[Visitor]],'NHL Model'!$A$6:$B$38,2,FALSE)</f>
        <v>-0.34901281259242245</v>
      </c>
      <c r="J530">
        <f>($B$1+Table4[[#This Row],[Home Differential]])-Table4[[#This Row],[Away Differential]]</f>
        <v>-0.5340904681592924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0.51346974178568106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-0.4374979224090173</v>
      </c>
      <c r="H531" t="s">
        <v>13</v>
      </c>
      <c r="I531">
        <f>VLOOKUP(Table4[[#This Row],[Visitor]],'NHL Model'!$A$6:$B$38,2,FALSE)</f>
        <v>-0.45522284197080148</v>
      </c>
      <c r="J531">
        <f>($B$1+Table4[[#This Row],[Home Differential]])-Table4[[#This Row],[Away Differential]]</f>
        <v>0.12410685233052726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0.50476480705657922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-1.5752718195161908</v>
      </c>
      <c r="H532" t="s">
        <v>25</v>
      </c>
      <c r="I532">
        <f>VLOOKUP(Table4[[#This Row],[Visitor]],'NHL Model'!$A$6:$B$38,2,FALSE)</f>
        <v>0.15503279744029827</v>
      </c>
      <c r="J532">
        <f>($B$1+Table4[[#This Row],[Home Differential]])-Table4[[#This Row],[Away Differential]]</f>
        <v>-1.6239226841877459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0.73781805858881699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-1.6690304721962474</v>
      </c>
      <c r="H533" t="s">
        <v>40</v>
      </c>
      <c r="I533">
        <f>VLOOKUP(Table4[[#This Row],[Visitor]],'NHL Model'!$A$6:$B$38,2,FALSE)</f>
        <v>-0.2381776794561975</v>
      </c>
      <c r="J533">
        <f>($B$1+Table4[[#This Row],[Home Differential]])-Table4[[#This Row],[Away Differential]]</f>
        <v>-1.3244708599713069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0.66986945386489127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-0.26509018427102904</v>
      </c>
      <c r="H534" t="s">
        <v>24</v>
      </c>
      <c r="I534">
        <f>VLOOKUP(Table4[[#This Row],[Visitor]],'NHL Model'!$A$6:$B$38,2,FALSE)</f>
        <v>-0.1651785584335338</v>
      </c>
      <c r="J534">
        <f>($B$1+Table4[[#This Row],[Home Differential]])-Table4[[#This Row],[Away Differential]]</f>
        <v>6.4703069312478656E-3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0.53998807903492885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-0.19106480716289626</v>
      </c>
      <c r="H535" t="s">
        <v>17</v>
      </c>
      <c r="I535">
        <f>VLOOKUP(Table4[[#This Row],[Visitor]],'NHL Model'!$A$6:$B$38,2,FALSE)</f>
        <v>-1.1555135170505442</v>
      </c>
      <c r="J535">
        <f>($B$1+Table4[[#This Row],[Home Differential]])-Table4[[#This Row],[Away Differential]]</f>
        <v>1.0708306426563909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0.72702351129729326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-0.69947324663859312</v>
      </c>
      <c r="H536" t="s">
        <v>27</v>
      </c>
      <c r="I536">
        <f>VLOOKUP(Table4[[#This Row],[Visitor]],'NHL Model'!$A$6:$B$38,2,FALSE)</f>
        <v>-0.5336297540825371</v>
      </c>
      <c r="J536">
        <f>($B$1+Table4[[#This Row],[Home Differential]])-Table4[[#This Row],[Away Differential]]</f>
        <v>-5.9461559787312934E-2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0.45349679643171514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-0.89619124881012313</v>
      </c>
      <c r="H537" t="s">
        <v>34</v>
      </c>
      <c r="I537">
        <f>VLOOKUP(Table4[[#This Row],[Visitor]],'NHL Model'!$A$6:$B$38,2,FALSE)</f>
        <v>-0.26693531126155262</v>
      </c>
      <c r="J537">
        <f>($B$1+Table4[[#This Row],[Home Differential]])-Table4[[#This Row],[Away Differential]]</f>
        <v>-0.52287400477982748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0.56858164028183711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-1.3446131114659174</v>
      </c>
      <c r="H538" t="s">
        <v>32</v>
      </c>
      <c r="I538">
        <f>VLOOKUP(Table4[[#This Row],[Visitor]],'NHL Model'!$A$6:$B$38,2,FALSE)</f>
        <v>-0.63099640390293943</v>
      </c>
      <c r="J538">
        <f>($B$1+Table4[[#This Row],[Home Differential]])-Table4[[#This Row],[Away Differential]]</f>
        <v>-0.60723477479423482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0.53672869756433161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-0.79206768185043297</v>
      </c>
      <c r="H539" t="s">
        <v>10</v>
      </c>
      <c r="I539">
        <f>VLOOKUP(Table4[[#This Row],[Visitor]],'NHL Model'!$A$6:$B$38,2,FALSE)</f>
        <v>-0.32256919101930787</v>
      </c>
      <c r="J539">
        <f>($B$1+Table4[[#This Row],[Home Differential]])-Table4[[#This Row],[Away Differential]]</f>
        <v>-0.36311655806238202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0.50588251813083429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-0.40987688593271943</v>
      </c>
      <c r="H540" t="s">
        <v>14</v>
      </c>
      <c r="I540">
        <f>VLOOKUP(Table4[[#This Row],[Visitor]],'NHL Model'!$A$6:$B$38,2,FALSE)</f>
        <v>-0.26282059799749452</v>
      </c>
      <c r="J540">
        <f>($B$1+Table4[[#This Row],[Home Differential]])-Table4[[#This Row],[Away Differential]]</f>
        <v>-4.0674355166481824E-2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0.46264403260515868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-0.66146476561443079</v>
      </c>
      <c r="H541" t="s">
        <v>39</v>
      </c>
      <c r="I541">
        <f>VLOOKUP(Table4[[#This Row],[Visitor]],'NHL Model'!$A$6:$B$38,2,FALSE)</f>
        <v>8.2462575231143323E-2</v>
      </c>
      <c r="J541">
        <f>($B$1+Table4[[#This Row],[Home Differential]])-Table4[[#This Row],[Away Differential]]</f>
        <v>-0.63754540807683102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0.64235642769125589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-1.6690304721962474</v>
      </c>
      <c r="H542" t="s">
        <v>15</v>
      </c>
      <c r="I542">
        <f>VLOOKUP(Table4[[#This Row],[Visitor]],'NHL Model'!$A$6:$B$38,2,FALSE)</f>
        <v>-0.54922296726434805</v>
      </c>
      <c r="J542">
        <f>($B$1+Table4[[#This Row],[Home Differential]])-Table4[[#This Row],[Away Differential]]</f>
        <v>-1.0134255721631562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0.68054015882681684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0.17240077100158954</v>
      </c>
      <c r="H543" t="s">
        <v>13</v>
      </c>
      <c r="I543">
        <f>VLOOKUP(Table4[[#This Row],[Visitor]],'NHL Model'!$A$6:$B$38,2,FALSE)</f>
        <v>-0.45522284197080148</v>
      </c>
      <c r="J543">
        <f>($B$1+Table4[[#This Row],[Home Differential]])-Table4[[#This Row],[Away Differential]]</f>
        <v>0.73400554574113408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0.58183011084693081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0.12620994778252301</v>
      </c>
      <c r="H544" t="s">
        <v>19</v>
      </c>
      <c r="I544">
        <f>VLOOKUP(Table4[[#This Row],[Visitor]],'NHL Model'!$A$6:$B$38,2,FALSE)</f>
        <v>-1.0208691773880865</v>
      </c>
      <c r="J544">
        <f>($B$1+Table4[[#This Row],[Home Differential]])-Table4[[#This Row],[Away Differential]]</f>
        <v>1.2534610579393526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0.71240088703849758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9.6060347736414392E-2</v>
      </c>
      <c r="H545" t="s">
        <v>39</v>
      </c>
      <c r="I545">
        <f>VLOOKUP(Table4[[#This Row],[Visitor]],'NHL Model'!$A$6:$B$38,2,FALSE)</f>
        <v>8.2462575231143323E-2</v>
      </c>
      <c r="J545">
        <f>($B$1+Table4[[#This Row],[Home Differential]])-Table4[[#This Row],[Away Differential]]</f>
        <v>0.11997970527401418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0.52747561237547547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1.4740146843006017</v>
      </c>
      <c r="H546" t="s">
        <v>40</v>
      </c>
      <c r="I546">
        <f>VLOOKUP(Table4[[#This Row],[Visitor]],'NHL Model'!$A$6:$B$38,2,FALSE)</f>
        <v>-0.2381776794561975</v>
      </c>
      <c r="J546">
        <f>($B$1+Table4[[#This Row],[Home Differential]])-Table4[[#This Row],[Away Differential]]</f>
        <v>1.8185742965255423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0.82979059004593125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-0.4374979224090173</v>
      </c>
      <c r="H547" t="s">
        <v>25</v>
      </c>
      <c r="I547">
        <f>VLOOKUP(Table4[[#This Row],[Visitor]],'NHL Model'!$A$6:$B$38,2,FALSE)</f>
        <v>0.15503279744029827</v>
      </c>
      <c r="J547">
        <f>($B$1+Table4[[#This Row],[Home Differential]])-Table4[[#This Row],[Away Differential]]</f>
        <v>-0.48614878708057252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0.56142856898768967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-0.22618911823839277</v>
      </c>
      <c r="H548" t="s">
        <v>38</v>
      </c>
      <c r="I548">
        <f>VLOOKUP(Table4[[#This Row],[Visitor]],'NHL Model'!$A$6:$B$38,2,FALSE)</f>
        <v>-1.1323142195605178</v>
      </c>
      <c r="J548">
        <f>($B$1+Table4[[#This Row],[Home Differential]])-Table4[[#This Row],[Away Differential]]</f>
        <v>1.0125070340908682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0.62865117352417688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-0.34901281259242245</v>
      </c>
      <c r="H549" t="s">
        <v>24</v>
      </c>
      <c r="I549">
        <f>VLOOKUP(Table4[[#This Row],[Visitor]],'NHL Model'!$A$6:$B$38,2,FALSE)</f>
        <v>-0.1651785584335338</v>
      </c>
      <c r="J549">
        <f>($B$1+Table4[[#This Row],[Home Differential]])-Table4[[#This Row],[Away Differential]]</f>
        <v>-7.7452321390145545E-2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0.43016885106890757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9.6060347736414392E-2</v>
      </c>
      <c r="H550" t="s">
        <v>28</v>
      </c>
      <c r="I550">
        <f>VLOOKUP(Table4[[#This Row],[Visitor]],'NHL Model'!$A$6:$B$38,2,FALSE)</f>
        <v>-0.89619124881012313</v>
      </c>
      <c r="J550">
        <f>($B$1+Table4[[#This Row],[Home Differential]])-Table4[[#This Row],[Away Differential]]</f>
        <v>1.0986335293152807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0.75137806682680597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-0.19106480716289626</v>
      </c>
      <c r="H551" t="s">
        <v>38</v>
      </c>
      <c r="I551">
        <f>VLOOKUP(Table4[[#This Row],[Visitor]],'NHL Model'!$A$6:$B$38,2,FALSE)</f>
        <v>-1.1323142195605178</v>
      </c>
      <c r="J551">
        <f>($B$1+Table4[[#This Row],[Home Differential]])-Table4[[#This Row],[Away Differential]]</f>
        <v>1.0476313451663646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0.6855676179676804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-0.69947324663859312</v>
      </c>
      <c r="H552" t="s">
        <v>30</v>
      </c>
      <c r="I552">
        <f>VLOOKUP(Table4[[#This Row],[Visitor]],'NHL Model'!$A$6:$B$38,2,FALSE)</f>
        <v>-0.22618911823839277</v>
      </c>
      <c r="J552">
        <f>($B$1+Table4[[#This Row],[Home Differential]])-Table4[[#This Row],[Away Differential]]</f>
        <v>-0.36690219563145726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0.56487938053244846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-1.3446131114659174</v>
      </c>
      <c r="H553" t="s">
        <v>20</v>
      </c>
      <c r="I553">
        <f>VLOOKUP(Table4[[#This Row],[Visitor]],'NHL Model'!$A$6:$B$38,2,FALSE)</f>
        <v>-0.26509018427102904</v>
      </c>
      <c r="J553">
        <f>($B$1+Table4[[#This Row],[Home Differential]])-Table4[[#This Row],[Away Differential]]</f>
        <v>-0.97314099442614521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0.58296371049249973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-0.4374979224090173</v>
      </c>
      <c r="H554" t="s">
        <v>35</v>
      </c>
      <c r="I554">
        <f>VLOOKUP(Table4[[#This Row],[Visitor]],'NHL Model'!$A$6:$B$38,2,FALSE)</f>
        <v>-1.6690304721962474</v>
      </c>
      <c r="J554">
        <f>($B$1+Table4[[#This Row],[Home Differential]])-Table4[[#This Row],[Away Differential]]</f>
        <v>1.3379144825559732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0.74130166005314668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-0.26693531126155262</v>
      </c>
      <c r="H555" t="s">
        <v>17</v>
      </c>
      <c r="I555">
        <f>VLOOKUP(Table4[[#This Row],[Visitor]],'NHL Model'!$A$6:$B$38,2,FALSE)</f>
        <v>-1.1555135170505442</v>
      </c>
      <c r="J555">
        <f>($B$1+Table4[[#This Row],[Home Differential]])-Table4[[#This Row],[Away Differential]]</f>
        <v>0.99496013855773469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0.66572072405739746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-0.79206768185043297</v>
      </c>
      <c r="H556" t="s">
        <v>14</v>
      </c>
      <c r="I556">
        <f>VLOOKUP(Table4[[#This Row],[Visitor]],'NHL Model'!$A$6:$B$38,2,FALSE)</f>
        <v>-0.26282059799749452</v>
      </c>
      <c r="J556">
        <f>($B$1+Table4[[#This Row],[Home Differential]])-Table4[[#This Row],[Away Differential]]</f>
        <v>-0.42286515108419537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0.51343220387704092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-1.5752718195161908</v>
      </c>
      <c r="H557" t="s">
        <v>19</v>
      </c>
      <c r="I557">
        <f>VLOOKUP(Table4[[#This Row],[Visitor]],'NHL Model'!$A$6:$B$38,2,FALSE)</f>
        <v>-1.0208691773880865</v>
      </c>
      <c r="J557">
        <f>($B$1+Table4[[#This Row],[Home Differential]])-Table4[[#This Row],[Away Differential]]</f>
        <v>-0.44802070935936111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0.51661079855421699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-0.54922296726434805</v>
      </c>
      <c r="H558" t="s">
        <v>27</v>
      </c>
      <c r="I558">
        <f>VLOOKUP(Table4[[#This Row],[Visitor]],'NHL Model'!$A$6:$B$38,2,FALSE)</f>
        <v>-0.5336297540825371</v>
      </c>
      <c r="J558">
        <f>($B$1+Table4[[#This Row],[Home Differential]])-Table4[[#This Row],[Away Differential]]</f>
        <v>9.0788719586932132E-2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0.55147184004703809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-0.40987688593271943</v>
      </c>
      <c r="H559" t="s">
        <v>10</v>
      </c>
      <c r="I559">
        <f>VLOOKUP(Table4[[#This Row],[Visitor]],'NHL Model'!$A$6:$B$38,2,FALSE)</f>
        <v>-0.32256919101930787</v>
      </c>
      <c r="J559">
        <f>($B$1+Table4[[#This Row],[Home Differential]])-Table4[[#This Row],[Away Differential]]</f>
        <v>1.9074237855331522E-2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0.544905653141048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-0.66146476561443079</v>
      </c>
      <c r="H560" t="s">
        <v>32</v>
      </c>
      <c r="I560">
        <f>VLOOKUP(Table4[[#This Row],[Visitor]],'NHL Model'!$A$6:$B$38,2,FALSE)</f>
        <v>-0.63099640390293943</v>
      </c>
      <c r="J560">
        <f>($B$1+Table4[[#This Row],[Home Differential]])-Table4[[#This Row],[Away Differential]]</f>
        <v>7.5913571057251716E-2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0.5495922527438486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0.17240077100158954</v>
      </c>
      <c r="H561" t="s">
        <v>25</v>
      </c>
      <c r="I561">
        <f>VLOOKUP(Table4[[#This Row],[Visitor]],'NHL Model'!$A$6:$B$38,2,FALSE)</f>
        <v>0.15503279744029827</v>
      </c>
      <c r="J561">
        <f>($B$1+Table4[[#This Row],[Home Differential]])-Table4[[#This Row],[Away Differential]]</f>
        <v>0.12374990633003438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0.51563673480266192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0.12620994778252301</v>
      </c>
      <c r="H562" t="s">
        <v>26</v>
      </c>
      <c r="I562">
        <f>VLOOKUP(Table4[[#This Row],[Visitor]],'NHL Model'!$A$6:$B$38,2,FALSE)</f>
        <v>-0.98948521352045793</v>
      </c>
      <c r="J562">
        <f>($B$1+Table4[[#This Row],[Home Differential]])-Table4[[#This Row],[Away Differential]]</f>
        <v>1.222077094071724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0.68775199913372409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-0.19106480716289626</v>
      </c>
      <c r="H563" t="s">
        <v>36</v>
      </c>
      <c r="I563">
        <f>VLOOKUP(Table4[[#This Row],[Visitor]],'NHL Model'!$A$6:$B$38,2,FALSE)</f>
        <v>-0.40987688593271943</v>
      </c>
      <c r="J563">
        <f>($B$1+Table4[[#This Row],[Home Differential]])-Table4[[#This Row],[Away Differential]]</f>
        <v>0.32519401153856631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0.61251928954419566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8.2462575231143323E-2</v>
      </c>
      <c r="H564" t="s">
        <v>19</v>
      </c>
      <c r="I564">
        <f>VLOOKUP(Table4[[#This Row],[Visitor]],'NHL Model'!$A$6:$B$38,2,FALSE)</f>
        <v>-1.0208691773880865</v>
      </c>
      <c r="J564">
        <f>($B$1+Table4[[#This Row],[Home Differential]])-Table4[[#This Row],[Away Differential]]</f>
        <v>1.2097136853879729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0.69535193499117998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-0.98948521352045793</v>
      </c>
      <c r="H565" t="s">
        <v>22</v>
      </c>
      <c r="I565">
        <f>VLOOKUP(Table4[[#This Row],[Visitor]],'NHL Model'!$A$6:$B$38,2,FALSE)</f>
        <v>0.12620994778252301</v>
      </c>
      <c r="J565">
        <f>($B$1+Table4[[#This Row],[Home Differential]])-Table4[[#This Row],[Away Differential]]</f>
        <v>-1.0093132285342379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0.59420101198825126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-1.1555135170505442</v>
      </c>
      <c r="H566" t="s">
        <v>20</v>
      </c>
      <c r="I566">
        <f>VLOOKUP(Table4[[#This Row],[Visitor]],'NHL Model'!$A$6:$B$38,2,FALSE)</f>
        <v>-0.26509018427102904</v>
      </c>
      <c r="J566">
        <f>($B$1+Table4[[#This Row],[Home Differential]])-Table4[[#This Row],[Away Differential]]</f>
        <v>-0.78404140001077194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0.55202359744200313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-0.26693531126155262</v>
      </c>
      <c r="H567" t="s">
        <v>12</v>
      </c>
      <c r="I567">
        <f>VLOOKUP(Table4[[#This Row],[Visitor]],'NHL Model'!$A$6:$B$38,2,FALSE)</f>
        <v>1.4740146843006017</v>
      </c>
      <c r="J567">
        <f>($B$1+Table4[[#This Row],[Home Differential]])-Table4[[#This Row],[Away Differential]]</f>
        <v>-1.6345680627934112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0.75902620127073683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-0.1651785584335338</v>
      </c>
      <c r="H568" t="s">
        <v>23</v>
      </c>
      <c r="I568">
        <f>VLOOKUP(Table4[[#This Row],[Visitor]],'NHL Model'!$A$6:$B$38,2,FALSE)</f>
        <v>-0.69947324663859312</v>
      </c>
      <c r="J568">
        <f>($B$1+Table4[[#This Row],[Home Differential]])-Table4[[#This Row],[Away Differential]]</f>
        <v>0.6406766209738024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0.74271903315040899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-1.5752718195161908</v>
      </c>
      <c r="H569" t="s">
        <v>15</v>
      </c>
      <c r="I569">
        <f>VLOOKUP(Table4[[#This Row],[Visitor]],'NHL Model'!$A$6:$B$38,2,FALSE)</f>
        <v>-0.54922296726434805</v>
      </c>
      <c r="J569">
        <f>($B$1+Table4[[#This Row],[Home Differential]])-Table4[[#This Row],[Away Differential]]</f>
        <v>-0.91966691948309953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0.66869304531464191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-0.26282059799749452</v>
      </c>
      <c r="H570" t="s">
        <v>18</v>
      </c>
      <c r="I570">
        <f>VLOOKUP(Table4[[#This Row],[Visitor]],'NHL Model'!$A$6:$B$38,2,FALSE)</f>
        <v>-0.79206768185043297</v>
      </c>
      <c r="J570">
        <f>($B$1+Table4[[#This Row],[Home Differential]])-Table4[[#This Row],[Away Differential]]</f>
        <v>0.63562901662168159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0.55650700054632318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-0.34901281259242245</v>
      </c>
      <c r="H571" t="s">
        <v>40</v>
      </c>
      <c r="I571">
        <f>VLOOKUP(Table4[[#This Row],[Visitor]],'NHL Model'!$A$6:$B$38,2,FALSE)</f>
        <v>-0.2381776794561975</v>
      </c>
      <c r="J571">
        <f>($B$1+Table4[[#This Row],[Home Differential]])-Table4[[#This Row],[Away Differential]]</f>
        <v>-4.453200367481841E-3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0.46210115702029669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9.6060347736414392E-2</v>
      </c>
      <c r="H572" t="s">
        <v>32</v>
      </c>
      <c r="I572">
        <f>VLOOKUP(Table4[[#This Row],[Visitor]],'NHL Model'!$A$6:$B$38,2,FALSE)</f>
        <v>-0.63099640390293943</v>
      </c>
      <c r="J572">
        <f>($B$1+Table4[[#This Row],[Home Differential]])-Table4[[#This Row],[Away Differential]]</f>
        <v>0.83343868440809699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0.71786869632443617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-0.45522284197080148</v>
      </c>
      <c r="H573" t="s">
        <v>28</v>
      </c>
      <c r="I573">
        <f>VLOOKUP(Table4[[#This Row],[Visitor]],'NHL Model'!$A$6:$B$38,2,FALSE)</f>
        <v>-0.89619124881012313</v>
      </c>
      <c r="J573">
        <f>($B$1+Table4[[#This Row],[Home Differential]])-Table4[[#This Row],[Away Differential]]</f>
        <v>0.54735033960806478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0.60916184713524102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-0.5336297540825371</v>
      </c>
      <c r="H574" t="s">
        <v>38</v>
      </c>
      <c r="I574">
        <f>VLOOKUP(Table4[[#This Row],[Visitor]],'NHL Model'!$A$6:$B$38,2,FALSE)</f>
        <v>-1.1323142195605178</v>
      </c>
      <c r="J574">
        <f>($B$1+Table4[[#This Row],[Home Differential]])-Table4[[#This Row],[Away Differential]]</f>
        <v>0.70506639824672379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0.62242379501214151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0.17240077100158954</v>
      </c>
      <c r="H575" t="s">
        <v>35</v>
      </c>
      <c r="I575">
        <f>VLOOKUP(Table4[[#This Row],[Visitor]],'NHL Model'!$A$6:$B$38,2,FALSE)</f>
        <v>-1.6690304721962474</v>
      </c>
      <c r="J575">
        <f>($B$1+Table4[[#This Row],[Home Differential]])-Table4[[#This Row],[Away Differential]]</f>
        <v>1.94781317596658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0.81836696384349827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-0.19106480716289626</v>
      </c>
      <c r="H576" t="s">
        <v>18</v>
      </c>
      <c r="I576">
        <f>VLOOKUP(Table4[[#This Row],[Visitor]],'NHL Model'!$A$6:$B$38,2,FALSE)</f>
        <v>-0.79206768185043297</v>
      </c>
      <c r="J576">
        <f>($B$1+Table4[[#This Row],[Home Differential]])-Table4[[#This Row],[Away Differential]]</f>
        <v>0.70738480745627985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0.61569919965685072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0.15503279744029827</v>
      </c>
      <c r="H577" t="s">
        <v>11</v>
      </c>
      <c r="I577">
        <f>VLOOKUP(Table4[[#This Row],[Visitor]],'NHL Model'!$A$6:$B$38,2,FALSE)</f>
        <v>-0.4374979224090173</v>
      </c>
      <c r="J577">
        <f>($B$1+Table4[[#This Row],[Home Differential]])-Table4[[#This Row],[Away Differential]]</f>
        <v>0.69891265261805868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0.65435062531555244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-0.32256919101930787</v>
      </c>
      <c r="H578" t="s">
        <v>27</v>
      </c>
      <c r="I578">
        <f>VLOOKUP(Table4[[#This Row],[Visitor]],'NHL Model'!$A$6:$B$38,2,FALSE)</f>
        <v>-0.5336297540825371</v>
      </c>
      <c r="J578">
        <f>($B$1+Table4[[#This Row],[Home Differential]])-Table4[[#This Row],[Away Differential]]</f>
        <v>0.31744249583197237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0.58011125559304721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1.4740146843006017</v>
      </c>
      <c r="H579" t="s">
        <v>55</v>
      </c>
      <c r="I579">
        <f>VLOOKUP(Table4[[#This Row],[Visitor]],'NHL Model'!$A$6:$B$38,2,FALSE)</f>
        <v>-0.34901281259242245</v>
      </c>
      <c r="J579">
        <f>($B$1+Table4[[#This Row],[Home Differential]])-Table4[[#This Row],[Away Differential]]</f>
        <v>1.9294094296617672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0.88390924377570423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-0.98948521352045793</v>
      </c>
      <c r="H580" t="s">
        <v>39</v>
      </c>
      <c r="I580">
        <f>VLOOKUP(Table4[[#This Row],[Visitor]],'NHL Model'!$A$6:$B$38,2,FALSE)</f>
        <v>8.2462575231143323E-2</v>
      </c>
      <c r="J580">
        <f>($B$1+Table4[[#This Row],[Home Differential]])-Table4[[#This Row],[Away Differential]]</f>
        <v>-0.96556585598285816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0.66983262152506384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-1.1555135170505442</v>
      </c>
      <c r="H581" t="s">
        <v>16</v>
      </c>
      <c r="I581">
        <f>VLOOKUP(Table4[[#This Row],[Visitor]],'NHL Model'!$A$6:$B$38,2,FALSE)</f>
        <v>-1.3446131114659174</v>
      </c>
      <c r="J581">
        <f>($B$1+Table4[[#This Row],[Home Differential]])-Table4[[#This Row],[Away Differential]]</f>
        <v>0.29548152718411647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0.58438227328989978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-0.45522284197080148</v>
      </c>
      <c r="H582" t="s">
        <v>32</v>
      </c>
      <c r="I582">
        <f>VLOOKUP(Table4[[#This Row],[Visitor]],'NHL Model'!$A$6:$B$38,2,FALSE)</f>
        <v>-0.63099640390293943</v>
      </c>
      <c r="J582">
        <f>($B$1+Table4[[#This Row],[Home Differential]])-Table4[[#This Row],[Away Differential]]</f>
        <v>0.28215549470088108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0.57565247663287122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-0.26693531126155262</v>
      </c>
      <c r="H583" t="s">
        <v>29</v>
      </c>
      <c r="I583">
        <f>VLOOKUP(Table4[[#This Row],[Visitor]],'NHL Model'!$A$6:$B$38,2,FALSE)</f>
        <v>-1.5752718195161908</v>
      </c>
      <c r="J583">
        <f>($B$1+Table4[[#This Row],[Home Differential]])-Table4[[#This Row],[Away Differential]]</f>
        <v>1.4147184410233813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0.71876035415914441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-0.22618911823839277</v>
      </c>
      <c r="H584" t="s">
        <v>24</v>
      </c>
      <c r="I584">
        <f>VLOOKUP(Table4[[#This Row],[Visitor]],'NHL Model'!$A$6:$B$38,2,FALSE)</f>
        <v>-0.1651785584335338</v>
      </c>
      <c r="J584">
        <f>($B$1+Table4[[#This Row],[Home Differential]])-Table4[[#This Row],[Away Differential]]</f>
        <v>4.5371372963884132E-2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0.54490352237652551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-0.40987688593271943</v>
      </c>
      <c r="H585" t="s">
        <v>23</v>
      </c>
      <c r="I585">
        <f>VLOOKUP(Table4[[#This Row],[Visitor]],'NHL Model'!$A$6:$B$38,2,FALSE)</f>
        <v>-0.69947324663859312</v>
      </c>
      <c r="J585">
        <f>($B$1+Table4[[#This Row],[Home Differential]])-Table4[[#This Row],[Away Differential]]</f>
        <v>0.39597829347461677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0.59253032566442521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-1.0208691773880865</v>
      </c>
      <c r="H586" t="s">
        <v>14</v>
      </c>
      <c r="I586">
        <f>VLOOKUP(Table4[[#This Row],[Visitor]],'NHL Model'!$A$6:$B$38,2,FALSE)</f>
        <v>-0.26282059799749452</v>
      </c>
      <c r="J586">
        <f>($B$1+Table4[[#This Row],[Home Differential]])-Table4[[#This Row],[Away Differential]]</f>
        <v>-0.65166664662184881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0.54234299996793389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-0.26509018427102904</v>
      </c>
      <c r="H587" t="s">
        <v>33</v>
      </c>
      <c r="I587">
        <f>VLOOKUP(Table4[[#This Row],[Visitor]],'NHL Model'!$A$6:$B$38,2,FALSE)</f>
        <v>-0.66146476561443079</v>
      </c>
      <c r="J587">
        <f>($B$1+Table4[[#This Row],[Home Differential]])-Table4[[#This Row],[Away Differential]]</f>
        <v>0.50275651411214484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0.60352708066312577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0.12620994778252301</v>
      </c>
      <c r="H588" t="s">
        <v>15</v>
      </c>
      <c r="I588">
        <f>VLOOKUP(Table4[[#This Row],[Visitor]],'NHL Model'!$A$6:$B$38,2,FALSE)</f>
        <v>-0.54922296726434805</v>
      </c>
      <c r="J588">
        <f>($B$1+Table4[[#This Row],[Home Differential]])-Table4[[#This Row],[Away Differential]]</f>
        <v>0.78181484781561417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0.56032666916322305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-0.69947324663859312</v>
      </c>
      <c r="H589" t="s">
        <v>21</v>
      </c>
      <c r="I589">
        <f>VLOOKUP(Table4[[#This Row],[Visitor]],'NHL Model'!$A$6:$B$38,2,FALSE)</f>
        <v>-0.19106480716289626</v>
      </c>
      <c r="J589">
        <f>($B$1+Table4[[#This Row],[Home Differential]])-Table4[[#This Row],[Away Differential]]</f>
        <v>-0.40202650670695378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0.49760759449579817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0.15503279744029827</v>
      </c>
      <c r="H590" t="s">
        <v>26</v>
      </c>
      <c r="I590">
        <f>VLOOKUP(Table4[[#This Row],[Visitor]],'NHL Model'!$A$6:$B$38,2,FALSE)</f>
        <v>-0.98948521352045793</v>
      </c>
      <c r="J590">
        <f>($B$1+Table4[[#This Row],[Home Differential]])-Table4[[#This Row],[Away Differential]]</f>
        <v>1.2508999437294994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0.70351519588120048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-1.3446131114659174</v>
      </c>
      <c r="H591" t="s">
        <v>17</v>
      </c>
      <c r="I591">
        <f>VLOOKUP(Table4[[#This Row],[Visitor]],'NHL Model'!$A$6:$B$38,2,FALSE)</f>
        <v>-1.1555135170505442</v>
      </c>
      <c r="J591">
        <f>($B$1+Table4[[#This Row],[Home Differential]])-Table4[[#This Row],[Away Differential]]</f>
        <v>-8.2717661646630081E-2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0.47045200095113732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8.2462575231143323E-2</v>
      </c>
      <c r="H592" t="s">
        <v>10</v>
      </c>
      <c r="I592">
        <f>VLOOKUP(Table4[[#This Row],[Visitor]],'NHL Model'!$A$6:$B$38,2,FALSE)</f>
        <v>-0.32256919101930787</v>
      </c>
      <c r="J592">
        <f>($B$1+Table4[[#This Row],[Home Differential]])-Table4[[#This Row],[Away Differential]]</f>
        <v>0.51141369901919431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0.60711646053004975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-0.4374979224090173</v>
      </c>
      <c r="H593" t="s">
        <v>37</v>
      </c>
      <c r="I593">
        <f>VLOOKUP(Table4[[#This Row],[Visitor]],'NHL Model'!$A$6:$B$38,2,FALSE)</f>
        <v>0.17240077100158954</v>
      </c>
      <c r="J593">
        <f>($B$1+Table4[[#This Row],[Home Differential]])-Table4[[#This Row],[Away Differential]]</f>
        <v>-0.50351676064186379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0.55729402962689778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-0.45522284197080148</v>
      </c>
      <c r="H594" t="s">
        <v>31</v>
      </c>
      <c r="I594">
        <f>VLOOKUP(Table4[[#This Row],[Visitor]],'NHL Model'!$A$6:$B$38,2,FALSE)</f>
        <v>9.6060347736414392E-2</v>
      </c>
      <c r="J594">
        <f>($B$1+Table4[[#This Row],[Home Differential]])-Table4[[#This Row],[Away Differential]]</f>
        <v>-0.44490125693847271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0.53698586296258699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-0.1651785584335338</v>
      </c>
      <c r="H595" t="s">
        <v>22</v>
      </c>
      <c r="I595">
        <f>VLOOKUP(Table4[[#This Row],[Visitor]],'NHL Model'!$A$6:$B$38,2,FALSE)</f>
        <v>0.12620994778252301</v>
      </c>
      <c r="J595">
        <f>($B$1+Table4[[#This Row],[Home Differential]])-Table4[[#This Row],[Away Differential]]</f>
        <v>-0.18500657344731369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0.38051983423752767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-0.22618911823839277</v>
      </c>
      <c r="H596" t="s">
        <v>15</v>
      </c>
      <c r="I596">
        <f>VLOOKUP(Table4[[#This Row],[Visitor]],'NHL Model'!$A$6:$B$38,2,FALSE)</f>
        <v>-0.54922296726434805</v>
      </c>
      <c r="J596">
        <f>($B$1+Table4[[#This Row],[Home Differential]])-Table4[[#This Row],[Away Differential]]</f>
        <v>0.42941578179469841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0.50177373767006417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-1.6690304721962474</v>
      </c>
      <c r="H597" t="s">
        <v>29</v>
      </c>
      <c r="I597">
        <f>VLOOKUP(Table4[[#This Row],[Visitor]],'NHL Model'!$A$6:$B$38,2,FALSE)</f>
        <v>-1.5752718195161908</v>
      </c>
      <c r="J597">
        <f>($B$1+Table4[[#This Row],[Home Differential]])-Table4[[#This Row],[Away Differential]]</f>
        <v>1.2623280088686517E-2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0.54159504672722825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-1.0208691773880865</v>
      </c>
      <c r="H598" t="s">
        <v>36</v>
      </c>
      <c r="I598">
        <f>VLOOKUP(Table4[[#This Row],[Visitor]],'NHL Model'!$A$6:$B$38,2,FALSE)</f>
        <v>-0.40987688593271943</v>
      </c>
      <c r="J598">
        <f>($B$1+Table4[[#This Row],[Home Differential]])-Table4[[#This Row],[Away Differential]]</f>
        <v>-0.50461035868662396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0.54453055868826283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-1.1323142195605178</v>
      </c>
      <c r="H599" t="s">
        <v>33</v>
      </c>
      <c r="I599">
        <f>VLOOKUP(Table4[[#This Row],[Visitor]],'NHL Model'!$A$6:$B$38,2,FALSE)</f>
        <v>-0.66146476561443079</v>
      </c>
      <c r="J599">
        <f>($B$1+Table4[[#This Row],[Home Differential]])-Table4[[#This Row],[Away Differential]]</f>
        <v>-0.36446752117734382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0.50605322251828244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-0.26509018427102904</v>
      </c>
      <c r="H600" t="s">
        <v>12</v>
      </c>
      <c r="I600">
        <f>VLOOKUP(Table4[[#This Row],[Visitor]],'NHL Model'!$A$6:$B$38,2,FALSE)</f>
        <v>1.4740146843006017</v>
      </c>
      <c r="J600">
        <f>($B$1+Table4[[#This Row],[Home Differential]])-Table4[[#This Row],[Away Differential]]</f>
        <v>-1.6327229358028876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0.75879305554736876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-0.2381776794561975</v>
      </c>
      <c r="H601" t="s">
        <v>34</v>
      </c>
      <c r="I601">
        <f>VLOOKUP(Table4[[#This Row],[Visitor]],'NHL Model'!$A$6:$B$38,2,FALSE)</f>
        <v>-0.26693531126155262</v>
      </c>
      <c r="J601">
        <f>($B$1+Table4[[#This Row],[Home Differential]])-Table4[[#This Row],[Away Differential]]</f>
        <v>0.13513956457409823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0.51707590409771087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-0.89619124881012313</v>
      </c>
      <c r="H602" t="s">
        <v>30</v>
      </c>
      <c r="I602">
        <f>VLOOKUP(Table4[[#This Row],[Visitor]],'NHL Model'!$A$6:$B$38,2,FALSE)</f>
        <v>-0.22618911823839277</v>
      </c>
      <c r="J602">
        <f>($B$1+Table4[[#This Row],[Home Differential]])-Table4[[#This Row],[Away Differential]]</f>
        <v>-0.56362019780298733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0.60384083564058777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-0.32256919101930787</v>
      </c>
      <c r="H603" t="s">
        <v>14</v>
      </c>
      <c r="I603">
        <f>VLOOKUP(Table4[[#This Row],[Visitor]],'NHL Model'!$A$6:$B$38,2,FALSE)</f>
        <v>-0.26282059799749452</v>
      </c>
      <c r="J603">
        <f>($B$1+Table4[[#This Row],[Home Differential]])-Table4[[#This Row],[Away Differential]]</f>
        <v>4.6633339746929764E-2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0.54589247449319644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-0.98948521352045793</v>
      </c>
      <c r="H604" t="s">
        <v>19</v>
      </c>
      <c r="I604">
        <f>VLOOKUP(Table4[[#This Row],[Visitor]],'NHL Model'!$A$6:$B$38,2,FALSE)</f>
        <v>-1.0208691773880865</v>
      </c>
      <c r="J604">
        <f>($B$1+Table4[[#This Row],[Home Differential]])-Table4[[#This Row],[Away Differential]]</f>
        <v>0.13776589663637162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0.57142438147750996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-0.63099640390293943</v>
      </c>
      <c r="H605" t="s">
        <v>27</v>
      </c>
      <c r="I605">
        <f>VLOOKUP(Table4[[#This Row],[Visitor]],'NHL Model'!$A$6:$B$38,2,FALSE)</f>
        <v>-0.5336297540825371</v>
      </c>
      <c r="J605">
        <f>($B$1+Table4[[#This Row],[Home Differential]])-Table4[[#This Row],[Away Differential]]</f>
        <v>9.0152829483407526E-3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0.54363462825757802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0.17240077100158954</v>
      </c>
      <c r="H606" t="s">
        <v>18</v>
      </c>
      <c r="I606">
        <f>VLOOKUP(Table4[[#This Row],[Visitor]],'NHL Model'!$A$6:$B$38,2,FALSE)</f>
        <v>-0.79206768185043297</v>
      </c>
      <c r="J606">
        <f>($B$1+Table4[[#This Row],[Home Differential]])-Table4[[#This Row],[Away Differential]]</f>
        <v>1.0708503856207656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0.64163914356256335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9.6060347736414392E-2</v>
      </c>
      <c r="H607" t="s">
        <v>33</v>
      </c>
      <c r="I607">
        <f>VLOOKUP(Table4[[#This Row],[Visitor]],'NHL Model'!$A$6:$B$38,2,FALSE)</f>
        <v>-0.66146476561443079</v>
      </c>
      <c r="J607">
        <f>($B$1+Table4[[#This Row],[Home Differential]])-Table4[[#This Row],[Away Differential]]</f>
        <v>0.86390704611958835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0.72171860381999065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0.15503279744029827</v>
      </c>
      <c r="H608" t="s">
        <v>15</v>
      </c>
      <c r="I608">
        <f>VLOOKUP(Table4[[#This Row],[Visitor]],'NHL Model'!$A$6:$B$38,2,FALSE)</f>
        <v>-0.54922296726434805</v>
      </c>
      <c r="J608">
        <f>($B$1+Table4[[#This Row],[Home Differential]])-Table4[[#This Row],[Away Differential]]</f>
        <v>0.81063769747338943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0.57611440277734161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-1.3446131114659174</v>
      </c>
      <c r="H609" t="s">
        <v>21</v>
      </c>
      <c r="I609">
        <f>VLOOKUP(Table4[[#This Row],[Visitor]],'NHL Model'!$A$6:$B$38,2,FALSE)</f>
        <v>-0.19106480716289626</v>
      </c>
      <c r="J609">
        <f>($B$1+Table4[[#This Row],[Home Differential]])-Table4[[#This Row],[Away Differential]]</f>
        <v>-1.0471663715342781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0.59314686876522427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1.4740146843006017</v>
      </c>
      <c r="H610" t="s">
        <v>13</v>
      </c>
      <c r="I610">
        <f>VLOOKUP(Table4[[#This Row],[Visitor]],'NHL Model'!$A$6:$B$38,2,FALSE)</f>
        <v>-0.45522284197080148</v>
      </c>
      <c r="J610">
        <f>($B$1+Table4[[#This Row],[Home Differential]])-Table4[[#This Row],[Away Differential]]</f>
        <v>2.0356194590401464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0.81721588471557094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-0.4374979224090173</v>
      </c>
      <c r="H611" t="s">
        <v>22</v>
      </c>
      <c r="I611">
        <f>VLOOKUP(Table4[[#This Row],[Visitor]],'NHL Model'!$A$6:$B$38,2,FALSE)</f>
        <v>0.12620994778252301</v>
      </c>
      <c r="J611">
        <f>($B$1+Table4[[#This Row],[Home Differential]])-Table4[[#This Row],[Away Differential]]</f>
        <v>-0.45732593742279726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0.506062446430391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-0.40987688593271943</v>
      </c>
      <c r="H612" t="s">
        <v>28</v>
      </c>
      <c r="I612">
        <f>VLOOKUP(Table4[[#This Row],[Visitor]],'NHL Model'!$A$6:$B$38,2,FALSE)</f>
        <v>-0.89619124881012313</v>
      </c>
      <c r="J612">
        <f>($B$1+Table4[[#This Row],[Home Differential]])-Table4[[#This Row],[Away Differential]]</f>
        <v>0.59269629564614679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0.61738713018322688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-0.63099640390293943</v>
      </c>
      <c r="H613" t="s">
        <v>38</v>
      </c>
      <c r="I613">
        <f>VLOOKUP(Table4[[#This Row],[Visitor]],'NHL Model'!$A$6:$B$38,2,FALSE)</f>
        <v>-1.1323142195605178</v>
      </c>
      <c r="J613">
        <f>($B$1+Table4[[#This Row],[Home Differential]])-Table4[[#This Row],[Away Differential]]</f>
        <v>0.60769974842632146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0.58001325694425609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-1.6690304721962474</v>
      </c>
      <c r="H614" t="s">
        <v>23</v>
      </c>
      <c r="I614">
        <f>VLOOKUP(Table4[[#This Row],[Visitor]],'NHL Model'!$A$6:$B$38,2,FALSE)</f>
        <v>-0.69947324663859312</v>
      </c>
      <c r="J614">
        <f>($B$1+Table4[[#This Row],[Home Differential]])-Table4[[#This Row],[Away Differential]]</f>
        <v>-0.86317529278891114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0.56906871400414494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-0.34901281259242245</v>
      </c>
      <c r="H615" t="s">
        <v>29</v>
      </c>
      <c r="I615">
        <f>VLOOKUP(Table4[[#This Row],[Visitor]],'NHL Model'!$A$6:$B$38,2,FALSE)</f>
        <v>-1.5752718195161908</v>
      </c>
      <c r="J615">
        <f>($B$1+Table4[[#This Row],[Home Differential]])-Table4[[#This Row],[Away Differential]]</f>
        <v>1.3326409396925114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0.74882041974231672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-0.26509018427102904</v>
      </c>
      <c r="H616" t="s">
        <v>34</v>
      </c>
      <c r="I616">
        <f>VLOOKUP(Table4[[#This Row],[Visitor]],'NHL Model'!$A$6:$B$38,2,FALSE)</f>
        <v>-0.26693531126155262</v>
      </c>
      <c r="J616">
        <f>($B$1+Table4[[#This Row],[Home Differential]])-Table4[[#This Row],[Away Differential]]</f>
        <v>0.10822705975926669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0.51116274314870092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-0.2381776794561975</v>
      </c>
      <c r="H617" t="s">
        <v>17</v>
      </c>
      <c r="I617">
        <f>VLOOKUP(Table4[[#This Row],[Visitor]],'NHL Model'!$A$6:$B$38,2,FALSE)</f>
        <v>-1.1555135170505442</v>
      </c>
      <c r="J617">
        <f>($B$1+Table4[[#This Row],[Home Differential]])-Table4[[#This Row],[Away Differential]]</f>
        <v>1.0237177703630898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0.6718499471200452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-0.32256919101930787</v>
      </c>
      <c r="H618" t="s">
        <v>30</v>
      </c>
      <c r="I618">
        <f>VLOOKUP(Table4[[#This Row],[Visitor]],'NHL Model'!$A$6:$B$38,2,FALSE)</f>
        <v>-0.22618911823839277</v>
      </c>
      <c r="J618">
        <f>($B$1+Table4[[#This Row],[Home Differential]])-Table4[[#This Row],[Away Differential]]</f>
        <v>1.0001859987828016E-2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0.46864064140159117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-0.4374979224090173</v>
      </c>
      <c r="H619" t="s">
        <v>18</v>
      </c>
      <c r="I619">
        <f>VLOOKUP(Table4[[#This Row],[Visitor]],'NHL Model'!$A$6:$B$38,2,FALSE)</f>
        <v>-0.79206768185043297</v>
      </c>
      <c r="J619">
        <f>($B$1+Table4[[#This Row],[Home Differential]])-Table4[[#This Row],[Away Differential]]</f>
        <v>0.46095169221015875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0.56457383977221176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-0.26282059799749452</v>
      </c>
      <c r="H620" t="s">
        <v>25</v>
      </c>
      <c r="I620">
        <f>VLOOKUP(Table4[[#This Row],[Visitor]],'NHL Model'!$A$6:$B$38,2,FALSE)</f>
        <v>0.15503279744029827</v>
      </c>
      <c r="J620">
        <f>($B$1+Table4[[#This Row],[Home Differential]])-Table4[[#This Row],[Away Differential]]</f>
        <v>-0.31147146266904968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0.56947725240771474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-1.0208691773880865</v>
      </c>
      <c r="H621" t="s">
        <v>24</v>
      </c>
      <c r="I621">
        <f>VLOOKUP(Table4[[#This Row],[Visitor]],'NHL Model'!$A$6:$B$38,2,FALSE)</f>
        <v>-0.1651785584335338</v>
      </c>
      <c r="J621">
        <f>($B$1+Table4[[#This Row],[Home Differential]])-Table4[[#This Row],[Away Differential]]</f>
        <v>-0.74930868618580959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0.5555103018145604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-1.1323142195605178</v>
      </c>
      <c r="H622" t="s">
        <v>27</v>
      </c>
      <c r="I622">
        <f>VLOOKUP(Table4[[#This Row],[Visitor]],'NHL Model'!$A$6:$B$38,2,FALSE)</f>
        <v>-0.5336297540825371</v>
      </c>
      <c r="J622">
        <f>($B$1+Table4[[#This Row],[Home Differential]])-Table4[[#This Row],[Away Differential]]</f>
        <v>-0.49230253270923752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0.52220614120000197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9.6060347736414392E-2</v>
      </c>
      <c r="H623" t="s">
        <v>37</v>
      </c>
      <c r="I623">
        <f>VLOOKUP(Table4[[#This Row],[Visitor]],'NHL Model'!$A$6:$B$38,2,FALSE)</f>
        <v>0.17240077100158954</v>
      </c>
      <c r="J623">
        <f>($B$1+Table4[[#This Row],[Home Differential]])-Table4[[#This Row],[Away Differential]]</f>
        <v>3.0041509503567959E-2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0.55174117697640135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-0.89619124881012313</v>
      </c>
      <c r="H624" t="s">
        <v>24</v>
      </c>
      <c r="I624">
        <f>VLOOKUP(Table4[[#This Row],[Visitor]],'NHL Model'!$A$6:$B$38,2,FALSE)</f>
        <v>-0.1651785584335338</v>
      </c>
      <c r="J624">
        <f>($B$1+Table4[[#This Row],[Home Differential]])-Table4[[#This Row],[Away Differential]]</f>
        <v>-0.62463075760784625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0.53975630439560907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-1.3446131114659174</v>
      </c>
      <c r="H625" t="s">
        <v>27</v>
      </c>
      <c r="I625">
        <f>VLOOKUP(Table4[[#This Row],[Visitor]],'NHL Model'!$A$6:$B$38,2,FALSE)</f>
        <v>-0.5336297540825371</v>
      </c>
      <c r="J625">
        <f>($B$1+Table4[[#This Row],[Home Differential]])-Table4[[#This Row],[Away Differential]]</f>
        <v>-0.70460142461463715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0.54903170875049656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1.4740146843006017</v>
      </c>
      <c r="H626" t="s">
        <v>35</v>
      </c>
      <c r="I626">
        <f>VLOOKUP(Table4[[#This Row],[Visitor]],'NHL Model'!$A$6:$B$38,2,FALSE)</f>
        <v>-1.6690304721962474</v>
      </c>
      <c r="J626">
        <f>($B$1+Table4[[#This Row],[Home Differential]])-Table4[[#This Row],[Away Differential]]</f>
        <v>3.2494270892655921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8.2462575231143323E-2</v>
      </c>
      <c r="H627" t="s">
        <v>23</v>
      </c>
      <c r="I627">
        <f>VLOOKUP(Table4[[#This Row],[Visitor]],'NHL Model'!$A$6:$B$38,2,FALSE)</f>
        <v>-0.69947324663859312</v>
      </c>
      <c r="J627">
        <f>($B$1+Table4[[#This Row],[Home Differential]])-Table4[[#This Row],[Away Differential]]</f>
        <v>0.88831775463847951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0.65474113305342696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-0.98948521352045793</v>
      </c>
      <c r="H628" t="s">
        <v>40</v>
      </c>
      <c r="I628">
        <f>VLOOKUP(Table4[[#This Row],[Visitor]],'NHL Model'!$A$6:$B$38,2,FALSE)</f>
        <v>-0.2381776794561975</v>
      </c>
      <c r="J628">
        <f>($B$1+Table4[[#This Row],[Home Differential]])-Table4[[#This Row],[Away Differential]]</f>
        <v>-0.64492560129551735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0.56986331102878995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-1.1555135170505442</v>
      </c>
      <c r="H629" t="s">
        <v>21</v>
      </c>
      <c r="I629">
        <f>VLOOKUP(Table4[[#This Row],[Visitor]],'NHL Model'!$A$6:$B$38,2,FALSE)</f>
        <v>-0.19106480716289626</v>
      </c>
      <c r="J629">
        <f>($B$1+Table4[[#This Row],[Home Differential]])-Table4[[#This Row],[Away Differential]]</f>
        <v>-0.85806677711890478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0.5622047270921684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-0.66146476561443079</v>
      </c>
      <c r="H630" t="s">
        <v>34</v>
      </c>
      <c r="I630">
        <f>VLOOKUP(Table4[[#This Row],[Visitor]],'NHL Model'!$A$6:$B$38,2,FALSE)</f>
        <v>-0.26693531126155262</v>
      </c>
      <c r="J630">
        <f>($B$1+Table4[[#This Row],[Home Differential]])-Table4[[#This Row],[Away Differential]]</f>
        <v>-0.28814752158413509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0.53892217727502179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-0.26509018427102904</v>
      </c>
      <c r="H631" t="s">
        <v>29</v>
      </c>
      <c r="I631">
        <f>VLOOKUP(Table4[[#This Row],[Visitor]],'NHL Model'!$A$6:$B$38,2,FALSE)</f>
        <v>-1.5752718195161908</v>
      </c>
      <c r="J631">
        <f>($B$1+Table4[[#This Row],[Home Differential]])-Table4[[#This Row],[Away Differential]]</f>
        <v>1.4165635680139048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0.71899349988251249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0.12620994778252301</v>
      </c>
      <c r="H632" t="s">
        <v>15</v>
      </c>
      <c r="I632">
        <f>VLOOKUP(Table4[[#This Row],[Visitor]],'NHL Model'!$A$6:$B$38,2,FALSE)</f>
        <v>-0.54922296726434805</v>
      </c>
      <c r="J632">
        <f>($B$1+Table4[[#This Row],[Home Differential]])-Table4[[#This Row],[Away Differential]]</f>
        <v>0.78181484781561417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0.56032666916322305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0.15503279744029827</v>
      </c>
      <c r="H633" t="s">
        <v>18</v>
      </c>
      <c r="I633">
        <f>VLOOKUP(Table4[[#This Row],[Visitor]],'NHL Model'!$A$6:$B$38,2,FALSE)</f>
        <v>-0.79206768185043297</v>
      </c>
      <c r="J633">
        <f>($B$1+Table4[[#This Row],[Home Differential]])-Table4[[#This Row],[Away Differential]]</f>
        <v>1.0534824120594743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0.63311545507525402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-0.32256919101930787</v>
      </c>
      <c r="H634" t="s">
        <v>39</v>
      </c>
      <c r="I634">
        <f>VLOOKUP(Table4[[#This Row],[Visitor]],'NHL Model'!$A$6:$B$38,2,FALSE)</f>
        <v>8.2462575231143323E-2</v>
      </c>
      <c r="J634">
        <f>($B$1+Table4[[#This Row],[Home Differential]])-Table4[[#This Row],[Away Differential]]</f>
        <v>-0.29864983348170809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0.59953441365589233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-0.45522284197080148</v>
      </c>
      <c r="H635" t="s">
        <v>37</v>
      </c>
      <c r="I635">
        <f>VLOOKUP(Table4[[#This Row],[Visitor]],'NHL Model'!$A$6:$B$38,2,FALSE)</f>
        <v>0.17240077100158954</v>
      </c>
      <c r="J635">
        <f>($B$1+Table4[[#This Row],[Home Differential]])-Table4[[#This Row],[Away Differential]]</f>
        <v>-0.52124168020364792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0.59217861040949438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-0.22618911823839277</v>
      </c>
      <c r="H636" t="s">
        <v>55</v>
      </c>
      <c r="I636">
        <f>VLOOKUP(Table4[[#This Row],[Visitor]],'NHL Model'!$A$6:$B$38,2,FALSE)</f>
        <v>-0.34901281259242245</v>
      </c>
      <c r="J636">
        <f>($B$1+Table4[[#This Row],[Home Differential]])-Table4[[#This Row],[Away Differential]]</f>
        <v>0.22920562712277279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0.56896186116729819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-0.40987688593271943</v>
      </c>
      <c r="H637" t="s">
        <v>22</v>
      </c>
      <c r="I637">
        <f>VLOOKUP(Table4[[#This Row],[Visitor]],'NHL Model'!$A$6:$B$38,2,FALSE)</f>
        <v>0.12620994778252301</v>
      </c>
      <c r="J637">
        <f>($B$1+Table4[[#This Row],[Home Differential]])-Table4[[#This Row],[Away Differential]]</f>
        <v>-0.42970490094649938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0.53255732746785867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-0.26282059799749452</v>
      </c>
      <c r="H638" t="s">
        <v>26</v>
      </c>
      <c r="I638">
        <f>VLOOKUP(Table4[[#This Row],[Visitor]],'NHL Model'!$A$6:$B$38,2,FALSE)</f>
        <v>-0.98948521352045793</v>
      </c>
      <c r="J638">
        <f>($B$1+Table4[[#This Row],[Home Differential]])-Table4[[#This Row],[Away Differential]]</f>
        <v>0.83304654829170655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0.62700085014203077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-0.63099640390293943</v>
      </c>
      <c r="H639" t="s">
        <v>29</v>
      </c>
      <c r="I639">
        <f>VLOOKUP(Table4[[#This Row],[Visitor]],'NHL Model'!$A$6:$B$38,2,FALSE)</f>
        <v>-1.5752718195161908</v>
      </c>
      <c r="J639">
        <f>($B$1+Table4[[#This Row],[Home Differential]])-Table4[[#This Row],[Away Differential]]</f>
        <v>1.0506573483819945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0.67525396615868427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-1.0208691773880865</v>
      </c>
      <c r="H640" t="s">
        <v>40</v>
      </c>
      <c r="I640">
        <f>VLOOKUP(Table4[[#This Row],[Visitor]],'NHL Model'!$A$6:$B$38,2,FALSE)</f>
        <v>-0.2381776794561975</v>
      </c>
      <c r="J640">
        <f>($B$1+Table4[[#This Row],[Home Differential]])-Table4[[#This Row],[Away Differential]]</f>
        <v>-0.67630956516314589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0.58796938155909628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9.6060347736414392E-2</v>
      </c>
      <c r="H641" t="s">
        <v>34</v>
      </c>
      <c r="I641">
        <f>VLOOKUP(Table4[[#This Row],[Visitor]],'NHL Model'!$A$6:$B$38,2,FALSE)</f>
        <v>-0.26693531126155262</v>
      </c>
      <c r="J641">
        <f>($B$1+Table4[[#This Row],[Home Differential]])-Table4[[#This Row],[Away Differential]]</f>
        <v>0.46937759176671012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0.63073797328940207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-0.4374979224090173</v>
      </c>
      <c r="H642" t="s">
        <v>15</v>
      </c>
      <c r="I642">
        <f>VLOOKUP(Table4[[#This Row],[Visitor]],'NHL Model'!$A$6:$B$38,2,FALSE)</f>
        <v>-0.54922296726434805</v>
      </c>
      <c r="J642">
        <f>($B$1+Table4[[#This Row],[Home Differential]])-Table4[[#This Row],[Away Differential]]</f>
        <v>0.21810697762407383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0.50755946302393307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-1.6690304721962474</v>
      </c>
      <c r="H643" t="s">
        <v>20</v>
      </c>
      <c r="I643">
        <f>VLOOKUP(Table4[[#This Row],[Visitor]],'NHL Model'!$A$6:$B$38,2,FALSE)</f>
        <v>-0.26509018427102904</v>
      </c>
      <c r="J643">
        <f>($B$1+Table4[[#This Row],[Home Differential]])-Table4[[#This Row],[Away Differential]]</f>
        <v>-1.2975583551564753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0.62395629291588128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-1.1323142195605178</v>
      </c>
      <c r="H644" t="s">
        <v>32</v>
      </c>
      <c r="I644">
        <f>VLOOKUP(Table4[[#This Row],[Visitor]],'NHL Model'!$A$6:$B$38,2,FALSE)</f>
        <v>-0.63099640390293943</v>
      </c>
      <c r="J644">
        <f>($B$1+Table4[[#This Row],[Home Differential]])-Table4[[#This Row],[Away Differential]]</f>
        <v>-0.39493588288883519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0.50990313001383702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0.15503279744029827</v>
      </c>
      <c r="H645" t="s">
        <v>12</v>
      </c>
      <c r="I645">
        <f>VLOOKUP(Table4[[#This Row],[Visitor]],'NHL Model'!$A$6:$B$38,2,FALSE)</f>
        <v>1.4740146843006017</v>
      </c>
      <c r="J645">
        <f>($B$1+Table4[[#This Row],[Home Differential]])-Table4[[#This Row],[Away Differential]]</f>
        <v>-1.2125999540915604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0.67953694709849455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-0.89619124881012313</v>
      </c>
      <c r="H646" t="s">
        <v>23</v>
      </c>
      <c r="I646">
        <f>VLOOKUP(Table4[[#This Row],[Visitor]],'NHL Model'!$A$6:$B$38,2,FALSE)</f>
        <v>-0.69947324663859312</v>
      </c>
      <c r="J646">
        <f>($B$1+Table4[[#This Row],[Home Differential]])-Table4[[#This Row],[Away Differential]]</f>
        <v>-9.0336069402786934E-2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0.47141464427939861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-1.3446131114659174</v>
      </c>
      <c r="H647" t="s">
        <v>29</v>
      </c>
      <c r="I647">
        <f>VLOOKUP(Table4[[#This Row],[Visitor]],'NHL Model'!$A$6:$B$38,2,FALSE)</f>
        <v>-1.5752718195161908</v>
      </c>
      <c r="J647">
        <f>($B$1+Table4[[#This Row],[Home Differential]])-Table4[[#This Row],[Away Differential]]</f>
        <v>0.33704064081901652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0.58258762915060969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-0.98948521352045793</v>
      </c>
      <c r="H648" t="s">
        <v>14</v>
      </c>
      <c r="I648">
        <f>VLOOKUP(Table4[[#This Row],[Visitor]],'NHL Model'!$A$6:$B$38,2,FALSE)</f>
        <v>-0.26282059799749452</v>
      </c>
      <c r="J648">
        <f>($B$1+Table4[[#This Row],[Home Differential]])-Table4[[#This Row],[Away Differential]]</f>
        <v>-0.62028268275422027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0.52436077872982712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-1.1555135170505442</v>
      </c>
      <c r="H649" t="s">
        <v>27</v>
      </c>
      <c r="I649">
        <f>VLOOKUP(Table4[[#This Row],[Visitor]],'NHL Model'!$A$6:$B$38,2,FALSE)</f>
        <v>-0.5336297540825371</v>
      </c>
      <c r="J649">
        <f>($B$1+Table4[[#This Row],[Home Differential]])-Table4[[#This Row],[Away Differential]]</f>
        <v>-0.51550183019926388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0.51809159569999996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-0.45522284197080148</v>
      </c>
      <c r="H650" t="s">
        <v>34</v>
      </c>
      <c r="I650">
        <f>VLOOKUP(Table4[[#This Row],[Visitor]],'NHL Model'!$A$6:$B$38,2,FALSE)</f>
        <v>-0.26693531126155262</v>
      </c>
      <c r="J650">
        <f>($B$1+Table4[[#This Row],[Home Differential]])-Table4[[#This Row],[Away Differential]]</f>
        <v>-8.1905597940505726E-2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0.51286195338599916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-0.1651785584335338</v>
      </c>
      <c r="H651" t="s">
        <v>55</v>
      </c>
      <c r="I651">
        <f>VLOOKUP(Table4[[#This Row],[Visitor]],'NHL Model'!$A$6:$B$38,2,FALSE)</f>
        <v>-0.34901281259242245</v>
      </c>
      <c r="J651">
        <f>($B$1+Table4[[#This Row],[Home Differential]])-Table4[[#This Row],[Away Differential]]</f>
        <v>0.29021618692763174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0.69843571182497111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-0.22618911823839277</v>
      </c>
      <c r="H652" t="s">
        <v>19</v>
      </c>
      <c r="I652">
        <f>VLOOKUP(Table4[[#This Row],[Visitor]],'NHL Model'!$A$6:$B$38,2,FALSE)</f>
        <v>-1.0208691773880865</v>
      </c>
      <c r="J652">
        <f>($B$1+Table4[[#This Row],[Home Differential]])-Table4[[#This Row],[Away Differential]]</f>
        <v>0.90106199191843683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0.65385598443048909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-0.40987688593271943</v>
      </c>
      <c r="H653" t="s">
        <v>40</v>
      </c>
      <c r="I653">
        <f>VLOOKUP(Table4[[#This Row],[Visitor]],'NHL Model'!$A$6:$B$38,2,FALSE)</f>
        <v>-0.2381776794561975</v>
      </c>
      <c r="J653">
        <f>($B$1+Table4[[#This Row],[Home Differential]])-Table4[[#This Row],[Away Differential]]</f>
        <v>-6.5317273707778845E-2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0.50825333058659083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-0.66146476561443079</v>
      </c>
      <c r="H654" t="s">
        <v>37</v>
      </c>
      <c r="I654">
        <f>VLOOKUP(Table4[[#This Row],[Visitor]],'NHL Model'!$A$6:$B$38,2,FALSE)</f>
        <v>0.17240077100158954</v>
      </c>
      <c r="J654">
        <f>($B$1+Table4[[#This Row],[Home Differential]])-Table4[[#This Row],[Away Differential]]</f>
        <v>-0.72748360384727728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0.618238834298517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-1.6690304721962474</v>
      </c>
      <c r="H655" t="s">
        <v>18</v>
      </c>
      <c r="I655">
        <f>VLOOKUP(Table4[[#This Row],[Visitor]],'NHL Model'!$A$6:$B$38,2,FALSE)</f>
        <v>-0.79206768185043297</v>
      </c>
      <c r="J655">
        <f>($B$1+Table4[[#This Row],[Home Differential]])-Table4[[#This Row],[Away Differential]]</f>
        <v>-0.77058085757707129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0.62368449763096889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-1.1323142195605178</v>
      </c>
      <c r="H656" t="s">
        <v>21</v>
      </c>
      <c r="I656">
        <f>VLOOKUP(Table4[[#This Row],[Visitor]],'NHL Model'!$A$6:$B$38,2,FALSE)</f>
        <v>-0.19106480716289626</v>
      </c>
      <c r="J656">
        <f>($B$1+Table4[[#This Row],[Home Differential]])-Table4[[#This Row],[Away Differential]]</f>
        <v>-0.83486747962887842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0.56632130121472968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0.12620994778252301</v>
      </c>
      <c r="H657" t="s">
        <v>10</v>
      </c>
      <c r="I657">
        <f>VLOOKUP(Table4[[#This Row],[Visitor]],'NHL Model'!$A$6:$B$38,2,FALSE)</f>
        <v>-0.32256919101930787</v>
      </c>
      <c r="J657">
        <f>($B$1+Table4[[#This Row],[Home Differential]])-Table4[[#This Row],[Away Differential]]</f>
        <v>0.55516107157057393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0.62416541257736735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-0.89619124881012313</v>
      </c>
      <c r="H658" t="s">
        <v>14</v>
      </c>
      <c r="I658">
        <f>VLOOKUP(Table4[[#This Row],[Visitor]],'NHL Model'!$A$6:$B$38,2,FALSE)</f>
        <v>-0.26282059799749452</v>
      </c>
      <c r="J658">
        <f>($B$1+Table4[[#This Row],[Home Differential]])-Table4[[#This Row],[Away Differential]]</f>
        <v>-0.52698871804388547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0.52658900254898244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-0.32256919101930787</v>
      </c>
      <c r="H659" t="s">
        <v>20</v>
      </c>
      <c r="I659">
        <f>VLOOKUP(Table4[[#This Row],[Visitor]],'NHL Model'!$A$6:$B$38,2,FALSE)</f>
        <v>-0.26509018427102904</v>
      </c>
      <c r="J659">
        <f>($B$1+Table4[[#This Row],[Home Differential]])-Table4[[#This Row],[Away Differential]]</f>
        <v>4.8902926020464282E-2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0.54617925385104404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8.2462575231143323E-2</v>
      </c>
      <c r="H660" t="s">
        <v>18</v>
      </c>
      <c r="I660">
        <f>VLOOKUP(Table4[[#This Row],[Visitor]],'NHL Model'!$A$6:$B$38,2,FALSE)</f>
        <v>-0.79206768185043297</v>
      </c>
      <c r="J660">
        <f>($B$1+Table4[[#This Row],[Home Differential]])-Table4[[#This Row],[Away Differential]]</f>
        <v>0.98091218985031947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0.60013613588642334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-0.4374979224090173</v>
      </c>
      <c r="H661" t="s">
        <v>12</v>
      </c>
      <c r="I661">
        <f>VLOOKUP(Table4[[#This Row],[Visitor]],'NHL Model'!$A$6:$B$38,2,FALSE)</f>
        <v>1.4740146843006017</v>
      </c>
      <c r="J661">
        <f>($B$1+Table4[[#This Row],[Home Differential]])-Table4[[#This Row],[Away Differential]]</f>
        <v>-1.8051306739408759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0.74809188685190309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-0.1651785584335338</v>
      </c>
      <c r="H662" t="s">
        <v>25</v>
      </c>
      <c r="I662">
        <f>VLOOKUP(Table4[[#This Row],[Visitor]],'NHL Model'!$A$6:$B$38,2,FALSE)</f>
        <v>0.15503279744029827</v>
      </c>
      <c r="J662">
        <f>($B$1+Table4[[#This Row],[Home Differential]])-Table4[[#This Row],[Away Differential]]</f>
        <v>-0.21382942310508896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0.43311033227931045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-1.3446131114659174</v>
      </c>
      <c r="H663" t="s">
        <v>32</v>
      </c>
      <c r="I663">
        <f>VLOOKUP(Table4[[#This Row],[Visitor]],'NHL Model'!$A$6:$B$38,2,FALSE)</f>
        <v>-0.63099640390293943</v>
      </c>
      <c r="J663">
        <f>($B$1+Table4[[#This Row],[Home Differential]])-Table4[[#This Row],[Away Differential]]</f>
        <v>-0.60723477479423482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0.53672869756433161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-0.45522284197080148</v>
      </c>
      <c r="H664" t="s">
        <v>34</v>
      </c>
      <c r="I664">
        <f>VLOOKUP(Table4[[#This Row],[Visitor]],'NHL Model'!$A$6:$B$38,2,FALSE)</f>
        <v>-0.26693531126155262</v>
      </c>
      <c r="J664">
        <f>($B$1+Table4[[#This Row],[Home Differential]])-Table4[[#This Row],[Away Differential]]</f>
        <v>-8.1905597940505726E-2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0.51286195338599916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-0.54922296726434805</v>
      </c>
      <c r="H665" t="s">
        <v>55</v>
      </c>
      <c r="I665">
        <f>VLOOKUP(Table4[[#This Row],[Visitor]],'NHL Model'!$A$6:$B$38,2,FALSE)</f>
        <v>-0.34901281259242245</v>
      </c>
      <c r="J665">
        <f>($B$1+Table4[[#This Row],[Home Differential]])-Table4[[#This Row],[Away Differential]]</f>
        <v>-9.3828221903182518E-2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0.47185590410866673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-0.40987688593271943</v>
      </c>
      <c r="H666" t="s">
        <v>26</v>
      </c>
      <c r="I666">
        <f>VLOOKUP(Table4[[#This Row],[Visitor]],'NHL Model'!$A$6:$B$38,2,FALSE)</f>
        <v>-0.98948521352045793</v>
      </c>
      <c r="J666">
        <f>($B$1+Table4[[#This Row],[Home Differential]])-Table4[[#This Row],[Away Differential]]</f>
        <v>0.68599026035648158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0.60841917809312906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0.12620994778252301</v>
      </c>
      <c r="H667" t="s">
        <v>31</v>
      </c>
      <c r="I667">
        <f>VLOOKUP(Table4[[#This Row],[Visitor]],'NHL Model'!$A$6:$B$38,2,FALSE)</f>
        <v>9.6060347736414392E-2</v>
      </c>
      <c r="J667">
        <f>($B$1+Table4[[#This Row],[Home Differential]])-Table4[[#This Row],[Away Differential]]</f>
        <v>0.13653153281485172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0.55058512312566721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-0.69947324663859312</v>
      </c>
      <c r="H668" t="s">
        <v>38</v>
      </c>
      <c r="I668">
        <f>VLOOKUP(Table4[[#This Row],[Visitor]],'NHL Model'!$A$6:$B$38,2,FALSE)</f>
        <v>-1.1323142195605178</v>
      </c>
      <c r="J668">
        <f>($B$1+Table4[[#This Row],[Home Differential]])-Table4[[#This Row],[Away Differential]]</f>
        <v>0.53922290569066778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0.58298636965758965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0.15503279744029827</v>
      </c>
      <c r="H669" t="s">
        <v>39</v>
      </c>
      <c r="I669">
        <f>VLOOKUP(Table4[[#This Row],[Visitor]],'NHL Model'!$A$6:$B$38,2,FALSE)</f>
        <v>8.2462575231143323E-2</v>
      </c>
      <c r="J669">
        <f>($B$1+Table4[[#This Row],[Home Differential]])-Table4[[#This Row],[Away Differential]]</f>
        <v>0.17895215497789807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0.48689766990442418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-1.1555135170505442</v>
      </c>
      <c r="H670" t="s">
        <v>29</v>
      </c>
      <c r="I670">
        <f>VLOOKUP(Table4[[#This Row],[Visitor]],'NHL Model'!$A$6:$B$38,2,FALSE)</f>
        <v>-1.5752718195161908</v>
      </c>
      <c r="J670">
        <f>($B$1+Table4[[#This Row],[Home Differential]])-Table4[[#This Row],[Away Differential]]</f>
        <v>0.5261402352343898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0.61352774220110629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-0.22618911823839277</v>
      </c>
      <c r="H671" t="s">
        <v>24</v>
      </c>
      <c r="I671">
        <f>VLOOKUP(Table4[[#This Row],[Visitor]],'NHL Model'!$A$6:$B$38,2,FALSE)</f>
        <v>-0.1651785584335338</v>
      </c>
      <c r="J671">
        <f>($B$1+Table4[[#This Row],[Home Differential]])-Table4[[#This Row],[Away Differential]]</f>
        <v>4.5371372963884132E-2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0.54490352237652551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-0.5336297540825371</v>
      </c>
      <c r="H672" t="s">
        <v>31</v>
      </c>
      <c r="I672">
        <f>VLOOKUP(Table4[[#This Row],[Visitor]],'NHL Model'!$A$6:$B$38,2,FALSE)</f>
        <v>9.6060347736414392E-2</v>
      </c>
      <c r="J672">
        <f>($B$1+Table4[[#This Row],[Home Differential]])-Table4[[#This Row],[Away Differential]]</f>
        <v>-0.52330816905020838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0.514399799469625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-0.63099640390293943</v>
      </c>
      <c r="H673" t="s">
        <v>21</v>
      </c>
      <c r="I673">
        <f>VLOOKUP(Table4[[#This Row],[Visitor]],'NHL Model'!$A$6:$B$38,2,FALSE)</f>
        <v>-0.19106480716289626</v>
      </c>
      <c r="J673">
        <f>($B$1+Table4[[#This Row],[Home Differential]])-Table4[[#This Row],[Away Differential]]</f>
        <v>-0.33354966397130009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0.50047985120726535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-0.66146476561443079</v>
      </c>
      <c r="H674" t="s">
        <v>28</v>
      </c>
      <c r="I674">
        <f>VLOOKUP(Table4[[#This Row],[Visitor]],'NHL Model'!$A$6:$B$38,2,FALSE)</f>
        <v>-0.89619124881012313</v>
      </c>
      <c r="J674">
        <f>($B$1+Table4[[#This Row],[Home Differential]])-Table4[[#This Row],[Away Differential]]</f>
        <v>0.34110841596443542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0.58310162324621839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0.17240077100158954</v>
      </c>
      <c r="H675" t="s">
        <v>12</v>
      </c>
      <c r="I675">
        <f>VLOOKUP(Table4[[#This Row],[Visitor]],'NHL Model'!$A$6:$B$38,2,FALSE)</f>
        <v>1.4740146843006017</v>
      </c>
      <c r="J675">
        <f>($B$1+Table4[[#This Row],[Home Differential]])-Table4[[#This Row],[Away Differential]]</f>
        <v>-1.1952319805302691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0.67102658306155161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-1.0208691773880865</v>
      </c>
      <c r="H676" t="s">
        <v>11</v>
      </c>
      <c r="I676">
        <f>VLOOKUP(Table4[[#This Row],[Visitor]],'NHL Model'!$A$6:$B$38,2,FALSE)</f>
        <v>-0.4374979224090173</v>
      </c>
      <c r="J676">
        <f>($B$1+Table4[[#This Row],[Home Differential]])-Table4[[#This Row],[Away Differential]]</f>
        <v>-0.47698932221032608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0.52027120146024797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-0.2381776794561975</v>
      </c>
      <c r="H677" t="s">
        <v>20</v>
      </c>
      <c r="I677">
        <f>VLOOKUP(Table4[[#This Row],[Visitor]],'NHL Model'!$A$6:$B$38,2,FALSE)</f>
        <v>-0.26509018427102904</v>
      </c>
      <c r="J677">
        <f>($B$1+Table4[[#This Row],[Home Differential]])-Table4[[#This Row],[Away Differential]]</f>
        <v>0.13329443758357465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0.55933823757868273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-0.32256919101930787</v>
      </c>
      <c r="H678" t="s">
        <v>35</v>
      </c>
      <c r="I678">
        <f>VLOOKUP(Table4[[#This Row],[Visitor]],'NHL Model'!$A$6:$B$38,2,FALSE)</f>
        <v>-1.6690304721962474</v>
      </c>
      <c r="J678">
        <f>($B$1+Table4[[#This Row],[Home Differential]])-Table4[[#This Row],[Away Differential]]</f>
        <v>1.4528432139456826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0.72357770700632829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-0.45522284197080148</v>
      </c>
      <c r="H679" t="s">
        <v>33</v>
      </c>
      <c r="I679">
        <f>VLOOKUP(Table4[[#This Row],[Visitor]],'NHL Model'!$A$6:$B$38,2,FALSE)</f>
        <v>-0.66146476561443079</v>
      </c>
      <c r="J679">
        <f>($B$1+Table4[[#This Row],[Home Differential]])-Table4[[#This Row],[Away Differential]]</f>
        <v>0.31262385641237245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0.5795023841284257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-0.79206768185043297</v>
      </c>
      <c r="H680" t="s">
        <v>16</v>
      </c>
      <c r="I680">
        <f>VLOOKUP(Table4[[#This Row],[Visitor]],'NHL Model'!$A$6:$B$38,2,FALSE)</f>
        <v>-1.3446131114659174</v>
      </c>
      <c r="J680">
        <f>($B$1+Table4[[#This Row],[Home Differential]])-Table4[[#This Row],[Away Differential]]</f>
        <v>0.65892736238422756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0.62326044621270948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-0.34901281259242245</v>
      </c>
      <c r="H681" t="s">
        <v>36</v>
      </c>
      <c r="I681">
        <f>VLOOKUP(Table4[[#This Row],[Visitor]],'NHL Model'!$A$6:$B$38,2,FALSE)</f>
        <v>-0.40987688593271943</v>
      </c>
      <c r="J681">
        <f>($B$1+Table4[[#This Row],[Home Differential]])-Table4[[#This Row],[Away Differential]]</f>
        <v>0.16724600610904009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0.58113279534415874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0.12620994778252301</v>
      </c>
      <c r="H682" t="s">
        <v>39</v>
      </c>
      <c r="I682">
        <f>VLOOKUP(Table4[[#This Row],[Visitor]],'NHL Model'!$A$6:$B$38,2,FALSE)</f>
        <v>8.2462575231143323E-2</v>
      </c>
      <c r="J682">
        <f>($B$1+Table4[[#This Row],[Home Differential]])-Table4[[#This Row],[Away Differential]]</f>
        <v>0.15012930532012281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0.47114388403592389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-0.19106480716289626</v>
      </c>
      <c r="H683" t="s">
        <v>16</v>
      </c>
      <c r="I683">
        <f>VLOOKUP(Table4[[#This Row],[Visitor]],'NHL Model'!$A$6:$B$38,2,FALSE)</f>
        <v>-1.3446131114659174</v>
      </c>
      <c r="J683">
        <f>($B$1+Table4[[#This Row],[Home Differential]])-Table4[[#This Row],[Away Differential]]</f>
        <v>1.2599302370717642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0.7509176724878337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0.15503279744029827</v>
      </c>
      <c r="H684" t="s">
        <v>31</v>
      </c>
      <c r="I684">
        <f>VLOOKUP(Table4[[#This Row],[Visitor]],'NHL Model'!$A$6:$B$38,2,FALSE)</f>
        <v>9.6060347736414392E-2</v>
      </c>
      <c r="J684">
        <f>($B$1+Table4[[#This Row],[Home Differential]])-Table4[[#This Row],[Away Differential]]</f>
        <v>0.16535438247262699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0.5663483198731436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1.4740146843006017</v>
      </c>
      <c r="H685" t="s">
        <v>36</v>
      </c>
      <c r="I685">
        <f>VLOOKUP(Table4[[#This Row],[Visitor]],'NHL Model'!$A$6:$B$38,2,FALSE)</f>
        <v>-0.40987688593271943</v>
      </c>
      <c r="J685">
        <f>($B$1+Table4[[#This Row],[Home Differential]])-Table4[[#This Row],[Away Differential]]</f>
        <v>1.9902735030020642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0.87217573604433873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-0.98948521352045793</v>
      </c>
      <c r="H686" t="s">
        <v>38</v>
      </c>
      <c r="I686">
        <f>VLOOKUP(Table4[[#This Row],[Visitor]],'NHL Model'!$A$6:$B$38,2,FALSE)</f>
        <v>-1.1323142195605178</v>
      </c>
      <c r="J686">
        <f>($B$1+Table4[[#This Row],[Home Differential]])-Table4[[#This Row],[Away Differential]]</f>
        <v>0.24921093880880296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0.54634116845932856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-0.79206768185043297</v>
      </c>
      <c r="H687" t="s">
        <v>11</v>
      </c>
      <c r="I687">
        <f>VLOOKUP(Table4[[#This Row],[Visitor]],'NHL Model'!$A$6:$B$38,2,FALSE)</f>
        <v>-0.4374979224090173</v>
      </c>
      <c r="J687">
        <f>($B$1+Table4[[#This Row],[Home Differential]])-Table4[[#This Row],[Away Differential]]</f>
        <v>-0.24818782667267258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0.4913604053693551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-1.5752718195161908</v>
      </c>
      <c r="H688" t="s">
        <v>30</v>
      </c>
      <c r="I688">
        <f>VLOOKUP(Table4[[#This Row],[Visitor]],'NHL Model'!$A$6:$B$38,2,FALSE)</f>
        <v>-0.22618911823839277</v>
      </c>
      <c r="J688">
        <f>($B$1+Table4[[#This Row],[Home Differential]])-Table4[[#This Row],[Away Differential]]</f>
        <v>-1.2427007685090548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0.68964779185315916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-0.54922296726434805</v>
      </c>
      <c r="H689" t="s">
        <v>23</v>
      </c>
      <c r="I689">
        <f>VLOOKUP(Table4[[#This Row],[Visitor]],'NHL Model'!$A$6:$B$38,2,FALSE)</f>
        <v>-0.69947324663859312</v>
      </c>
      <c r="J689">
        <f>($B$1+Table4[[#This Row],[Home Differential]])-Table4[[#This Row],[Away Differential]]</f>
        <v>0.25663221214298815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0.57242741721677115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-0.5336297540825371</v>
      </c>
      <c r="H690" t="s">
        <v>19</v>
      </c>
      <c r="I690">
        <f>VLOOKUP(Table4[[#This Row],[Visitor]],'NHL Model'!$A$6:$B$38,2,FALSE)</f>
        <v>-1.0208691773880865</v>
      </c>
      <c r="J690">
        <f>($B$1+Table4[[#This Row],[Home Differential]])-Table4[[#This Row],[Away Differential]]</f>
        <v>0.59362135607429245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0.64725460515518685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-0.26282059799749452</v>
      </c>
      <c r="H691" t="s">
        <v>24</v>
      </c>
      <c r="I691">
        <f>VLOOKUP(Table4[[#This Row],[Visitor]],'NHL Model'!$A$6:$B$38,2,FALSE)</f>
        <v>-0.1651785584335338</v>
      </c>
      <c r="J691">
        <f>($B$1+Table4[[#This Row],[Home Differential]])-Table4[[#This Row],[Away Differential]]</f>
        <v>8.7398932047823841E-3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0.54277101814700068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-0.63099640390293943</v>
      </c>
      <c r="H692" t="s">
        <v>34</v>
      </c>
      <c r="I692">
        <f>VLOOKUP(Table4[[#This Row],[Visitor]],'NHL Model'!$A$6:$B$38,2,FALSE)</f>
        <v>-0.26693531126155262</v>
      </c>
      <c r="J692">
        <f>($B$1+Table4[[#This Row],[Home Differential]])-Table4[[#This Row],[Away Differential]]</f>
        <v>-0.25767915987264373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0.53255970696539701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-0.26509018427102904</v>
      </c>
      <c r="H693" t="s">
        <v>28</v>
      </c>
      <c r="I693">
        <f>VLOOKUP(Table4[[#This Row],[Visitor]],'NHL Model'!$A$6:$B$38,2,FALSE)</f>
        <v>-0.89619124881012313</v>
      </c>
      <c r="J693">
        <f>($B$1+Table4[[#This Row],[Home Differential]])-Table4[[#This Row],[Away Differential]]</f>
        <v>0.73748299730783717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0.63318654366994109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-0.2381776794561975</v>
      </c>
      <c r="H694" t="s">
        <v>17</v>
      </c>
      <c r="I694">
        <f>VLOOKUP(Table4[[#This Row],[Visitor]],'NHL Model'!$A$6:$B$38,2,FALSE)</f>
        <v>-1.1555135170505442</v>
      </c>
      <c r="J694">
        <f>($B$1+Table4[[#This Row],[Home Differential]])-Table4[[#This Row],[Away Differential]]</f>
        <v>1.0237177703630898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0.6718499471200452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-0.32256919101930787</v>
      </c>
      <c r="H695" t="s">
        <v>22</v>
      </c>
      <c r="I695">
        <f>VLOOKUP(Table4[[#This Row],[Visitor]],'NHL Model'!$A$6:$B$38,2,FALSE)</f>
        <v>0.12620994778252301</v>
      </c>
      <c r="J695">
        <f>($B$1+Table4[[#This Row],[Home Differential]])-Table4[[#This Row],[Away Differential]]</f>
        <v>-0.34239720603308776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0.52403370236917701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-0.34901281259242245</v>
      </c>
      <c r="H696" t="s">
        <v>35</v>
      </c>
      <c r="I696">
        <f>VLOOKUP(Table4[[#This Row],[Visitor]],'NHL Model'!$A$6:$B$38,2,FALSE)</f>
        <v>-1.6690304721962474</v>
      </c>
      <c r="J696">
        <f>($B$1+Table4[[#This Row],[Home Differential]])-Table4[[#This Row],[Away Differential]]</f>
        <v>1.4263995923725681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0.76066753325449166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-0.2381776794561975</v>
      </c>
      <c r="H697" t="s">
        <v>13</v>
      </c>
      <c r="I697">
        <f>VLOOKUP(Table4[[#This Row],[Visitor]],'NHL Model'!$A$6:$B$38,2,FALSE)</f>
        <v>-0.45522284197080148</v>
      </c>
      <c r="J697">
        <f>($B$1+Table4[[#This Row],[Home Differential]])-Table4[[#This Row],[Away Differential]]</f>
        <v>0.32342709528334712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0.49988384835166583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-0.19106480716289626</v>
      </c>
      <c r="H698" t="s">
        <v>15</v>
      </c>
      <c r="I698">
        <f>VLOOKUP(Table4[[#This Row],[Visitor]],'NHL Model'!$A$6:$B$38,2,FALSE)</f>
        <v>-0.54922296726434805</v>
      </c>
      <c r="J698">
        <f>($B$1+Table4[[#This Row],[Home Differential]])-Table4[[#This Row],[Away Differential]]</f>
        <v>0.46454009287019493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0.5586981473589383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-0.69947324663859312</v>
      </c>
      <c r="H699" t="s">
        <v>31</v>
      </c>
      <c r="I699">
        <f>VLOOKUP(Table4[[#This Row],[Visitor]],'NHL Model'!$A$6:$B$38,2,FALSE)</f>
        <v>9.6060347736414392E-2</v>
      </c>
      <c r="J699">
        <f>($B$1+Table4[[#This Row],[Home Differential]])-Table4[[#This Row],[Away Differential]]</f>
        <v>-0.6891516616062644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0.55374618123705921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0.15503279744029827</v>
      </c>
      <c r="H700" t="s">
        <v>32</v>
      </c>
      <c r="I700">
        <f>VLOOKUP(Table4[[#This Row],[Visitor]],'NHL Model'!$A$6:$B$38,2,FALSE)</f>
        <v>-0.63099640390293943</v>
      </c>
      <c r="J700">
        <f>($B$1+Table4[[#This Row],[Home Differential]])-Table4[[#This Row],[Away Differential]]</f>
        <v>0.89241113411198081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0.67880061909388223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1.4740146843006017</v>
      </c>
      <c r="H701" t="s">
        <v>28</v>
      </c>
      <c r="I701">
        <f>VLOOKUP(Table4[[#This Row],[Visitor]],'NHL Model'!$A$6:$B$38,2,FALSE)</f>
        <v>-0.89619124881012313</v>
      </c>
      <c r="J701">
        <f>($B$1+Table4[[#This Row],[Home Differential]])-Table4[[#This Row],[Away Differential]]</f>
        <v>2.476587865879468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0.9530493696199438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-1.1555135170505442</v>
      </c>
      <c r="H702" t="s">
        <v>13</v>
      </c>
      <c r="I702">
        <f>VLOOKUP(Table4[[#This Row],[Visitor]],'NHL Model'!$A$6:$B$38,2,FALSE)</f>
        <v>-0.45522284197080148</v>
      </c>
      <c r="J702">
        <f>($B$1+Table4[[#This Row],[Home Differential]])-Table4[[#This Row],[Away Differential]]</f>
        <v>-0.59390874231099944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0.61146869382686186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-0.26693531126155262</v>
      </c>
      <c r="H703" t="s">
        <v>30</v>
      </c>
      <c r="I703">
        <f>VLOOKUP(Table4[[#This Row],[Visitor]],'NHL Model'!$A$6:$B$38,2,FALSE)</f>
        <v>-0.22618911823839277</v>
      </c>
      <c r="J703">
        <f>($B$1+Table4[[#This Row],[Home Differential]])-Table4[[#This Row],[Away Differential]]</f>
        <v>6.563573974558326E-2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0.47567040206658218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-0.79206768185043297</v>
      </c>
      <c r="H704" t="s">
        <v>26</v>
      </c>
      <c r="I704">
        <f>VLOOKUP(Table4[[#This Row],[Visitor]],'NHL Model'!$A$6:$B$38,2,FALSE)</f>
        <v>-0.98948521352045793</v>
      </c>
      <c r="J704">
        <f>($B$1+Table4[[#This Row],[Home Differential]])-Table4[[#This Row],[Away Differential]]</f>
        <v>0.30379946443876804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0.55761812482157336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-1.5752718195161908</v>
      </c>
      <c r="H705" t="s">
        <v>10</v>
      </c>
      <c r="I705">
        <f>VLOOKUP(Table4[[#This Row],[Visitor]],'NHL Model'!$A$6:$B$38,2,FALSE)</f>
        <v>-0.32256919101930787</v>
      </c>
      <c r="J705">
        <f>($B$1+Table4[[#This Row],[Home Differential]])-Table4[[#This Row],[Away Differential]]</f>
        <v>-1.1463206957281398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0.60484627301534721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-0.40987688593271943</v>
      </c>
      <c r="H706" t="s">
        <v>11</v>
      </c>
      <c r="I706">
        <f>VLOOKUP(Table4[[#This Row],[Visitor]],'NHL Model'!$A$6:$B$38,2,FALSE)</f>
        <v>-0.4374979224090173</v>
      </c>
      <c r="J706">
        <f>($B$1+Table4[[#This Row],[Home Differential]])-Table4[[#This Row],[Away Differential]]</f>
        <v>0.13400296924504096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0.55942776590252719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-0.5336297540825371</v>
      </c>
      <c r="H707" t="s">
        <v>37</v>
      </c>
      <c r="I707">
        <f>VLOOKUP(Table4[[#This Row],[Visitor]],'NHL Model'!$A$6:$B$38,2,FALSE)</f>
        <v>0.17240077100158954</v>
      </c>
      <c r="J707">
        <f>($B$1+Table4[[#This Row],[Home Differential]])-Table4[[#This Row],[Away Differential]]</f>
        <v>-0.59964859231538359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0.56944101221906274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-0.26282059799749452</v>
      </c>
      <c r="H708" t="s">
        <v>16</v>
      </c>
      <c r="I708">
        <f>VLOOKUP(Table4[[#This Row],[Visitor]],'NHL Model'!$A$6:$B$38,2,FALSE)</f>
        <v>-1.3446131114659174</v>
      </c>
      <c r="J708">
        <f>($B$1+Table4[[#This Row],[Home Differential]])-Table4[[#This Row],[Away Differential]]</f>
        <v>1.1881744462371659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0.69263028953349337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-0.66146476561443079</v>
      </c>
      <c r="H709" t="s">
        <v>39</v>
      </c>
      <c r="I709">
        <f>VLOOKUP(Table4[[#This Row],[Visitor]],'NHL Model'!$A$6:$B$38,2,FALSE)</f>
        <v>8.2462575231143323E-2</v>
      </c>
      <c r="J709">
        <f>($B$1+Table4[[#This Row],[Home Differential]])-Table4[[#This Row],[Away Differential]]</f>
        <v>-0.63754540807683102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0.64235642769125589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-1.0208691773880865</v>
      </c>
      <c r="H710" t="s">
        <v>38</v>
      </c>
      <c r="I710">
        <f>VLOOKUP(Table4[[#This Row],[Visitor]],'NHL Model'!$A$6:$B$38,2,FALSE)</f>
        <v>-1.1323142195605178</v>
      </c>
      <c r="J710">
        <f>($B$1+Table4[[#This Row],[Home Differential]])-Table4[[#This Row],[Away Differential]]</f>
        <v>0.21782697494117442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0.52823734933309097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-0.26509018427102904</v>
      </c>
      <c r="H711" t="s">
        <v>35</v>
      </c>
      <c r="I711">
        <f>VLOOKUP(Table4[[#This Row],[Visitor]],'NHL Model'!$A$6:$B$38,2,FALSE)</f>
        <v>-1.6690304721962474</v>
      </c>
      <c r="J711">
        <f>($B$1+Table4[[#This Row],[Home Differential]])-Table4[[#This Row],[Away Differential]]</f>
        <v>1.5103222206939615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0.73084061339468742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-0.19106480716289626</v>
      </c>
      <c r="H712" t="s">
        <v>14</v>
      </c>
      <c r="I712">
        <f>VLOOKUP(Table4[[#This Row],[Visitor]],'NHL Model'!$A$6:$B$38,2,FALSE)</f>
        <v>-0.26282059799749452</v>
      </c>
      <c r="J712">
        <f>($B$1+Table4[[#This Row],[Home Differential]])-Table4[[#This Row],[Away Differential]]</f>
        <v>0.17813772360334137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0.6142250223980833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-1.5752718195161908</v>
      </c>
      <c r="H713" t="s">
        <v>22</v>
      </c>
      <c r="I713">
        <f>VLOOKUP(Table4[[#This Row],[Visitor]],'NHL Model'!$A$6:$B$38,2,FALSE)</f>
        <v>0.12620994778252301</v>
      </c>
      <c r="J713">
        <f>($B$1+Table4[[#This Row],[Home Differential]])-Table4[[#This Row],[Away Differential]]</f>
        <v>-1.5950998345299705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0.68232213562392718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-0.66146476561443079</v>
      </c>
      <c r="H714" t="s">
        <v>20</v>
      </c>
      <c r="I714">
        <f>VLOOKUP(Table4[[#This Row],[Visitor]],'NHL Model'!$A$6:$B$38,2,FALSE)</f>
        <v>-0.26509018427102904</v>
      </c>
      <c r="J714">
        <f>($B$1+Table4[[#This Row],[Home Differential]])-Table4[[#This Row],[Away Differential]]</f>
        <v>-0.28999264857465867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0.49664276018431963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-0.34901281259242245</v>
      </c>
      <c r="H715" t="s">
        <v>28</v>
      </c>
      <c r="I715">
        <f>VLOOKUP(Table4[[#This Row],[Visitor]],'NHL Model'!$A$6:$B$38,2,FALSE)</f>
        <v>-0.89619124881012313</v>
      </c>
      <c r="J715">
        <f>($B$1+Table4[[#This Row],[Home Differential]])-Table4[[#This Row],[Away Differential]]</f>
        <v>0.65356036898644376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0.66301346352974533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-0.2381776794561975</v>
      </c>
      <c r="H716" t="s">
        <v>24</v>
      </c>
      <c r="I716">
        <f>VLOOKUP(Table4[[#This Row],[Visitor]],'NHL Model'!$A$6:$B$38,2,FALSE)</f>
        <v>-0.1651785584335338</v>
      </c>
      <c r="J716">
        <f>($B$1+Table4[[#This Row],[Home Differential]])-Table4[[#This Row],[Away Differential]]</f>
        <v>3.3382811746079405E-2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0.54588483692409284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-0.69947324663859312</v>
      </c>
      <c r="H717" t="s">
        <v>11</v>
      </c>
      <c r="I717">
        <f>VLOOKUP(Table4[[#This Row],[Visitor]],'NHL Model'!$A$6:$B$38,2,FALSE)</f>
        <v>-0.4374979224090173</v>
      </c>
      <c r="J717">
        <f>($B$1+Table4[[#This Row],[Home Differential]])-Table4[[#This Row],[Away Differential]]</f>
        <v>-0.15559339146083273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0.46564377902388004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-0.32256919101930787</v>
      </c>
      <c r="H718" t="s">
        <v>17</v>
      </c>
      <c r="I718">
        <f>VLOOKUP(Table4[[#This Row],[Visitor]],'NHL Model'!$A$6:$B$38,2,FALSE)</f>
        <v>-1.1555135170505442</v>
      </c>
      <c r="J718">
        <f>($B$1+Table4[[#This Row],[Home Differential]])-Table4[[#This Row],[Away Differential]]</f>
        <v>0.93932625879997944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0.6586909633924064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1.4740146843006017</v>
      </c>
      <c r="H719" t="s">
        <v>19</v>
      </c>
      <c r="I719">
        <f>VLOOKUP(Table4[[#This Row],[Visitor]],'NHL Model'!$A$6:$B$38,2,FALSE)</f>
        <v>-1.0208691773880865</v>
      </c>
      <c r="J719">
        <f>($B$1+Table4[[#This Row],[Home Differential]])-Table4[[#This Row],[Away Differential]]</f>
        <v>2.6012657944574311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0.96880336703889514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-0.98948521352045793</v>
      </c>
      <c r="H720" t="s">
        <v>25</v>
      </c>
      <c r="I720">
        <f>VLOOKUP(Table4[[#This Row],[Visitor]],'NHL Model'!$A$6:$B$38,2,FALSE)</f>
        <v>0.15503279744029827</v>
      </c>
      <c r="J720">
        <f>($B$1+Table4[[#This Row],[Home Differential]])-Table4[[#This Row],[Away Differential]]</f>
        <v>-1.038136078192013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0.64969484846636749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-0.45522284197080148</v>
      </c>
      <c r="H721" t="s">
        <v>39</v>
      </c>
      <c r="I721">
        <f>VLOOKUP(Table4[[#This Row],[Visitor]],'NHL Model'!$A$6:$B$38,2,FALSE)</f>
        <v>8.2462575231143323E-2</v>
      </c>
      <c r="J721">
        <f>($B$1+Table4[[#This Row],[Home Differential]])-Table4[[#This Row],[Away Differential]]</f>
        <v>-0.43130348443320166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0.61629620380223327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-0.26693531126155262</v>
      </c>
      <c r="H722" t="s">
        <v>24</v>
      </c>
      <c r="I722">
        <f>VLOOKUP(Table4[[#This Row],[Visitor]],'NHL Model'!$A$6:$B$38,2,FALSE)</f>
        <v>-0.1651785584335338</v>
      </c>
      <c r="J722">
        <f>($B$1+Table4[[#This Row],[Home Differential]])-Table4[[#This Row],[Away Differential]]</f>
        <v>4.6251799407242833E-3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0.53975493331156077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-0.79206768185043297</v>
      </c>
      <c r="H723" t="s">
        <v>38</v>
      </c>
      <c r="I723">
        <f>VLOOKUP(Table4[[#This Row],[Visitor]],'NHL Model'!$A$6:$B$38,2,FALSE)</f>
        <v>-1.1323142195605178</v>
      </c>
      <c r="J723">
        <f>($B$1+Table4[[#This Row],[Home Differential]])-Table4[[#This Row],[Away Differential]]</f>
        <v>0.44662847047882792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0.55714814542398383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-0.54922296726434805</v>
      </c>
      <c r="H724" t="s">
        <v>32</v>
      </c>
      <c r="I724">
        <f>VLOOKUP(Table4[[#This Row],[Visitor]],'NHL Model'!$A$6:$B$38,2,FALSE)</f>
        <v>-0.63099640390293943</v>
      </c>
      <c r="J724">
        <f>($B$1+Table4[[#This Row],[Home Differential]])-Table4[[#This Row],[Away Differential]]</f>
        <v>0.18815536940733446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0.56377485123320303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-0.5336297540825371</v>
      </c>
      <c r="H725" t="s">
        <v>37</v>
      </c>
      <c r="I725">
        <f>VLOOKUP(Table4[[#This Row],[Visitor]],'NHL Model'!$A$6:$B$38,2,FALSE)</f>
        <v>0.17240077100158954</v>
      </c>
      <c r="J725">
        <f>($B$1+Table4[[#This Row],[Home Differential]])-Table4[[#This Row],[Away Differential]]</f>
        <v>-0.59964859231538359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0.56944101221906274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9.6060347736414392E-2</v>
      </c>
      <c r="H726" t="s">
        <v>39</v>
      </c>
      <c r="I726">
        <f>VLOOKUP(Table4[[#This Row],[Visitor]],'NHL Model'!$A$6:$B$38,2,FALSE)</f>
        <v>8.2462575231143323E-2</v>
      </c>
      <c r="J726">
        <f>($B$1+Table4[[#This Row],[Home Differential]])-Table4[[#This Row],[Away Differential]]</f>
        <v>0.11997970527401418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0.52747561237547547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-0.19106480716289626</v>
      </c>
      <c r="H727" t="s">
        <v>26</v>
      </c>
      <c r="I727">
        <f>VLOOKUP(Table4[[#This Row],[Visitor]],'NHL Model'!$A$6:$B$38,2,FALSE)</f>
        <v>-0.98948521352045793</v>
      </c>
      <c r="J727">
        <f>($B$1+Table4[[#This Row],[Home Differential]])-Table4[[#This Row],[Away Differential]]</f>
        <v>0.90480233912630481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0.68575717696313898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-0.89619124881012313</v>
      </c>
      <c r="H728" t="s">
        <v>16</v>
      </c>
      <c r="I728">
        <f>VLOOKUP(Table4[[#This Row],[Visitor]],'NHL Model'!$A$6:$B$38,2,FALSE)</f>
        <v>-1.3446131114659174</v>
      </c>
      <c r="J728">
        <f>($B$1+Table4[[#This Row],[Home Differential]])-Table4[[#This Row],[Away Differential]]</f>
        <v>0.55480379542453739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0.61010364754076796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-1.5752718195161908</v>
      </c>
      <c r="H729" t="s">
        <v>17</v>
      </c>
      <c r="I729">
        <f>VLOOKUP(Table4[[#This Row],[Visitor]],'NHL Model'!$A$6:$B$38,2,FALSE)</f>
        <v>-1.1555135170505442</v>
      </c>
      <c r="J729">
        <f>($B$1+Table4[[#This Row],[Home Differential]])-Table4[[#This Row],[Away Differential]]</f>
        <v>-0.31337636969690341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0.49959746986234388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-0.40987688593271943</v>
      </c>
      <c r="H730" t="s">
        <v>38</v>
      </c>
      <c r="I730">
        <f>VLOOKUP(Table4[[#This Row],[Visitor]],'NHL Model'!$A$6:$B$38,2,FALSE)</f>
        <v>-1.1323142195605178</v>
      </c>
      <c r="J730">
        <f>($B$1+Table4[[#This Row],[Home Differential]])-Table4[[#This Row],[Away Differential]]</f>
        <v>0.82881926639654147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0.6079533771813701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-0.26282059799749452</v>
      </c>
      <c r="H731" t="s">
        <v>37</v>
      </c>
      <c r="I731">
        <f>VLOOKUP(Table4[[#This Row],[Visitor]],'NHL Model'!$A$6:$B$38,2,FALSE)</f>
        <v>0.17240077100158954</v>
      </c>
      <c r="J731">
        <f>($B$1+Table4[[#This Row],[Home Differential]])-Table4[[#This Row],[Away Differential]]</f>
        <v>-0.32883943623034095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0.56536086885278636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-1.6690304721962474</v>
      </c>
      <c r="H732" t="s">
        <v>25</v>
      </c>
      <c r="I732">
        <f>VLOOKUP(Table4[[#This Row],[Visitor]],'NHL Model'!$A$6:$B$38,2,FALSE)</f>
        <v>0.15503279744029827</v>
      </c>
      <c r="J732">
        <f>($B$1+Table4[[#This Row],[Home Differential]])-Table4[[#This Row],[Away Differential]]</f>
        <v>-1.7176813368678026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0.74966517210099193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-0.34901281259242245</v>
      </c>
      <c r="H733" t="s">
        <v>19</v>
      </c>
      <c r="I733">
        <f>VLOOKUP(Table4[[#This Row],[Visitor]],'NHL Model'!$A$6:$B$38,2,FALSE)</f>
        <v>-1.0208691773880865</v>
      </c>
      <c r="J733">
        <f>($B$1+Table4[[#This Row],[Home Differential]])-Table4[[#This Row],[Away Differential]]</f>
        <v>0.7782382975644071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0.67876746094869667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-0.2381776794561975</v>
      </c>
      <c r="H734" t="s">
        <v>30</v>
      </c>
      <c r="I734">
        <f>VLOOKUP(Table4[[#This Row],[Visitor]],'NHL Model'!$A$6:$B$38,2,FALSE)</f>
        <v>-0.22618911823839277</v>
      </c>
      <c r="J734">
        <f>($B$1+Table4[[#This Row],[Home Differential]])-Table4[[#This Row],[Away Differential]]</f>
        <v>9.4393371550938382E-2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0.4818068331050353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0.12620994778252301</v>
      </c>
      <c r="H735" t="s">
        <v>18</v>
      </c>
      <c r="I735">
        <f>VLOOKUP(Table4[[#This Row],[Visitor]],'NHL Model'!$A$6:$B$38,2,FALSE)</f>
        <v>-0.79206768185043297</v>
      </c>
      <c r="J735">
        <f>($B$1+Table4[[#This Row],[Home Differential]])-Table4[[#This Row],[Away Differential]]</f>
        <v>1.0246595624016992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0.6172783484977703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-0.69947324663859312</v>
      </c>
      <c r="H736" t="s">
        <v>27</v>
      </c>
      <c r="I736">
        <f>VLOOKUP(Table4[[#This Row],[Visitor]],'NHL Model'!$A$6:$B$38,2,FALSE)</f>
        <v>-0.5336297540825371</v>
      </c>
      <c r="J736">
        <f>($B$1+Table4[[#This Row],[Home Differential]])-Table4[[#This Row],[Away Differential]]</f>
        <v>-5.9461559787312934E-2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0.45349679643171514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-0.45522284197080148</v>
      </c>
      <c r="H737" t="s">
        <v>20</v>
      </c>
      <c r="I737">
        <f>VLOOKUP(Table4[[#This Row],[Visitor]],'NHL Model'!$A$6:$B$38,2,FALSE)</f>
        <v>-0.26509018427102904</v>
      </c>
      <c r="J737">
        <f>($B$1+Table4[[#This Row],[Home Differential]])-Table4[[#This Row],[Away Differential]]</f>
        <v>-8.3750724931029308E-2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0.470582536295297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-0.1651785584335338</v>
      </c>
      <c r="H738" t="s">
        <v>32</v>
      </c>
      <c r="I738">
        <f>VLOOKUP(Table4[[#This Row],[Visitor]],'NHL Model'!$A$6:$B$38,2,FALSE)</f>
        <v>-0.63099640390293943</v>
      </c>
      <c r="J738">
        <f>($B$1+Table4[[#This Row],[Home Differential]])-Table4[[#This Row],[Away Differential]]</f>
        <v>0.57219977823814872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0.73406646716684076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-0.54922296726434805</v>
      </c>
      <c r="H739" t="s">
        <v>36</v>
      </c>
      <c r="I739">
        <f>VLOOKUP(Table4[[#This Row],[Visitor]],'NHL Model'!$A$6:$B$38,2,FALSE)</f>
        <v>-0.40987688593271943</v>
      </c>
      <c r="J739">
        <f>($B$1+Table4[[#This Row],[Home Differential]])-Table4[[#This Row],[Away Differential]]</f>
        <v>-3.2964148562885542E-2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0.48493449977314179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-0.19106480716289626</v>
      </c>
      <c r="H740" t="s">
        <v>32</v>
      </c>
      <c r="I740">
        <f>VLOOKUP(Table4[[#This Row],[Visitor]],'NHL Model'!$A$6:$B$38,2,FALSE)</f>
        <v>-0.63099640390293943</v>
      </c>
      <c r="J740">
        <f>($B$1+Table4[[#This Row],[Home Differential]])-Table4[[#This Row],[Away Differential]]</f>
        <v>0.54631352950878631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0.66074681468409902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-0.69947324663859312</v>
      </c>
      <c r="H741" t="s">
        <v>18</v>
      </c>
      <c r="I741">
        <f>VLOOKUP(Table4[[#This Row],[Visitor]],'NHL Model'!$A$6:$B$38,2,FALSE)</f>
        <v>-0.79206768185043297</v>
      </c>
      <c r="J741">
        <f>($B$1+Table4[[#This Row],[Home Differential]])-Table4[[#This Row],[Away Differential]]</f>
        <v>0.19897636798058294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0.51294704413504377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-0.89619124881012313</v>
      </c>
      <c r="H742" t="s">
        <v>38</v>
      </c>
      <c r="I742">
        <f>VLOOKUP(Table4[[#This Row],[Visitor]],'NHL Model'!$A$6:$B$38,2,FALSE)</f>
        <v>-1.1323142195605178</v>
      </c>
      <c r="J742">
        <f>($B$1+Table4[[#This Row],[Home Differential]])-Table4[[#This Row],[Away Differential]]</f>
        <v>0.34250490351913776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0.5439913467520423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-0.32256919101930787</v>
      </c>
      <c r="H743" t="s">
        <v>16</v>
      </c>
      <c r="I743">
        <f>VLOOKUP(Table4[[#This Row],[Visitor]],'NHL Model'!$A$6:$B$38,2,FALSE)</f>
        <v>-1.3446131114659174</v>
      </c>
      <c r="J743">
        <f>($B$1+Table4[[#This Row],[Home Differential]])-Table4[[#This Row],[Away Differential]]</f>
        <v>1.1284258532153526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0.68258512458294684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-1.1555135170505442</v>
      </c>
      <c r="H744" t="s">
        <v>30</v>
      </c>
      <c r="I744">
        <f>VLOOKUP(Table4[[#This Row],[Visitor]],'NHL Model'!$A$6:$B$38,2,FALSE)</f>
        <v>-0.22618911823839277</v>
      </c>
      <c r="J744">
        <f>($B$1+Table4[[#This Row],[Home Differential]])-Table4[[#This Row],[Away Differential]]</f>
        <v>-0.82294246604340815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0.62953243789903046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-0.26693531126155262</v>
      </c>
      <c r="H745" t="s">
        <v>40</v>
      </c>
      <c r="I745">
        <f>VLOOKUP(Table4[[#This Row],[Visitor]],'NHL Model'!$A$6:$B$38,2,FALSE)</f>
        <v>-0.2381776794561975</v>
      </c>
      <c r="J745">
        <f>($B$1+Table4[[#This Row],[Home Differential]])-Table4[[#This Row],[Away Differential]]</f>
        <v>7.7624300963387988E-2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0.50729585356702489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-0.26282059799749452</v>
      </c>
      <c r="H746" t="s">
        <v>27</v>
      </c>
      <c r="I746">
        <f>VLOOKUP(Table4[[#This Row],[Visitor]],'NHL Model'!$A$6:$B$38,2,FALSE)</f>
        <v>-0.5336297540825371</v>
      </c>
      <c r="J746">
        <f>($B$1+Table4[[#This Row],[Home Differential]])-Table4[[#This Row],[Away Differential]]</f>
        <v>0.37719108885378572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0.59015642054359374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-0.34901281259242245</v>
      </c>
      <c r="H747" t="s">
        <v>39</v>
      </c>
      <c r="I747">
        <f>VLOOKUP(Table4[[#This Row],[Visitor]],'NHL Model'!$A$6:$B$38,2,FALSE)</f>
        <v>8.2462575231143323E-2</v>
      </c>
      <c r="J747">
        <f>($B$1+Table4[[#This Row],[Home Differential]])-Table4[[#This Row],[Away Differential]]</f>
        <v>-0.32509345505482268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0.56213064362379028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-0.26509018427102904</v>
      </c>
      <c r="H748" t="s">
        <v>19</v>
      </c>
      <c r="I748">
        <f>VLOOKUP(Table4[[#This Row],[Visitor]],'NHL Model'!$A$6:$B$38,2,FALSE)</f>
        <v>-1.0208691773880865</v>
      </c>
      <c r="J748">
        <f>($B$1+Table4[[#This Row],[Home Differential]])-Table4[[#This Row],[Away Differential]]</f>
        <v>0.86216092588580051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0.64894054108889243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0.12620994778252301</v>
      </c>
      <c r="H749" t="s">
        <v>33</v>
      </c>
      <c r="I749">
        <f>VLOOKUP(Table4[[#This Row],[Visitor]],'NHL Model'!$A$6:$B$38,2,FALSE)</f>
        <v>-0.66146476561443079</v>
      </c>
      <c r="J749">
        <f>($B$1+Table4[[#This Row],[Home Differential]])-Table4[[#This Row],[Away Differential]]</f>
        <v>0.89405664616569691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0.66698742661273092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0.15503279744029827</v>
      </c>
      <c r="H750" t="s">
        <v>11</v>
      </c>
      <c r="I750">
        <f>VLOOKUP(Table4[[#This Row],[Visitor]],'NHL Model'!$A$6:$B$38,2,FALSE)</f>
        <v>-0.4374979224090173</v>
      </c>
      <c r="J750">
        <f>($B$1+Table4[[#This Row],[Home Differential]])-Table4[[#This Row],[Away Differential]]</f>
        <v>0.69891265261805868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0.65435062531555244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1.4740146843006017</v>
      </c>
      <c r="H751" t="s">
        <v>29</v>
      </c>
      <c r="I751">
        <f>VLOOKUP(Table4[[#This Row],[Visitor]],'NHL Model'!$A$6:$B$38,2,FALSE)</f>
        <v>-1.5752718195161908</v>
      </c>
      <c r="J751">
        <f>($B$1+Table4[[#This Row],[Home Differential]])-Table4[[#This Row],[Away Differential]]</f>
        <v>3.1556684365855356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-0.98948521352045793</v>
      </c>
      <c r="H752" t="s">
        <v>33</v>
      </c>
      <c r="I752">
        <f>VLOOKUP(Table4[[#This Row],[Visitor]],'NHL Model'!$A$6:$B$38,2,FALSE)</f>
        <v>-0.66146476561443079</v>
      </c>
      <c r="J752">
        <f>($B$1+Table4[[#This Row],[Home Differential]])-Table4[[#This Row],[Away Differential]]</f>
        <v>-0.22163851513728405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0.47398907894825687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-0.45522284197080148</v>
      </c>
      <c r="H753" t="s">
        <v>31</v>
      </c>
      <c r="I753">
        <f>VLOOKUP(Table4[[#This Row],[Visitor]],'NHL Model'!$A$6:$B$38,2,FALSE)</f>
        <v>9.6060347736414392E-2</v>
      </c>
      <c r="J753">
        <f>($B$1+Table4[[#This Row],[Home Differential]])-Table4[[#This Row],[Away Differential]]</f>
        <v>-0.44490125693847271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0.53698586296258699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-1.6690304721962474</v>
      </c>
      <c r="H754" t="s">
        <v>37</v>
      </c>
      <c r="I754">
        <f>VLOOKUP(Table4[[#This Row],[Visitor]],'NHL Model'!$A$6:$B$38,2,FALSE)</f>
        <v>0.17240077100158954</v>
      </c>
      <c r="J754">
        <f>($B$1+Table4[[#This Row],[Home Differential]])-Table4[[#This Row],[Away Differential]]</f>
        <v>-1.7350493104290938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0.74555236703007866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9.6060347736414392E-2</v>
      </c>
      <c r="H755" t="s">
        <v>13</v>
      </c>
      <c r="I755">
        <f>VLOOKUP(Table4[[#This Row],[Visitor]],'NHL Model'!$A$6:$B$38,2,FALSE)</f>
        <v>-0.45522284197080148</v>
      </c>
      <c r="J755">
        <f>($B$1+Table4[[#This Row],[Home Differential]])-Table4[[#This Row],[Away Differential]]</f>
        <v>0.65766512247595899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0.61390663987595384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-0.69947324663859312</v>
      </c>
      <c r="H756" t="s">
        <v>34</v>
      </c>
      <c r="I756">
        <f>VLOOKUP(Table4[[#This Row],[Visitor]],'NHL Model'!$A$6:$B$38,2,FALSE)</f>
        <v>-0.26693531126155262</v>
      </c>
      <c r="J756">
        <f>($B$1+Table4[[#This Row],[Home Differential]])-Table4[[#This Row],[Away Differential]]</f>
        <v>-0.32615600260829741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0.52958436597222092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-1.3446131114659174</v>
      </c>
      <c r="H757" t="s">
        <v>30</v>
      </c>
      <c r="I757">
        <f>VLOOKUP(Table4[[#This Row],[Visitor]],'NHL Model'!$A$6:$B$38,2,FALSE)</f>
        <v>-0.22618911823839277</v>
      </c>
      <c r="J757">
        <f>($B$1+Table4[[#This Row],[Home Differential]])-Table4[[#This Row],[Away Differential]]</f>
        <v>-1.0120420604587814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0.66050232294195255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-0.32256919101930787</v>
      </c>
      <c r="H758" t="s">
        <v>21</v>
      </c>
      <c r="I758">
        <f>VLOOKUP(Table4[[#This Row],[Visitor]],'NHL Model'!$A$6:$B$38,2,FALSE)</f>
        <v>-0.19106480716289626</v>
      </c>
      <c r="J758">
        <f>($B$1+Table4[[#This Row],[Home Differential]])-Table4[[#This Row],[Away Differential]]</f>
        <v>-2.5122451087668501E-2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0.46400390442168055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-0.1651785584335338</v>
      </c>
      <c r="H759" t="s">
        <v>25</v>
      </c>
      <c r="I759">
        <f>VLOOKUP(Table4[[#This Row],[Visitor]],'NHL Model'!$A$6:$B$38,2,FALSE)</f>
        <v>0.15503279744029827</v>
      </c>
      <c r="J759">
        <f>($B$1+Table4[[#This Row],[Home Differential]])-Table4[[#This Row],[Away Differential]]</f>
        <v>-0.21382942310508896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0.43311033227931045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-0.40987688593271943</v>
      </c>
      <c r="H760" t="s">
        <v>18</v>
      </c>
      <c r="I760">
        <f>VLOOKUP(Table4[[#This Row],[Visitor]],'NHL Model'!$A$6:$B$38,2,FALSE)</f>
        <v>-0.79206768185043297</v>
      </c>
      <c r="J760">
        <f>($B$1+Table4[[#This Row],[Home Differential]])-Table4[[#This Row],[Away Differential]]</f>
        <v>0.48857272868645663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0.53792532849742158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-0.5336297540825371</v>
      </c>
      <c r="H761" t="s">
        <v>15</v>
      </c>
      <c r="I761">
        <f>VLOOKUP(Table4[[#This Row],[Visitor]],'NHL Model'!$A$6:$B$38,2,FALSE)</f>
        <v>-0.54922296726434805</v>
      </c>
      <c r="J761">
        <f>($B$1+Table4[[#This Row],[Home Differential]])-Table4[[#This Row],[Away Differential]]</f>
        <v>0.12197514595055403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0.49541248043176822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-0.26282059799749452</v>
      </c>
      <c r="H762" t="s">
        <v>28</v>
      </c>
      <c r="I762">
        <f>VLOOKUP(Table4[[#This Row],[Visitor]],'NHL Model'!$A$6:$B$38,2,FALSE)</f>
        <v>-0.89619124881012313</v>
      </c>
      <c r="J762">
        <f>($B$1+Table4[[#This Row],[Home Differential]])-Table4[[#This Row],[Away Differential]]</f>
        <v>0.73975258358137175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0.63596880223212859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-0.34901281259242245</v>
      </c>
      <c r="H763" t="s">
        <v>32</v>
      </c>
      <c r="I763">
        <f>VLOOKUP(Table4[[#This Row],[Visitor]],'NHL Model'!$A$6:$B$38,2,FALSE)</f>
        <v>-0.63099640390293943</v>
      </c>
      <c r="J763">
        <f>($B$1+Table4[[#This Row],[Home Differential]])-Table4[[#This Row],[Away Differential]]</f>
        <v>0.38836552407926006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0.62950409302737553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-1.1323142195605178</v>
      </c>
      <c r="H764" t="s">
        <v>17</v>
      </c>
      <c r="I764">
        <f>VLOOKUP(Table4[[#This Row],[Visitor]],'NHL Model'!$A$6:$B$38,2,FALSE)</f>
        <v>-1.1555135170505442</v>
      </c>
      <c r="J764">
        <f>($B$1+Table4[[#This Row],[Home Differential]])-Table4[[#This Row],[Away Differential]]</f>
        <v>0.12958123025876955</v>
      </c>
      <c r="K764" t="str">
        <f>IF(Table4[[#This Row],[HomeIce Differential]]&gt;0,Table4[[#This Row],[Home]],Table4[[#This Row],[Visitor]])</f>
        <v>Vancouver Canucks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0.55637356659935733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-0.26509018427102904</v>
      </c>
      <c r="H765" t="s">
        <v>29</v>
      </c>
      <c r="I765">
        <f>VLOOKUP(Table4[[#This Row],[Visitor]],'NHL Model'!$A$6:$B$38,2,FALSE)</f>
        <v>-1.5752718195161908</v>
      </c>
      <c r="J765">
        <f>($B$1+Table4[[#This Row],[Home Differential]])-Table4[[#This Row],[Away Differential]]</f>
        <v>1.4165635680139048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0.71899349988251249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-0.2381776794561975</v>
      </c>
      <c r="H766" t="s">
        <v>19</v>
      </c>
      <c r="I766">
        <f>VLOOKUP(Table4[[#This Row],[Visitor]],'NHL Model'!$A$6:$B$38,2,FALSE)</f>
        <v>-1.0208691773880865</v>
      </c>
      <c r="J766">
        <f>($B$1+Table4[[#This Row],[Home Differential]])-Table4[[#This Row],[Away Differential]]</f>
        <v>0.88907343070063205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0.65483661842817209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0.12620994778252301</v>
      </c>
      <c r="H767" t="s">
        <v>11</v>
      </c>
      <c r="I767">
        <f>VLOOKUP(Table4[[#This Row],[Visitor]],'NHL Model'!$A$6:$B$38,2,FALSE)</f>
        <v>-0.4374979224090173</v>
      </c>
      <c r="J767">
        <f>($B$1+Table4[[#This Row],[Home Differential]])-Table4[[#This Row],[Away Differential]]</f>
        <v>0.67008980296028342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0.63868752533884665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8.2462575231143323E-2</v>
      </c>
      <c r="H768" t="s">
        <v>37</v>
      </c>
      <c r="I768">
        <f>VLOOKUP(Table4[[#This Row],[Visitor]],'NHL Model'!$A$6:$B$38,2,FALSE)</f>
        <v>0.17240077100158954</v>
      </c>
      <c r="J768">
        <f>($B$1+Table4[[#This Row],[Home Differential]])-Table4[[#This Row],[Away Differential]]</f>
        <v>1.6443736998296904E-2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0.47826826648731358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-0.98948521352045793</v>
      </c>
      <c r="H769" t="s">
        <v>36</v>
      </c>
      <c r="I769">
        <f>VLOOKUP(Table4[[#This Row],[Visitor]],'NHL Model'!$A$6:$B$38,2,FALSE)</f>
        <v>-0.40987688593271943</v>
      </c>
      <c r="J769">
        <f>($B$1+Table4[[#This Row],[Home Differential]])-Table4[[#This Row],[Away Differential]]</f>
        <v>-0.47322639481899542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0.52646239384620697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-1.1555135170505442</v>
      </c>
      <c r="H770" t="s">
        <v>35</v>
      </c>
      <c r="I770">
        <f>VLOOKUP(Table4[[#This Row],[Visitor]],'NHL Model'!$A$6:$B$38,2,FALSE)</f>
        <v>-1.6690304721962474</v>
      </c>
      <c r="J770">
        <f>($B$1+Table4[[#This Row],[Home Differential]])-Table4[[#This Row],[Away Differential]]</f>
        <v>0.61989888791444647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0.62537485571328122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9.6060347736414392E-2</v>
      </c>
      <c r="H771" t="s">
        <v>15</v>
      </c>
      <c r="I771">
        <f>VLOOKUP(Table4[[#This Row],[Visitor]],'NHL Model'!$A$6:$B$38,2,FALSE)</f>
        <v>-0.54922296726434805</v>
      </c>
      <c r="J771">
        <f>($B$1+Table4[[#This Row],[Home Differential]])-Table4[[#This Row],[Away Differential]]</f>
        <v>0.75166524776950561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0.61671770850661323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0.15503279744029827</v>
      </c>
      <c r="H772" t="s">
        <v>23</v>
      </c>
      <c r="I772">
        <f>VLOOKUP(Table4[[#This Row],[Visitor]],'NHL Model'!$A$6:$B$38,2,FALSE)</f>
        <v>-0.69947324663859312</v>
      </c>
      <c r="J772">
        <f>($B$1+Table4[[#This Row],[Home Differential]])-Table4[[#This Row],[Away Differential]]</f>
        <v>0.9608879768476345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0.68745318507745046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-1.3446131114659174</v>
      </c>
      <c r="H773" t="s">
        <v>24</v>
      </c>
      <c r="I773">
        <f>VLOOKUP(Table4[[#This Row],[Visitor]],'NHL Model'!$A$6:$B$38,2,FALSE)</f>
        <v>-0.1651785584335338</v>
      </c>
      <c r="J773">
        <f>($B$1+Table4[[#This Row],[Home Differential]])-Table4[[#This Row],[Away Differential]]</f>
        <v>-1.0730526202636406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0.59641779169697395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-0.32256919101930787</v>
      </c>
      <c r="H774" t="s">
        <v>40</v>
      </c>
      <c r="I774">
        <f>VLOOKUP(Table4[[#This Row],[Visitor]],'NHL Model'!$A$6:$B$38,2,FALSE)</f>
        <v>-0.2381776794561975</v>
      </c>
      <c r="J774">
        <f>($B$1+Table4[[#This Row],[Home Differential]])-Table4[[#This Row],[Away Differential]]</f>
        <v>2.1990421205632743E-2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0.50026609290203394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1.4740146843006017</v>
      </c>
      <c r="H775" t="s">
        <v>22</v>
      </c>
      <c r="I775">
        <f>VLOOKUP(Table4[[#This Row],[Visitor]],'NHL Model'!$A$6:$B$38,2,FALSE)</f>
        <v>0.12620994778252301</v>
      </c>
      <c r="J775">
        <f>($B$1+Table4[[#This Row],[Home Differential]])-Table4[[#This Row],[Away Differential]]</f>
        <v>1.4541866692868219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0.80443711790229444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-0.4374979224090173</v>
      </c>
      <c r="H776" t="s">
        <v>33</v>
      </c>
      <c r="I776">
        <f>VLOOKUP(Table4[[#This Row],[Visitor]],'NHL Model'!$A$6:$B$38,2,FALSE)</f>
        <v>-0.66146476561443079</v>
      </c>
      <c r="J776">
        <f>($B$1+Table4[[#This Row],[Home Differential]])-Table4[[#This Row],[Away Differential]]</f>
        <v>0.33034877597415657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0.61398812732158503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-0.63099640390293943</v>
      </c>
      <c r="H777" t="s">
        <v>14</v>
      </c>
      <c r="I777">
        <f>VLOOKUP(Table4[[#This Row],[Visitor]],'NHL Model'!$A$6:$B$38,2,FALSE)</f>
        <v>-0.26282059799749452</v>
      </c>
      <c r="J777">
        <f>($B$1+Table4[[#This Row],[Home Differential]])-Table4[[#This Row],[Away Differential]]</f>
        <v>-0.26179387313670183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0.49058415284227269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-1.0208691773880865</v>
      </c>
      <c r="H778" t="s">
        <v>34</v>
      </c>
      <c r="I778">
        <f>VLOOKUP(Table4[[#This Row],[Visitor]],'NHL Model'!$A$6:$B$38,2,FALSE)</f>
        <v>-0.26693531126155262</v>
      </c>
      <c r="J778">
        <f>($B$1+Table4[[#This Row],[Home Differential]])-Table4[[#This Row],[Away Differential]]</f>
        <v>-0.64755193335779082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0.58433563770078845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-1.1323142195605178</v>
      </c>
      <c r="H779" t="s">
        <v>30</v>
      </c>
      <c r="I779">
        <f>VLOOKUP(Table4[[#This Row],[Visitor]],'NHL Model'!$A$6:$B$38,2,FALSE)</f>
        <v>-0.22618911823839277</v>
      </c>
      <c r="J779">
        <f>($B$1+Table4[[#This Row],[Home Differential]])-Table4[[#This Row],[Away Differential]]</f>
        <v>-0.79974316855338179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0.63367675539145796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-0.26509018427102904</v>
      </c>
      <c r="H780" t="s">
        <v>27</v>
      </c>
      <c r="I780">
        <f>VLOOKUP(Table4[[#This Row],[Visitor]],'NHL Model'!$A$6:$B$38,2,FALSE)</f>
        <v>-0.5336297540825371</v>
      </c>
      <c r="J780">
        <f>($B$1+Table4[[#This Row],[Home Differential]])-Table4[[#This Row],[Away Differential]]</f>
        <v>0.37492150258025114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0.58737416198140635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-0.89619124881012313</v>
      </c>
      <c r="H781" t="s">
        <v>36</v>
      </c>
      <c r="I781">
        <f>VLOOKUP(Table4[[#This Row],[Visitor]],'NHL Model'!$A$6:$B$38,2,FALSE)</f>
        <v>-0.40987688593271943</v>
      </c>
      <c r="J781">
        <f>($B$1+Table4[[#This Row],[Home Differential]])-Table4[[#This Row],[Away Differential]]</f>
        <v>-0.37993243010866062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0.5287765612693115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8.2462575231143323E-2</v>
      </c>
      <c r="H782" t="s">
        <v>21</v>
      </c>
      <c r="I782">
        <f>VLOOKUP(Table4[[#This Row],[Visitor]],'NHL Model'!$A$6:$B$38,2,FALSE)</f>
        <v>-0.19106480716289626</v>
      </c>
      <c r="J782">
        <f>($B$1+Table4[[#This Row],[Home Differential]])-Table4[[#This Row],[Away Differential]]</f>
        <v>0.3799093151627827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0.58967107641885042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-1.1555135170505442</v>
      </c>
      <c r="H783" t="s">
        <v>24</v>
      </c>
      <c r="I783">
        <f>VLOOKUP(Table4[[#This Row],[Visitor]],'NHL Model'!$A$6:$B$38,2,FALSE)</f>
        <v>-0.1651785584335338</v>
      </c>
      <c r="J783">
        <f>($B$1+Table4[[#This Row],[Home Differential]])-Table4[[#This Row],[Away Differential]]</f>
        <v>-0.88395302584826718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0.56547565002391798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-0.45522284197080148</v>
      </c>
      <c r="H784" t="s">
        <v>15</v>
      </c>
      <c r="I784">
        <f>VLOOKUP(Table4[[#This Row],[Visitor]],'NHL Model'!$A$6:$B$38,2,FALSE)</f>
        <v>-0.54922296726434805</v>
      </c>
      <c r="J784">
        <f>($B$1+Table4[[#This Row],[Home Differential]])-Table4[[#This Row],[Away Differential]]</f>
        <v>0.2003820580622897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0.47283359779376749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-0.79206768185043297</v>
      </c>
      <c r="H785" t="s">
        <v>34</v>
      </c>
      <c r="I785">
        <f>VLOOKUP(Table4[[#This Row],[Visitor]],'NHL Model'!$A$6:$B$38,2,FALSE)</f>
        <v>-0.26693531126155262</v>
      </c>
      <c r="J785">
        <f>($B$1+Table4[[#This Row],[Home Differential]])-Table4[[#This Row],[Away Differential]]</f>
        <v>-0.41875043782013727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0.55542484160989558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-1.5752718195161908</v>
      </c>
      <c r="H786" t="s">
        <v>23</v>
      </c>
      <c r="I786">
        <f>VLOOKUP(Table4[[#This Row],[Visitor]],'NHL Model'!$A$6:$B$38,2,FALSE)</f>
        <v>-0.69947324663859312</v>
      </c>
      <c r="J786">
        <f>($B$1+Table4[[#This Row],[Home Differential]])-Table4[[#This Row],[Away Differential]]</f>
        <v>-0.76941664010885447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0.55722160049197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0.17240077100158954</v>
      </c>
      <c r="H787" t="s">
        <v>33</v>
      </c>
      <c r="I787">
        <f>VLOOKUP(Table4[[#This Row],[Visitor]],'NHL Model'!$A$6:$B$38,2,FALSE)</f>
        <v>-0.66146476561443079</v>
      </c>
      <c r="J787">
        <f>($B$1+Table4[[#This Row],[Home Differential]])-Table4[[#This Row],[Away Differential]]</f>
        <v>0.94024746938476345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0.69105343111193662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-0.2381776794561975</v>
      </c>
      <c r="H788" t="s">
        <v>35</v>
      </c>
      <c r="I788">
        <f>VLOOKUP(Table4[[#This Row],[Visitor]],'NHL Model'!$A$6:$B$38,2,FALSE)</f>
        <v>-1.6690304721962474</v>
      </c>
      <c r="J788">
        <f>($B$1+Table4[[#This Row],[Home Differential]])-Table4[[#This Row],[Away Differential]]</f>
        <v>1.537234725508793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0.73673669073396697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-1.3446131114659174</v>
      </c>
      <c r="H789" t="s">
        <v>14</v>
      </c>
      <c r="I789">
        <f>VLOOKUP(Table4[[#This Row],[Visitor]],'NHL Model'!$A$6:$B$38,2,FALSE)</f>
        <v>-0.26282059799749452</v>
      </c>
      <c r="J789">
        <f>($B$1+Table4[[#This Row],[Home Differential]])-Table4[[#This Row],[Away Differential]]</f>
        <v>-0.97541058069967979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0.58325048985034733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1.4740146843006017</v>
      </c>
      <c r="H790" t="s">
        <v>31</v>
      </c>
      <c r="I790">
        <f>VLOOKUP(Table4[[#This Row],[Visitor]],'NHL Model'!$A$6:$B$38,2,FALSE)</f>
        <v>9.6060347736414392E-2</v>
      </c>
      <c r="J790">
        <f>($B$1+Table4[[#This Row],[Home Differential]])-Table4[[#This Row],[Away Differential]]</f>
        <v>1.4843362693329305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0.80824674745522529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-0.63099640390293943</v>
      </c>
      <c r="H791" t="s">
        <v>30</v>
      </c>
      <c r="I791">
        <f>VLOOKUP(Table4[[#This Row],[Visitor]],'NHL Model'!$A$6:$B$38,2,FALSE)</f>
        <v>-0.22618911823839277</v>
      </c>
      <c r="J791">
        <f>($B$1+Table4[[#This Row],[Home Differential]])-Table4[[#This Row],[Away Differential]]</f>
        <v>-0.29842535289580358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0.56782877795807263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-1.0208691773880865</v>
      </c>
      <c r="H792" t="s">
        <v>26</v>
      </c>
      <c r="I792">
        <f>VLOOKUP(Table4[[#This Row],[Visitor]],'NHL Model'!$A$6:$B$38,2,FALSE)</f>
        <v>-0.98948521352045793</v>
      </c>
      <c r="J792">
        <f>($B$1+Table4[[#This Row],[Home Differential]])-Table4[[#This Row],[Away Differential]]</f>
        <v>7.4997968901114542E-2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0.52870732873068049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-0.34901281259242245</v>
      </c>
      <c r="H793" t="s">
        <v>27</v>
      </c>
      <c r="I793">
        <f>VLOOKUP(Table4[[#This Row],[Visitor]],'NHL Model'!$A$6:$B$38,2,FALSE)</f>
        <v>-0.5336297540825371</v>
      </c>
      <c r="J793">
        <f>($B$1+Table4[[#This Row],[Home Differential]])-Table4[[#This Row],[Away Differential]]</f>
        <v>0.29099887425885773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0.61720108184121059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-1.1323142195605178</v>
      </c>
      <c r="H794" t="s">
        <v>22</v>
      </c>
      <c r="I794">
        <f>VLOOKUP(Table4[[#This Row],[Visitor]],'NHL Model'!$A$6:$B$38,2,FALSE)</f>
        <v>0.12620994778252301</v>
      </c>
      <c r="J794">
        <f>($B$1+Table4[[#This Row],[Home Differential]])-Table4[[#This Row],[Away Differential]]</f>
        <v>-1.1521422345742975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0.62635109916222609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-0.19106480716289626</v>
      </c>
      <c r="H795" t="s">
        <v>20</v>
      </c>
      <c r="I795">
        <f>VLOOKUP(Table4[[#This Row],[Visitor]],'NHL Model'!$A$6:$B$38,2,FALSE)</f>
        <v>-0.26509018427102904</v>
      </c>
      <c r="J795">
        <f>($B$1+Table4[[#This Row],[Home Differential]])-Table4[[#This Row],[Away Differential]]</f>
        <v>0.18040730987687589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0.6145118017559309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0.15503279744029827</v>
      </c>
      <c r="H796" t="s">
        <v>10</v>
      </c>
      <c r="I796">
        <f>VLOOKUP(Table4[[#This Row],[Visitor]],'NHL Model'!$A$6:$B$38,2,FALSE)</f>
        <v>-0.32256919101930787</v>
      </c>
      <c r="J796">
        <f>($B$1+Table4[[#This Row],[Home Differential]])-Table4[[#This Row],[Away Differential]]</f>
        <v>0.5839839212283493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0.63982851255407325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-0.89619124881012313</v>
      </c>
      <c r="H797" t="s">
        <v>39</v>
      </c>
      <c r="I797">
        <f>VLOOKUP(Table4[[#This Row],[Visitor]],'NHL Model'!$A$6:$B$38,2,FALSE)</f>
        <v>8.2462575231143323E-2</v>
      </c>
      <c r="J797">
        <f>($B$1+Table4[[#This Row],[Home Differential]])-Table4[[#This Row],[Away Differential]]</f>
        <v>-0.87227189127252336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0.67201589069807122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-1.1555135170505442</v>
      </c>
      <c r="H798" t="s">
        <v>14</v>
      </c>
      <c r="I798">
        <f>VLOOKUP(Table4[[#This Row],[Visitor]],'NHL Model'!$A$6:$B$38,2,FALSE)</f>
        <v>-0.26282059799749452</v>
      </c>
      <c r="J798">
        <f>($B$1+Table4[[#This Row],[Home Differential]])-Table4[[#This Row],[Away Differential]]</f>
        <v>-0.78631098628430651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0.55231037679985073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-0.26693531126155262</v>
      </c>
      <c r="H799" t="s">
        <v>26</v>
      </c>
      <c r="I799">
        <f>VLOOKUP(Table4[[#This Row],[Visitor]],'NHL Model'!$A$6:$B$38,2,FALSE)</f>
        <v>-0.98948521352045793</v>
      </c>
      <c r="J799">
        <f>($B$1+Table4[[#This Row],[Home Differential]])-Table4[[#This Row],[Away Differential]]</f>
        <v>0.82893183502764844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0.62397256385680178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-0.79206768185043297</v>
      </c>
      <c r="H800" t="s">
        <v>23</v>
      </c>
      <c r="I800">
        <f>VLOOKUP(Table4[[#This Row],[Visitor]],'NHL Model'!$A$6:$B$38,2,FALSE)</f>
        <v>-0.69947324663859312</v>
      </c>
      <c r="J800">
        <f>($B$1+Table4[[#This Row],[Home Differential]])-Table4[[#This Row],[Away Differential]]</f>
        <v>1.3787497556903228E-2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0.54174215439254292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-1.5752718195161908</v>
      </c>
      <c r="H801" t="s">
        <v>36</v>
      </c>
      <c r="I801">
        <f>VLOOKUP(Table4[[#This Row],[Visitor]],'NHL Model'!$A$6:$B$38,2,FALSE)</f>
        <v>-0.40987688593271943</v>
      </c>
      <c r="J801">
        <f>($B$1+Table4[[#This Row],[Home Differential]])-Table4[[#This Row],[Away Differential]]</f>
        <v>-1.059013000814728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0.61458351748188289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-0.2381776794561975</v>
      </c>
      <c r="H802" t="s">
        <v>11</v>
      </c>
      <c r="I802">
        <f>VLOOKUP(Table4[[#This Row],[Visitor]],'NHL Model'!$A$6:$B$38,2,FALSE)</f>
        <v>-0.4374979224090173</v>
      </c>
      <c r="J802">
        <f>($B$1+Table4[[#This Row],[Home Differential]])-Table4[[#This Row],[Away Differential]]</f>
        <v>0.30570217572156289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0.58112325672852105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-1.3446131114659174</v>
      </c>
      <c r="H803" t="s">
        <v>22</v>
      </c>
      <c r="I803">
        <f>VLOOKUP(Table4[[#This Row],[Visitor]],'NHL Model'!$A$6:$B$38,2,FALSE)</f>
        <v>0.12620994778252301</v>
      </c>
      <c r="J803">
        <f>($B$1+Table4[[#This Row],[Home Differential]])-Table4[[#This Row],[Away Differential]]</f>
        <v>-1.3644411264796972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0.65317666671272068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-0.32256919101930787</v>
      </c>
      <c r="H804" t="s">
        <v>37</v>
      </c>
      <c r="I804">
        <f>VLOOKUP(Table4[[#This Row],[Visitor]],'NHL Model'!$A$6:$B$38,2,FALSE)</f>
        <v>0.17240077100158954</v>
      </c>
      <c r="J804">
        <f>($B$1+Table4[[#This Row],[Home Differential]])-Table4[[#This Row],[Away Differential]]</f>
        <v>-0.3885880292521543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0.57541682026315344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1.4740146843006017</v>
      </c>
      <c r="H805" t="s">
        <v>27</v>
      </c>
      <c r="I805">
        <f>VLOOKUP(Table4[[#This Row],[Visitor]],'NHL Model'!$A$6:$B$38,2,FALSE)</f>
        <v>-0.5336297540825371</v>
      </c>
      <c r="J805">
        <f>($B$1+Table4[[#This Row],[Home Differential]])-Table4[[#This Row],[Away Differential]]</f>
        <v>2.1140263711518821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0.90723698793140906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8.2462575231143323E-2</v>
      </c>
      <c r="H806" t="s">
        <v>35</v>
      </c>
      <c r="I806">
        <f>VLOOKUP(Table4[[#This Row],[Visitor]],'NHL Model'!$A$6:$B$38,2,FALSE)</f>
        <v>-1.6690304721962474</v>
      </c>
      <c r="J806">
        <f>($B$1+Table4[[#This Row],[Home Differential]])-Table4[[#This Row],[Away Differential]]</f>
        <v>1.8578749801961338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0.77725200729697486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-0.63099640390293943</v>
      </c>
      <c r="H807" t="s">
        <v>31</v>
      </c>
      <c r="I807">
        <f>VLOOKUP(Table4[[#This Row],[Visitor]],'NHL Model'!$A$6:$B$38,2,FALSE)</f>
        <v>9.6060347736414392E-2</v>
      </c>
      <c r="J807">
        <f>($B$1+Table4[[#This Row],[Home Differential]])-Table4[[#This Row],[Away Differential]]</f>
        <v>-0.62067481887061071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0.55668781815204182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-0.66146476561443079</v>
      </c>
      <c r="H808" t="s">
        <v>15</v>
      </c>
      <c r="I808">
        <f>VLOOKUP(Table4[[#This Row],[Visitor]],'NHL Model'!$A$6:$B$38,2,FALSE)</f>
        <v>-0.54922296726434805</v>
      </c>
      <c r="J808">
        <f>($B$1+Table4[[#This Row],[Home Differential]])-Table4[[#This Row],[Away Differential]]</f>
        <v>-5.8598655813396627E-3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0.5532266260952553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-1.0208691773880865</v>
      </c>
      <c r="H809" t="s">
        <v>20</v>
      </c>
      <c r="I809">
        <f>VLOOKUP(Table4[[#This Row],[Visitor]],'NHL Model'!$A$6:$B$38,2,FALSE)</f>
        <v>-0.26509018427102904</v>
      </c>
      <c r="J809">
        <f>($B$1+Table4[[#This Row],[Home Differential]])-Table4[[#This Row],[Away Differential]]</f>
        <v>-0.64939706034831435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0.54205622061008629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-1.1323142195605178</v>
      </c>
      <c r="H810" t="s">
        <v>24</v>
      </c>
      <c r="I810">
        <f>VLOOKUP(Table4[[#This Row],[Visitor]],'NHL Model'!$A$6:$B$38,2,FALSE)</f>
        <v>-0.1651785584335338</v>
      </c>
      <c r="J810">
        <f>($B$1+Table4[[#This Row],[Home Differential]])-Table4[[#This Row],[Away Differential]]</f>
        <v>-0.86075372835824082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0.56959222414647925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-0.19106480716289626</v>
      </c>
      <c r="H811" t="s">
        <v>18</v>
      </c>
      <c r="I811">
        <f>VLOOKUP(Table4[[#This Row],[Visitor]],'NHL Model'!$A$6:$B$38,2,FALSE)</f>
        <v>-0.79206768185043297</v>
      </c>
      <c r="J811">
        <f>($B$1+Table4[[#This Row],[Home Differential]])-Table4[[#This Row],[Away Differential]]</f>
        <v>0.70738480745627985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0.61569919965685072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-0.89619124881012313</v>
      </c>
      <c r="H812" t="s">
        <v>37</v>
      </c>
      <c r="I812">
        <f>VLOOKUP(Table4[[#This Row],[Visitor]],'NHL Model'!$A$6:$B$38,2,FALSE)</f>
        <v>0.17240077100158954</v>
      </c>
      <c r="J812">
        <f>($B$1+Table4[[#This Row],[Home Differential]])-Table4[[#This Row],[Away Differential]]</f>
        <v>-0.96221008704296962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0.64789829730533233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-1.1555135170505442</v>
      </c>
      <c r="H813" t="s">
        <v>22</v>
      </c>
      <c r="I813">
        <f>VLOOKUP(Table4[[#This Row],[Visitor]],'NHL Model'!$A$6:$B$38,2,FALSE)</f>
        <v>0.12620994778252301</v>
      </c>
      <c r="J813">
        <f>($B$1+Table4[[#This Row],[Home Differential]])-Table4[[#This Row],[Away Differential]]</f>
        <v>-1.1753415320643239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0.62219748527926533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-0.26693531126155262</v>
      </c>
      <c r="H814" t="s">
        <v>11</v>
      </c>
      <c r="I814">
        <f>VLOOKUP(Table4[[#This Row],[Visitor]],'NHL Model'!$A$6:$B$38,2,FALSE)</f>
        <v>-0.4374979224090173</v>
      </c>
      <c r="J814">
        <f>($B$1+Table4[[#This Row],[Home Differential]])-Table4[[#This Row],[Away Differential]]</f>
        <v>0.27694454391620782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0.57499403366587332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-1.5752718195161908</v>
      </c>
      <c r="H815" t="s">
        <v>55</v>
      </c>
      <c r="I815">
        <f>VLOOKUP(Table4[[#This Row],[Visitor]],'NHL Model'!$A$6:$B$38,2,FALSE)</f>
        <v>-0.34901281259242245</v>
      </c>
      <c r="J815">
        <f>($B$1+Table4[[#This Row],[Home Differential]])-Table4[[#This Row],[Away Differential]]</f>
        <v>-1.119877074155025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0.60150492181740778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-0.22618911823839277</v>
      </c>
      <c r="H816" t="s">
        <v>23</v>
      </c>
      <c r="I816">
        <f>VLOOKUP(Table4[[#This Row],[Visitor]],'NHL Model'!$A$6:$B$38,2,FALSE)</f>
        <v>-0.69947324663859312</v>
      </c>
      <c r="J816">
        <f>($B$1+Table4[[#This Row],[Home Differential]])-Table4[[#This Row],[Away Differential]]</f>
        <v>0.57966606116894348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0.61324518249273607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-0.40987688593271943</v>
      </c>
      <c r="H817" t="s">
        <v>25</v>
      </c>
      <c r="I817">
        <f>VLOOKUP(Table4[[#This Row],[Visitor]],'NHL Model'!$A$6:$B$38,2,FALSE)</f>
        <v>0.15503279744029827</v>
      </c>
      <c r="J817">
        <f>($B$1+Table4[[#This Row],[Home Differential]])-Table4[[#This Row],[Away Differential]]</f>
        <v>-0.45852775060427464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0.58805892445661634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-1.6690304721962474</v>
      </c>
      <c r="H818" t="s">
        <v>13</v>
      </c>
      <c r="I818">
        <f>VLOOKUP(Table4[[#This Row],[Visitor]],'NHL Model'!$A$6:$B$38,2,FALSE)</f>
        <v>-0.45522284197080148</v>
      </c>
      <c r="J818">
        <f>($B$1+Table4[[#This Row],[Home Differential]])-Table4[[#This Row],[Away Differential]]</f>
        <v>-1.1074256974567027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0.68340985725074643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-0.2381776794561975</v>
      </c>
      <c r="H819" t="s">
        <v>26</v>
      </c>
      <c r="I819">
        <f>VLOOKUP(Table4[[#This Row],[Visitor]],'NHL Model'!$A$6:$B$38,2,FALSE)</f>
        <v>-0.98948521352045793</v>
      </c>
      <c r="J819">
        <f>($B$1+Table4[[#This Row],[Home Differential]])-Table4[[#This Row],[Away Differential]]</f>
        <v>0.85768946683300351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0.63011466891912293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-1.3446131114659174</v>
      </c>
      <c r="H820" t="s">
        <v>31</v>
      </c>
      <c r="I820">
        <f>VLOOKUP(Table4[[#This Row],[Visitor]],'NHL Model'!$A$6:$B$38,2,FALSE)</f>
        <v>9.6060347736414392E-2</v>
      </c>
      <c r="J820">
        <f>($B$1+Table4[[#This Row],[Home Differential]])-Table4[[#This Row],[Away Differential]]</f>
        <v>-1.3342915264335886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0.64936703715978983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-0.32256919101930787</v>
      </c>
      <c r="H821" t="s">
        <v>11</v>
      </c>
      <c r="I821">
        <f>VLOOKUP(Table4[[#This Row],[Visitor]],'NHL Model'!$A$6:$B$38,2,FALSE)</f>
        <v>-0.4374979224090173</v>
      </c>
      <c r="J821">
        <f>($B$1+Table4[[#This Row],[Home Differential]])-Table4[[#This Row],[Away Differential]]</f>
        <v>0.22131066415845255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0.56796427300088237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-0.40987688593271943</v>
      </c>
      <c r="H822" t="s">
        <v>20</v>
      </c>
      <c r="I822">
        <f>VLOOKUP(Table4[[#This Row],[Visitor]],'NHL Model'!$A$6:$B$38,2,FALSE)</f>
        <v>-0.26509018427102904</v>
      </c>
      <c r="J822">
        <f>($B$1+Table4[[#This Row],[Home Differential]])-Table4[[#This Row],[Away Differential]]</f>
        <v>-3.8404768892947305E-2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0.46235725324731114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-0.63099640390293943</v>
      </c>
      <c r="H823" t="s">
        <v>24</v>
      </c>
      <c r="I823">
        <f>VLOOKUP(Table4[[#This Row],[Visitor]],'NHL Model'!$A$6:$B$38,2,FALSE)</f>
        <v>-0.1651785584335338</v>
      </c>
      <c r="J823">
        <f>($B$1+Table4[[#This Row],[Home Differential]])-Table4[[#This Row],[Away Differential]]</f>
        <v>-0.35943591270066255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0.50375077413901503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-1.0208691773880865</v>
      </c>
      <c r="H824" t="s">
        <v>12</v>
      </c>
      <c r="I824">
        <f>VLOOKUP(Table4[[#This Row],[Visitor]],'NHL Model'!$A$6:$B$38,2,FALSE)</f>
        <v>1.4740146843006017</v>
      </c>
      <c r="J824">
        <f>($B$1+Table4[[#This Row],[Home Differential]])-Table4[[#This Row],[Away Differential]]</f>
        <v>-2.3885019289199452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0.85429143639685812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-1.1323142195605178</v>
      </c>
      <c r="H825" t="s">
        <v>14</v>
      </c>
      <c r="I825">
        <f>VLOOKUP(Table4[[#This Row],[Visitor]],'NHL Model'!$A$6:$B$38,2,FALSE)</f>
        <v>-0.26282059799749452</v>
      </c>
      <c r="J825">
        <f>($B$1+Table4[[#This Row],[Home Differential]])-Table4[[#This Row],[Away Differential]]</f>
        <v>-0.76311168879428015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0.55642492229985274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-0.89619124881012313</v>
      </c>
      <c r="H826" t="s">
        <v>13</v>
      </c>
      <c r="I826">
        <f>VLOOKUP(Table4[[#This Row],[Visitor]],'NHL Model'!$A$6:$B$38,2,FALSE)</f>
        <v>-0.45522284197080148</v>
      </c>
      <c r="J826">
        <f>($B$1+Table4[[#This Row],[Home Differential]])-Table4[[#This Row],[Away Differential]]</f>
        <v>-0.33458647407057857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0.58575578752600022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-1.1555135170505442</v>
      </c>
      <c r="H827" t="s">
        <v>31</v>
      </c>
      <c r="I827">
        <f>VLOOKUP(Table4[[#This Row],[Visitor]],'NHL Model'!$A$6:$B$38,2,FALSE)</f>
        <v>9.6060347736414392E-2</v>
      </c>
      <c r="J827">
        <f>($B$1+Table4[[#This Row],[Home Differential]])-Table4[[#This Row],[Away Differential]]</f>
        <v>-1.1451919320182153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0.61838785572633448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-0.54922296726434805</v>
      </c>
      <c r="H828" t="s">
        <v>21</v>
      </c>
      <c r="I828">
        <f>VLOOKUP(Table4[[#This Row],[Visitor]],'NHL Model'!$A$6:$B$38,2,FALSE)</f>
        <v>-0.19106480716289626</v>
      </c>
      <c r="J828">
        <f>($B$1+Table4[[#This Row],[Home Differential]])-Table4[[#This Row],[Away Differential]]</f>
        <v>-0.25177622733270871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0.49264331996768967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-0.5336297540825371</v>
      </c>
      <c r="H829" t="s">
        <v>30</v>
      </c>
      <c r="I829">
        <f>VLOOKUP(Table4[[#This Row],[Visitor]],'NHL Model'!$A$6:$B$38,2,FALSE)</f>
        <v>-0.22618911823839277</v>
      </c>
      <c r="J829">
        <f>($B$1+Table4[[#This Row],[Home Differential]])-Table4[[#This Row],[Away Differential]]</f>
        <v>-0.20105870307540125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0.5254052848441968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0.17240077100158954</v>
      </c>
      <c r="H830" t="s">
        <v>55</v>
      </c>
      <c r="I830">
        <f>VLOOKUP(Table4[[#This Row],[Visitor]],'NHL Model'!$A$6:$B$38,2,FALSE)</f>
        <v>-0.34901281259242245</v>
      </c>
      <c r="J830">
        <f>($B$1+Table4[[#This Row],[Home Differential]])-Table4[[#This Row],[Away Differential]]</f>
        <v>0.6277955163627551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0.65157276827451238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-0.19106480716289626</v>
      </c>
      <c r="H831" t="s">
        <v>29</v>
      </c>
      <c r="I831">
        <f>VLOOKUP(Table4[[#This Row],[Visitor]],'NHL Model'!$A$6:$B$38,2,FALSE)</f>
        <v>-1.5752718195161908</v>
      </c>
      <c r="J831">
        <f>($B$1+Table4[[#This Row],[Home Differential]])-Table4[[#This Row],[Away Differential]]</f>
        <v>1.4905889451220375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0.78006314139904021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-0.98948521352045793</v>
      </c>
      <c r="H832" t="s">
        <v>13</v>
      </c>
      <c r="I832">
        <f>VLOOKUP(Table4[[#This Row],[Visitor]],'NHL Model'!$A$6:$B$38,2,FALSE)</f>
        <v>-0.45522284197080148</v>
      </c>
      <c r="J832">
        <f>($B$1+Table4[[#This Row],[Home Differential]])-Table4[[#This Row],[Away Differential]]</f>
        <v>-0.42788043878091336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0.58347768804177669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-0.4374979224090173</v>
      </c>
      <c r="H833" t="s">
        <v>55</v>
      </c>
      <c r="I833">
        <f>VLOOKUP(Table4[[#This Row],[Visitor]],'NHL Model'!$A$6:$B$38,2,FALSE)</f>
        <v>-0.34901281259242245</v>
      </c>
      <c r="J833">
        <f>($B$1+Table4[[#This Row],[Home Differential]])-Table4[[#This Row],[Away Differential]]</f>
        <v>1.7896822952148228E-2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0.57450746448416079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-0.26693531126155262</v>
      </c>
      <c r="H834" t="s">
        <v>10</v>
      </c>
      <c r="I834">
        <f>VLOOKUP(Table4[[#This Row],[Visitor]],'NHL Model'!$A$6:$B$38,2,FALSE)</f>
        <v>-0.32256919101930787</v>
      </c>
      <c r="J834">
        <f>($B$1+Table4[[#This Row],[Home Differential]])-Table4[[#This Row],[Away Differential]]</f>
        <v>0.16201581252649835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0.56047192090439413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-0.79206768185043297</v>
      </c>
      <c r="H835" t="s">
        <v>20</v>
      </c>
      <c r="I835">
        <f>VLOOKUP(Table4[[#This Row],[Visitor]],'NHL Model'!$A$6:$B$38,2,FALSE)</f>
        <v>-0.26509018427102904</v>
      </c>
      <c r="J835">
        <f>($B$1+Table4[[#This Row],[Home Differential]])-Table4[[#This Row],[Away Differential]]</f>
        <v>-0.42059556481066085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0.51314542451919343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-0.1651785584335338</v>
      </c>
      <c r="H836" t="s">
        <v>40</v>
      </c>
      <c r="I836">
        <f>VLOOKUP(Table4[[#This Row],[Visitor]],'NHL Model'!$A$6:$B$38,2,FALSE)</f>
        <v>-0.2381776794561975</v>
      </c>
      <c r="J836">
        <f>($B$1+Table4[[#This Row],[Home Differential]])-Table4[[#This Row],[Away Differential]]</f>
        <v>0.17938105379140681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0.64530765965534231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-0.63099640390293943</v>
      </c>
      <c r="H837" t="s">
        <v>22</v>
      </c>
      <c r="I837">
        <f>VLOOKUP(Table4[[#This Row],[Visitor]],'NHL Model'!$A$6:$B$38,2,FALSE)</f>
        <v>0.12620994778252301</v>
      </c>
      <c r="J837">
        <f>($B$1+Table4[[#This Row],[Home Differential]])-Table4[[#This Row],[Away Differential]]</f>
        <v>-0.65082441891671938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0.56049744770497267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-1.6690304721962474</v>
      </c>
      <c r="H838" t="s">
        <v>39</v>
      </c>
      <c r="I838">
        <f>VLOOKUP(Table4[[#This Row],[Visitor]],'NHL Model'!$A$6:$B$38,2,FALSE)</f>
        <v>8.2462575231143323E-2</v>
      </c>
      <c r="J838">
        <f>($B$1+Table4[[#This Row],[Home Differential]])-Table4[[#This Row],[Away Differential]]</f>
        <v>-1.6451111146586477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0.76966996042281755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-1.0208691773880865</v>
      </c>
      <c r="H839" t="s">
        <v>23</v>
      </c>
      <c r="I839">
        <f>VLOOKUP(Table4[[#This Row],[Visitor]],'NHL Model'!$A$6:$B$38,2,FALSE)</f>
        <v>-0.69947324663859312</v>
      </c>
      <c r="J839">
        <f>($B$1+Table4[[#This Row],[Home Differential]])-Table4[[#This Row],[Away Differential]]</f>
        <v>-0.21501399798075027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0.48716864169834995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-1.1323142195605178</v>
      </c>
      <c r="H840" t="s">
        <v>33</v>
      </c>
      <c r="I840">
        <f>VLOOKUP(Table4[[#This Row],[Visitor]],'NHL Model'!$A$6:$B$38,2,FALSE)</f>
        <v>-0.66146476561443079</v>
      </c>
      <c r="J840">
        <f>($B$1+Table4[[#This Row],[Home Differential]])-Table4[[#This Row],[Away Differential]]</f>
        <v>-0.36446752117734382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0.50605322251828244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-0.89619124881012313</v>
      </c>
      <c r="H841" t="s">
        <v>27</v>
      </c>
      <c r="I841">
        <f>VLOOKUP(Table4[[#This Row],[Visitor]],'NHL Model'!$A$6:$B$38,2,FALSE)</f>
        <v>-0.5336297540825371</v>
      </c>
      <c r="J841">
        <f>($B$1+Table4[[#This Row],[Home Differential]])-Table4[[#This Row],[Away Differential]]</f>
        <v>-0.25617956195884295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0.49237022144913173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-0.22618911823839277</v>
      </c>
      <c r="H842" t="s">
        <v>15</v>
      </c>
      <c r="I842">
        <f>VLOOKUP(Table4[[#This Row],[Visitor]],'NHL Model'!$A$6:$B$38,2,FALSE)</f>
        <v>-0.54922296726434805</v>
      </c>
      <c r="J842">
        <f>($B$1+Table4[[#This Row],[Home Differential]])-Table4[[#This Row],[Away Differential]]</f>
        <v>0.42941578179469841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0.50177373767006417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-0.40987688593271943</v>
      </c>
      <c r="H843" t="s">
        <v>12</v>
      </c>
      <c r="I843">
        <f>VLOOKUP(Table4[[#This Row],[Visitor]],'NHL Model'!$A$6:$B$38,2,FALSE)</f>
        <v>1.4740146843006017</v>
      </c>
      <c r="J843">
        <f>($B$1+Table4[[#This Row],[Home Differential]])-Table4[[#This Row],[Away Differential]]</f>
        <v>-1.777509637464578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0.77460176039311901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-0.19106480716289626</v>
      </c>
      <c r="H844" t="s">
        <v>27</v>
      </c>
      <c r="I844">
        <f>VLOOKUP(Table4[[#This Row],[Visitor]],'NHL Model'!$A$6:$B$38,2,FALSE)</f>
        <v>-0.5336297540825371</v>
      </c>
      <c r="J844">
        <f>($B$1+Table4[[#This Row],[Home Differential]])-Table4[[#This Row],[Away Differential]]</f>
        <v>0.44894687968838398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0.64844380349793407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-0.69947324663859312</v>
      </c>
      <c r="H845" t="s">
        <v>13</v>
      </c>
      <c r="I845">
        <f>VLOOKUP(Table4[[#This Row],[Visitor]],'NHL Model'!$A$6:$B$38,2,FALSE)</f>
        <v>-0.45522284197080148</v>
      </c>
      <c r="J845">
        <f>($B$1+Table4[[#This Row],[Home Differential]])-Table4[[#This Row],[Away Differential]]</f>
        <v>-0.13786847189904855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0.5468324868435156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0.15503279744029827</v>
      </c>
      <c r="H846" t="s">
        <v>55</v>
      </c>
      <c r="I846">
        <f>VLOOKUP(Table4[[#This Row],[Visitor]],'NHL Model'!$A$6:$B$38,2,FALSE)</f>
        <v>-0.34901281259242245</v>
      </c>
      <c r="J846">
        <f>($B$1+Table4[[#This Row],[Home Differential]])-Table4[[#This Row],[Away Differential]]</f>
        <v>0.61042754280146383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0.64316986375201257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-0.98948521352045793</v>
      </c>
      <c r="H847" t="s">
        <v>22</v>
      </c>
      <c r="I847">
        <f>VLOOKUP(Table4[[#This Row],[Visitor]],'NHL Model'!$A$6:$B$38,2,FALSE)</f>
        <v>0.12620994778252301</v>
      </c>
      <c r="J847">
        <f>($B$1+Table4[[#This Row],[Home Differential]])-Table4[[#This Row],[Away Differential]]</f>
        <v>-1.0093132285342379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0.59420101198825126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-1.1555135170505442</v>
      </c>
      <c r="H848" t="s">
        <v>33</v>
      </c>
      <c r="I848">
        <f>VLOOKUP(Table4[[#This Row],[Visitor]],'NHL Model'!$A$6:$B$38,2,FALSE)</f>
        <v>-0.66146476561443079</v>
      </c>
      <c r="J848">
        <f>($B$1+Table4[[#This Row],[Home Differential]])-Table4[[#This Row],[Away Differential]]</f>
        <v>-0.38766681866737018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0.50193867701828043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-0.26693531126155262</v>
      </c>
      <c r="H849" t="s">
        <v>16</v>
      </c>
      <c r="I849">
        <f>VLOOKUP(Table4[[#This Row],[Visitor]],'NHL Model'!$A$6:$B$38,2,FALSE)</f>
        <v>-1.3446131114659174</v>
      </c>
      <c r="J849">
        <f>($B$1+Table4[[#This Row],[Home Differential]])-Table4[[#This Row],[Away Differential]]</f>
        <v>1.184059732973108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0.68961488524793779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-0.79206768185043297</v>
      </c>
      <c r="H850" t="s">
        <v>12</v>
      </c>
      <c r="I850">
        <f>VLOOKUP(Table4[[#This Row],[Visitor]],'NHL Model'!$A$6:$B$38,2,FALSE)</f>
        <v>1.4740146843006017</v>
      </c>
      <c r="J850">
        <f>($B$1+Table4[[#This Row],[Home Differential]])-Table4[[#This Row],[Away Differential]]</f>
        <v>-2.1597004333822918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0.82538064030596514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-0.1651785584335338</v>
      </c>
      <c r="H851" t="s">
        <v>29</v>
      </c>
      <c r="I851">
        <f>VLOOKUP(Table4[[#This Row],[Visitor]],'NHL Model'!$A$6:$B$38,2,FALSE)</f>
        <v>-1.5752718195161908</v>
      </c>
      <c r="J851">
        <f>($B$1+Table4[[#This Row],[Home Differential]])-Table4[[#This Row],[Away Differential]]</f>
        <v>1.5164751938514001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0.85338279388178195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-0.54922296726434805</v>
      </c>
      <c r="H852" t="s">
        <v>30</v>
      </c>
      <c r="I852">
        <f>VLOOKUP(Table4[[#This Row],[Visitor]],'NHL Model'!$A$6:$B$38,2,FALSE)</f>
        <v>-0.22618911823839277</v>
      </c>
      <c r="J852">
        <f>($B$1+Table4[[#This Row],[Home Differential]])-Table4[[#This Row],[Away Differential]]</f>
        <v>-0.2166519162572122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0.55999877414441801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-0.26282059799749452</v>
      </c>
      <c r="H853" t="s">
        <v>10</v>
      </c>
      <c r="I853">
        <f>VLOOKUP(Table4[[#This Row],[Visitor]],'NHL Model'!$A$6:$B$38,2,FALSE)</f>
        <v>-0.32256919101930787</v>
      </c>
      <c r="J853">
        <f>($B$1+Table4[[#This Row],[Home Differential]])-Table4[[#This Row],[Away Differential]]</f>
        <v>0.16613052579055645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0.56348732518994971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-0.63099640390293943</v>
      </c>
      <c r="H854" t="s">
        <v>19</v>
      </c>
      <c r="I854">
        <f>VLOOKUP(Table4[[#This Row],[Visitor]],'NHL Model'!$A$6:$B$38,2,FALSE)</f>
        <v>-1.0208691773880865</v>
      </c>
      <c r="J854">
        <f>($B$1+Table4[[#This Row],[Home Differential]])-Table4[[#This Row],[Away Differential]]</f>
        <v>0.49625470625389012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0.60520100736506421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-1.6690304721962474</v>
      </c>
      <c r="H855" t="s">
        <v>11</v>
      </c>
      <c r="I855">
        <f>VLOOKUP(Table4[[#This Row],[Visitor]],'NHL Model'!$A$6:$B$38,2,FALSE)</f>
        <v>-0.4374979224090173</v>
      </c>
      <c r="J855">
        <f>($B$1+Table4[[#This Row],[Home Differential]])-Table4[[#This Row],[Away Differential]]</f>
        <v>-1.1251506170184871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0.60217127376604296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0.17240077100158954</v>
      </c>
      <c r="H856" t="s">
        <v>40</v>
      </c>
      <c r="I856">
        <f>VLOOKUP(Table4[[#This Row],[Visitor]],'NHL Model'!$A$6:$B$38,2,FALSE)</f>
        <v>-0.2381776794561975</v>
      </c>
      <c r="J856">
        <f>($B$1+Table4[[#This Row],[Home Differential]])-Table4[[#This Row],[Away Differential]]</f>
        <v>0.51696038322653015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0.59544232867268743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-1.1323142195605178</v>
      </c>
      <c r="H857" t="s">
        <v>31</v>
      </c>
      <c r="I857">
        <f>VLOOKUP(Table4[[#This Row],[Visitor]],'NHL Model'!$A$6:$B$38,2,FALSE)</f>
        <v>9.6060347736414392E-2</v>
      </c>
      <c r="J857">
        <f>($B$1+Table4[[#This Row],[Home Differential]])-Table4[[#This Row],[Away Differential]]</f>
        <v>-1.121992634528189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0.62254146960929524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-0.26509018427102904</v>
      </c>
      <c r="H858" t="s">
        <v>39</v>
      </c>
      <c r="I858">
        <f>VLOOKUP(Table4[[#This Row],[Visitor]],'NHL Model'!$A$6:$B$38,2,FALSE)</f>
        <v>8.2462575231143323E-2</v>
      </c>
      <c r="J858">
        <f>($B$1+Table4[[#This Row],[Home Differential]])-Table4[[#This Row],[Away Differential]]</f>
        <v>-0.24117082673342927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0.59227150726753319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-0.32256919101930787</v>
      </c>
      <c r="H859" t="s">
        <v>28</v>
      </c>
      <c r="I859">
        <f>VLOOKUP(Table4[[#This Row],[Visitor]],'NHL Model'!$A$6:$B$38,2,FALSE)</f>
        <v>-0.89619124881012313</v>
      </c>
      <c r="J859">
        <f>($B$1+Table4[[#This Row],[Home Differential]])-Table4[[#This Row],[Away Differential]]</f>
        <v>0.6800039905595584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0.62592363728158196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-0.69947324663859312</v>
      </c>
      <c r="H860" t="s">
        <v>18</v>
      </c>
      <c r="I860">
        <f>VLOOKUP(Table4[[#This Row],[Visitor]],'NHL Model'!$A$6:$B$38,2,FALSE)</f>
        <v>-0.79206768185043297</v>
      </c>
      <c r="J860">
        <f>($B$1+Table4[[#This Row],[Home Differential]])-Table4[[#This Row],[Away Differential]]</f>
        <v>0.19897636798058294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0.51294704413504377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-1.3446131114659174</v>
      </c>
      <c r="H861" t="s">
        <v>33</v>
      </c>
      <c r="I861">
        <f>VLOOKUP(Table4[[#This Row],[Visitor]],'NHL Model'!$A$6:$B$38,2,FALSE)</f>
        <v>-0.66146476561443079</v>
      </c>
      <c r="J861">
        <f>($B$1+Table4[[#This Row],[Home Differential]])-Table4[[#This Row],[Away Differential]]</f>
        <v>-0.57676641308274346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0.53287879006877703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-0.98948521352045793</v>
      </c>
      <c r="H862" t="s">
        <v>12</v>
      </c>
      <c r="I862">
        <f>VLOOKUP(Table4[[#This Row],[Visitor]],'NHL Model'!$A$6:$B$38,2,FALSE)</f>
        <v>1.4740146843006017</v>
      </c>
      <c r="J862">
        <f>($B$1+Table4[[#This Row],[Home Differential]])-Table4[[#This Row],[Away Differential]]</f>
        <v>-2.3571179650523164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0.83630118627360073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-1.1555135170505442</v>
      </c>
      <c r="H863" t="s">
        <v>34</v>
      </c>
      <c r="I863">
        <f>VLOOKUP(Table4[[#This Row],[Visitor]],'NHL Model'!$A$6:$B$38,2,FALSE)</f>
        <v>-0.26693531126155262</v>
      </c>
      <c r="J863">
        <f>($B$1+Table4[[#This Row],[Home Differential]])-Table4[[#This Row],[Away Differential]]</f>
        <v>-0.7821962730202483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0.59424924761528852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-0.4374979224090173</v>
      </c>
      <c r="H864" t="s">
        <v>40</v>
      </c>
      <c r="I864">
        <f>VLOOKUP(Table4[[#This Row],[Visitor]],'NHL Model'!$A$6:$B$38,2,FALSE)</f>
        <v>-0.2381776794561975</v>
      </c>
      <c r="J864">
        <f>($B$1+Table4[[#This Row],[Home Differential]])-Table4[[#This Row],[Away Differential]]</f>
        <v>-9.2938310184076722E-2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0.48162297511766411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-0.22618911823839277</v>
      </c>
      <c r="H865" t="s">
        <v>29</v>
      </c>
      <c r="I865">
        <f>VLOOKUP(Table4[[#This Row],[Visitor]],'NHL Model'!$A$6:$B$38,2,FALSE)</f>
        <v>-1.5752718195161908</v>
      </c>
      <c r="J865">
        <f>($B$1+Table4[[#This Row],[Home Differential]])-Table4[[#This Row],[Away Differential]]</f>
        <v>1.4554646340465411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0.72390894322410904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-0.40987688593271943</v>
      </c>
      <c r="H866" t="s">
        <v>24</v>
      </c>
      <c r="I866">
        <f>VLOOKUP(Table4[[#This Row],[Visitor]],'NHL Model'!$A$6:$B$38,2,FALSE)</f>
        <v>-0.1651785584335338</v>
      </c>
      <c r="J866">
        <f>($B$1+Table4[[#This Row],[Home Differential]])-Table4[[#This Row],[Away Differential]]</f>
        <v>-0.13831639473044255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0.47581065390190097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-0.5336297540825371</v>
      </c>
      <c r="H867" t="s">
        <v>13</v>
      </c>
      <c r="I867">
        <f>VLOOKUP(Table4[[#This Row],[Visitor]],'NHL Model'!$A$6:$B$38,2,FALSE)</f>
        <v>-0.45522284197080148</v>
      </c>
      <c r="J867">
        <f>($B$1+Table4[[#This Row],[Home Differential]])-Table4[[#This Row],[Away Differential]]</f>
        <v>2.7975020657007466E-2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0.49261782446441432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-0.26282059799749452</v>
      </c>
      <c r="H868" t="s">
        <v>15</v>
      </c>
      <c r="I868">
        <f>VLOOKUP(Table4[[#This Row],[Visitor]],'NHL Model'!$A$6:$B$38,2,FALSE)</f>
        <v>-0.54922296726434805</v>
      </c>
      <c r="J868">
        <f>($B$1+Table4[[#This Row],[Home Differential]])-Table4[[#This Row],[Away Differential]]</f>
        <v>0.39278430203559667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0.49963126153161891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-1.6690304721962474</v>
      </c>
      <c r="H869" t="s">
        <v>28</v>
      </c>
      <c r="I869">
        <f>VLOOKUP(Table4[[#This Row],[Visitor]],'NHL Model'!$A$6:$B$38,2,FALSE)</f>
        <v>-0.89619124881012313</v>
      </c>
      <c r="J869">
        <f>($B$1+Table4[[#This Row],[Home Differential]])-Table4[[#This Row],[Away Differential]]</f>
        <v>-0.66645729061738113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0.54421190948534326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-0.34901281259242245</v>
      </c>
      <c r="H870" t="s">
        <v>39</v>
      </c>
      <c r="I870">
        <f>VLOOKUP(Table4[[#This Row],[Visitor]],'NHL Model'!$A$6:$B$38,2,FALSE)</f>
        <v>8.2462575231143323E-2</v>
      </c>
      <c r="J870">
        <f>($B$1+Table4[[#This Row],[Home Differential]])-Table4[[#This Row],[Away Differential]]</f>
        <v>-0.32509345505482268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0.56213064362379028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-1.1323142195605178</v>
      </c>
      <c r="H871" t="s">
        <v>19</v>
      </c>
      <c r="I871">
        <f>VLOOKUP(Table4[[#This Row],[Visitor]],'NHL Model'!$A$6:$B$38,2,FALSE)</f>
        <v>-1.0208691773880865</v>
      </c>
      <c r="J871">
        <f>($B$1+Table4[[#This Row],[Home Differential]])-Table4[[#This Row],[Away Differential]]</f>
        <v>-5.0631094036881485E-3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0.46063976209251578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-0.26509018427102904</v>
      </c>
      <c r="H872" t="s">
        <v>32</v>
      </c>
      <c r="I872">
        <f>VLOOKUP(Table4[[#This Row],[Visitor]],'NHL Model'!$A$6:$B$38,2,FALSE)</f>
        <v>-0.63099640390293943</v>
      </c>
      <c r="J872">
        <f>($B$1+Table4[[#This Row],[Home Differential]])-Table4[[#This Row],[Away Differential]]</f>
        <v>0.47228815240065347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0.5996771731675713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0.12620994778252301</v>
      </c>
      <c r="H873" t="s">
        <v>25</v>
      </c>
      <c r="I873">
        <f>VLOOKUP(Table4[[#This Row],[Visitor]],'NHL Model'!$A$6:$B$38,2,FALSE)</f>
        <v>0.15503279744029827</v>
      </c>
      <c r="J873">
        <f>($B$1+Table4[[#This Row],[Home Differential]])-Table4[[#This Row],[Away Differential]]</f>
        <v>7.7559083110967847E-2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0.49128165709462029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9.6060347736414392E-2</v>
      </c>
      <c r="H874" t="s">
        <v>20</v>
      </c>
      <c r="I874">
        <f>VLOOKUP(Table4[[#This Row],[Visitor]],'NHL Model'!$A$6:$B$38,2,FALSE)</f>
        <v>-0.26509018427102904</v>
      </c>
      <c r="J874">
        <f>($B$1+Table4[[#This Row],[Home Differential]])-Table4[[#This Row],[Away Differential]]</f>
        <v>0.46753246477618654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0.67163368339626794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0.15503279744029827</v>
      </c>
      <c r="H875" t="s">
        <v>13</v>
      </c>
      <c r="I875">
        <f>VLOOKUP(Table4[[#This Row],[Visitor]],'NHL Model'!$A$6:$B$38,2,FALSE)</f>
        <v>-0.45522284197080148</v>
      </c>
      <c r="J875">
        <f>($B$1+Table4[[#This Row],[Home Differential]])-Table4[[#This Row],[Away Differential]]</f>
        <v>0.71663757217984281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0.57331118754101273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0.17240077100158954</v>
      </c>
      <c r="H876" t="s">
        <v>21</v>
      </c>
      <c r="I876">
        <f>VLOOKUP(Table4[[#This Row],[Visitor]],'NHL Model'!$A$6:$B$38,2,FALSE)</f>
        <v>-0.19106480716289626</v>
      </c>
      <c r="J876">
        <f>($B$1+Table4[[#This Row],[Home Differential]])-Table4[[#This Row],[Away Differential]]</f>
        <v>0.46984751093322891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0.6307973511233208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-1.3446131114659174</v>
      </c>
      <c r="H877" t="s">
        <v>19</v>
      </c>
      <c r="I877">
        <f>VLOOKUP(Table4[[#This Row],[Visitor]],'NHL Model'!$A$6:$B$38,2,FALSE)</f>
        <v>-1.0208691773880865</v>
      </c>
      <c r="J877">
        <f>($B$1+Table4[[#This Row],[Home Differential]])-Table4[[#This Row],[Away Differential]]</f>
        <v>-0.21736200130908778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0.48746532964301043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-0.32256919101930787</v>
      </c>
      <c r="H878" t="s">
        <v>33</v>
      </c>
      <c r="I878">
        <f>VLOOKUP(Table4[[#This Row],[Visitor]],'NHL Model'!$A$6:$B$38,2,FALSE)</f>
        <v>-0.66146476561443079</v>
      </c>
      <c r="J878">
        <f>($B$1+Table4[[#This Row],[Home Differential]])-Table4[[#This Row],[Away Differential]]</f>
        <v>0.44527750736386607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0.59626417427476663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1.4740146843006017</v>
      </c>
      <c r="H879" t="s">
        <v>26</v>
      </c>
      <c r="I879">
        <f>VLOOKUP(Table4[[#This Row],[Visitor]],'NHL Model'!$A$6:$B$38,2,FALSE)</f>
        <v>-0.98948521352045793</v>
      </c>
      <c r="J879">
        <f>($B$1+Table4[[#This Row],[Home Differential]])-Table4[[#This Row],[Away Differential]]</f>
        <v>2.5698818305898028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0.94541362346328217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8.2462575231143323E-2</v>
      </c>
      <c r="H880" t="s">
        <v>40</v>
      </c>
      <c r="I880">
        <f>VLOOKUP(Table4[[#This Row],[Visitor]],'NHL Model'!$A$6:$B$38,2,FALSE)</f>
        <v>-0.2381776794561975</v>
      </c>
      <c r="J880">
        <f>($B$1+Table4[[#This Row],[Home Differential]])-Table4[[#This Row],[Away Differential]]</f>
        <v>0.42702218745608395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0.55395747680241092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-0.4374979224090173</v>
      </c>
      <c r="H881" t="s">
        <v>23</v>
      </c>
      <c r="I881">
        <f>VLOOKUP(Table4[[#This Row],[Visitor]],'NHL Model'!$A$6:$B$38,2,FALSE)</f>
        <v>-0.69947324663859312</v>
      </c>
      <c r="J881">
        <f>($B$1+Table4[[#This Row],[Home Differential]])-Table4[[#This Row],[Away Differential]]</f>
        <v>0.36835725699831889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0.61879078580959868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-0.26693531126155262</v>
      </c>
      <c r="H882" t="s">
        <v>18</v>
      </c>
      <c r="I882">
        <f>VLOOKUP(Table4[[#This Row],[Visitor]],'NHL Model'!$A$6:$B$38,2,FALSE)</f>
        <v>-0.79206768185043297</v>
      </c>
      <c r="J882">
        <f>($B$1+Table4[[#This Row],[Home Differential]])-Table4[[#This Row],[Away Differential]]</f>
        <v>0.63151430335762349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0.55348080980094716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-1.5752718195161908</v>
      </c>
      <c r="H883" t="s">
        <v>35</v>
      </c>
      <c r="I883">
        <f>VLOOKUP(Table4[[#This Row],[Visitor]],'NHL Model'!$A$6:$B$38,2,FALSE)</f>
        <v>-1.6690304721962474</v>
      </c>
      <c r="J883">
        <f>($B$1+Table4[[#This Row],[Home Differential]])-Table4[[#This Row],[Away Differential]]</f>
        <v>0.20014058544879987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0.565289273751578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-0.26282059799749452</v>
      </c>
      <c r="H884" t="s">
        <v>36</v>
      </c>
      <c r="I884">
        <f>VLOOKUP(Table4[[#This Row],[Visitor]],'NHL Model'!$A$6:$B$38,2,FALSE)</f>
        <v>-0.40987688593271943</v>
      </c>
      <c r="J884">
        <f>($B$1+Table4[[#This Row],[Home Differential]])-Table4[[#This Row],[Away Differential]]</f>
        <v>0.25343822070396804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0.55376296272308734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-0.34901281259242245</v>
      </c>
      <c r="H885" t="s">
        <v>38</v>
      </c>
      <c r="I885">
        <f>VLOOKUP(Table4[[#This Row],[Visitor]],'NHL Model'!$A$6:$B$38,2,FALSE)</f>
        <v>-1.1323142195605178</v>
      </c>
      <c r="J885">
        <f>($B$1+Table4[[#This Row],[Home Differential]])-Table4[[#This Row],[Away Differential]]</f>
        <v>0.88968333973683844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0.65408487250117942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0.12620994778252301</v>
      </c>
      <c r="H886" t="s">
        <v>30</v>
      </c>
      <c r="I886">
        <f>VLOOKUP(Table4[[#This Row],[Visitor]],'NHL Model'!$A$6:$B$38,2,FALSE)</f>
        <v>-0.22618911823839277</v>
      </c>
      <c r="J886">
        <f>($B$1+Table4[[#This Row],[Home Differential]])-Table4[[#This Row],[Away Differential]]</f>
        <v>0.45878099878965889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0.53945192383027807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9.6060347736414392E-2</v>
      </c>
      <c r="H887" t="s">
        <v>32</v>
      </c>
      <c r="I887">
        <f>VLOOKUP(Table4[[#This Row],[Visitor]],'NHL Model'!$A$6:$B$38,2,FALSE)</f>
        <v>-0.63099640390293943</v>
      </c>
      <c r="J887">
        <f>($B$1+Table4[[#This Row],[Home Differential]])-Table4[[#This Row],[Away Differential]]</f>
        <v>0.83343868440809699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0.71786869632443617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0.15503279744029827</v>
      </c>
      <c r="H888" t="s">
        <v>36</v>
      </c>
      <c r="I888">
        <f>VLOOKUP(Table4[[#This Row],[Visitor]],'NHL Model'!$A$6:$B$38,2,FALSE)</f>
        <v>-0.40987688593271943</v>
      </c>
      <c r="J888">
        <f>($B$1+Table4[[#This Row],[Home Differential]])-Table4[[#This Row],[Away Differential]]</f>
        <v>0.67129161614176081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0.63027730846225705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-1.1555135170505442</v>
      </c>
      <c r="H889" t="s">
        <v>19</v>
      </c>
      <c r="I889">
        <f>VLOOKUP(Table4[[#This Row],[Visitor]],'NHL Model'!$A$6:$B$38,2,FALSE)</f>
        <v>-1.0208691773880865</v>
      </c>
      <c r="J889">
        <f>($B$1+Table4[[#This Row],[Home Differential]])-Table4[[#This Row],[Away Differential]]</f>
        <v>-2.8262406893714509E-2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0.45652521659251383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-0.1651785584335338</v>
      </c>
      <c r="H890" t="s">
        <v>28</v>
      </c>
      <c r="I890">
        <f>VLOOKUP(Table4[[#This Row],[Visitor]],'NHL Model'!$A$6:$B$38,2,FALSE)</f>
        <v>-0.89619124881012313</v>
      </c>
      <c r="J890">
        <f>($B$1+Table4[[#This Row],[Home Differential]])-Table4[[#This Row],[Away Differential]]</f>
        <v>0.83739462314533242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0.76757583766921056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-0.22618911823839277</v>
      </c>
      <c r="H891" t="s">
        <v>14</v>
      </c>
      <c r="I891">
        <f>VLOOKUP(Table4[[#This Row],[Visitor]],'NHL Model'!$A$6:$B$38,2,FALSE)</f>
        <v>-0.26282059799749452</v>
      </c>
      <c r="J891">
        <f>($B$1+Table4[[#This Row],[Home Differential]])-Table4[[#This Row],[Away Differential]]</f>
        <v>0.14301341252784486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0.55807082422315213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-0.5336297540825371</v>
      </c>
      <c r="H892" t="s">
        <v>22</v>
      </c>
      <c r="I892">
        <f>VLOOKUP(Table4[[#This Row],[Visitor]],'NHL Model'!$A$6:$B$38,2,FALSE)</f>
        <v>0.12620994778252301</v>
      </c>
      <c r="J892">
        <f>($B$1+Table4[[#This Row],[Home Differential]])-Table4[[#This Row],[Away Differential]]</f>
        <v>-0.55345776909631705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0.51820942902255585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0.17240077100158954</v>
      </c>
      <c r="H893" t="s">
        <v>23</v>
      </c>
      <c r="I893">
        <f>VLOOKUP(Table4[[#This Row],[Visitor]],'NHL Model'!$A$6:$B$38,2,FALSE)</f>
        <v>-0.69947324663859312</v>
      </c>
      <c r="J893">
        <f>($B$1+Table4[[#This Row],[Home Differential]])-Table4[[#This Row],[Away Differential]]</f>
        <v>0.97825595040892577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0.69585608959995027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-0.89619124881012313</v>
      </c>
      <c r="H894" t="s">
        <v>10</v>
      </c>
      <c r="I894">
        <f>VLOOKUP(Table4[[#This Row],[Visitor]],'NHL Model'!$A$6:$B$38,2,FALSE)</f>
        <v>-0.32256919101930787</v>
      </c>
      <c r="J894">
        <f>($B$1+Table4[[#This Row],[Home Differential]])-Table4[[#This Row],[Away Differential]]</f>
        <v>-0.46724012502207218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0.51903931680277582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-1.3446131114659174</v>
      </c>
      <c r="H895" t="s">
        <v>17</v>
      </c>
      <c r="I895">
        <f>VLOOKUP(Table4[[#This Row],[Visitor]],'NHL Model'!$A$6:$B$38,2,FALSE)</f>
        <v>-1.1555135170505442</v>
      </c>
      <c r="J895">
        <f>($B$1+Table4[[#This Row],[Home Differential]])-Table4[[#This Row],[Away Differential]]</f>
        <v>-8.2717661646630081E-2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0.47045200095113732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1.4740146843006017</v>
      </c>
      <c r="H896" t="s">
        <v>33</v>
      </c>
      <c r="I896">
        <f>VLOOKUP(Table4[[#This Row],[Visitor]],'NHL Model'!$A$6:$B$38,2,FALSE)</f>
        <v>-0.66146476561443079</v>
      </c>
      <c r="J896">
        <f>($B$1+Table4[[#This Row],[Home Differential]])-Table4[[#This Row],[Away Differential]]</f>
        <v>2.2418613826837754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0.92338990661312847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8.2462575231143323E-2</v>
      </c>
      <c r="H897" t="s">
        <v>35</v>
      </c>
      <c r="I897">
        <f>VLOOKUP(Table4[[#This Row],[Visitor]],'NHL Model'!$A$6:$B$38,2,FALSE)</f>
        <v>-1.6690304721962474</v>
      </c>
      <c r="J897">
        <f>($B$1+Table4[[#This Row],[Home Differential]])-Table4[[#This Row],[Away Differential]]</f>
        <v>1.8578749801961338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0.77725200729697486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-0.4374979224090173</v>
      </c>
      <c r="H898" t="s">
        <v>21</v>
      </c>
      <c r="I898">
        <f>VLOOKUP(Table4[[#This Row],[Visitor]],'NHL Model'!$A$6:$B$38,2,FALSE)</f>
        <v>-0.19106480716289626</v>
      </c>
      <c r="J898">
        <f>($B$1+Table4[[#This Row],[Home Differential]])-Table4[[#This Row],[Away Differential]]</f>
        <v>-0.14005118247737797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0.44626795266703073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-0.45522284197080148</v>
      </c>
      <c r="H899" t="s">
        <v>32</v>
      </c>
      <c r="I899">
        <f>VLOOKUP(Table4[[#This Row],[Visitor]],'NHL Model'!$A$6:$B$38,2,FALSE)</f>
        <v>-0.63099640390293943</v>
      </c>
      <c r="J899">
        <f>($B$1+Table4[[#This Row],[Home Differential]])-Table4[[#This Row],[Away Differential]]</f>
        <v>0.28215549470088108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0.57565247663287122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-1.5752718195161908</v>
      </c>
      <c r="H900" t="s">
        <v>34</v>
      </c>
      <c r="I900">
        <f>VLOOKUP(Table4[[#This Row],[Visitor]],'NHL Model'!$A$6:$B$38,2,FALSE)</f>
        <v>-0.26693531126155262</v>
      </c>
      <c r="J900">
        <f>($B$1+Table4[[#This Row],[Home Differential]])-Table4[[#This Row],[Away Differential]]</f>
        <v>-1.2019545754858949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0.6543885964944085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-0.34901281259242245</v>
      </c>
      <c r="H901" t="s">
        <v>26</v>
      </c>
      <c r="I901">
        <f>VLOOKUP(Table4[[#This Row],[Visitor]],'NHL Model'!$A$6:$B$38,2,FALSE)</f>
        <v>-0.98948521352045793</v>
      </c>
      <c r="J901">
        <f>($B$1+Table4[[#This Row],[Home Differential]])-Table4[[#This Row],[Away Differential]]</f>
        <v>0.74685433369677856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0.65437068276310217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-0.26509018427102904</v>
      </c>
      <c r="H902" t="s">
        <v>38</v>
      </c>
      <c r="I902">
        <f>VLOOKUP(Table4[[#This Row],[Visitor]],'NHL Model'!$A$6:$B$38,2,FALSE)</f>
        <v>-1.1323142195605178</v>
      </c>
      <c r="J902">
        <f>($B$1+Table4[[#This Row],[Home Differential]])-Table4[[#This Row],[Away Differential]]</f>
        <v>0.97360596805823185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0.62373573018258022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-0.2381776794561975</v>
      </c>
      <c r="H903" t="s">
        <v>18</v>
      </c>
      <c r="I903">
        <f>VLOOKUP(Table4[[#This Row],[Visitor]],'NHL Model'!$A$6:$B$38,2,FALSE)</f>
        <v>-0.79206768185043297</v>
      </c>
      <c r="J903">
        <f>($B$1+Table4[[#This Row],[Home Differential]])-Table4[[#This Row],[Away Differential]]</f>
        <v>0.66027193516297855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0.55962081932341534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-0.69947324663859312</v>
      </c>
      <c r="H904" t="s">
        <v>14</v>
      </c>
      <c r="I904">
        <f>VLOOKUP(Table4[[#This Row],[Visitor]],'NHL Model'!$A$6:$B$38,2,FALSE)</f>
        <v>-0.26282059799749452</v>
      </c>
      <c r="J904">
        <f>($B$1+Table4[[#This Row],[Home Differential]])-Table4[[#This Row],[Away Differential]]</f>
        <v>-0.33027071587235551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0.48771557753156591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-0.1651785584335338</v>
      </c>
      <c r="H905" t="s">
        <v>30</v>
      </c>
      <c r="I905">
        <f>VLOOKUP(Table4[[#This Row],[Visitor]],'NHL Model'!$A$6:$B$38,2,FALSE)</f>
        <v>-0.22618911823839277</v>
      </c>
      <c r="J905">
        <f>($B$1+Table4[[#This Row],[Home Differential]])-Table4[[#This Row],[Away Differential]]</f>
        <v>0.16739249257360209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0.61505993445634743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-0.54922296726434805</v>
      </c>
      <c r="H906" t="s">
        <v>25</v>
      </c>
      <c r="I906">
        <f>VLOOKUP(Table4[[#This Row],[Visitor]],'NHL Model'!$A$6:$B$38,2,FALSE)</f>
        <v>0.15503279744029827</v>
      </c>
      <c r="J906">
        <f>($B$1+Table4[[#This Row],[Home Differential]])-Table4[[#This Row],[Away Differential]]</f>
        <v>-0.59787383193590327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0.60816904088007584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-0.5336297540825371</v>
      </c>
      <c r="H907" t="s">
        <v>36</v>
      </c>
      <c r="I907">
        <f>VLOOKUP(Table4[[#This Row],[Visitor]],'NHL Model'!$A$6:$B$38,2,FALSE)</f>
        <v>-0.40987688593271943</v>
      </c>
      <c r="J907">
        <f>($B$1+Table4[[#This Row],[Home Differential]])-Table4[[#This Row],[Away Differential]]</f>
        <v>-1.7370935381074593E-2</v>
      </c>
      <c r="K907" t="str">
        <f>IF(Table4[[#This Row],[HomeIce Differential]]&gt;0,Table4[[#This Row],[Home]],Table4[[#This Row],[Visitor]])</f>
        <v>Ottawa Senators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0.45047081088051155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0.17240077100158954</v>
      </c>
      <c r="H908" t="s">
        <v>11</v>
      </c>
      <c r="I908">
        <f>VLOOKUP(Table4[[#This Row],[Visitor]],'NHL Model'!$A$6:$B$38,2,FALSE)</f>
        <v>-0.4374979224090173</v>
      </c>
      <c r="J908">
        <f>($B$1+Table4[[#This Row],[Home Differential]])-Table4[[#This Row],[Away Differential]]</f>
        <v>0.71628062617934996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0.66275352983805225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-0.26509018427102904</v>
      </c>
      <c r="H909" t="s">
        <v>13</v>
      </c>
      <c r="I909">
        <f>VLOOKUP(Table4[[#This Row],[Visitor]],'NHL Model'!$A$6:$B$38,2,FALSE)</f>
        <v>-0.45522284197080148</v>
      </c>
      <c r="J909">
        <f>($B$1+Table4[[#This Row],[Home Differential]])-Table4[[#This Row],[Away Differential]]</f>
        <v>0.29651459046851558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0.49398859590453792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0.12620994778252301</v>
      </c>
      <c r="H910" t="s">
        <v>29</v>
      </c>
      <c r="I910">
        <f>VLOOKUP(Table4[[#This Row],[Visitor]],'NHL Model'!$A$6:$B$38,2,FALSE)</f>
        <v>-1.5752718195161908</v>
      </c>
      <c r="J910">
        <f>($B$1+Table4[[#This Row],[Home Differential]])-Table4[[#This Row],[Away Differential]]</f>
        <v>1.8078637000674569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0.78245384583211763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9.6060347736414392E-2</v>
      </c>
      <c r="H911" t="s">
        <v>17</v>
      </c>
      <c r="I911">
        <f>VLOOKUP(Table4[[#This Row],[Visitor]],'NHL Model'!$A$6:$B$38,2,FALSE)</f>
        <v>-1.1555135170505442</v>
      </c>
      <c r="J911">
        <f>($B$1+Table4[[#This Row],[Home Differential]])-Table4[[#This Row],[Away Differential]]</f>
        <v>1.3579557975557017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0.78414539293763041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8.2462575231143323E-2</v>
      </c>
      <c r="H912" t="s">
        <v>32</v>
      </c>
      <c r="I912">
        <f>VLOOKUP(Table4[[#This Row],[Visitor]],'NHL Model'!$A$6:$B$38,2,FALSE)</f>
        <v>-0.63099640390293943</v>
      </c>
      <c r="J912">
        <f>($B$1+Table4[[#This Row],[Home Differential]])-Table4[[#This Row],[Away Differential]]</f>
        <v>0.81984091190282582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0.64608856706985884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-0.45522284197080148</v>
      </c>
      <c r="H913" t="s">
        <v>20</v>
      </c>
      <c r="I913">
        <f>VLOOKUP(Table4[[#This Row],[Visitor]],'NHL Model'!$A$6:$B$38,2,FALSE)</f>
        <v>-0.26509018427102904</v>
      </c>
      <c r="J913">
        <f>($B$1+Table4[[#This Row],[Home Differential]])-Table4[[#This Row],[Away Differential]]</f>
        <v>-8.3750724931029308E-2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0.470582536295297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-0.1651785584335338</v>
      </c>
      <c r="H914" t="s">
        <v>23</v>
      </c>
      <c r="I914">
        <f>VLOOKUP(Table4[[#This Row],[Visitor]],'NHL Model'!$A$6:$B$38,2,FALSE)</f>
        <v>-0.69947324663859312</v>
      </c>
      <c r="J914">
        <f>($B$1+Table4[[#This Row],[Home Differential]])-Table4[[#This Row],[Away Differential]]</f>
        <v>0.6406766209738024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0.74271903315040899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0.17240077100158954</v>
      </c>
      <c r="H915" t="s">
        <v>19</v>
      </c>
      <c r="I915">
        <f>VLOOKUP(Table4[[#This Row],[Visitor]],'NHL Model'!$A$6:$B$38,2,FALSE)</f>
        <v>-1.0208691773880865</v>
      </c>
      <c r="J915">
        <f>($B$1+Table4[[#This Row],[Home Differential]])-Table4[[#This Row],[Away Differential]]</f>
        <v>1.299651881158419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0.73646689153770328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-0.34901281259242245</v>
      </c>
      <c r="H916" t="s">
        <v>12</v>
      </c>
      <c r="I916">
        <f>VLOOKUP(Table4[[#This Row],[Visitor]],'NHL Model'!$A$6:$B$38,2,FALSE)</f>
        <v>1.4740146843006017</v>
      </c>
      <c r="J916">
        <f>($B$1+Table4[[#This Row],[Home Differential]])-Table4[[#This Row],[Away Differential]]</f>
        <v>-1.716645564124281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0.72853903226510752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-1.1323142195605178</v>
      </c>
      <c r="H917" t="s">
        <v>40</v>
      </c>
      <c r="I917">
        <f>VLOOKUP(Table4[[#This Row],[Visitor]],'NHL Model'!$A$6:$B$38,2,FALSE)</f>
        <v>-0.2381776794561975</v>
      </c>
      <c r="J917">
        <f>($B$1+Table4[[#This Row],[Home Differential]])-Table4[[#This Row],[Away Differential]]</f>
        <v>-0.78775460733557712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0.60205130389101513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0.12620994778252301</v>
      </c>
      <c r="H918" t="s">
        <v>27</v>
      </c>
      <c r="I918">
        <f>VLOOKUP(Table4[[#This Row],[Visitor]],'NHL Model'!$A$6:$B$38,2,FALSE)</f>
        <v>-0.5336297540825371</v>
      </c>
      <c r="J918">
        <f>($B$1+Table4[[#This Row],[Home Differential]])-Table4[[#This Row],[Away Differential]]</f>
        <v>0.76622163463380322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0.6508345079310115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-0.19106480716289626</v>
      </c>
      <c r="H919" t="s">
        <v>28</v>
      </c>
      <c r="I919">
        <f>VLOOKUP(Table4[[#This Row],[Visitor]],'NHL Model'!$A$6:$B$38,2,FALSE)</f>
        <v>-0.89619124881012313</v>
      </c>
      <c r="J919">
        <f>($B$1+Table4[[#This Row],[Home Differential]])-Table4[[#This Row],[Away Differential]]</f>
        <v>0.81150837441597001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0.69425618518646881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0.15503279744029827</v>
      </c>
      <c r="H920" t="s">
        <v>37</v>
      </c>
      <c r="I920">
        <f>VLOOKUP(Table4[[#This Row],[Visitor]],'NHL Model'!$A$6:$B$38,2,FALSE)</f>
        <v>0.17240077100158954</v>
      </c>
      <c r="J920">
        <f>($B$1+Table4[[#This Row],[Home Differential]])-Table4[[#This Row],[Away Differential]]</f>
        <v>8.9013959207451837E-2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0.51124758567614426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1.4740146843006017</v>
      </c>
      <c r="H921" t="s">
        <v>34</v>
      </c>
      <c r="I921">
        <f>VLOOKUP(Table4[[#This Row],[Visitor]],'NHL Model'!$A$6:$B$38,2,FALSE)</f>
        <v>-0.26693531126155262</v>
      </c>
      <c r="J921">
        <f>($B$1+Table4[[#This Row],[Home Differential]])-Table4[[#This Row],[Away Differential]]</f>
        <v>1.8473319283308975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0.83342433390423909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-0.4374979224090173</v>
      </c>
      <c r="H922" t="s">
        <v>19</v>
      </c>
      <c r="I922">
        <f>VLOOKUP(Table4[[#This Row],[Visitor]],'NHL Model'!$A$6:$B$38,2,FALSE)</f>
        <v>-1.0208691773880865</v>
      </c>
      <c r="J922">
        <f>($B$1+Table4[[#This Row],[Home Differential]])-Table4[[#This Row],[Away Differential]]</f>
        <v>0.68975318774781225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0.65940158774735169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-0.45522284197080148</v>
      </c>
      <c r="H923" t="s">
        <v>17</v>
      </c>
      <c r="I923">
        <f>VLOOKUP(Table4[[#This Row],[Visitor]],'NHL Model'!$A$6:$B$38,2,FALSE)</f>
        <v>-1.1555135170505442</v>
      </c>
      <c r="J923">
        <f>($B$1+Table4[[#This Row],[Home Differential]])-Table4[[#This Row],[Away Differential]]</f>
        <v>0.80667260784848582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0.64192917324606547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-0.79206768185043297</v>
      </c>
      <c r="H924" t="s">
        <v>30</v>
      </c>
      <c r="I924">
        <f>VLOOKUP(Table4[[#This Row],[Visitor]],'NHL Model'!$A$6:$B$38,2,FALSE)</f>
        <v>-0.22618911823839277</v>
      </c>
      <c r="J924">
        <f>($B$1+Table4[[#This Row],[Home Differential]])-Table4[[#This Row],[Away Differential]]</f>
        <v>-0.45949663084329712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0.59068403696864624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-1.5752718195161908</v>
      </c>
      <c r="H925" t="s">
        <v>10</v>
      </c>
      <c r="I925">
        <f>VLOOKUP(Table4[[#This Row],[Visitor]],'NHL Model'!$A$6:$B$38,2,FALSE)</f>
        <v>-0.32256919101930787</v>
      </c>
      <c r="J925">
        <f>($B$1+Table4[[#This Row],[Home Differential]])-Table4[[#This Row],[Away Differential]]</f>
        <v>-1.1463206957281398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0.60484627301534721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-0.54922296726434805</v>
      </c>
      <c r="H926" t="s">
        <v>27</v>
      </c>
      <c r="I926">
        <f>VLOOKUP(Table4[[#This Row],[Visitor]],'NHL Model'!$A$6:$B$38,2,FALSE)</f>
        <v>-0.5336297540825371</v>
      </c>
      <c r="J926">
        <f>($B$1+Table4[[#This Row],[Home Differential]])-Table4[[#This Row],[Away Differential]]</f>
        <v>9.0788719586932132E-2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0.55147184004703809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-0.40987688593271943</v>
      </c>
      <c r="H927" t="s">
        <v>26</v>
      </c>
      <c r="I927">
        <f>VLOOKUP(Table4[[#This Row],[Visitor]],'NHL Model'!$A$6:$B$38,2,FALSE)</f>
        <v>-0.98948521352045793</v>
      </c>
      <c r="J927">
        <f>($B$1+Table4[[#This Row],[Home Differential]])-Table4[[#This Row],[Away Differential]]</f>
        <v>0.68599026035648158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0.60841917809312906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-0.26282059799749452</v>
      </c>
      <c r="H928" t="s">
        <v>24</v>
      </c>
      <c r="I928">
        <f>VLOOKUP(Table4[[#This Row],[Visitor]],'NHL Model'!$A$6:$B$38,2,FALSE)</f>
        <v>-0.1651785584335338</v>
      </c>
      <c r="J928">
        <f>($B$1+Table4[[#This Row],[Home Differential]])-Table4[[#This Row],[Away Differential]]</f>
        <v>8.7398932047823841E-3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0.54277101814700068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-0.66146476561443079</v>
      </c>
      <c r="H929" t="s">
        <v>16</v>
      </c>
      <c r="I929">
        <f>VLOOKUP(Table4[[#This Row],[Visitor]],'NHL Model'!$A$6:$B$38,2,FALSE)</f>
        <v>-1.3446131114659174</v>
      </c>
      <c r="J929">
        <f>($B$1+Table4[[#This Row],[Home Differential]])-Table4[[#This Row],[Away Differential]]</f>
        <v>0.78953027862022973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0.63976311054758328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-1.6690304721962474</v>
      </c>
      <c r="H930" t="s">
        <v>32</v>
      </c>
      <c r="I930">
        <f>VLOOKUP(Table4[[#This Row],[Visitor]],'NHL Model'!$A$6:$B$38,2,FALSE)</f>
        <v>-0.63099640390293943</v>
      </c>
      <c r="J930">
        <f>($B$1+Table4[[#This Row],[Home Differential]])-Table4[[#This Row],[Away Differential]]</f>
        <v>-0.93165213552456483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0.57772127998771305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9.6060347736414392E-2</v>
      </c>
      <c r="H931" t="s">
        <v>40</v>
      </c>
      <c r="I931">
        <f>VLOOKUP(Table4[[#This Row],[Visitor]],'NHL Model'!$A$6:$B$38,2,FALSE)</f>
        <v>-0.2381776794561975</v>
      </c>
      <c r="J931">
        <f>($B$1+Table4[[#This Row],[Home Differential]])-Table4[[#This Row],[Away Differential]]</f>
        <v>0.440619959961355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0.62710422943109423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-0.4374979224090173</v>
      </c>
      <c r="H932" t="s">
        <v>23</v>
      </c>
      <c r="I932">
        <f>VLOOKUP(Table4[[#This Row],[Visitor]],'NHL Model'!$A$6:$B$38,2,FALSE)</f>
        <v>-0.69947324663859312</v>
      </c>
      <c r="J932">
        <f>($B$1+Table4[[#This Row],[Home Differential]])-Table4[[#This Row],[Away Differential]]</f>
        <v>0.36835725699831889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0.61879078580959868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-0.34901281259242245</v>
      </c>
      <c r="H933" t="s">
        <v>34</v>
      </c>
      <c r="I933">
        <f>VLOOKUP(Table4[[#This Row],[Visitor]],'NHL Model'!$A$6:$B$38,2,FALSE)</f>
        <v>-0.26693531126155262</v>
      </c>
      <c r="J933">
        <f>($B$1+Table4[[#This Row],[Home Differential]])-Table4[[#This Row],[Away Differential]]</f>
        <v>2.4304431437873281E-2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0.54153258683801131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0.12620994778252301</v>
      </c>
      <c r="H934" t="s">
        <v>20</v>
      </c>
      <c r="I934">
        <f>VLOOKUP(Table4[[#This Row],[Visitor]],'NHL Model'!$A$6:$B$38,2,FALSE)</f>
        <v>-0.26509018427102904</v>
      </c>
      <c r="J934">
        <f>($B$1+Table4[[#This Row],[Home Differential]])-Table4[[#This Row],[Away Differential]]</f>
        <v>0.49768206482229516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0.61690250618900822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0.15503279744029827</v>
      </c>
      <c r="H935" t="s">
        <v>26</v>
      </c>
      <c r="I935">
        <f>VLOOKUP(Table4[[#This Row],[Visitor]],'NHL Model'!$A$6:$B$38,2,FALSE)</f>
        <v>-0.98948521352045793</v>
      </c>
      <c r="J935">
        <f>($B$1+Table4[[#This Row],[Home Differential]])-Table4[[#This Row],[Away Differential]]</f>
        <v>1.2508999437294994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0.70351519588120048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-0.89619124881012313</v>
      </c>
      <c r="H936" t="s">
        <v>30</v>
      </c>
      <c r="I936">
        <f>VLOOKUP(Table4[[#This Row],[Visitor]],'NHL Model'!$A$6:$B$38,2,FALSE)</f>
        <v>-0.22618911823839277</v>
      </c>
      <c r="J936">
        <f>($B$1+Table4[[#This Row],[Home Differential]])-Table4[[#This Row],[Away Differential]]</f>
        <v>-0.56362019780298733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0.60384083564058777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1.4740146843006017</v>
      </c>
      <c r="H937" t="s">
        <v>10</v>
      </c>
      <c r="I937">
        <f>VLOOKUP(Table4[[#This Row],[Visitor]],'NHL Model'!$A$6:$B$38,2,FALSE)</f>
        <v>-0.32256919101930787</v>
      </c>
      <c r="J937">
        <f>($B$1+Table4[[#This Row],[Home Differential]])-Table4[[#This Row],[Away Differential]]</f>
        <v>1.9029658080886527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0.88056789257776491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8.2462575231143323E-2</v>
      </c>
      <c r="H938" t="s">
        <v>29</v>
      </c>
      <c r="I938">
        <f>VLOOKUP(Table4[[#This Row],[Visitor]],'NHL Model'!$A$6:$B$38,2,FALSE)</f>
        <v>-1.5752718195161908</v>
      </c>
      <c r="J938">
        <f>($B$1+Table4[[#This Row],[Home Differential]])-Table4[[#This Row],[Away Differential]]</f>
        <v>1.7641163275160772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0.76540489378480003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-0.45522284197080148</v>
      </c>
      <c r="H939" t="s">
        <v>16</v>
      </c>
      <c r="I939">
        <f>VLOOKUP(Table4[[#This Row],[Visitor]],'NHL Model'!$A$6:$B$38,2,FALSE)</f>
        <v>-1.3446131114659174</v>
      </c>
      <c r="J939">
        <f>($B$1+Table4[[#This Row],[Home Differential]])-Table4[[#This Row],[Away Differential]]</f>
        <v>0.9957722022638591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0.66582333443660591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-0.79206768185043297</v>
      </c>
      <c r="H940" t="s">
        <v>22</v>
      </c>
      <c r="I940">
        <f>VLOOKUP(Table4[[#This Row],[Visitor]],'NHL Model'!$A$6:$B$38,2,FALSE)</f>
        <v>0.12620994778252301</v>
      </c>
      <c r="J940">
        <f>($B$1+Table4[[#This Row],[Home Differential]])-Table4[[#This Row],[Away Differential]]</f>
        <v>-0.81189569686421292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0.58335838073941426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-0.54922296726434805</v>
      </c>
      <c r="H941" t="s">
        <v>14</v>
      </c>
      <c r="I941">
        <f>VLOOKUP(Table4[[#This Row],[Visitor]],'NHL Model'!$A$6:$B$38,2,FALSE)</f>
        <v>-0.26282059799749452</v>
      </c>
      <c r="J941">
        <f>($B$1+Table4[[#This Row],[Home Differential]])-Table4[[#This Row],[Away Differential]]</f>
        <v>-0.18002043649811045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0.48274694105281274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-0.5336297540825371</v>
      </c>
      <c r="H942" t="s">
        <v>21</v>
      </c>
      <c r="I942">
        <f>VLOOKUP(Table4[[#This Row],[Visitor]],'NHL Model'!$A$6:$B$38,2,FALSE)</f>
        <v>-0.19106480716289626</v>
      </c>
      <c r="J942">
        <f>($B$1+Table4[[#This Row],[Home Differential]])-Table4[[#This Row],[Away Differential]]</f>
        <v>-0.23618301415089776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0.45841493525919563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-0.63099640390293943</v>
      </c>
      <c r="H943" t="s">
        <v>38</v>
      </c>
      <c r="I943">
        <f>VLOOKUP(Table4[[#This Row],[Visitor]],'NHL Model'!$A$6:$B$38,2,FALSE)</f>
        <v>-1.1323142195605178</v>
      </c>
      <c r="J943">
        <f>($B$1+Table4[[#This Row],[Home Differential]])-Table4[[#This Row],[Away Differential]]</f>
        <v>0.60769974842632146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0.58001325694425609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-0.66146476561443079</v>
      </c>
      <c r="H944" t="s">
        <v>17</v>
      </c>
      <c r="I944">
        <f>VLOOKUP(Table4[[#This Row],[Visitor]],'NHL Model'!$A$6:$B$38,2,FALSE)</f>
        <v>-1.1555135170505442</v>
      </c>
      <c r="J944">
        <f>($B$1+Table4[[#This Row],[Home Differential]])-Table4[[#This Row],[Away Differential]]</f>
        <v>0.60043068420485646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0.61586894935704284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-1.6690304721962474</v>
      </c>
      <c r="H945" t="s">
        <v>24</v>
      </c>
      <c r="I945">
        <f>VLOOKUP(Table4[[#This Row],[Visitor]],'NHL Model'!$A$6:$B$38,2,FALSE)</f>
        <v>-0.1651785584335338</v>
      </c>
      <c r="J945">
        <f>($B$1+Table4[[#This Row],[Home Differential]])-Table4[[#This Row],[Away Differential]]</f>
        <v>-1.3974699809939706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0.63741037412035539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0.17240077100158954</v>
      </c>
      <c r="H946" t="s">
        <v>23</v>
      </c>
      <c r="I946">
        <f>VLOOKUP(Table4[[#This Row],[Visitor]],'NHL Model'!$A$6:$B$38,2,FALSE)</f>
        <v>-0.69947324663859312</v>
      </c>
      <c r="J946">
        <f>($B$1+Table4[[#This Row],[Home Differential]])-Table4[[#This Row],[Away Differential]]</f>
        <v>0.97825595040892577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0.69585608959995027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-1.0208691773880865</v>
      </c>
      <c r="H947" t="s">
        <v>36</v>
      </c>
      <c r="I947">
        <f>VLOOKUP(Table4[[#This Row],[Visitor]],'NHL Model'!$A$6:$B$38,2,FALSE)</f>
        <v>-0.40987688593271943</v>
      </c>
      <c r="J947">
        <f>($B$1+Table4[[#This Row],[Home Differential]])-Table4[[#This Row],[Away Differential]]</f>
        <v>-0.50461035868662396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0.54453055868826283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9.6060347736414392E-2</v>
      </c>
      <c r="H948" t="s">
        <v>16</v>
      </c>
      <c r="I948">
        <f>VLOOKUP(Table4[[#This Row],[Visitor]],'NHL Model'!$A$6:$B$38,2,FALSE)</f>
        <v>-1.3446131114659174</v>
      </c>
      <c r="J948">
        <f>($B$1+Table4[[#This Row],[Home Differential]])-Table4[[#This Row],[Away Differential]]</f>
        <v>1.547055391971075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0.80803955412817086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-0.26693531126155262</v>
      </c>
      <c r="H949" t="s">
        <v>35</v>
      </c>
      <c r="I949">
        <f>VLOOKUP(Table4[[#This Row],[Visitor]],'NHL Model'!$A$6:$B$38,2,FALSE)</f>
        <v>-1.6690304721962474</v>
      </c>
      <c r="J949">
        <f>($B$1+Table4[[#This Row],[Home Differential]])-Table4[[#This Row],[Away Differential]]</f>
        <v>1.508477093703438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0.73060746767131923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-0.22618911823839277</v>
      </c>
      <c r="H950" t="s">
        <v>11</v>
      </c>
      <c r="I950">
        <f>VLOOKUP(Table4[[#This Row],[Visitor]],'NHL Model'!$A$6:$B$38,2,FALSE)</f>
        <v>-0.4374979224090173</v>
      </c>
      <c r="J950">
        <f>($B$1+Table4[[#This Row],[Home Differential]])-Table4[[#This Row],[Away Differential]]</f>
        <v>0.31769073693936767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0.58014262273083805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-0.26282059799749452</v>
      </c>
      <c r="H951" t="s">
        <v>20</v>
      </c>
      <c r="I951">
        <f>VLOOKUP(Table4[[#This Row],[Visitor]],'NHL Model'!$A$6:$B$38,2,FALSE)</f>
        <v>-0.26509018427102904</v>
      </c>
      <c r="J951">
        <f>($B$1+Table4[[#This Row],[Home Differential]])-Table4[[#This Row],[Away Differential]]</f>
        <v>0.10865151904227763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0.55622441880159057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-0.66146476561443079</v>
      </c>
      <c r="H952" t="s">
        <v>40</v>
      </c>
      <c r="I952">
        <f>VLOOKUP(Table4[[#This Row],[Visitor]],'NHL Model'!$A$6:$B$38,2,FALSE)</f>
        <v>-0.2381776794561975</v>
      </c>
      <c r="J952">
        <f>($B$1+Table4[[#This Row],[Home Differential]])-Table4[[#This Row],[Away Differential]]</f>
        <v>-0.31690515338949021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0.54255592113332962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-0.34901281259242245</v>
      </c>
      <c r="H953" t="s">
        <v>10</v>
      </c>
      <c r="I953">
        <f>VLOOKUP(Table4[[#This Row],[Visitor]],'NHL Model'!$A$6:$B$38,2,FALSE)</f>
        <v>-0.32256919101930787</v>
      </c>
      <c r="J953">
        <f>($B$1+Table4[[#This Row],[Home Differential]])-Table4[[#This Row],[Away Differential]]</f>
        <v>7.9938311195628525E-2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0.59053198648756644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-0.45522284197080148</v>
      </c>
      <c r="H954" t="s">
        <v>12</v>
      </c>
      <c r="I954">
        <f>VLOOKUP(Table4[[#This Row],[Visitor]],'NHL Model'!$A$6:$B$38,2,FALSE)</f>
        <v>1.4740146843006017</v>
      </c>
      <c r="J954">
        <f>($B$1+Table4[[#This Row],[Home Differential]])-Table4[[#This Row],[Away Differential]]</f>
        <v>-1.82285559350266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0.78281775208206872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-1.5752718195161908</v>
      </c>
      <c r="H955" t="s">
        <v>26</v>
      </c>
      <c r="I955">
        <f>VLOOKUP(Table4[[#This Row],[Visitor]],'NHL Model'!$A$6:$B$38,2,FALSE)</f>
        <v>-0.98948521352045793</v>
      </c>
      <c r="J955">
        <f>($B$1+Table4[[#This Row],[Home Differential]])-Table4[[#This Row],[Away Differential]]</f>
        <v>-0.47940467322698965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0.54134563006293945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-0.54922296726434805</v>
      </c>
      <c r="H956" t="s">
        <v>28</v>
      </c>
      <c r="I956">
        <f>VLOOKUP(Table4[[#This Row],[Visitor]],'NHL Model'!$A$6:$B$38,2,FALSE)</f>
        <v>-0.89619124881012313</v>
      </c>
      <c r="J956">
        <f>($B$1+Table4[[#This Row],[Home Differential]])-Table4[[#This Row],[Away Differential]]</f>
        <v>0.45335021431451816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0.59728422173557283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-0.63099640390293943</v>
      </c>
      <c r="H957" t="s">
        <v>25</v>
      </c>
      <c r="I957">
        <f>VLOOKUP(Table4[[#This Row],[Visitor]],'NHL Model'!$A$6:$B$38,2,FALSE)</f>
        <v>0.15503279744029827</v>
      </c>
      <c r="J957">
        <f>($B$1+Table4[[#This Row],[Home Differential]])-Table4[[#This Row],[Away Differential]]</f>
        <v>-0.67964726857449465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0.61599904469373046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-1.0208691773880865</v>
      </c>
      <c r="H958" t="s">
        <v>27</v>
      </c>
      <c r="I958">
        <f>VLOOKUP(Table4[[#This Row],[Visitor]],'NHL Model'!$A$6:$B$38,2,FALSE)</f>
        <v>-0.5336297540825371</v>
      </c>
      <c r="J958">
        <f>($B$1+Table4[[#This Row],[Home Differential]])-Table4[[#This Row],[Away Differential]]</f>
        <v>-0.38085749053680629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0.50812421886808312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-1.1323142195605178</v>
      </c>
      <c r="H959" t="s">
        <v>39</v>
      </c>
      <c r="I959">
        <f>VLOOKUP(Table4[[#This Row],[Visitor]],'NHL Model'!$A$6:$B$38,2,FALSE)</f>
        <v>8.2462575231143323E-2</v>
      </c>
      <c r="J959">
        <f>($B$1+Table4[[#This Row],[Home Differential]])-Table4[[#This Row],[Away Differential]]</f>
        <v>-1.108394862022918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0.70185181044894152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9.6060347736414392E-2</v>
      </c>
      <c r="H960" t="s">
        <v>12</v>
      </c>
      <c r="I960">
        <f>VLOOKUP(Table4[[#This Row],[Visitor]],'NHL Model'!$A$6:$B$38,2,FALSE)</f>
        <v>1.4740146843006017</v>
      </c>
      <c r="J960">
        <f>($B$1+Table4[[#This Row],[Home Differential]])-Table4[[#This Row],[Away Differential]]</f>
        <v>-1.2715724037954441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0.63893364136922282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-0.19106480716289626</v>
      </c>
      <c r="H961" t="s">
        <v>14</v>
      </c>
      <c r="I961">
        <f>VLOOKUP(Table4[[#This Row],[Visitor]],'NHL Model'!$A$6:$B$38,2,FALSE)</f>
        <v>-0.26282059799749452</v>
      </c>
      <c r="J961">
        <f>($B$1+Table4[[#This Row],[Home Differential]])-Table4[[#This Row],[Away Differential]]</f>
        <v>0.17813772360334137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0.6142250223980833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-0.69947324663859312</v>
      </c>
      <c r="H962" t="s">
        <v>20</v>
      </c>
      <c r="I962">
        <f>VLOOKUP(Table4[[#This Row],[Visitor]],'NHL Model'!$A$6:$B$38,2,FALSE)</f>
        <v>-0.26509018427102904</v>
      </c>
      <c r="J962">
        <f>($B$1+Table4[[#This Row],[Home Differential]])-Table4[[#This Row],[Away Differential]]</f>
        <v>-0.328001129598821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0.48742879817371837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-0.89619124881012313</v>
      </c>
      <c r="H963" t="s">
        <v>29</v>
      </c>
      <c r="I963">
        <f>VLOOKUP(Table4[[#This Row],[Visitor]],'NHL Model'!$A$6:$B$38,2,FALSE)</f>
        <v>-1.5752718195161908</v>
      </c>
      <c r="J963">
        <f>($B$1+Table4[[#This Row],[Home Differential]])-Table4[[#This Row],[Away Differential]]</f>
        <v>0.78546250347481072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0.63924911645197446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-1.3446131114659174</v>
      </c>
      <c r="H964" t="s">
        <v>39</v>
      </c>
      <c r="I964">
        <f>VLOOKUP(Table4[[#This Row],[Visitor]],'NHL Model'!$A$6:$B$38,2,FALSE)</f>
        <v>8.2462575231143323E-2</v>
      </c>
      <c r="J964">
        <f>($B$1+Table4[[#This Row],[Home Differential]])-Table4[[#This Row],[Away Differential]]</f>
        <v>-1.3206937539283177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0.7286773779994361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-1.1555135170505442</v>
      </c>
      <c r="H965" t="s">
        <v>36</v>
      </c>
      <c r="I965">
        <f>VLOOKUP(Table4[[#This Row],[Visitor]],'NHL Model'!$A$6:$B$38,2,FALSE)</f>
        <v>-0.40987688593271943</v>
      </c>
      <c r="J965">
        <f>($B$1+Table4[[#This Row],[Home Differential]])-Table4[[#This Row],[Away Differential]]</f>
        <v>-0.63925469834908155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0.55445886713722103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-0.26693531126155262</v>
      </c>
      <c r="H966" t="s">
        <v>37</v>
      </c>
      <c r="I966">
        <f>VLOOKUP(Table4[[#This Row],[Visitor]],'NHL Model'!$A$6:$B$38,2,FALSE)</f>
        <v>0.17240077100158954</v>
      </c>
      <c r="J966">
        <f>($B$1+Table4[[#This Row],[Home Differential]])-Table4[[#This Row],[Away Differential]]</f>
        <v>-0.33295414949439905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0.56838705959816249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-0.1651785584335338</v>
      </c>
      <c r="H967" t="s">
        <v>11</v>
      </c>
      <c r="I967">
        <f>VLOOKUP(Table4[[#This Row],[Visitor]],'NHL Model'!$A$6:$B$38,2,FALSE)</f>
        <v>-0.4374979224090173</v>
      </c>
      <c r="J967">
        <f>($B$1+Table4[[#This Row],[Home Differential]])-Table4[[#This Row],[Away Differential]]</f>
        <v>0.37870129674422659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0.70961647338851097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-0.66146476561443079</v>
      </c>
      <c r="H968" t="s">
        <v>18</v>
      </c>
      <c r="I968">
        <f>VLOOKUP(Table4[[#This Row],[Visitor]],'NHL Model'!$A$6:$B$38,2,FALSE)</f>
        <v>-0.79206768185043297</v>
      </c>
      <c r="J968">
        <f>($B$1+Table4[[#This Row],[Home Differential]])-Table4[[#This Row],[Away Differential]]</f>
        <v>0.23698484900474526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0.50362903510059265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-0.2381776794561975</v>
      </c>
      <c r="H969" t="s">
        <v>10</v>
      </c>
      <c r="I969">
        <f>VLOOKUP(Table4[[#This Row],[Visitor]],'NHL Model'!$A$6:$B$38,2,FALSE)</f>
        <v>-0.32256919101930787</v>
      </c>
      <c r="J969">
        <f>($B$1+Table4[[#This Row],[Home Differential]])-Table4[[#This Row],[Away Differential]]</f>
        <v>0.19077344433185348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0.56660114396704186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0.12620994778252301</v>
      </c>
      <c r="H970" t="s">
        <v>55</v>
      </c>
      <c r="I970">
        <f>VLOOKUP(Table4[[#This Row],[Visitor]],'NHL Model'!$A$6:$B$38,2,FALSE)</f>
        <v>-0.34901281259242245</v>
      </c>
      <c r="J970">
        <f>($B$1+Table4[[#This Row],[Home Differential]])-Table4[[#This Row],[Away Differential]]</f>
        <v>0.58160469314368857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0.62750676377530668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9.6060347736414392E-2</v>
      </c>
      <c r="H971" t="s">
        <v>30</v>
      </c>
      <c r="I971">
        <f>VLOOKUP(Table4[[#This Row],[Visitor]],'NHL Model'!$A$6:$B$38,2,FALSE)</f>
        <v>-0.22618911823839277</v>
      </c>
      <c r="J971">
        <f>($B$1+Table4[[#This Row],[Home Differential]])-Table4[[#This Row],[Away Differential]]</f>
        <v>0.42863139874355027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0.59582747946253245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-0.98948521352045793</v>
      </c>
      <c r="H972" t="s">
        <v>20</v>
      </c>
      <c r="I972">
        <f>VLOOKUP(Table4[[#This Row],[Visitor]],'NHL Model'!$A$6:$B$38,2,FALSE)</f>
        <v>-0.26509018427102904</v>
      </c>
      <c r="J972">
        <f>($B$1+Table4[[#This Row],[Home Differential]])-Table4[[#This Row],[Away Differential]]</f>
        <v>-0.61801309648068581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0.52407399937197952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-0.1651785584335338</v>
      </c>
      <c r="H973" t="s">
        <v>19</v>
      </c>
      <c r="I973">
        <f>VLOOKUP(Table4[[#This Row],[Visitor]],'NHL Model'!$A$6:$B$38,2,FALSE)</f>
        <v>-1.0208691773880865</v>
      </c>
      <c r="J973">
        <f>($B$1+Table4[[#This Row],[Home Differential]])-Table4[[#This Row],[Away Differential]]</f>
        <v>0.96207255172329575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0.7833298350881619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-0.63099640390293943</v>
      </c>
      <c r="H974" t="s">
        <v>35</v>
      </c>
      <c r="I974">
        <f>VLOOKUP(Table4[[#This Row],[Visitor]],'NHL Model'!$A$6:$B$38,2,FALSE)</f>
        <v>-1.6690304721962474</v>
      </c>
      <c r="J974">
        <f>($B$1+Table4[[#This Row],[Home Differential]])-Table4[[#This Row],[Away Differential]]</f>
        <v>1.144416001062051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0.68710107967085909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-1.1323142195605178</v>
      </c>
      <c r="H975" t="s">
        <v>25</v>
      </c>
      <c r="I975">
        <f>VLOOKUP(Table4[[#This Row],[Visitor]],'NHL Model'!$A$6:$B$38,2,FALSE)</f>
        <v>0.15503279744029827</v>
      </c>
      <c r="J975">
        <f>($B$1+Table4[[#This Row],[Home Differential]])-Table4[[#This Row],[Away Differential]]</f>
        <v>-1.1809650842320729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0.68184702212711579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-0.89619124881012313</v>
      </c>
      <c r="H976" t="s">
        <v>11</v>
      </c>
      <c r="I976">
        <f>VLOOKUP(Table4[[#This Row],[Visitor]],'NHL Model'!$A$6:$B$38,2,FALSE)</f>
        <v>-0.4374979224090173</v>
      </c>
      <c r="J976">
        <f>($B$1+Table4[[#This Row],[Home Differential]])-Table4[[#This Row],[Away Differential]]</f>
        <v>-0.35231139363236275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0.50451720404129663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-1.3446131114659174</v>
      </c>
      <c r="H977" t="s">
        <v>36</v>
      </c>
      <c r="I977">
        <f>VLOOKUP(Table4[[#This Row],[Visitor]],'NHL Model'!$A$6:$B$38,2,FALSE)</f>
        <v>-0.40987688593271943</v>
      </c>
      <c r="J977">
        <f>($B$1+Table4[[#This Row],[Home Differential]])-Table4[[#This Row],[Away Differential]]</f>
        <v>-0.82835429276445482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0.58543804857067638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-0.45522284197080148</v>
      </c>
      <c r="H978" t="s">
        <v>30</v>
      </c>
      <c r="I978">
        <f>VLOOKUP(Table4[[#This Row],[Visitor]],'NHL Model'!$A$6:$B$38,2,FALSE)</f>
        <v>-0.22618911823839277</v>
      </c>
      <c r="J978">
        <f>($B$1+Table4[[#This Row],[Home Differential]])-Table4[[#This Row],[Away Differential]]</f>
        <v>-0.12265179096366557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0.54812114874474982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-1.5752718195161908</v>
      </c>
      <c r="H979" t="s">
        <v>21</v>
      </c>
      <c r="I979">
        <f>VLOOKUP(Table4[[#This Row],[Visitor]],'NHL Model'!$A$6:$B$38,2,FALSE)</f>
        <v>-0.19106480716289626</v>
      </c>
      <c r="J979">
        <f>($B$1+Table4[[#This Row],[Home Differential]])-Table4[[#This Row],[Away Differential]]</f>
        <v>-1.2778250795845514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0.62229233767643077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-0.54922296726434805</v>
      </c>
      <c r="H980" t="s">
        <v>19</v>
      </c>
      <c r="I980">
        <f>VLOOKUP(Table4[[#This Row],[Visitor]],'NHL Model'!$A$6:$B$38,2,FALSE)</f>
        <v>-1.0208691773880865</v>
      </c>
      <c r="J980">
        <f>($B$1+Table4[[#This Row],[Home Differential]])-Table4[[#This Row],[Away Differential]]</f>
        <v>0.5780281428924815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0.61303821915452417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-0.5336297540825371</v>
      </c>
      <c r="H981" t="s">
        <v>55</v>
      </c>
      <c r="I981">
        <f>VLOOKUP(Table4[[#This Row],[Visitor]],'NHL Model'!$A$6:$B$38,2,FALSE)</f>
        <v>-0.34901281259242245</v>
      </c>
      <c r="J981">
        <f>($B$1+Table4[[#This Row],[Home Differential]])-Table4[[#This Row],[Away Differential]]</f>
        <v>-7.8235008721371568E-2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0.43763951810800411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-0.26282059799749452</v>
      </c>
      <c r="H982" t="s">
        <v>23</v>
      </c>
      <c r="I982">
        <f>VLOOKUP(Table4[[#This Row],[Visitor]],'NHL Model'!$A$6:$B$38,2,FALSE)</f>
        <v>-0.69947324663859312</v>
      </c>
      <c r="J982">
        <f>($B$1+Table4[[#This Row],[Home Differential]])-Table4[[#This Row],[Away Differential]]</f>
        <v>0.54303458140984173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0.61111199771332692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-0.2381776794561975</v>
      </c>
      <c r="H983" t="s">
        <v>37</v>
      </c>
      <c r="I983">
        <f>VLOOKUP(Table4[[#This Row],[Visitor]],'NHL Model'!$A$6:$B$38,2,FALSE)</f>
        <v>0.17240077100158954</v>
      </c>
      <c r="J983">
        <f>($B$1+Table4[[#This Row],[Home Differential]])-Table4[[#This Row],[Away Differential]]</f>
        <v>-0.30419651768904393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0.5622470500756942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9.6060347736414392E-2</v>
      </c>
      <c r="H984" t="s">
        <v>18</v>
      </c>
      <c r="I984">
        <f>VLOOKUP(Table4[[#This Row],[Visitor]],'NHL Model'!$A$6:$B$38,2,FALSE)</f>
        <v>-0.79206768185043297</v>
      </c>
      <c r="J984">
        <f>($B$1+Table4[[#This Row],[Home Differential]])-Table4[[#This Row],[Away Differential]]</f>
        <v>0.99450996235559042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0.673609046375511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-0.32256919101930787</v>
      </c>
      <c r="H985" t="s">
        <v>38</v>
      </c>
      <c r="I985">
        <f>VLOOKUP(Table4[[#This Row],[Visitor]],'NHL Model'!$A$6:$B$38,2,FALSE)</f>
        <v>-1.1323142195605178</v>
      </c>
      <c r="J985">
        <f>($B$1+Table4[[#This Row],[Home Differential]])-Table4[[#This Row],[Away Differential]]</f>
        <v>0.91612696130995308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0.61647282379422119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8.2462575231143323E-2</v>
      </c>
      <c r="H986" t="s">
        <v>12</v>
      </c>
      <c r="I986">
        <f>VLOOKUP(Table4[[#This Row],[Visitor]],'NHL Model'!$A$6:$B$38,2,FALSE)</f>
        <v>1.4740146843006017</v>
      </c>
      <c r="J986">
        <f>($B$1+Table4[[#This Row],[Home Differential]])-Table4[[#This Row],[Away Differential]]</f>
        <v>-1.2851701763007153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0.71239095300411726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-0.98948521352045793</v>
      </c>
      <c r="H987" t="s">
        <v>11</v>
      </c>
      <c r="I987">
        <f>VLOOKUP(Table4[[#This Row],[Visitor]],'NHL Model'!$A$6:$B$38,2,FALSE)</f>
        <v>-0.4374979224090173</v>
      </c>
      <c r="J987">
        <f>($B$1+Table4[[#This Row],[Home Differential]])-Table4[[#This Row],[Away Differential]]</f>
        <v>-0.44560535834269754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0.50228898022214119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-1.1555135170505442</v>
      </c>
      <c r="H988" t="s">
        <v>25</v>
      </c>
      <c r="I988">
        <f>VLOOKUP(Table4[[#This Row],[Visitor]],'NHL Model'!$A$6:$B$38,2,FALSE)</f>
        <v>0.15503279744029827</v>
      </c>
      <c r="J988">
        <f>($B$1+Table4[[#This Row],[Home Differential]])-Table4[[#This Row],[Away Differential]]</f>
        <v>-1.2041643817220993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0.67770270463468829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-0.66146476561443079</v>
      </c>
      <c r="H989" t="s">
        <v>35</v>
      </c>
      <c r="I989">
        <f>VLOOKUP(Table4[[#This Row],[Visitor]],'NHL Model'!$A$6:$B$38,2,FALSE)</f>
        <v>-1.6690304721962474</v>
      </c>
      <c r="J989">
        <f>($B$1+Table4[[#This Row],[Home Differential]])-Table4[[#This Row],[Away Differential]]</f>
        <v>1.1139476393505596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0.68075569297096472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-0.26509018427102904</v>
      </c>
      <c r="H990" t="s">
        <v>34</v>
      </c>
      <c r="I990">
        <f>VLOOKUP(Table4[[#This Row],[Visitor]],'NHL Model'!$A$6:$B$38,2,FALSE)</f>
        <v>-0.26693531126155262</v>
      </c>
      <c r="J990">
        <f>($B$1+Table4[[#This Row],[Home Differential]])-Table4[[#This Row],[Away Differential]]</f>
        <v>0.10822705975926669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0.51116274314870092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-0.19106480716289626</v>
      </c>
      <c r="H991" t="s">
        <v>22</v>
      </c>
      <c r="I991">
        <f>VLOOKUP(Table4[[#This Row],[Visitor]],'NHL Model'!$A$6:$B$38,2,FALSE)</f>
        <v>0.12620994778252301</v>
      </c>
      <c r="J991">
        <f>($B$1+Table4[[#This Row],[Home Differential]])-Table4[[#This Row],[Away Differential]]</f>
        <v>-0.21089282217667615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0.4552193285978488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-0.69947324663859312</v>
      </c>
      <c r="H992" t="s">
        <v>29</v>
      </c>
      <c r="I992">
        <f>VLOOKUP(Table4[[#This Row],[Visitor]],'NHL Model'!$A$6:$B$38,2,FALSE)</f>
        <v>-1.5752718195161908</v>
      </c>
      <c r="J992">
        <f>($B$1+Table4[[#This Row],[Home Differential]])-Table4[[#This Row],[Away Differential]]</f>
        <v>0.98218050564634074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0.6781225414693911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-0.89619124881012313</v>
      </c>
      <c r="H993" t="s">
        <v>55</v>
      </c>
      <c r="I993">
        <f>VLOOKUP(Table4[[#This Row],[Visitor]],'NHL Model'!$A$6:$B$38,2,FALSE)</f>
        <v>-0.34901281259242245</v>
      </c>
      <c r="J993">
        <f>($B$1+Table4[[#This Row],[Home Differential]])-Table4[[#This Row],[Away Differential]]</f>
        <v>-0.4407965034489576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0.51569796560483649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-1.3446131114659174</v>
      </c>
      <c r="H994" t="s">
        <v>25</v>
      </c>
      <c r="I994">
        <f>VLOOKUP(Table4[[#This Row],[Visitor]],'NHL Model'!$A$6:$B$38,2,FALSE)</f>
        <v>0.15503279744029827</v>
      </c>
      <c r="J994">
        <f>($B$1+Table4[[#This Row],[Home Differential]])-Table4[[#This Row],[Away Differential]]</f>
        <v>-1.3932639761374725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0.70867258967761038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-0.45522284197080148</v>
      </c>
      <c r="H995" t="s">
        <v>18</v>
      </c>
      <c r="I995">
        <f>VLOOKUP(Table4[[#This Row],[Visitor]],'NHL Model'!$A$6:$B$38,2,FALSE)</f>
        <v>-0.79206768185043297</v>
      </c>
      <c r="J995">
        <f>($B$1+Table4[[#This Row],[Home Differential]])-Table4[[#This Row],[Away Differential]]</f>
        <v>0.44322677264837462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0.52968925898961527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-0.1651785584335338</v>
      </c>
      <c r="H996" t="s">
        <v>15</v>
      </c>
      <c r="I996">
        <f>VLOOKUP(Table4[[#This Row],[Visitor]],'NHL Model'!$A$6:$B$38,2,FALSE)</f>
        <v>-0.54922296726434805</v>
      </c>
      <c r="J996">
        <f>($B$1+Table4[[#This Row],[Home Differential]])-Table4[[#This Row],[Away Differential]]</f>
        <v>0.49042634159955734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0.63643715539707102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-0.26282059799749452</v>
      </c>
      <c r="H997" t="s">
        <v>27</v>
      </c>
      <c r="I997">
        <f>VLOOKUP(Table4[[#This Row],[Visitor]],'NHL Model'!$A$6:$B$38,2,FALSE)</f>
        <v>-0.5336297540825371</v>
      </c>
      <c r="J997">
        <f>($B$1+Table4[[#This Row],[Home Differential]])-Table4[[#This Row],[Away Differential]]</f>
        <v>0.37719108885378572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0.59015642054359374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-0.63099640390293943</v>
      </c>
      <c r="H998" t="s">
        <v>36</v>
      </c>
      <c r="I998">
        <f>VLOOKUP(Table4[[#This Row],[Visitor]],'NHL Model'!$A$6:$B$38,2,FALSE)</f>
        <v>-0.40987688593271943</v>
      </c>
      <c r="J998">
        <f>($B$1+Table4[[#This Row],[Home Differential]])-Table4[[#This Row],[Away Differential]]</f>
        <v>-0.11473758520147692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0.49275882956292838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-0.66146476561443079</v>
      </c>
      <c r="H999" t="s">
        <v>30</v>
      </c>
      <c r="I999">
        <f>VLOOKUP(Table4[[#This Row],[Visitor]],'NHL Model'!$A$6:$B$38,2,FALSE)</f>
        <v>-0.22618911823839277</v>
      </c>
      <c r="J999">
        <f>($B$1+Table4[[#This Row],[Home Differential]])-Table4[[#This Row],[Away Differential]]</f>
        <v>-0.32889371460729494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0.57418137263377245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-1.0208691773880865</v>
      </c>
      <c r="H1000" t="s">
        <v>37</v>
      </c>
      <c r="I1000">
        <f>VLOOKUP(Table4[[#This Row],[Visitor]],'NHL Model'!$A$6:$B$38,2,FALSE)</f>
        <v>0.17240077100158954</v>
      </c>
      <c r="J1000">
        <f>($B$1+Table4[[#This Row],[Home Differential]])-Table4[[#This Row],[Away Differential]]</f>
        <v>-1.0868880156209328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0.66365229472428366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-0.2381776794561975</v>
      </c>
      <c r="H1001" t="s">
        <v>38</v>
      </c>
      <c r="I1001">
        <f>VLOOKUP(Table4[[#This Row],[Visitor]],'NHL Model'!$A$6:$B$38,2,FALSE)</f>
        <v>-1.1323142195605178</v>
      </c>
      <c r="J1001">
        <f>($B$1+Table4[[#This Row],[Home Differential]])-Table4[[#This Row],[Away Differential]]</f>
        <v>1.0005184728730634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0.62964886800736397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9.6060347736414392E-2</v>
      </c>
      <c r="H1002" t="s">
        <v>35</v>
      </c>
      <c r="I1002">
        <f>VLOOKUP(Table4[[#This Row],[Visitor]],'NHL Model'!$A$6:$B$38,2,FALSE)</f>
        <v>-1.6690304721962474</v>
      </c>
      <c r="J1002">
        <f>($B$1+Table4[[#This Row],[Home Differential]])-Table4[[#This Row],[Away Differential]]</f>
        <v>1.871472752701405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0.8490321365515523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-0.69947324663859312</v>
      </c>
      <c r="H1003" t="s">
        <v>37</v>
      </c>
      <c r="I1003">
        <f>VLOOKUP(Table4[[#This Row],[Visitor]],'NHL Model'!$A$6:$B$38,2,FALSE)</f>
        <v>0.17240077100158954</v>
      </c>
      <c r="J1003">
        <f>($B$1+Table4[[#This Row],[Home Differential]])-Table4[[#This Row],[Away Differential]]</f>
        <v>-0.7654920848714396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0.60892082526406599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1.4740146843006017</v>
      </c>
      <c r="H1004" t="s">
        <v>34</v>
      </c>
      <c r="I1004">
        <f>VLOOKUP(Table4[[#This Row],[Visitor]],'NHL Model'!$A$6:$B$38,2,FALSE)</f>
        <v>-0.26693531126155262</v>
      </c>
      <c r="J1004">
        <f>($B$1+Table4[[#This Row],[Home Differential]])-Table4[[#This Row],[Away Differential]]</f>
        <v>1.8473319283308975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0.83342433390423909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8.2462575231143323E-2</v>
      </c>
      <c r="H1005" t="s">
        <v>10</v>
      </c>
      <c r="I1005">
        <f>VLOOKUP(Table4[[#This Row],[Visitor]],'NHL Model'!$A$6:$B$38,2,FALSE)</f>
        <v>-0.32256919101930787</v>
      </c>
      <c r="J1005">
        <f>($B$1+Table4[[#This Row],[Home Differential]])-Table4[[#This Row],[Away Differential]]</f>
        <v>0.51141369901919431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0.60711646053004975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-0.1651785584335338</v>
      </c>
      <c r="H1006" t="s">
        <v>26</v>
      </c>
      <c r="I1006">
        <f>VLOOKUP(Table4[[#This Row],[Visitor]],'NHL Model'!$A$6:$B$38,2,FALSE)</f>
        <v>-0.98948521352045793</v>
      </c>
      <c r="J1006">
        <f>($B$1+Table4[[#This Row],[Home Differential]])-Table4[[#This Row],[Away Differential]]</f>
        <v>0.93068858785566722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0.76045667132346007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-0.26282059799749452</v>
      </c>
      <c r="H1007" t="s">
        <v>21</v>
      </c>
      <c r="I1007">
        <f>VLOOKUP(Table4[[#This Row],[Visitor]],'NHL Model'!$A$6:$B$38,2,FALSE)</f>
        <v>-0.19106480716289626</v>
      </c>
      <c r="J1007">
        <f>($B$1+Table4[[#This Row],[Home Differential]])-Table4[[#This Row],[Away Differential]]</f>
        <v>3.4626141934144844E-2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0.54604194107875037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-0.26509018427102904</v>
      </c>
      <c r="H1008" t="s">
        <v>17</v>
      </c>
      <c r="I1008">
        <f>VLOOKUP(Table4[[#This Row],[Visitor]],'NHL Model'!$A$6:$B$38,2,FALSE)</f>
        <v>-1.1555135170505442</v>
      </c>
      <c r="J1008">
        <f>($B$1+Table4[[#This Row],[Home Differential]])-Table4[[#This Row],[Away Differential]]</f>
        <v>0.99680526554825821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0.66595386978076554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-0.32256919101930787</v>
      </c>
      <c r="H1009" t="s">
        <v>55</v>
      </c>
      <c r="I1009">
        <f>VLOOKUP(Table4[[#This Row],[Visitor]],'NHL Model'!$A$6:$B$38,2,FALSE)</f>
        <v>-0.34901281259242245</v>
      </c>
      <c r="J1009">
        <f>($B$1+Table4[[#This Row],[Home Differential]])-Table4[[#This Row],[Away Differential]]</f>
        <v>0.13282555434185769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0.5567835114373425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-0.5336297540825371</v>
      </c>
      <c r="H1010" t="s">
        <v>15</v>
      </c>
      <c r="I1010">
        <f>VLOOKUP(Table4[[#This Row],[Visitor]],'NHL Model'!$A$6:$B$38,2,FALSE)</f>
        <v>-0.54922296726434805</v>
      </c>
      <c r="J1010">
        <f>($B$1+Table4[[#This Row],[Home Differential]])-Table4[[#This Row],[Away Differential]]</f>
        <v>0.12197514595055403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0.49541248043176822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-1.1323142195605178</v>
      </c>
      <c r="H1011" t="s">
        <v>36</v>
      </c>
      <c r="I1011">
        <f>VLOOKUP(Table4[[#This Row],[Visitor]],'NHL Model'!$A$6:$B$38,2,FALSE)</f>
        <v>-0.40987688593271943</v>
      </c>
      <c r="J1011">
        <f>($B$1+Table4[[#This Row],[Home Differential]])-Table4[[#This Row],[Away Differential]]</f>
        <v>-0.61605540085905519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0.55861248102018179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0.12620994778252301</v>
      </c>
      <c r="H1012" t="s">
        <v>16</v>
      </c>
      <c r="I1012">
        <f>VLOOKUP(Table4[[#This Row],[Visitor]],'NHL Model'!$A$6:$B$38,2,FALSE)</f>
        <v>-1.3446131114659174</v>
      </c>
      <c r="J1012">
        <f>($B$1+Table4[[#This Row],[Home Differential]])-Table4[[#This Row],[Away Differential]]</f>
        <v>1.5772049920171836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0.75330837692091113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-0.19106480716289626</v>
      </c>
      <c r="H1013" t="s">
        <v>13</v>
      </c>
      <c r="I1013">
        <f>VLOOKUP(Table4[[#This Row],[Visitor]],'NHL Model'!$A$6:$B$38,2,FALSE)</f>
        <v>-0.45522284197080148</v>
      </c>
      <c r="J1013">
        <f>($B$1+Table4[[#This Row],[Home Differential]])-Table4[[#This Row],[Away Differential]]</f>
        <v>0.37053996757664831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0.55591143105017904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-0.69947324663859312</v>
      </c>
      <c r="H1014" t="s">
        <v>33</v>
      </c>
      <c r="I1014">
        <f>VLOOKUP(Table4[[#This Row],[Visitor]],'NHL Model'!$A$6:$B$38,2,FALSE)</f>
        <v>-0.66146476561443079</v>
      </c>
      <c r="J1014">
        <f>($B$1+Table4[[#This Row],[Home Differential]])-Table4[[#This Row],[Away Differential]]</f>
        <v>6.837345174458076E-2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0.56265612225000439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0.15503279744029827</v>
      </c>
      <c r="H1015" t="s">
        <v>14</v>
      </c>
      <c r="I1015">
        <f>VLOOKUP(Table4[[#This Row],[Visitor]],'NHL Model'!$A$6:$B$38,2,FALSE)</f>
        <v>-0.26282059799749452</v>
      </c>
      <c r="J1015">
        <f>($B$1+Table4[[#This Row],[Home Differential]])-Table4[[#This Row],[Away Differential]]</f>
        <v>0.52423532820653596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0.63227882680786651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1.4740146843006017</v>
      </c>
      <c r="H1016" t="s">
        <v>17</v>
      </c>
      <c r="I1016">
        <f>VLOOKUP(Table4[[#This Row],[Visitor]],'NHL Model'!$A$6:$B$38,2,FALSE)</f>
        <v>-1.1555135170505442</v>
      </c>
      <c r="J1016">
        <f>($B$1+Table4[[#This Row],[Home Differential]])-Table4[[#This Row],[Away Differential]]</f>
        <v>2.735910134119889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0.98581669573076824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8.2462575231143323E-2</v>
      </c>
      <c r="H1017" t="s">
        <v>20</v>
      </c>
      <c r="I1017">
        <f>VLOOKUP(Table4[[#This Row],[Visitor]],'NHL Model'!$A$6:$B$38,2,FALSE)</f>
        <v>-0.26509018427102904</v>
      </c>
      <c r="J1017">
        <f>($B$1+Table4[[#This Row],[Home Differential]])-Table4[[#This Row],[Away Differential]]</f>
        <v>0.45393469227091549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0.59985355414169061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-0.4374979224090173</v>
      </c>
      <c r="H1018" t="s">
        <v>26</v>
      </c>
      <c r="I1018">
        <f>VLOOKUP(Table4[[#This Row],[Visitor]],'NHL Model'!$A$6:$B$38,2,FALSE)</f>
        <v>-0.98948521352045793</v>
      </c>
      <c r="J1018">
        <f>($B$1+Table4[[#This Row],[Home Differential]])-Table4[[#This Row],[Away Differential]]</f>
        <v>0.65836922388018371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0.63491405913059673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-0.26693531126155262</v>
      </c>
      <c r="H1019" t="s">
        <v>55</v>
      </c>
      <c r="I1019">
        <f>VLOOKUP(Table4[[#This Row],[Visitor]],'NHL Model'!$A$6:$B$38,2,FALSE)</f>
        <v>-0.34901281259242245</v>
      </c>
      <c r="J1019">
        <f>($B$1+Table4[[#This Row],[Home Differential]])-Table4[[#This Row],[Away Differential]]</f>
        <v>0.18845943409961294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0.56381327210233345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-0.79206768185043297</v>
      </c>
      <c r="H1020" t="s">
        <v>19</v>
      </c>
      <c r="I1020">
        <f>VLOOKUP(Table4[[#This Row],[Visitor]],'NHL Model'!$A$6:$B$38,2,FALSE)</f>
        <v>-1.0208691773880865</v>
      </c>
      <c r="J1020">
        <f>($B$1+Table4[[#This Row],[Home Differential]])-Table4[[#This Row],[Away Differential]]</f>
        <v>0.33518342830639658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0.58235295633029593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-0.54922296726434805</v>
      </c>
      <c r="H1021" t="s">
        <v>16</v>
      </c>
      <c r="I1021">
        <f>VLOOKUP(Table4[[#This Row],[Visitor]],'NHL Model'!$A$6:$B$38,2,FALSE)</f>
        <v>-1.3446131114659174</v>
      </c>
      <c r="J1021">
        <f>($B$1+Table4[[#This Row],[Home Differential]])-Table4[[#This Row],[Away Differential]]</f>
        <v>0.90177207697031248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0.65394570903693772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-0.63099640390293943</v>
      </c>
      <c r="H1022" t="s">
        <v>29</v>
      </c>
      <c r="I1022">
        <f>VLOOKUP(Table4[[#This Row],[Visitor]],'NHL Model'!$A$6:$B$38,2,FALSE)</f>
        <v>-1.5752718195161908</v>
      </c>
      <c r="J1022">
        <f>($B$1+Table4[[#This Row],[Home Differential]])-Table4[[#This Row],[Away Differential]]</f>
        <v>1.0506573483819945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0.67525396615868427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-1.6690304721962474</v>
      </c>
      <c r="H1023" t="s">
        <v>30</v>
      </c>
      <c r="I1023">
        <f>VLOOKUP(Table4[[#This Row],[Visitor]],'NHL Model'!$A$6:$B$38,2,FALSE)</f>
        <v>-0.22618911823839277</v>
      </c>
      <c r="J1023">
        <f>($B$1+Table4[[#This Row],[Home Differential]])-Table4[[#This Row],[Away Differential]]</f>
        <v>-1.3364594211891114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0.7014949053653341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0.17240077100158954</v>
      </c>
      <c r="H1024" t="s">
        <v>28</v>
      </c>
      <c r="I1024">
        <f>VLOOKUP(Table4[[#This Row],[Visitor]],'NHL Model'!$A$6:$B$38,2,FALSE)</f>
        <v>-0.89619124881012313</v>
      </c>
      <c r="J1024">
        <f>($B$1+Table4[[#This Row],[Home Differential]])-Table4[[#This Row],[Away Differential]]</f>
        <v>1.1749739525804559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0.72071289411875195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-0.2381776794561975</v>
      </c>
      <c r="H1025" t="s">
        <v>31</v>
      </c>
      <c r="I1025">
        <f>VLOOKUP(Table4[[#This Row],[Visitor]],'NHL Model'!$A$6:$B$38,2,FALSE)</f>
        <v>9.6060347736414392E-2</v>
      </c>
      <c r="J1025">
        <f>($B$1+Table4[[#This Row],[Home Differential]])-Table4[[#This Row],[Away Differential]]</f>
        <v>-0.22785609442386878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0.50705220708893395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-0.40987688593271943</v>
      </c>
      <c r="H1026" t="s">
        <v>18</v>
      </c>
      <c r="I1026">
        <f>VLOOKUP(Table4[[#This Row],[Visitor]],'NHL Model'!$A$6:$B$38,2,FALSE)</f>
        <v>-0.79206768185043297</v>
      </c>
      <c r="J1026">
        <f>($B$1+Table4[[#This Row],[Home Differential]])-Table4[[#This Row],[Away Differential]]</f>
        <v>0.48857272868645663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0.53792532849742158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-0.5336297540825371</v>
      </c>
      <c r="H1027" t="s">
        <v>22</v>
      </c>
      <c r="I1027">
        <f>VLOOKUP(Table4[[#This Row],[Visitor]],'NHL Model'!$A$6:$B$38,2,FALSE)</f>
        <v>0.12620994778252301</v>
      </c>
      <c r="J1027">
        <f>($B$1+Table4[[#This Row],[Home Differential]])-Table4[[#This Row],[Away Differential]]</f>
        <v>-0.55345776909631705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0.51820942902255585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-0.19106480716289626</v>
      </c>
      <c r="H1028" t="s">
        <v>33</v>
      </c>
      <c r="I1028">
        <f>VLOOKUP(Table4[[#This Row],[Visitor]],'NHL Model'!$A$6:$B$38,2,FALSE)</f>
        <v>-0.66146476561443079</v>
      </c>
      <c r="J1028">
        <f>($B$1+Table4[[#This Row],[Home Differential]])-Table4[[#This Row],[Away Differential]]</f>
        <v>0.57678189122027768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0.6645967221796536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-0.69947324663859312</v>
      </c>
      <c r="H1029" t="s">
        <v>22</v>
      </c>
      <c r="I1029">
        <f>VLOOKUP(Table4[[#This Row],[Visitor]],'NHL Model'!$A$6:$B$38,2,FALSE)</f>
        <v>0.12620994778252301</v>
      </c>
      <c r="J1029">
        <f>($B$1+Table4[[#This Row],[Home Differential]])-Table4[[#This Row],[Away Differential]]</f>
        <v>-0.71930126165237307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0.55755581078999006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0.15503279744029827</v>
      </c>
      <c r="H1030" t="s">
        <v>35</v>
      </c>
      <c r="I1030">
        <f>VLOOKUP(Table4[[#This Row],[Visitor]],'NHL Model'!$A$6:$B$38,2,FALSE)</f>
        <v>-1.6690304721962474</v>
      </c>
      <c r="J1030">
        <f>($B$1+Table4[[#This Row],[Home Differential]])-Table4[[#This Row],[Away Differential]]</f>
        <v>1.9304452024052887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0.80996405932099835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8.2462575231143323E-2</v>
      </c>
      <c r="H1031" t="s">
        <v>17</v>
      </c>
      <c r="I1031">
        <f>VLOOKUP(Table4[[#This Row],[Visitor]],'NHL Model'!$A$6:$B$38,2,FALSE)</f>
        <v>-1.1555135170505442</v>
      </c>
      <c r="J1031">
        <f>($B$1+Table4[[#This Row],[Home Differential]])-Table4[[#This Row],[Away Differential]]</f>
        <v>1.3443580250504306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0.71236526368305308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-0.4374979224090173</v>
      </c>
      <c r="H1032" t="s">
        <v>28</v>
      </c>
      <c r="I1032">
        <f>VLOOKUP(Table4[[#This Row],[Visitor]],'NHL Model'!$A$6:$B$38,2,FALSE)</f>
        <v>-0.89619124881012313</v>
      </c>
      <c r="J1032">
        <f>($B$1+Table4[[#This Row],[Home Differential]])-Table4[[#This Row],[Away Differential]]</f>
        <v>0.56507525916984891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0.64364759032840035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-0.26693531126155262</v>
      </c>
      <c r="H1033" t="s">
        <v>27</v>
      </c>
      <c r="I1033">
        <f>VLOOKUP(Table4[[#This Row],[Visitor]],'NHL Model'!$A$6:$B$38,2,FALSE)</f>
        <v>-0.5336297540825371</v>
      </c>
      <c r="J1033">
        <f>($B$1+Table4[[#This Row],[Home Differential]])-Table4[[#This Row],[Away Differential]]</f>
        <v>0.37307637558972762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0.58714101625803827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-0.1651785584335338</v>
      </c>
      <c r="H1034" t="s">
        <v>16</v>
      </c>
      <c r="I1034">
        <f>VLOOKUP(Table4[[#This Row],[Visitor]],'NHL Model'!$A$6:$B$38,2,FALSE)</f>
        <v>-1.3446131114659174</v>
      </c>
      <c r="J1034">
        <f>($B$1+Table4[[#This Row],[Home Differential]])-Table4[[#This Row],[Away Differential]]</f>
        <v>1.2858164858011267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0.82423732497057545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-0.63099640390293943</v>
      </c>
      <c r="H1035" t="s">
        <v>12</v>
      </c>
      <c r="I1035">
        <f>VLOOKUP(Table4[[#This Row],[Visitor]],'NHL Model'!$A$6:$B$38,2,FALSE)</f>
        <v>1.4740146843006017</v>
      </c>
      <c r="J1035">
        <f>($B$1+Table4[[#This Row],[Home Differential]])-Table4[[#This Row],[Away Differential]]</f>
        <v>-1.9986291554347981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0.80254188063023302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0.17240077100158954</v>
      </c>
      <c r="H1036" t="s">
        <v>26</v>
      </c>
      <c r="I1036">
        <f>VLOOKUP(Table4[[#This Row],[Visitor]],'NHL Model'!$A$6:$B$38,2,FALSE)</f>
        <v>-0.98948521352045793</v>
      </c>
      <c r="J1036">
        <f>($B$1+Table4[[#This Row],[Home Differential]])-Table4[[#This Row],[Away Differential]]</f>
        <v>1.2682679172907907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0.71197936292094832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-1.0208691773880865</v>
      </c>
      <c r="H1037" t="s">
        <v>31</v>
      </c>
      <c r="I1037">
        <f>VLOOKUP(Table4[[#This Row],[Visitor]],'NHL Model'!$A$6:$B$38,2,FALSE)</f>
        <v>9.6060347736414392E-2</v>
      </c>
      <c r="J1037">
        <f>($B$1+Table4[[#This Row],[Home Differential]])-Table4[[#This Row],[Away Differential]]</f>
        <v>-1.0105475923557579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0.60845954727737639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-0.34901281259242245</v>
      </c>
      <c r="H1038" t="s">
        <v>10</v>
      </c>
      <c r="I1038">
        <f>VLOOKUP(Table4[[#This Row],[Visitor]],'NHL Model'!$A$6:$B$38,2,FALSE)</f>
        <v>-0.32256919101930787</v>
      </c>
      <c r="J1038">
        <f>($B$1+Table4[[#This Row],[Home Differential]])-Table4[[#This Row],[Away Differential]]</f>
        <v>7.9938311195628525E-2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0.59053198648756644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-1.1323142195605178</v>
      </c>
      <c r="H1039" t="s">
        <v>29</v>
      </c>
      <c r="I1039">
        <f>VLOOKUP(Table4[[#This Row],[Visitor]],'NHL Model'!$A$6:$B$38,2,FALSE)</f>
        <v>-1.5752718195161908</v>
      </c>
      <c r="J1039">
        <f>($B$1+Table4[[#This Row],[Home Differential]])-Table4[[#This Row],[Away Differential]]</f>
        <v>0.54933953272441616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0.60941319670110428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-0.26509018427102904</v>
      </c>
      <c r="H1040" t="s">
        <v>14</v>
      </c>
      <c r="I1040">
        <f>VLOOKUP(Table4[[#This Row],[Visitor]],'NHL Model'!$A$6:$B$38,2,FALSE)</f>
        <v>-0.26282059799749452</v>
      </c>
      <c r="J1040">
        <f>($B$1+Table4[[#This Row],[Home Differential]])-Table4[[#This Row],[Away Differential]]</f>
        <v>0.10411234649520859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0.55315538088155558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-0.2381776794561975</v>
      </c>
      <c r="H1041" t="s">
        <v>15</v>
      </c>
      <c r="I1041">
        <f>VLOOKUP(Table4[[#This Row],[Visitor]],'NHL Model'!$A$6:$B$38,2,FALSE)</f>
        <v>-0.54922296726434805</v>
      </c>
      <c r="J1041">
        <f>($B$1+Table4[[#This Row],[Home Differential]])-Table4[[#This Row],[Away Differential]]</f>
        <v>0.41742722057689363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0.50274508030871112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-0.22618911823839277</v>
      </c>
      <c r="H1042" t="s">
        <v>13</v>
      </c>
      <c r="I1042">
        <f>VLOOKUP(Table4[[#This Row],[Visitor]],'NHL Model'!$A$6:$B$38,2,FALSE)</f>
        <v>-0.45522284197080148</v>
      </c>
      <c r="J1042">
        <f>($B$1+Table4[[#This Row],[Home Differential]])-Table4[[#This Row],[Away Differential]]</f>
        <v>0.33541565650115179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0.49890403924613452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-1.6690304721962474</v>
      </c>
      <c r="H1043" t="s">
        <v>17</v>
      </c>
      <c r="I1043">
        <f>VLOOKUP(Table4[[#This Row],[Visitor]],'NHL Model'!$A$6:$B$38,2,FALSE)</f>
        <v>-1.1555135170505442</v>
      </c>
      <c r="J1043">
        <f>($B$1+Table4[[#This Row],[Home Differential]])-Table4[[#This Row],[Away Differential]]</f>
        <v>-0.40713502237696009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0.51144458337451881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-0.69947324663859312</v>
      </c>
      <c r="H1044" t="s">
        <v>19</v>
      </c>
      <c r="I1044">
        <f>VLOOKUP(Table4[[#This Row],[Visitor]],'NHL Model'!$A$6:$B$38,2,FALSE)</f>
        <v>-1.0208691773880865</v>
      </c>
      <c r="J1044">
        <f>($B$1+Table4[[#This Row],[Home Differential]])-Table4[[#This Row],[Away Differential]]</f>
        <v>0.42777786351823643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0.60806958267577105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8.2462575231143323E-2</v>
      </c>
      <c r="H1045" t="s">
        <v>26</v>
      </c>
      <c r="I1045">
        <f>VLOOKUP(Table4[[#This Row],[Visitor]],'NHL Model'!$A$6:$B$38,2,FALSE)</f>
        <v>-0.98948521352045793</v>
      </c>
      <c r="J1045">
        <f>($B$1+Table4[[#This Row],[Home Differential]])-Table4[[#This Row],[Away Differential]]</f>
        <v>1.1783297215203443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0.67062998548213082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-0.26693531126155262</v>
      </c>
      <c r="H1046" t="s">
        <v>15</v>
      </c>
      <c r="I1046">
        <f>VLOOKUP(Table4[[#This Row],[Visitor]],'NHL Model'!$A$6:$B$38,2,FALSE)</f>
        <v>-0.54922296726434805</v>
      </c>
      <c r="J1046">
        <f>($B$1+Table4[[#This Row],[Home Differential]])-Table4[[#This Row],[Away Differential]]</f>
        <v>0.38866958877153857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0.49662514860509943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-0.79206768185043297</v>
      </c>
      <c r="H1047" t="s">
        <v>33</v>
      </c>
      <c r="I1047">
        <f>VLOOKUP(Table4[[#This Row],[Visitor]],'NHL Model'!$A$6:$B$38,2,FALSE)</f>
        <v>-0.66146476561443079</v>
      </c>
      <c r="J1047">
        <f>($B$1+Table4[[#This Row],[Home Differential]])-Table4[[#This Row],[Away Differential]]</f>
        <v>-2.4220983467259094E-2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0.46306050409547073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-0.1651785584335338</v>
      </c>
      <c r="H1048" t="s">
        <v>13</v>
      </c>
      <c r="I1048">
        <f>VLOOKUP(Table4[[#This Row],[Visitor]],'NHL Model'!$A$6:$B$38,2,FALSE)</f>
        <v>-0.45522284197080148</v>
      </c>
      <c r="J1048">
        <f>($B$1+Table4[[#This Row],[Home Differential]])-Table4[[#This Row],[Away Differential]]</f>
        <v>0.39642621630601083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0.63342477822435306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-0.22618911823839277</v>
      </c>
      <c r="H1049" t="s">
        <v>16</v>
      </c>
      <c r="I1049">
        <f>VLOOKUP(Table4[[#This Row],[Visitor]],'NHL Model'!$A$6:$B$38,2,FALSE)</f>
        <v>-1.3446131114659174</v>
      </c>
      <c r="J1049">
        <f>($B$1+Table4[[#This Row],[Home Differential]])-Table4[[#This Row],[Away Differential]]</f>
        <v>1.2248059259962678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0.69476347431290253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-0.40987688593271943</v>
      </c>
      <c r="H1050" t="s">
        <v>31</v>
      </c>
      <c r="I1050">
        <f>VLOOKUP(Table4[[#This Row],[Visitor]],'NHL Model'!$A$6:$B$38,2,FALSE)</f>
        <v>9.6060347736414392E-2</v>
      </c>
      <c r="J1050">
        <f>($B$1+Table4[[#This Row],[Home Differential]])-Table4[[#This Row],[Away Differential]]</f>
        <v>-0.39955530090039071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0.52874769791492782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-0.5336297540825371</v>
      </c>
      <c r="H1051" t="s">
        <v>28</v>
      </c>
      <c r="I1051">
        <f>VLOOKUP(Table4[[#This Row],[Visitor]],'NHL Model'!$A$6:$B$38,2,FALSE)</f>
        <v>-0.89619124881012313</v>
      </c>
      <c r="J1051">
        <f>($B$1+Table4[[#This Row],[Home Differential]])-Table4[[#This Row],[Away Differential]]</f>
        <v>0.46894342749632911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0.63150060773623551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0.17240077100158954</v>
      </c>
      <c r="H1052" t="s">
        <v>25</v>
      </c>
      <c r="I1052">
        <f>VLOOKUP(Table4[[#This Row],[Visitor]],'NHL Model'!$A$6:$B$38,2,FALSE)</f>
        <v>0.15503279744029827</v>
      </c>
      <c r="J1052">
        <f>($B$1+Table4[[#This Row],[Home Differential]])-Table4[[#This Row],[Away Differential]]</f>
        <v>0.12374990633003438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0.51563673480266192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-0.34901281259242245</v>
      </c>
      <c r="H1053" t="s">
        <v>14</v>
      </c>
      <c r="I1053">
        <f>VLOOKUP(Table4[[#This Row],[Visitor]],'NHL Model'!$A$6:$B$38,2,FALSE)</f>
        <v>-0.26282059799749452</v>
      </c>
      <c r="J1053">
        <f>($B$1+Table4[[#This Row],[Home Differential]])-Table4[[#This Row],[Away Differential]]</f>
        <v>2.018971817381518E-2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0.58298230074135982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-1.1323142195605178</v>
      </c>
      <c r="H1054" t="s">
        <v>32</v>
      </c>
      <c r="I1054">
        <f>VLOOKUP(Table4[[#This Row],[Visitor]],'NHL Model'!$A$6:$B$38,2,FALSE)</f>
        <v>-0.63099640390293943</v>
      </c>
      <c r="J1054">
        <f>($B$1+Table4[[#This Row],[Home Differential]])-Table4[[#This Row],[Away Differential]]</f>
        <v>-0.39493588288883519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0.50990313001383702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-0.26509018427102904</v>
      </c>
      <c r="H1055" t="s">
        <v>10</v>
      </c>
      <c r="I1055">
        <f>VLOOKUP(Table4[[#This Row],[Visitor]],'NHL Model'!$A$6:$B$38,2,FALSE)</f>
        <v>-0.32256919101930787</v>
      </c>
      <c r="J1055">
        <f>($B$1+Table4[[#This Row],[Home Differential]])-Table4[[#This Row],[Away Differential]]</f>
        <v>0.16386093951702194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0.56070506662776221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-0.2381776794561975</v>
      </c>
      <c r="H1056" t="s">
        <v>12</v>
      </c>
      <c r="I1056">
        <f>VLOOKUP(Table4[[#This Row],[Visitor]],'NHL Model'!$A$6:$B$38,2,FALSE)</f>
        <v>1.4740146843006017</v>
      </c>
      <c r="J1056">
        <f>($B$1+Table4[[#This Row],[Home Differential]])-Table4[[#This Row],[Away Differential]]</f>
        <v>-1.6058104309880561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0.75290626956712514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0.12620994778252301</v>
      </c>
      <c r="H1057" t="s">
        <v>21</v>
      </c>
      <c r="I1057">
        <f>VLOOKUP(Table4[[#This Row],[Visitor]],'NHL Model'!$A$6:$B$38,2,FALSE)</f>
        <v>-0.19106480716289626</v>
      </c>
      <c r="J1057">
        <f>($B$1+Table4[[#This Row],[Home Differential]])-Table4[[#This Row],[Away Differential]]</f>
        <v>0.42365668771416237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0.60672370986692847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-1.1555135170505442</v>
      </c>
      <c r="H1058" t="s">
        <v>29</v>
      </c>
      <c r="I1058">
        <f>VLOOKUP(Table4[[#This Row],[Visitor]],'NHL Model'!$A$6:$B$38,2,FALSE)</f>
        <v>-1.5752718195161908</v>
      </c>
      <c r="J1058">
        <f>($B$1+Table4[[#This Row],[Home Differential]])-Table4[[#This Row],[Away Differential]]</f>
        <v>0.5261402352343898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0.61352774220110629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-0.26693531126155262</v>
      </c>
      <c r="H1059" t="s">
        <v>19</v>
      </c>
      <c r="I1059">
        <f>VLOOKUP(Table4[[#This Row],[Visitor]],'NHL Model'!$A$6:$B$38,2,FALSE)</f>
        <v>-1.0208691773880865</v>
      </c>
      <c r="J1059">
        <f>($B$1+Table4[[#This Row],[Home Differential]])-Table4[[#This Row],[Away Differential]]</f>
        <v>0.86031579889527698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0.64870739536552435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-0.79206768185043297</v>
      </c>
      <c r="H1060" t="s">
        <v>31</v>
      </c>
      <c r="I1060">
        <f>VLOOKUP(Table4[[#This Row],[Visitor]],'NHL Model'!$A$6:$B$38,2,FALSE)</f>
        <v>9.6060347736414392E-2</v>
      </c>
      <c r="J1060">
        <f>($B$1+Table4[[#This Row],[Home Differential]])-Table4[[#This Row],[Away Differential]]</f>
        <v>-0.78174609681810425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0.57954875118648341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-0.40987688593271943</v>
      </c>
      <c r="H1061" t="s">
        <v>33</v>
      </c>
      <c r="I1061">
        <f>VLOOKUP(Table4[[#This Row],[Visitor]],'NHL Model'!$A$6:$B$38,2,FALSE)</f>
        <v>-0.66146476561443079</v>
      </c>
      <c r="J1061">
        <f>($B$1+Table4[[#This Row],[Home Differential]])-Table4[[#This Row],[Away Differential]]</f>
        <v>0.35796981245045445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0.58772766717641156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-0.63099640390293943</v>
      </c>
      <c r="H1062" t="s">
        <v>11</v>
      </c>
      <c r="I1062">
        <f>VLOOKUP(Table4[[#This Row],[Visitor]],'NHL Model'!$A$6:$B$38,2,FALSE)</f>
        <v>-0.4374979224090173</v>
      </c>
      <c r="J1062">
        <f>($B$1+Table4[[#This Row],[Home Differential]])-Table4[[#This Row],[Away Differential]]</f>
        <v>-8.7116548725179044E-2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0.46851235433458682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-0.2381776794561975</v>
      </c>
      <c r="H1063" t="s">
        <v>35</v>
      </c>
      <c r="I1063">
        <f>VLOOKUP(Table4[[#This Row],[Visitor]],'NHL Model'!$A$6:$B$38,2,FALSE)</f>
        <v>-1.6690304721962474</v>
      </c>
      <c r="J1063">
        <f>($B$1+Table4[[#This Row],[Home Differential]])-Table4[[#This Row],[Away Differential]]</f>
        <v>1.537234725508793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0.73673669073396697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1.4740146843006017</v>
      </c>
      <c r="H1064" t="s">
        <v>14</v>
      </c>
      <c r="I1064">
        <f>VLOOKUP(Table4[[#This Row],[Visitor]],'NHL Model'!$A$6:$B$38,2,FALSE)</f>
        <v>-0.26282059799749452</v>
      </c>
      <c r="J1064">
        <f>($B$1+Table4[[#This Row],[Home Differential]])-Table4[[#This Row],[Away Differential]]</f>
        <v>1.8432172150668393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0.87301820683155829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8.2462575231143323E-2</v>
      </c>
      <c r="H1065" t="s">
        <v>55</v>
      </c>
      <c r="I1065">
        <f>VLOOKUP(Table4[[#This Row],[Visitor]],'NHL Model'!$A$6:$B$38,2,FALSE)</f>
        <v>-0.34901281259242245</v>
      </c>
      <c r="J1065">
        <f>($B$1+Table4[[#This Row],[Home Differential]])-Table4[[#This Row],[Away Differential]]</f>
        <v>0.53785732059230895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0.61045781172798907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-0.98948521352045793</v>
      </c>
      <c r="H1066" t="s">
        <v>16</v>
      </c>
      <c r="I1066">
        <f>VLOOKUP(Table4[[#This Row],[Visitor]],'NHL Model'!$A$6:$B$38,2,FALSE)</f>
        <v>-1.3446131114659174</v>
      </c>
      <c r="J1066">
        <f>($B$1+Table4[[#This Row],[Home Differential]])-Table4[[#This Row],[Away Differential]]</f>
        <v>0.4615098307142026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0.6123318713599234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-0.1651785584335338</v>
      </c>
      <c r="H1067" t="s">
        <v>21</v>
      </c>
      <c r="I1067">
        <f>VLOOKUP(Table4[[#This Row],[Visitor]],'NHL Model'!$A$6:$B$38,2,FALSE)</f>
        <v>-0.19106480716289626</v>
      </c>
      <c r="J1067">
        <f>($B$1+Table4[[#This Row],[Home Differential]])-Table4[[#This Row],[Away Differential]]</f>
        <v>0.13226818149810557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0.67773003232369511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-0.54922296726434805</v>
      </c>
      <c r="H1068" t="s">
        <v>13</v>
      </c>
      <c r="I1068">
        <f>VLOOKUP(Table4[[#This Row],[Visitor]],'NHL Model'!$A$6:$B$38,2,FALSE)</f>
        <v>-0.45522284197080148</v>
      </c>
      <c r="J1068">
        <f>($B$1+Table4[[#This Row],[Home Differential]])-Table4[[#This Row],[Away Differential]]</f>
        <v>1.2381807475196516E-2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0.45808627397016966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-0.89619124881012313</v>
      </c>
      <c r="H1069" t="s">
        <v>25</v>
      </c>
      <c r="I1069">
        <f>VLOOKUP(Table4[[#This Row],[Visitor]],'NHL Model'!$A$6:$B$38,2,FALSE)</f>
        <v>0.15503279744029827</v>
      </c>
      <c r="J1069">
        <f>($B$1+Table4[[#This Row],[Home Differential]])-Table4[[#This Row],[Away Differential]]</f>
        <v>-0.94484211348167835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0.6520111023762456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-0.32256919101930787</v>
      </c>
      <c r="H1070" t="s">
        <v>34</v>
      </c>
      <c r="I1070">
        <f>VLOOKUP(Table4[[#This Row],[Visitor]],'NHL Model'!$A$6:$B$38,2,FALSE)</f>
        <v>-0.26693531126155262</v>
      </c>
      <c r="J1070">
        <f>($B$1+Table4[[#This Row],[Home Differential]])-Table4[[#This Row],[Away Differential]]</f>
        <v>5.0748053010987865E-2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0.50389983676034178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-1.1555135170505442</v>
      </c>
      <c r="H1071" t="s">
        <v>33</v>
      </c>
      <c r="I1071">
        <f>VLOOKUP(Table4[[#This Row],[Visitor]],'NHL Model'!$A$6:$B$38,2,FALSE)</f>
        <v>-0.66146476561443079</v>
      </c>
      <c r="J1071">
        <f>($B$1+Table4[[#This Row],[Home Differential]])-Table4[[#This Row],[Away Differential]]</f>
        <v>-0.38766681866737018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0.50193867701828043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-0.79206768185043297</v>
      </c>
      <c r="H1072" t="s">
        <v>21</v>
      </c>
      <c r="I1072">
        <f>VLOOKUP(Table4[[#This Row],[Visitor]],'NHL Model'!$A$6:$B$38,2,FALSE)</f>
        <v>-0.19106480716289626</v>
      </c>
      <c r="J1072">
        <f>($B$1+Table4[[#This Row],[Home Differential]])-Table4[[#This Row],[Away Differential]]</f>
        <v>-0.49462094191879363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0.52332858279191785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-0.63099640390293943</v>
      </c>
      <c r="H1073" t="s">
        <v>37</v>
      </c>
      <c r="I1073">
        <f>VLOOKUP(Table4[[#This Row],[Visitor]],'NHL Model'!$A$6:$B$38,2,FALSE)</f>
        <v>0.17240077100158954</v>
      </c>
      <c r="J1073">
        <f>($B$1+Table4[[#This Row],[Home Differential]])-Table4[[#This Row],[Away Differential]]</f>
        <v>-0.69701524213578592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0.61188266113880208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-1.0208691773880865</v>
      </c>
      <c r="H1074" t="s">
        <v>30</v>
      </c>
      <c r="I1074">
        <f>VLOOKUP(Table4[[#This Row],[Visitor]],'NHL Model'!$A$6:$B$38,2,FALSE)</f>
        <v>-0.22618911823839277</v>
      </c>
      <c r="J1074">
        <f>($B$1+Table4[[#This Row],[Home Differential]])-Table4[[#This Row],[Away Differential]]</f>
        <v>-0.68829812638095067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0.61959483305953911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-1.1323142195605178</v>
      </c>
      <c r="H1075" t="s">
        <v>11</v>
      </c>
      <c r="I1075">
        <f>VLOOKUP(Table4[[#This Row],[Visitor]],'NHL Model'!$A$6:$B$38,2,FALSE)</f>
        <v>-0.4374979224090173</v>
      </c>
      <c r="J1075">
        <f>($B$1+Table4[[#This Row],[Home Differential]])-Table4[[#This Row],[Away Differential]]</f>
        <v>-0.58843436438275731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0.53435312379216682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-0.26509018427102904</v>
      </c>
      <c r="H1076" t="s">
        <v>23</v>
      </c>
      <c r="I1076">
        <f>VLOOKUP(Table4[[#This Row],[Visitor]],'NHL Model'!$A$6:$B$38,2,FALSE)</f>
        <v>-0.69947324663859312</v>
      </c>
      <c r="J1076">
        <f>($B$1+Table4[[#This Row],[Home Differential]])-Table4[[#This Row],[Away Differential]]</f>
        <v>0.54076499513630716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0.60832973915113941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-0.2381776794561975</v>
      </c>
      <c r="H1077" t="s">
        <v>29</v>
      </c>
      <c r="I1077">
        <f>VLOOKUP(Table4[[#This Row],[Visitor]],'NHL Model'!$A$6:$B$38,2,FALSE)</f>
        <v>-1.5752718195161908</v>
      </c>
      <c r="J1077">
        <f>($B$1+Table4[[#This Row],[Home Differential]])-Table4[[#This Row],[Away Differential]]</f>
        <v>1.4434760728287364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0.72488957722179215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9.6060347736414392E-2</v>
      </c>
      <c r="H1078" t="s">
        <v>27</v>
      </c>
      <c r="I1078">
        <f>VLOOKUP(Table4[[#This Row],[Visitor]],'NHL Model'!$A$6:$B$38,2,FALSE)</f>
        <v>-0.5336297540825371</v>
      </c>
      <c r="J1078">
        <f>($B$1+Table4[[#This Row],[Home Differential]])-Table4[[#This Row],[Away Differential]]</f>
        <v>0.73607203458769455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0.70556568513827123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0.15503279744029827</v>
      </c>
      <c r="H1079" t="s">
        <v>14</v>
      </c>
      <c r="I1079">
        <f>VLOOKUP(Table4[[#This Row],[Visitor]],'NHL Model'!$A$6:$B$38,2,FALSE)</f>
        <v>-0.26282059799749452</v>
      </c>
      <c r="J1079">
        <f>($B$1+Table4[[#This Row],[Home Differential]])-Table4[[#This Row],[Away Differential]]</f>
        <v>0.52423532820653596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0.63227882680786651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-1.3446131114659174</v>
      </c>
      <c r="H1080" t="s">
        <v>35</v>
      </c>
      <c r="I1080">
        <f>VLOOKUP(Table4[[#This Row],[Visitor]],'NHL Model'!$A$6:$B$38,2,FALSE)</f>
        <v>-1.6690304721962474</v>
      </c>
      <c r="J1080">
        <f>($B$1+Table4[[#This Row],[Home Differential]])-Table4[[#This Row],[Away Differential]]</f>
        <v>0.4307992934990732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0.59443474266278462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1.4740146843006017</v>
      </c>
      <c r="H1081" t="s">
        <v>39</v>
      </c>
      <c r="I1081">
        <f>VLOOKUP(Table4[[#This Row],[Visitor]],'NHL Model'!$A$6:$B$38,2,FALSE)</f>
        <v>8.2462575231143323E-2</v>
      </c>
      <c r="J1081">
        <f>($B$1+Table4[[#This Row],[Home Differential]])-Table4[[#This Row],[Away Differential]]</f>
        <v>1.4979340418382014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0.73094194014959002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-0.54922296726434805</v>
      </c>
      <c r="H1082" t="s">
        <v>24</v>
      </c>
      <c r="I1082">
        <f>VLOOKUP(Table4[[#This Row],[Visitor]],'NHL Model'!$A$6:$B$38,2,FALSE)</f>
        <v>-0.1651785584335338</v>
      </c>
      <c r="J1082">
        <f>($B$1+Table4[[#This Row],[Home Differential]])-Table4[[#This Row],[Away Differential]]</f>
        <v>-0.27766247606207117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0.49591424289943936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0.12620994778252301</v>
      </c>
      <c r="H1083" t="s">
        <v>36</v>
      </c>
      <c r="I1083">
        <f>VLOOKUP(Table4[[#This Row],[Visitor]],'NHL Model'!$A$6:$B$38,2,FALSE)</f>
        <v>-0.40987688593271943</v>
      </c>
      <c r="J1083">
        <f>($B$1+Table4[[#This Row],[Home Differential]])-Table4[[#This Row],[Away Differential]]</f>
        <v>0.64246876648398554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0.61451411171478076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-0.19106480716289626</v>
      </c>
      <c r="H1084" t="s">
        <v>40</v>
      </c>
      <c r="I1084">
        <f>VLOOKUP(Table4[[#This Row],[Visitor]],'NHL Model'!$A$6:$B$38,2,FALSE)</f>
        <v>-0.2381776794561975</v>
      </c>
      <c r="J1084">
        <f>($B$1+Table4[[#This Row],[Home Differential]])-Table4[[#This Row],[Away Differential]]</f>
        <v>0.15349480506204435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0.56939522728963032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-0.89619124881012313</v>
      </c>
      <c r="H1085" t="s">
        <v>15</v>
      </c>
      <c r="I1085">
        <f>VLOOKUP(Table4[[#This Row],[Visitor]],'NHL Model'!$A$6:$B$38,2,FALSE)</f>
        <v>-0.54922296726434805</v>
      </c>
      <c r="J1085">
        <f>($B$1+Table4[[#This Row],[Home Differential]])-Table4[[#This Row],[Away Differential]]</f>
        <v>-0.240586348777032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0.58288608910207051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-0.98948521352045793</v>
      </c>
      <c r="H1086" t="s">
        <v>18</v>
      </c>
      <c r="I1086">
        <f>VLOOKUP(Table4[[#This Row],[Visitor]],'NHL Model'!$A$6:$B$38,2,FALSE)</f>
        <v>-0.79206768185043297</v>
      </c>
      <c r="J1086">
        <f>($B$1+Table4[[#This Row],[Home Differential]])-Table4[[#This Row],[Away Differential]]</f>
        <v>-9.1035598901281878E-2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0.52369815706321743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-1.1555135170505442</v>
      </c>
      <c r="H1087" t="s">
        <v>11</v>
      </c>
      <c r="I1087">
        <f>VLOOKUP(Table4[[#This Row],[Visitor]],'NHL Model'!$A$6:$B$38,2,FALSE)</f>
        <v>-0.4374979224090173</v>
      </c>
      <c r="J1087">
        <f>($B$1+Table4[[#This Row],[Home Differential]])-Table4[[#This Row],[Away Differential]]</f>
        <v>-0.61163366187278367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0.53023857829216481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-0.45522284197080148</v>
      </c>
      <c r="H1088" t="s">
        <v>27</v>
      </c>
      <c r="I1088">
        <f>VLOOKUP(Table4[[#This Row],[Visitor]],'NHL Model'!$A$6:$B$38,2,FALSE)</f>
        <v>-0.5336297540825371</v>
      </c>
      <c r="J1088">
        <f>($B$1+Table4[[#This Row],[Home Differential]])-Table4[[#This Row],[Away Differential]]</f>
        <v>0.18478884488047875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0.56334946544670628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-0.26693531126155262</v>
      </c>
      <c r="H1089" t="s">
        <v>10</v>
      </c>
      <c r="I1089">
        <f>VLOOKUP(Table4[[#This Row],[Visitor]],'NHL Model'!$A$6:$B$38,2,FALSE)</f>
        <v>-0.32256919101930787</v>
      </c>
      <c r="J1089">
        <f>($B$1+Table4[[#This Row],[Home Differential]])-Table4[[#This Row],[Away Differential]]</f>
        <v>0.16201581252649835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0.56047192090439413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-1.5752718195161908</v>
      </c>
      <c r="H1090" t="s">
        <v>32</v>
      </c>
      <c r="I1090">
        <f>VLOOKUP(Table4[[#This Row],[Visitor]],'NHL Model'!$A$6:$B$38,2,FALSE)</f>
        <v>-0.63099640390293943</v>
      </c>
      <c r="J1090">
        <f>($B$1+Table4[[#This Row],[Home Differential]])-Table4[[#This Row],[Away Differential]]</f>
        <v>-0.83789348284450815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0.56587416647553812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-0.40987688593271943</v>
      </c>
      <c r="H1091" t="s">
        <v>30</v>
      </c>
      <c r="I1091">
        <f>VLOOKUP(Table4[[#This Row],[Visitor]],'NHL Model'!$A$6:$B$38,2,FALSE)</f>
        <v>-0.22618911823839277</v>
      </c>
      <c r="J1091">
        <f>($B$1+Table4[[#This Row],[Home Differential]])-Table4[[#This Row],[Away Differential]]</f>
        <v>-7.7305834925583572E-2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0.53988865772095851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-0.66146476561443079</v>
      </c>
      <c r="H1092" t="s">
        <v>23</v>
      </c>
      <c r="I1092">
        <f>VLOOKUP(Table4[[#This Row],[Visitor]],'NHL Model'!$A$6:$B$38,2,FALSE)</f>
        <v>-0.69947324663859312</v>
      </c>
      <c r="J1092">
        <f>($B$1+Table4[[#This Row],[Home Differential]])-Table4[[#This Row],[Away Differential]]</f>
        <v>0.1443904137929054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0.55824481872741671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-1.1323142195605178</v>
      </c>
      <c r="H1093" t="s">
        <v>37</v>
      </c>
      <c r="I1093">
        <f>VLOOKUP(Table4[[#This Row],[Visitor]],'NHL Model'!$A$6:$B$38,2,FALSE)</f>
        <v>0.17240077100158954</v>
      </c>
      <c r="J1093">
        <f>($B$1+Table4[[#This Row],[Home Differential]])-Table4[[#This Row],[Away Differential]]</f>
        <v>-1.1983330577933642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0.67773421705620263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-0.26509018427102904</v>
      </c>
      <c r="H1094" t="s">
        <v>55</v>
      </c>
      <c r="I1094">
        <f>VLOOKUP(Table4[[#This Row],[Visitor]],'NHL Model'!$A$6:$B$38,2,FALSE)</f>
        <v>-0.34901281259242245</v>
      </c>
      <c r="J1094">
        <f>($B$1+Table4[[#This Row],[Home Differential]])-Table4[[#This Row],[Away Differential]]</f>
        <v>0.19030456109013652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0.56404641782570153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-1.3446131114659174</v>
      </c>
      <c r="H1095" t="s">
        <v>11</v>
      </c>
      <c r="I1095">
        <f>VLOOKUP(Table4[[#This Row],[Visitor]],'NHL Model'!$A$6:$B$38,2,FALSE)</f>
        <v>-0.4374979224090173</v>
      </c>
      <c r="J1095">
        <f>($B$1+Table4[[#This Row],[Home Differential]])-Table4[[#This Row],[Away Differential]]</f>
        <v>-0.80073325628815695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0.56117869134266141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-0.32256919101930787</v>
      </c>
      <c r="H1096" t="s">
        <v>12</v>
      </c>
      <c r="I1096">
        <f>VLOOKUP(Table4[[#This Row],[Visitor]],'NHL Model'!$A$6:$B$38,2,FALSE)</f>
        <v>1.4740146843006017</v>
      </c>
      <c r="J1096">
        <f>($B$1+Table4[[#This Row],[Home Differential]])-Table4[[#This Row],[Away Differential]]</f>
        <v>-1.6902019425511665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0.76605596193572789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-1.0208691773880865</v>
      </c>
      <c r="H1097" t="s">
        <v>25</v>
      </c>
      <c r="I1097">
        <f>VLOOKUP(Table4[[#This Row],[Visitor]],'NHL Model'!$A$6:$B$38,2,FALSE)</f>
        <v>0.15503279744029827</v>
      </c>
      <c r="J1097">
        <f>($B$1+Table4[[#This Row],[Home Differential]])-Table4[[#This Row],[Away Differential]]</f>
        <v>-1.0695200420596416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0.66776509979519694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-0.34901281259242245</v>
      </c>
      <c r="H1098" t="s">
        <v>31</v>
      </c>
      <c r="I1098">
        <f>VLOOKUP(Table4[[#This Row],[Visitor]],'NHL Model'!$A$6:$B$38,2,FALSE)</f>
        <v>9.6060347736414392E-2</v>
      </c>
      <c r="J1098">
        <f>($B$1+Table4[[#This Row],[Home Differential]])-Table4[[#This Row],[Away Differential]]</f>
        <v>-0.33869122756009373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0.48279619324495476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0.12620994778252301</v>
      </c>
      <c r="H1099" t="s">
        <v>24</v>
      </c>
      <c r="I1099">
        <f>VLOOKUP(Table4[[#This Row],[Visitor]],'NHL Model'!$A$6:$B$38,2,FALSE)</f>
        <v>-0.1651785584335338</v>
      </c>
      <c r="J1099">
        <f>($B$1+Table4[[#This Row],[Home Differential]])-Table4[[#This Row],[Away Differential]]</f>
        <v>0.39777043898479991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0.60345278693517879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-0.89619124881012313</v>
      </c>
      <c r="H1100" t="s">
        <v>32</v>
      </c>
      <c r="I1100">
        <f>VLOOKUP(Table4[[#This Row],[Visitor]],'NHL Model'!$A$6:$B$38,2,FALSE)</f>
        <v>-0.63099640390293943</v>
      </c>
      <c r="J1100">
        <f>($B$1+Table4[[#This Row],[Home Differential]])-Table4[[#This Row],[Away Differential]]</f>
        <v>-0.15881291213844062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0.48006721026296678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-0.98948521352045793</v>
      </c>
      <c r="H1101" t="s">
        <v>21</v>
      </c>
      <c r="I1101">
        <f>VLOOKUP(Table4[[#This Row],[Visitor]],'NHL Model'!$A$6:$B$38,2,FALSE)</f>
        <v>-0.19106480716289626</v>
      </c>
      <c r="J1101">
        <f>($B$1+Table4[[#This Row],[Home Differential]])-Table4[[#This Row],[Away Differential]]</f>
        <v>-0.69203847358881854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0.53425279569405926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-1.1555135170505442</v>
      </c>
      <c r="H1102" t="s">
        <v>37</v>
      </c>
      <c r="I1102">
        <f>VLOOKUP(Table4[[#This Row],[Visitor]],'NHL Model'!$A$6:$B$38,2,FALSE)</f>
        <v>0.17240077100158954</v>
      </c>
      <c r="J1102">
        <f>($B$1+Table4[[#This Row],[Home Differential]])-Table4[[#This Row],[Away Differential]]</f>
        <v>-1.2215323552833905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0.67358060317324187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-0.45522284197080148</v>
      </c>
      <c r="H1103" t="s">
        <v>23</v>
      </c>
      <c r="I1103">
        <f>VLOOKUP(Table4[[#This Row],[Visitor]],'NHL Model'!$A$6:$B$38,2,FALSE)</f>
        <v>-0.69947324663859312</v>
      </c>
      <c r="J1103">
        <f>($B$1+Table4[[#This Row],[Home Differential]])-Table4[[#This Row],[Away Differential]]</f>
        <v>0.35063233743653477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0.58430504261643934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-0.26693531126155262</v>
      </c>
      <c r="H1104" t="s">
        <v>39</v>
      </c>
      <c r="I1104">
        <f>VLOOKUP(Table4[[#This Row],[Visitor]],'NHL Model'!$A$6:$B$38,2,FALSE)</f>
        <v>8.2462575231143323E-2</v>
      </c>
      <c r="J1104">
        <f>($B$1+Table4[[#This Row],[Home Differential]])-Table4[[#This Row],[Away Differential]]</f>
        <v>-0.24301595372395285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0.59250465299090138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-0.79206768185043297</v>
      </c>
      <c r="H1105" t="s">
        <v>30</v>
      </c>
      <c r="I1105">
        <f>VLOOKUP(Table4[[#This Row],[Visitor]],'NHL Model'!$A$6:$B$38,2,FALSE)</f>
        <v>-0.22618911823839277</v>
      </c>
      <c r="J1105">
        <f>($B$1+Table4[[#This Row],[Home Differential]])-Table4[[#This Row],[Away Differential]]</f>
        <v>-0.45949663084329712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0.59068403696864624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-1.5752718195161908</v>
      </c>
      <c r="H1106" t="s">
        <v>20</v>
      </c>
      <c r="I1106">
        <f>VLOOKUP(Table4[[#This Row],[Visitor]],'NHL Model'!$A$6:$B$38,2,FALSE)</f>
        <v>-0.26509018427102904</v>
      </c>
      <c r="J1106">
        <f>($B$1+Table4[[#This Row],[Home Differential]])-Table4[[#This Row],[Away Differential]]</f>
        <v>-1.2037997024764184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0.61210917940370635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-0.40987688593271943</v>
      </c>
      <c r="H1107" t="s">
        <v>19</v>
      </c>
      <c r="I1107">
        <f>VLOOKUP(Table4[[#This Row],[Visitor]],'NHL Model'!$A$6:$B$38,2,FALSE)</f>
        <v>-1.0208691773880865</v>
      </c>
      <c r="J1107">
        <f>($B$1+Table4[[#This Row],[Home Differential]])-Table4[[#This Row],[Away Differential]]</f>
        <v>0.71737422422411012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0.63314112760217822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-0.26282059799749452</v>
      </c>
      <c r="H1108" t="s">
        <v>40</v>
      </c>
      <c r="I1108">
        <f>VLOOKUP(Table4[[#This Row],[Visitor]],'NHL Model'!$A$6:$B$38,2,FALSE)</f>
        <v>-0.2381776794561975</v>
      </c>
      <c r="J1108">
        <f>($B$1+Table4[[#This Row],[Home Differential]])-Table4[[#This Row],[Away Differential]]</f>
        <v>8.1739014227446088E-2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0.51032834146231087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-0.66146476561443079</v>
      </c>
      <c r="H1109" t="s">
        <v>27</v>
      </c>
      <c r="I1109">
        <f>VLOOKUP(Table4[[#This Row],[Visitor]],'NHL Model'!$A$6:$B$38,2,FALSE)</f>
        <v>-0.5336297540825371</v>
      </c>
      <c r="J1109">
        <f>($B$1+Table4[[#This Row],[Home Differential]])-Table4[[#This Row],[Away Differential]]</f>
        <v>-2.1453078763150613E-2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0.46271075844231641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-1.1323142195605178</v>
      </c>
      <c r="H1110" t="s">
        <v>35</v>
      </c>
      <c r="I1110">
        <f>VLOOKUP(Table4[[#This Row],[Visitor]],'NHL Model'!$A$6:$B$38,2,FALSE)</f>
        <v>-1.6690304721962474</v>
      </c>
      <c r="J1110">
        <f>($B$1+Table4[[#This Row],[Home Differential]])-Table4[[#This Row],[Away Differential]]</f>
        <v>0.64309818540447283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0.62126031021327921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9.6060347736414392E-2</v>
      </c>
      <c r="H1111" t="s">
        <v>23</v>
      </c>
      <c r="I1111">
        <f>VLOOKUP(Table4[[#This Row],[Visitor]],'NHL Model'!$A$6:$B$38,2,FALSE)</f>
        <v>-0.69947324663859312</v>
      </c>
      <c r="J1111">
        <f>($B$1+Table4[[#This Row],[Home Differential]])-Table4[[#This Row],[Away Differential]]</f>
        <v>0.90191552714375067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0.72652126230800429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-1.3446131114659174</v>
      </c>
      <c r="H1112" t="s">
        <v>37</v>
      </c>
      <c r="I1112">
        <f>VLOOKUP(Table4[[#This Row],[Visitor]],'NHL Model'!$A$6:$B$38,2,FALSE)</f>
        <v>0.17240077100158954</v>
      </c>
      <c r="J1112">
        <f>($B$1+Table4[[#This Row],[Home Differential]])-Table4[[#This Row],[Away Differential]]</f>
        <v>-1.4106319496987638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0.70455978460669721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-0.32256919101930787</v>
      </c>
      <c r="H1113" t="s">
        <v>29</v>
      </c>
      <c r="I1113">
        <f>VLOOKUP(Table4[[#This Row],[Visitor]],'NHL Model'!$A$6:$B$38,2,FALSE)</f>
        <v>-1.5752718195161908</v>
      </c>
      <c r="J1113">
        <f>($B$1+Table4[[#This Row],[Home Differential]])-Table4[[#This Row],[Away Differential]]</f>
        <v>1.3590845612656259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0.71173059349415335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8.2462575231143323E-2</v>
      </c>
      <c r="H1114" t="s">
        <v>20</v>
      </c>
      <c r="I1114">
        <f>VLOOKUP(Table4[[#This Row],[Visitor]],'NHL Model'!$A$6:$B$38,2,FALSE)</f>
        <v>-0.26509018427102904</v>
      </c>
      <c r="J1114">
        <f>($B$1+Table4[[#This Row],[Home Differential]])-Table4[[#This Row],[Away Differential]]</f>
        <v>0.45393469227091549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0.59985355414169061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-0.22618911823839277</v>
      </c>
      <c r="H1115" t="s">
        <v>28</v>
      </c>
      <c r="I1115">
        <f>VLOOKUP(Table4[[#This Row],[Visitor]],'NHL Model'!$A$6:$B$38,2,FALSE)</f>
        <v>-0.89619124881012313</v>
      </c>
      <c r="J1115">
        <f>($B$1+Table4[[#This Row],[Home Differential]])-Table4[[#This Row],[Away Differential]]</f>
        <v>0.7763840633404735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0.63810198701153775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-0.54922296726434805</v>
      </c>
      <c r="H1116" t="s">
        <v>40</v>
      </c>
      <c r="I1116">
        <f>VLOOKUP(Table4[[#This Row],[Visitor]],'NHL Model'!$A$6:$B$38,2,FALSE)</f>
        <v>-0.2381776794561975</v>
      </c>
      <c r="J1116">
        <f>($B$1+Table4[[#This Row],[Home Differential]])-Table4[[#This Row],[Away Differential]]</f>
        <v>-0.20466335503940747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0.52837332264397519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-0.26282059799749452</v>
      </c>
      <c r="H1117" t="s">
        <v>25</v>
      </c>
      <c r="I1117">
        <f>VLOOKUP(Table4[[#This Row],[Visitor]],'NHL Model'!$A$6:$B$38,2,FALSE)</f>
        <v>0.15503279744029827</v>
      </c>
      <c r="J1117">
        <f>($B$1+Table4[[#This Row],[Home Differential]])-Table4[[#This Row],[Away Differential]]</f>
        <v>-0.31147146266904968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0.56947725240771474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-0.34901281259242245</v>
      </c>
      <c r="H1118" t="s">
        <v>13</v>
      </c>
      <c r="I1118">
        <f>VLOOKUP(Table4[[#This Row],[Visitor]],'NHL Model'!$A$6:$B$38,2,FALSE)</f>
        <v>-0.45522284197080148</v>
      </c>
      <c r="J1118">
        <f>($B$1+Table4[[#This Row],[Home Differential]])-Table4[[#This Row],[Away Differential]]</f>
        <v>0.21259196214712214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0.52432452812181485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0.12620994778252301</v>
      </c>
      <c r="H1119" t="s">
        <v>12</v>
      </c>
      <c r="I1119">
        <f>VLOOKUP(Table4[[#This Row],[Visitor]],'NHL Model'!$A$6:$B$38,2,FALSE)</f>
        <v>1.4740146843006017</v>
      </c>
      <c r="J1119">
        <f>($B$1+Table4[[#This Row],[Home Differential]])-Table4[[#This Row],[Away Differential]]</f>
        <v>-1.2414228037493356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0.695324680712613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-0.54922296726434805</v>
      </c>
      <c r="H1120" t="s">
        <v>36</v>
      </c>
      <c r="I1120">
        <f>VLOOKUP(Table4[[#This Row],[Visitor]],'NHL Model'!$A$6:$B$38,2,FALSE)</f>
        <v>-0.40987688593271943</v>
      </c>
      <c r="J1120">
        <f>($B$1+Table4[[#This Row],[Home Differential]])-Table4[[#This Row],[Away Differential]]</f>
        <v>-3.2964148562885542E-2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0.48493449977314179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-0.19106480716289626</v>
      </c>
      <c r="H1121" t="s">
        <v>19</v>
      </c>
      <c r="I1121">
        <f>VLOOKUP(Table4[[#This Row],[Visitor]],'NHL Model'!$A$6:$B$38,2,FALSE)</f>
        <v>-1.0208691773880865</v>
      </c>
      <c r="J1121">
        <f>($B$1+Table4[[#This Row],[Home Differential]])-Table4[[#This Row],[Away Differential]]</f>
        <v>0.93618630299393335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0.71001018260542026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-1.3446131114659174</v>
      </c>
      <c r="H1122" t="s">
        <v>13</v>
      </c>
      <c r="I1122">
        <f>VLOOKUP(Table4[[#This Row],[Visitor]],'NHL Model'!$A$6:$B$38,2,FALSE)</f>
        <v>-0.45522284197080148</v>
      </c>
      <c r="J1122">
        <f>($B$1+Table4[[#This Row],[Home Differential]])-Table4[[#This Row],[Away Differential]]</f>
        <v>-0.78300833672637271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0.64241727482736499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8.2462575231143323E-2</v>
      </c>
      <c r="H1123" t="s">
        <v>24</v>
      </c>
      <c r="I1123">
        <f>VLOOKUP(Table4[[#This Row],[Visitor]],'NHL Model'!$A$6:$B$38,2,FALSE)</f>
        <v>-0.1651785584335338</v>
      </c>
      <c r="J1123">
        <f>($B$1+Table4[[#This Row],[Home Differential]])-Table4[[#This Row],[Away Differential]]</f>
        <v>0.35402306643342024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0.58640015348710073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-0.98948521352045793</v>
      </c>
      <c r="H1124" t="s">
        <v>36</v>
      </c>
      <c r="I1124">
        <f>VLOOKUP(Table4[[#This Row],[Visitor]],'NHL Model'!$A$6:$B$38,2,FALSE)</f>
        <v>-0.40987688593271943</v>
      </c>
      <c r="J1124">
        <f>($B$1+Table4[[#This Row],[Home Differential]])-Table4[[#This Row],[Away Differential]]</f>
        <v>-0.47322639481899542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0.52646239384620697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-0.4374979224090173</v>
      </c>
      <c r="H1125" t="s">
        <v>32</v>
      </c>
      <c r="I1125">
        <f>VLOOKUP(Table4[[#This Row],[Visitor]],'NHL Model'!$A$6:$B$38,2,FALSE)</f>
        <v>-0.63099640390293943</v>
      </c>
      <c r="J1125">
        <f>($B$1+Table4[[#This Row],[Home Differential]])-Table4[[#This Row],[Away Differential]]</f>
        <v>0.29988041426266521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0.61013821982603056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-0.79206768185043297</v>
      </c>
      <c r="H1126" t="s">
        <v>25</v>
      </c>
      <c r="I1126">
        <f>VLOOKUP(Table4[[#This Row],[Visitor]],'NHL Model'!$A$6:$B$38,2,FALSE)</f>
        <v>0.15503279744029827</v>
      </c>
      <c r="J1126">
        <f>($B$1+Table4[[#This Row],[Home Differential]])-Table4[[#This Row],[Away Differential]]</f>
        <v>-0.84071854652198819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0.63885430370430407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-1.5752718195161908</v>
      </c>
      <c r="H1127" t="s">
        <v>33</v>
      </c>
      <c r="I1127">
        <f>VLOOKUP(Table4[[#This Row],[Visitor]],'NHL Model'!$A$6:$B$38,2,FALSE)</f>
        <v>-0.66146476561443079</v>
      </c>
      <c r="J1127">
        <f>($B$1+Table4[[#This Row],[Home Differential]])-Table4[[#This Row],[Away Differential]]</f>
        <v>-0.80742512113301679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0.56202425897998365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-0.22618911823839277</v>
      </c>
      <c r="H1128" t="s">
        <v>10</v>
      </c>
      <c r="I1128">
        <f>VLOOKUP(Table4[[#This Row],[Visitor]],'NHL Model'!$A$6:$B$38,2,FALSE)</f>
        <v>-0.32256919101930787</v>
      </c>
      <c r="J1128">
        <f>($B$1+Table4[[#This Row],[Home Differential]])-Table4[[#This Row],[Away Differential]]</f>
        <v>0.2027620055496582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0.56562050996935886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-0.5336297540825371</v>
      </c>
      <c r="H1129" t="s">
        <v>28</v>
      </c>
      <c r="I1129">
        <f>VLOOKUP(Table4[[#This Row],[Visitor]],'NHL Model'!$A$6:$B$38,2,FALSE)</f>
        <v>-0.89619124881012313</v>
      </c>
      <c r="J1129">
        <f>($B$1+Table4[[#This Row],[Home Differential]])-Table4[[#This Row],[Away Differential]]</f>
        <v>0.46894342749632911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0.63150060773623551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-0.26282059799749452</v>
      </c>
      <c r="H1130" t="s">
        <v>12</v>
      </c>
      <c r="I1130">
        <f>VLOOKUP(Table4[[#This Row],[Visitor]],'NHL Model'!$A$6:$B$38,2,FALSE)</f>
        <v>1.4740146843006017</v>
      </c>
      <c r="J1130">
        <f>($B$1+Table4[[#This Row],[Home Differential]])-Table4[[#This Row],[Away Differential]]</f>
        <v>-1.6304533495293532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0.7560200883442173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-1.6690304721962474</v>
      </c>
      <c r="H1131" t="s">
        <v>22</v>
      </c>
      <c r="I1131">
        <f>VLOOKUP(Table4[[#This Row],[Visitor]],'NHL Model'!$A$6:$B$38,2,FALSE)</f>
        <v>0.12620994778252301</v>
      </c>
      <c r="J1131">
        <f>($B$1+Table4[[#This Row],[Home Differential]])-Table4[[#This Row],[Away Differential]]</f>
        <v>-1.6888584872100272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0.69416924913610212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0.17240077100158954</v>
      </c>
      <c r="H1132" t="s">
        <v>34</v>
      </c>
      <c r="I1132">
        <f>VLOOKUP(Table4[[#This Row],[Visitor]],'NHL Model'!$A$6:$B$38,2,FALSE)</f>
        <v>-0.26693531126155262</v>
      </c>
      <c r="J1132">
        <f>($B$1+Table4[[#This Row],[Home Differential]])-Table4[[#This Row],[Away Differential]]</f>
        <v>0.54571801503188522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0.59907607253099526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-0.34901281259242245</v>
      </c>
      <c r="H1133" t="s">
        <v>17</v>
      </c>
      <c r="I1133">
        <f>VLOOKUP(Table4[[#This Row],[Visitor]],'NHL Model'!$A$6:$B$38,2,FALSE)</f>
        <v>-1.1555135170505442</v>
      </c>
      <c r="J1133">
        <f>($B$1+Table4[[#This Row],[Home Differential]])-Table4[[#This Row],[Away Differential]]</f>
        <v>0.9128826372268648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0.69578078964056977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-1.1323142195605178</v>
      </c>
      <c r="H1134" t="s">
        <v>31</v>
      </c>
      <c r="I1134">
        <f>VLOOKUP(Table4[[#This Row],[Visitor]],'NHL Model'!$A$6:$B$38,2,FALSE)</f>
        <v>9.6060347736414392E-2</v>
      </c>
      <c r="J1134">
        <f>($B$1+Table4[[#This Row],[Home Differential]])-Table4[[#This Row],[Away Differential]]</f>
        <v>-1.121992634528189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0.62254146960929524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-0.2381776794561975</v>
      </c>
      <c r="H1135" t="s">
        <v>20</v>
      </c>
      <c r="I1135">
        <f>VLOOKUP(Table4[[#This Row],[Visitor]],'NHL Model'!$A$6:$B$38,2,FALSE)</f>
        <v>-0.26509018427102904</v>
      </c>
      <c r="J1135">
        <f>($B$1+Table4[[#This Row],[Home Differential]])-Table4[[#This Row],[Away Differential]]</f>
        <v>0.13329443758357465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0.55933823757868273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-0.69947324663859312</v>
      </c>
      <c r="H1136" t="s">
        <v>21</v>
      </c>
      <c r="I1136">
        <f>VLOOKUP(Table4[[#This Row],[Visitor]],'NHL Model'!$A$6:$B$38,2,FALSE)</f>
        <v>-0.19106480716289626</v>
      </c>
      <c r="J1136">
        <f>($B$1+Table4[[#This Row],[Home Differential]])-Table4[[#This Row],[Away Differential]]</f>
        <v>-0.40202650670695378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0.49760759449579817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-1.0208691773880865</v>
      </c>
      <c r="H1137" t="s">
        <v>15</v>
      </c>
      <c r="I1137">
        <f>VLOOKUP(Table4[[#This Row],[Visitor]],'NHL Model'!$A$6:$B$38,2,FALSE)</f>
        <v>-0.54922296726434805</v>
      </c>
      <c r="J1137">
        <f>($B$1+Table4[[#This Row],[Home Differential]])-Table4[[#This Row],[Away Differential]]</f>
        <v>-0.36526427735499534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0.59864008652102196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-1.3446131114659174</v>
      </c>
      <c r="H1138" t="s">
        <v>31</v>
      </c>
      <c r="I1138">
        <f>VLOOKUP(Table4[[#This Row],[Visitor]],'NHL Model'!$A$6:$B$38,2,FALSE)</f>
        <v>9.6060347736414392E-2</v>
      </c>
      <c r="J1138">
        <f>($B$1+Table4[[#This Row],[Home Differential]])-Table4[[#This Row],[Away Differential]]</f>
        <v>-1.3342915264335886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0.64936703715978983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-0.4374979224090173</v>
      </c>
      <c r="H1139" t="s">
        <v>34</v>
      </c>
      <c r="I1139">
        <f>VLOOKUP(Table4[[#This Row],[Visitor]],'NHL Model'!$A$6:$B$38,2,FALSE)</f>
        <v>-0.26693531126155262</v>
      </c>
      <c r="J1139">
        <f>($B$1+Table4[[#This Row],[Home Differential]])-Table4[[#This Row],[Away Differential]]</f>
        <v>-6.4180678378721601E-2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0.47798923125935627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-0.79206768185043297</v>
      </c>
      <c r="H1140" t="s">
        <v>28</v>
      </c>
      <c r="I1140">
        <f>VLOOKUP(Table4[[#This Row],[Visitor]],'NHL Model'!$A$6:$B$38,2,FALSE)</f>
        <v>-0.89619124881012313</v>
      </c>
      <c r="J1140">
        <f>($B$1+Table4[[#This Row],[Home Differential]])-Table4[[#This Row],[Away Differential]]</f>
        <v>0.21050549972843324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0.5665989589113446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-1.5752718195161908</v>
      </c>
      <c r="H1141" t="s">
        <v>24</v>
      </c>
      <c r="I1141">
        <f>VLOOKUP(Table4[[#This Row],[Visitor]],'NHL Model'!$A$6:$B$38,2,FALSE)</f>
        <v>-0.1651785584335338</v>
      </c>
      <c r="J1141">
        <f>($B$1+Table4[[#This Row],[Home Differential]])-Table4[[#This Row],[Away Differential]]</f>
        <v>-1.3037113283139137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0.62556326060818046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-0.22618911823839277</v>
      </c>
      <c r="H1142" t="s">
        <v>39</v>
      </c>
      <c r="I1142">
        <f>VLOOKUP(Table4[[#This Row],[Visitor]],'NHL Model'!$A$6:$B$38,2,FALSE)</f>
        <v>8.2462575231143323E-2</v>
      </c>
      <c r="J1142">
        <f>($B$1+Table4[[#This Row],[Home Differential]])-Table4[[#This Row],[Away Differential]]</f>
        <v>-0.202269760700793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0.58735606392593664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-0.40987688593271943</v>
      </c>
      <c r="H1143" t="s">
        <v>14</v>
      </c>
      <c r="I1143">
        <f>VLOOKUP(Table4[[#This Row],[Visitor]],'NHL Model'!$A$6:$B$38,2,FALSE)</f>
        <v>-0.26282059799749452</v>
      </c>
      <c r="J1143">
        <f>($B$1+Table4[[#This Row],[Home Differential]])-Table4[[#This Row],[Away Differential]]</f>
        <v>-4.0674355166481824E-2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0.46264403260515868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-0.5336297540825371</v>
      </c>
      <c r="H1144" t="s">
        <v>10</v>
      </c>
      <c r="I1144">
        <f>VLOOKUP(Table4[[#This Row],[Visitor]],'NHL Model'!$A$6:$B$38,2,FALSE)</f>
        <v>-0.32256919101930787</v>
      </c>
      <c r="J1144">
        <f>($B$1+Table4[[#This Row],[Home Differential]])-Table4[[#This Row],[Away Differential]]</f>
        <v>-0.10467863029448615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0.44098086930594343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-1.6690304721962474</v>
      </c>
      <c r="H1145" t="s">
        <v>33</v>
      </c>
      <c r="I1145">
        <f>VLOOKUP(Table4[[#This Row],[Visitor]],'NHL Model'!$A$6:$B$38,2,FALSE)</f>
        <v>-0.66146476561443079</v>
      </c>
      <c r="J1145">
        <f>($B$1+Table4[[#This Row],[Home Differential]])-Table4[[#This Row],[Away Differential]]</f>
        <v>-0.90118377381307346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0.57387137249215858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0.17240077100158954</v>
      </c>
      <c r="H1146" t="s">
        <v>32</v>
      </c>
      <c r="I1146">
        <f>VLOOKUP(Table4[[#This Row],[Visitor]],'NHL Model'!$A$6:$B$38,2,FALSE)</f>
        <v>-0.63099640390293943</v>
      </c>
      <c r="J1146">
        <f>($B$1+Table4[[#This Row],[Home Differential]])-Table4[[#This Row],[Away Differential]]</f>
        <v>0.90977910767327208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0.68720352361638215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-0.34901281259242245</v>
      </c>
      <c r="H1147" t="s">
        <v>22</v>
      </c>
      <c r="I1147">
        <f>VLOOKUP(Table4[[#This Row],[Visitor]],'NHL Model'!$A$6:$B$38,2,FALSE)</f>
        <v>0.12620994778252301</v>
      </c>
      <c r="J1147">
        <f>($B$1+Table4[[#This Row],[Home Differential]])-Table4[[#This Row],[Away Differential]]</f>
        <v>-0.36884082760620235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0.48660582279788561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-1.1323142195605178</v>
      </c>
      <c r="H1148" t="s">
        <v>13</v>
      </c>
      <c r="I1148">
        <f>VLOOKUP(Table4[[#This Row],[Visitor]],'NHL Model'!$A$6:$B$38,2,FALSE)</f>
        <v>-0.45522284197080148</v>
      </c>
      <c r="J1148">
        <f>($B$1+Table4[[#This Row],[Home Differential]])-Table4[[#This Row],[Away Differential]]</f>
        <v>-0.57070944482097308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0.6155917072768704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-0.26509018427102904</v>
      </c>
      <c r="H1149" t="s">
        <v>17</v>
      </c>
      <c r="I1149">
        <f>VLOOKUP(Table4[[#This Row],[Visitor]],'NHL Model'!$A$6:$B$38,2,FALSE)</f>
        <v>-1.1555135170505442</v>
      </c>
      <c r="J1149">
        <f>($B$1+Table4[[#This Row],[Home Differential]])-Table4[[#This Row],[Away Differential]]</f>
        <v>0.99680526554825821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0.66595386978076554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-0.2381776794561975</v>
      </c>
      <c r="H1150" t="s">
        <v>12</v>
      </c>
      <c r="I1150">
        <f>VLOOKUP(Table4[[#This Row],[Visitor]],'NHL Model'!$A$6:$B$38,2,FALSE)</f>
        <v>1.4740146843006017</v>
      </c>
      <c r="J1150">
        <f>($B$1+Table4[[#This Row],[Home Differential]])-Table4[[#This Row],[Away Differential]]</f>
        <v>-1.6058104309880561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0.75290626956712514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-0.69947324663859312</v>
      </c>
      <c r="H1151" t="s">
        <v>26</v>
      </c>
      <c r="I1151">
        <f>VLOOKUP(Table4[[#This Row],[Visitor]],'NHL Model'!$A$6:$B$38,2,FALSE)</f>
        <v>-0.98948521352045793</v>
      </c>
      <c r="J1151">
        <f>($B$1+Table4[[#This Row],[Home Differential]])-Table4[[#This Row],[Away Differential]]</f>
        <v>0.39639389965060789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0.58342069477099756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-0.54922296726434805</v>
      </c>
      <c r="H1152" t="s">
        <v>10</v>
      </c>
      <c r="I1152">
        <f>VLOOKUP(Table4[[#This Row],[Visitor]],'NHL Model'!$A$6:$B$38,2,FALSE)</f>
        <v>-0.32256919101930787</v>
      </c>
      <c r="J1152">
        <f>($B$1+Table4[[#This Row],[Home Differential]])-Table4[[#This Row],[Away Differential]]</f>
        <v>-0.1202718434762971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0.47519725530660606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-0.19106480716289626</v>
      </c>
      <c r="H1153" t="s">
        <v>34</v>
      </c>
      <c r="I1153">
        <f>VLOOKUP(Table4[[#This Row],[Visitor]],'NHL Model'!$A$6:$B$38,2,FALSE)</f>
        <v>-0.26693531126155262</v>
      </c>
      <c r="J1153">
        <f>($B$1+Table4[[#This Row],[Home Differential]])-Table4[[#This Row],[Away Differential]]</f>
        <v>0.18225243686739948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0.57302897114793816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-0.69947324663859312</v>
      </c>
      <c r="H1154" t="s">
        <v>32</v>
      </c>
      <c r="I1154">
        <f>VLOOKUP(Table4[[#This Row],[Visitor]],'NHL Model'!$A$6:$B$38,2,FALSE)</f>
        <v>-0.63099640390293943</v>
      </c>
      <c r="J1154">
        <f>($B$1+Table4[[#This Row],[Home Differential]])-Table4[[#This Row],[Away Differential]]</f>
        <v>3.7905090033089395E-2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0.55880621475444991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0.15503279744029827</v>
      </c>
      <c r="H1155" t="s">
        <v>24</v>
      </c>
      <c r="I1155">
        <f>VLOOKUP(Table4[[#This Row],[Visitor]],'NHL Model'!$A$6:$B$38,2,FALSE)</f>
        <v>-0.1651785584335338</v>
      </c>
      <c r="J1155">
        <f>($B$1+Table4[[#This Row],[Home Differential]])-Table4[[#This Row],[Away Differential]]</f>
        <v>0.42659328864257517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0.61912067350408873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-0.89619124881012313</v>
      </c>
      <c r="H1156" t="s">
        <v>33</v>
      </c>
      <c r="I1156">
        <f>VLOOKUP(Table4[[#This Row],[Visitor]],'NHL Model'!$A$6:$B$38,2,FALSE)</f>
        <v>-0.66146476561443079</v>
      </c>
      <c r="J1156">
        <f>($B$1+Table4[[#This Row],[Home Differential]])-Table4[[#This Row],[Away Differential]]</f>
        <v>-0.12834455042694926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0.47621730276741225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-1.3446131114659174</v>
      </c>
      <c r="H1157" t="s">
        <v>38</v>
      </c>
      <c r="I1157">
        <f>VLOOKUP(Table4[[#This Row],[Visitor]],'NHL Model'!$A$6:$B$38,2,FALSE)</f>
        <v>-1.1323142195605178</v>
      </c>
      <c r="J1157">
        <f>($B$1+Table4[[#This Row],[Home Differential]])-Table4[[#This Row],[Away Differential]]</f>
        <v>-0.10591695913665644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0.51267014054932269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1.4740146843006017</v>
      </c>
      <c r="H1158" t="s">
        <v>40</v>
      </c>
      <c r="I1158">
        <f>VLOOKUP(Table4[[#This Row],[Visitor]],'NHL Model'!$A$6:$B$38,2,FALSE)</f>
        <v>-0.2381776794561975</v>
      </c>
      <c r="J1158">
        <f>($B$1+Table4[[#This Row],[Home Differential]])-Table4[[#This Row],[Away Differential]]</f>
        <v>1.8185742965255423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0.82979059004593125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-0.98948521352045793</v>
      </c>
      <c r="H1159" t="s">
        <v>27</v>
      </c>
      <c r="I1159">
        <f>VLOOKUP(Table4[[#This Row],[Visitor]],'NHL Model'!$A$6:$B$38,2,FALSE)</f>
        <v>-0.5336297540825371</v>
      </c>
      <c r="J1159">
        <f>($B$1+Table4[[#This Row],[Home Differential]])-Table4[[#This Row],[Away Differential]]</f>
        <v>-0.34947352666917775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0.49014199762997634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-1.1555135170505442</v>
      </c>
      <c r="H1160" t="s">
        <v>31</v>
      </c>
      <c r="I1160">
        <f>VLOOKUP(Table4[[#This Row],[Visitor]],'NHL Model'!$A$6:$B$38,2,FALSE)</f>
        <v>9.6060347736414392E-2</v>
      </c>
      <c r="J1160">
        <f>($B$1+Table4[[#This Row],[Home Differential]])-Table4[[#This Row],[Away Differential]]</f>
        <v>-1.1451919320182153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0.61838785572633448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-0.45522284197080148</v>
      </c>
      <c r="H1161" t="s">
        <v>55</v>
      </c>
      <c r="I1161">
        <f>VLOOKUP(Table4[[#This Row],[Visitor]],'NHL Model'!$A$6:$B$38,2,FALSE)</f>
        <v>-0.34901281259242245</v>
      </c>
      <c r="J1161">
        <f>($B$1+Table4[[#This Row],[Home Differential]])-Table4[[#This Row],[Away Differential]]</f>
        <v>1.7190339036410318E-4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0.54002172129100157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-1.5752718195161908</v>
      </c>
      <c r="H1162" t="s">
        <v>18</v>
      </c>
      <c r="I1162">
        <f>VLOOKUP(Table4[[#This Row],[Visitor]],'NHL Model'!$A$6:$B$38,2,FALSE)</f>
        <v>-0.79206768185043297</v>
      </c>
      <c r="J1162">
        <f>($B$1+Table4[[#This Row],[Home Differential]])-Table4[[#This Row],[Away Differential]]</f>
        <v>-0.67682220489701461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0.61183738411879396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-0.22618911823839277</v>
      </c>
      <c r="H1163" t="s">
        <v>11</v>
      </c>
      <c r="I1163">
        <f>VLOOKUP(Table4[[#This Row],[Visitor]],'NHL Model'!$A$6:$B$38,2,FALSE)</f>
        <v>-0.4374979224090173</v>
      </c>
      <c r="J1163">
        <f>($B$1+Table4[[#This Row],[Home Differential]])-Table4[[#This Row],[Away Differential]]</f>
        <v>0.31769073693936767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0.58014262273083805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-0.26282059799749452</v>
      </c>
      <c r="H1164" t="s">
        <v>39</v>
      </c>
      <c r="I1164">
        <f>VLOOKUP(Table4[[#This Row],[Visitor]],'NHL Model'!$A$6:$B$38,2,FALSE)</f>
        <v>8.2462575231143323E-2</v>
      </c>
      <c r="J1164">
        <f>($B$1+Table4[[#This Row],[Home Differential]])-Table4[[#This Row],[Away Differential]]</f>
        <v>-0.23890124045989475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0.58950900899900216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-1.6690304721962474</v>
      </c>
      <c r="H1165" t="s">
        <v>19</v>
      </c>
      <c r="I1165">
        <f>VLOOKUP(Table4[[#This Row],[Visitor]],'NHL Model'!$A$6:$B$38,2,FALSE)</f>
        <v>-1.0208691773880865</v>
      </c>
      <c r="J1165">
        <f>($B$1+Table4[[#This Row],[Home Differential]])-Table4[[#This Row],[Away Differential]]</f>
        <v>-0.54177936203941779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0.52845791206639192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0.17240077100158954</v>
      </c>
      <c r="H1166" t="s">
        <v>36</v>
      </c>
      <c r="I1166">
        <f>VLOOKUP(Table4[[#This Row],[Visitor]],'NHL Model'!$A$6:$B$38,2,FALSE)</f>
        <v>-0.40987688593271943</v>
      </c>
      <c r="J1166">
        <f>($B$1+Table4[[#This Row],[Home Differential]])-Table4[[#This Row],[Away Differential]]</f>
        <v>0.68865958970305208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0.63874147550200489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-0.26509018427102904</v>
      </c>
      <c r="H1167" t="s">
        <v>22</v>
      </c>
      <c r="I1167">
        <f>VLOOKUP(Table4[[#This Row],[Visitor]],'NHL Model'!$A$6:$B$38,2,FALSE)</f>
        <v>0.12620994778252301</v>
      </c>
      <c r="J1167">
        <f>($B$1+Table4[[#This Row],[Home Differential]])-Table4[[#This Row],[Away Differential]]</f>
        <v>-0.28491819928480894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0.51677079598081788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0.15503279744029827</v>
      </c>
      <c r="H1168" t="s">
        <v>18</v>
      </c>
      <c r="I1168">
        <f>VLOOKUP(Table4[[#This Row],[Visitor]],'NHL Model'!$A$6:$B$38,2,FALSE)</f>
        <v>-0.79206768185043297</v>
      </c>
      <c r="J1168">
        <f>($B$1+Table4[[#This Row],[Home Differential]])-Table4[[#This Row],[Away Differential]]</f>
        <v>1.0534824120594743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0.63311545507525402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-0.89619124881012313</v>
      </c>
      <c r="H1169" t="s">
        <v>21</v>
      </c>
      <c r="I1169">
        <f>VLOOKUP(Table4[[#This Row],[Visitor]],'NHL Model'!$A$6:$B$38,2,FALSE)</f>
        <v>-0.19106480716289626</v>
      </c>
      <c r="J1169">
        <f>($B$1+Table4[[#This Row],[Home Differential]])-Table4[[#This Row],[Away Differential]]</f>
        <v>-0.59874450887848374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0.53648538146385938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-0.1651785584335338</v>
      </c>
      <c r="H1170" t="s">
        <v>10</v>
      </c>
      <c r="I1170">
        <f>VLOOKUP(Table4[[#This Row],[Visitor]],'NHL Model'!$A$6:$B$38,2,FALSE)</f>
        <v>-0.32256919101930787</v>
      </c>
      <c r="J1170">
        <f>($B$1+Table4[[#This Row],[Home Differential]])-Table4[[#This Row],[Away Differential]]</f>
        <v>0.26377256535451721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0.69509436062703167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-0.54922296726434805</v>
      </c>
      <c r="H1171" t="s">
        <v>11</v>
      </c>
      <c r="I1171">
        <f>VLOOKUP(Table4[[#This Row],[Visitor]],'NHL Model'!$A$6:$B$38,2,FALSE)</f>
        <v>-0.4374979224090173</v>
      </c>
      <c r="J1171">
        <f>($B$1+Table4[[#This Row],[Home Differential]])-Table4[[#This Row],[Away Differential]]</f>
        <v>-5.3431120865876647E-3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0.46067514254512687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-0.5336297540825371</v>
      </c>
      <c r="H1172" t="s">
        <v>39</v>
      </c>
      <c r="I1172">
        <f>VLOOKUP(Table4[[#This Row],[Visitor]],'NHL Model'!$A$6:$B$38,2,FALSE)</f>
        <v>8.2462575231143323E-2</v>
      </c>
      <c r="J1172">
        <f>($B$1+Table4[[#This Row],[Home Differential]])-Table4[[#This Row],[Away Differential]]</f>
        <v>-0.50971039654493733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0.59381752090643014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0.17240077100158954</v>
      </c>
      <c r="H1173" t="s">
        <v>29</v>
      </c>
      <c r="I1173">
        <f>VLOOKUP(Table4[[#This Row],[Visitor]],'NHL Model'!$A$6:$B$38,2,FALSE)</f>
        <v>-1.5752718195161908</v>
      </c>
      <c r="J1173">
        <f>($B$1+Table4[[#This Row],[Home Differential]])-Table4[[#This Row],[Away Differential]]</f>
        <v>1.8540545232865235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0.80651985033132334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9.6060347736414392E-2</v>
      </c>
      <c r="H1174" t="s">
        <v>19</v>
      </c>
      <c r="I1174">
        <f>VLOOKUP(Table4[[#This Row],[Visitor]],'NHL Model'!$A$6:$B$38,2,FALSE)</f>
        <v>-1.0208691773880865</v>
      </c>
      <c r="J1174">
        <f>($B$1+Table4[[#This Row],[Home Differential]])-Table4[[#This Row],[Away Differential]]</f>
        <v>1.223311457893244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0.76713206424575731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1.4740146843006017</v>
      </c>
      <c r="H1175" t="s">
        <v>16</v>
      </c>
      <c r="I1175">
        <f>VLOOKUP(Table4[[#This Row],[Visitor]],'NHL Model'!$A$6:$B$38,2,FALSE)</f>
        <v>-1.3446131114659174</v>
      </c>
      <c r="J1175">
        <f>($B$1+Table4[[#This Row],[Home Differential]])-Table4[[#This Row],[Away Differential]]</f>
        <v>2.9250097285352625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-0.22618911823839277</v>
      </c>
      <c r="H1176" t="s">
        <v>14</v>
      </c>
      <c r="I1176">
        <f>VLOOKUP(Table4[[#This Row],[Visitor]],'NHL Model'!$A$6:$B$38,2,FALSE)</f>
        <v>-0.26282059799749452</v>
      </c>
      <c r="J1176">
        <f>($B$1+Table4[[#This Row],[Home Differential]])-Table4[[#This Row],[Away Differential]]</f>
        <v>0.14301341252784486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0.55807082422315213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-0.66146476561443079</v>
      </c>
      <c r="H1177" t="s">
        <v>35</v>
      </c>
      <c r="I1177">
        <f>VLOOKUP(Table4[[#This Row],[Visitor]],'NHL Model'!$A$6:$B$38,2,FALSE)</f>
        <v>-1.6690304721962474</v>
      </c>
      <c r="J1177">
        <f>($B$1+Table4[[#This Row],[Home Differential]])-Table4[[#This Row],[Away Differential]]</f>
        <v>1.1139476393505596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0.68075569297096472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-0.26509018427102904</v>
      </c>
      <c r="H1178" t="s">
        <v>38</v>
      </c>
      <c r="I1178">
        <f>VLOOKUP(Table4[[#This Row],[Visitor]],'NHL Model'!$A$6:$B$38,2,FALSE)</f>
        <v>-1.1323142195605178</v>
      </c>
      <c r="J1178">
        <f>($B$1+Table4[[#This Row],[Home Differential]])-Table4[[#This Row],[Away Differential]]</f>
        <v>0.97360596805823185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0.62373573018258022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-0.19106480716289626</v>
      </c>
      <c r="H1179" t="s">
        <v>39</v>
      </c>
      <c r="I1179">
        <f>VLOOKUP(Table4[[#This Row],[Visitor]],'NHL Model'!$A$6:$B$38,2,FALSE)</f>
        <v>8.2462575231143323E-2</v>
      </c>
      <c r="J1179">
        <f>($B$1+Table4[[#This Row],[Home Differential]])-Table4[[#This Row],[Away Differential]]</f>
        <v>-0.16714544962529648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0.53055405153752855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-0.69947324663859312</v>
      </c>
      <c r="H1180" t="s">
        <v>30</v>
      </c>
      <c r="I1180">
        <f>VLOOKUP(Table4[[#This Row],[Visitor]],'NHL Model'!$A$6:$B$38,2,FALSE)</f>
        <v>-0.22618911823839277</v>
      </c>
      <c r="J1180">
        <f>($B$1+Table4[[#This Row],[Home Differential]])-Table4[[#This Row],[Away Differential]]</f>
        <v>-0.36690219563145726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0.56487938053244846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-0.89619124881012313</v>
      </c>
      <c r="H1181" t="s">
        <v>25</v>
      </c>
      <c r="I1181">
        <f>VLOOKUP(Table4[[#This Row],[Visitor]],'NHL Model'!$A$6:$B$38,2,FALSE)</f>
        <v>0.15503279744029827</v>
      </c>
      <c r="J1181">
        <f>($B$1+Table4[[#This Row],[Home Differential]])-Table4[[#This Row],[Away Differential]]</f>
        <v>-0.94484211348167835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0.6520111023762456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-0.32256919101930787</v>
      </c>
      <c r="H1182" t="s">
        <v>40</v>
      </c>
      <c r="I1182">
        <f>VLOOKUP(Table4[[#This Row],[Visitor]],'NHL Model'!$A$6:$B$38,2,FALSE)</f>
        <v>-0.2381776794561975</v>
      </c>
      <c r="J1182">
        <f>($B$1+Table4[[#This Row],[Home Differential]])-Table4[[#This Row],[Away Differential]]</f>
        <v>2.1990421205632743E-2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0.50026609290203394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-1.1555135170505442</v>
      </c>
      <c r="H1183" t="s">
        <v>32</v>
      </c>
      <c r="I1183">
        <f>VLOOKUP(Table4[[#This Row],[Visitor]],'NHL Model'!$A$6:$B$38,2,FALSE)</f>
        <v>-0.63099640390293943</v>
      </c>
      <c r="J1183">
        <f>($B$1+Table4[[#This Row],[Home Differential]])-Table4[[#This Row],[Away Differential]]</f>
        <v>-0.41813518037886155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0.50578858451383502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-0.4374979224090173</v>
      </c>
      <c r="H1184" t="s">
        <v>36</v>
      </c>
      <c r="I1184">
        <f>VLOOKUP(Table4[[#This Row],[Visitor]],'NHL Model'!$A$6:$B$38,2,FALSE)</f>
        <v>-0.40987688593271943</v>
      </c>
      <c r="J1184">
        <f>($B$1+Table4[[#This Row],[Home Differential]])-Table4[[#This Row],[Away Differential]]</f>
        <v>7.8760896292445204E-2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0.56167617171165329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-0.54922296726434805</v>
      </c>
      <c r="H1185" t="s">
        <v>24</v>
      </c>
      <c r="I1185">
        <f>VLOOKUP(Table4[[#This Row],[Visitor]],'NHL Model'!$A$6:$B$38,2,FALSE)</f>
        <v>-0.1651785584335338</v>
      </c>
      <c r="J1185">
        <f>($B$1+Table4[[#This Row],[Home Differential]])-Table4[[#This Row],[Away Differential]]</f>
        <v>-0.27766247606207117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0.49591424289943936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-0.26282059799749452</v>
      </c>
      <c r="H1186" t="s">
        <v>26</v>
      </c>
      <c r="I1186">
        <f>VLOOKUP(Table4[[#This Row],[Visitor]],'NHL Model'!$A$6:$B$38,2,FALSE)</f>
        <v>-0.98948521352045793</v>
      </c>
      <c r="J1186">
        <f>($B$1+Table4[[#This Row],[Home Differential]])-Table4[[#This Row],[Away Differential]]</f>
        <v>0.83304654829170655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0.62700085014203077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0.17240077100158954</v>
      </c>
      <c r="H1187" t="s">
        <v>18</v>
      </c>
      <c r="I1187">
        <f>VLOOKUP(Table4[[#This Row],[Visitor]],'NHL Model'!$A$6:$B$38,2,FALSE)</f>
        <v>-0.79206768185043297</v>
      </c>
      <c r="J1187">
        <f>($B$1+Table4[[#This Row],[Home Differential]])-Table4[[#This Row],[Away Differential]]</f>
        <v>1.0708503856207656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0.64163914356256335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0.12620994778252301</v>
      </c>
      <c r="H1188" t="s">
        <v>27</v>
      </c>
      <c r="I1188">
        <f>VLOOKUP(Table4[[#This Row],[Visitor]],'NHL Model'!$A$6:$B$38,2,FALSE)</f>
        <v>-0.5336297540825371</v>
      </c>
      <c r="J1188">
        <f>($B$1+Table4[[#This Row],[Home Differential]])-Table4[[#This Row],[Away Differential]]</f>
        <v>0.76622163463380322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0.6508345079310115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1.4740146843006017</v>
      </c>
      <c r="H1189" t="s">
        <v>38</v>
      </c>
      <c r="I1189">
        <f>VLOOKUP(Table4[[#This Row],[Visitor]],'NHL Model'!$A$6:$B$38,2,FALSE)</f>
        <v>-1.1323142195605178</v>
      </c>
      <c r="J1189">
        <f>($B$1+Table4[[#This Row],[Home Differential]])-Table4[[#This Row],[Away Differential]]</f>
        <v>2.7127108366298627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0.94586427486743396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-0.45522284197080148</v>
      </c>
      <c r="H1190" t="s">
        <v>35</v>
      </c>
      <c r="I1190">
        <f>VLOOKUP(Table4[[#This Row],[Visitor]],'NHL Model'!$A$6:$B$38,2,FALSE)</f>
        <v>-1.6690304721962474</v>
      </c>
      <c r="J1190">
        <f>($B$1+Table4[[#This Row],[Home Differential]])-Table4[[#This Row],[Away Differential]]</f>
        <v>1.3201895629941891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0.70681591685998735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-0.66146476561443079</v>
      </c>
      <c r="H1191" t="s">
        <v>31</v>
      </c>
      <c r="I1191">
        <f>VLOOKUP(Table4[[#This Row],[Visitor]],'NHL Model'!$A$6:$B$38,2,FALSE)</f>
        <v>9.6060347736414392E-2</v>
      </c>
      <c r="J1191">
        <f>($B$1+Table4[[#This Row],[Home Differential]])-Table4[[#This Row],[Away Differential]]</f>
        <v>-0.65114318058210208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0.56304608685160962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0.15503279744029827</v>
      </c>
      <c r="H1192" t="s">
        <v>28</v>
      </c>
      <c r="I1192">
        <f>VLOOKUP(Table4[[#This Row],[Visitor]],'NHL Model'!$A$6:$B$38,2,FALSE)</f>
        <v>-0.89619124881012313</v>
      </c>
      <c r="J1192">
        <f>($B$1+Table4[[#This Row],[Home Differential]])-Table4[[#This Row],[Away Differential]]</f>
        <v>1.1576059790191646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0.71230998959625214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8.2462575231143323E-2</v>
      </c>
      <c r="H1193" t="s">
        <v>40</v>
      </c>
      <c r="I1193">
        <f>VLOOKUP(Table4[[#This Row],[Visitor]],'NHL Model'!$A$6:$B$38,2,FALSE)</f>
        <v>-0.2381776794561975</v>
      </c>
      <c r="J1193">
        <f>($B$1+Table4[[#This Row],[Home Differential]])-Table4[[#This Row],[Away Differential]]</f>
        <v>0.42702218745608395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0.55395747680241092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-1.1555135170505442</v>
      </c>
      <c r="H1194" t="s">
        <v>10</v>
      </c>
      <c r="I1194">
        <f>VLOOKUP(Table4[[#This Row],[Visitor]],'NHL Model'!$A$6:$B$38,2,FALSE)</f>
        <v>-0.32256919101930787</v>
      </c>
      <c r="J1194">
        <f>($B$1+Table4[[#This Row],[Home Differential]])-Table4[[#This Row],[Away Differential]]</f>
        <v>-0.72656239326249317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0.544760691053644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-0.4374979224090173</v>
      </c>
      <c r="H1195" t="s">
        <v>21</v>
      </c>
      <c r="I1195">
        <f>VLOOKUP(Table4[[#This Row],[Visitor]],'NHL Model'!$A$6:$B$38,2,FALSE)</f>
        <v>-0.19106480716289626</v>
      </c>
      <c r="J1195">
        <f>($B$1+Table4[[#This Row],[Home Differential]])-Table4[[#This Row],[Away Differential]]</f>
        <v>-0.14005118247737797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0.44626795266703073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-0.45522284197080148</v>
      </c>
      <c r="H1196" t="s">
        <v>29</v>
      </c>
      <c r="I1196">
        <f>VLOOKUP(Table4[[#This Row],[Visitor]],'NHL Model'!$A$6:$B$38,2,FALSE)</f>
        <v>-1.5752718195161908</v>
      </c>
      <c r="J1196">
        <f>($B$1+Table4[[#This Row],[Home Differential]])-Table4[[#This Row],[Away Differential]]</f>
        <v>1.2264309103141324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0.69496880334781241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-0.26693531126155262</v>
      </c>
      <c r="H1197" t="s">
        <v>38</v>
      </c>
      <c r="I1197">
        <f>VLOOKUP(Table4[[#This Row],[Visitor]],'NHL Model'!$A$6:$B$38,2,FALSE)</f>
        <v>-1.1323142195605178</v>
      </c>
      <c r="J1197">
        <f>($B$1+Table4[[#This Row],[Home Differential]])-Table4[[#This Row],[Away Differential]]</f>
        <v>0.97176084106770833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0.62350258445921214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-0.1651785584335338</v>
      </c>
      <c r="H1198" t="s">
        <v>22</v>
      </c>
      <c r="I1198">
        <f>VLOOKUP(Table4[[#This Row],[Visitor]],'NHL Model'!$A$6:$B$38,2,FALSE)</f>
        <v>0.12620994778252301</v>
      </c>
      <c r="J1198">
        <f>($B$1+Table4[[#This Row],[Home Differential]])-Table4[[#This Row],[Away Differential]]</f>
        <v>-0.18500657344731369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0.38051983423752767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-0.54922296726434805</v>
      </c>
      <c r="H1199" t="s">
        <v>18</v>
      </c>
      <c r="I1199">
        <f>VLOOKUP(Table4[[#This Row],[Visitor]],'NHL Model'!$A$6:$B$38,2,FALSE)</f>
        <v>-0.79206768185043297</v>
      </c>
      <c r="J1199">
        <f>($B$1+Table4[[#This Row],[Home Differential]])-Table4[[#This Row],[Away Differential]]</f>
        <v>0.349226647354828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0.51781163358994708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-0.40987688593271943</v>
      </c>
      <c r="H1200" t="s">
        <v>23</v>
      </c>
      <c r="I1200">
        <f>VLOOKUP(Table4[[#This Row],[Visitor]],'NHL Model'!$A$6:$B$38,2,FALSE)</f>
        <v>-0.69947324663859312</v>
      </c>
      <c r="J1200">
        <f>($B$1+Table4[[#This Row],[Home Differential]])-Table4[[#This Row],[Away Differential]]</f>
        <v>0.39597829347461677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0.59253032566442521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-0.5336297540825371</v>
      </c>
      <c r="H1201" t="s">
        <v>26</v>
      </c>
      <c r="I1201">
        <f>VLOOKUP(Table4[[#This Row],[Visitor]],'NHL Model'!$A$6:$B$38,2,FALSE)</f>
        <v>-0.98948521352045793</v>
      </c>
      <c r="J1201">
        <f>($B$1+Table4[[#This Row],[Home Differential]])-Table4[[#This Row],[Away Differential]]</f>
        <v>0.56223739220666391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0.62276707653843189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-0.63099640390293943</v>
      </c>
      <c r="H1202" t="s">
        <v>55</v>
      </c>
      <c r="I1202">
        <f>VLOOKUP(Table4[[#This Row],[Visitor]],'NHL Model'!$A$6:$B$38,2,FALSE)</f>
        <v>-0.34901281259242245</v>
      </c>
      <c r="J1202">
        <f>($B$1+Table4[[#This Row],[Home Differential]])-Table4[[#This Row],[Away Differential]]</f>
        <v>-0.1756016585417739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0.47969311589812669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-0.66146476561443079</v>
      </c>
      <c r="H1203" t="s">
        <v>19</v>
      </c>
      <c r="I1203">
        <f>VLOOKUP(Table4[[#This Row],[Visitor]],'NHL Model'!$A$6:$B$38,2,FALSE)</f>
        <v>-1.0208691773880865</v>
      </c>
      <c r="J1203">
        <f>($B$1+Table4[[#This Row],[Home Differential]])-Table4[[#This Row],[Away Differential]]</f>
        <v>0.46578634454239876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0.59885562066516973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0.17240077100158954</v>
      </c>
      <c r="H1204" t="s">
        <v>14</v>
      </c>
      <c r="I1204">
        <f>VLOOKUP(Table4[[#This Row],[Visitor]],'NHL Model'!$A$6:$B$38,2,FALSE)</f>
        <v>-0.26282059799749452</v>
      </c>
      <c r="J1204">
        <f>($B$1+Table4[[#This Row],[Home Differential]])-Table4[[#This Row],[Away Differential]]</f>
        <v>0.54160330176782723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0.64068173133036643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-0.26509018427102904</v>
      </c>
      <c r="H1205" t="s">
        <v>16</v>
      </c>
      <c r="I1205">
        <f>VLOOKUP(Table4[[#This Row],[Visitor]],'NHL Model'!$A$6:$B$38,2,FALSE)</f>
        <v>-1.3446131114659174</v>
      </c>
      <c r="J1205">
        <f>($B$1+Table4[[#This Row],[Home Differential]])-Table4[[#This Row],[Away Differential]]</f>
        <v>1.1859048599636315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0.68984803097130598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9.6060347736414392E-2</v>
      </c>
      <c r="H1206" t="s">
        <v>35</v>
      </c>
      <c r="I1206">
        <f>VLOOKUP(Table4[[#This Row],[Visitor]],'NHL Model'!$A$6:$B$38,2,FALSE)</f>
        <v>-1.6690304721962474</v>
      </c>
      <c r="J1206">
        <f>($B$1+Table4[[#This Row],[Home Differential]])-Table4[[#This Row],[Away Differential]]</f>
        <v>1.871472752701405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0.8490321365515523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-0.22618911823839277</v>
      </c>
      <c r="H1207" t="s">
        <v>27</v>
      </c>
      <c r="I1207">
        <f>VLOOKUP(Table4[[#This Row],[Visitor]],'NHL Model'!$A$6:$B$38,2,FALSE)</f>
        <v>-0.5336297540825371</v>
      </c>
      <c r="J1207">
        <f>($B$1+Table4[[#This Row],[Home Differential]])-Table4[[#This Row],[Away Differential]]</f>
        <v>0.41382256861288746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0.5922896053230029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9.6060347736414392E-2</v>
      </c>
      <c r="H1208" t="s">
        <v>16</v>
      </c>
      <c r="I1208">
        <f>VLOOKUP(Table4[[#This Row],[Visitor]],'NHL Model'!$A$6:$B$38,2,FALSE)</f>
        <v>-1.3446131114659174</v>
      </c>
      <c r="J1208">
        <f>($B$1+Table4[[#This Row],[Home Differential]])-Table4[[#This Row],[Away Differential]]</f>
        <v>1.547055391971075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0.80803955412817086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0.15503279744029827</v>
      </c>
      <c r="H1209" t="s">
        <v>30</v>
      </c>
      <c r="I1209">
        <f>VLOOKUP(Table4[[#This Row],[Visitor]],'NHL Model'!$A$6:$B$38,2,FALSE)</f>
        <v>-0.22618911823839277</v>
      </c>
      <c r="J1209">
        <f>($B$1+Table4[[#This Row],[Home Differential]])-Table4[[#This Row],[Away Differential]]</f>
        <v>0.48760384844743415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0.5552833130510102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-0.89619124881012313</v>
      </c>
      <c r="H1210" t="s">
        <v>40</v>
      </c>
      <c r="I1210">
        <f>VLOOKUP(Table4[[#This Row],[Visitor]],'NHL Model'!$A$6:$B$38,2,FALSE)</f>
        <v>-0.2381776794561975</v>
      </c>
      <c r="J1210">
        <f>($B$1+Table4[[#This Row],[Home Differential]])-Table4[[#This Row],[Away Differential]]</f>
        <v>-0.55163163658518255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0.57221538414014494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8.2462575231143323E-2</v>
      </c>
      <c r="H1211" t="s">
        <v>12</v>
      </c>
      <c r="I1211">
        <f>VLOOKUP(Table4[[#This Row],[Visitor]],'NHL Model'!$A$6:$B$38,2,FALSE)</f>
        <v>1.4740146843006017</v>
      </c>
      <c r="J1211">
        <f>($B$1+Table4[[#This Row],[Home Differential]])-Table4[[#This Row],[Away Differential]]</f>
        <v>-1.2851701763007153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0.71239095300411726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-1.1555135170505442</v>
      </c>
      <c r="H1212" t="s">
        <v>20</v>
      </c>
      <c r="I1212">
        <f>VLOOKUP(Table4[[#This Row],[Visitor]],'NHL Model'!$A$6:$B$38,2,FALSE)</f>
        <v>-0.26509018427102904</v>
      </c>
      <c r="J1212">
        <f>($B$1+Table4[[#This Row],[Home Differential]])-Table4[[#This Row],[Away Differential]]</f>
        <v>-0.78404140001077194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0.55202359744200313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-0.45522284197080148</v>
      </c>
      <c r="H1213" t="s">
        <v>19</v>
      </c>
      <c r="I1213">
        <f>VLOOKUP(Table4[[#This Row],[Visitor]],'NHL Model'!$A$6:$B$38,2,FALSE)</f>
        <v>-1.0208691773880865</v>
      </c>
      <c r="J1213">
        <f>($B$1+Table4[[#This Row],[Home Differential]])-Table4[[#This Row],[Away Differential]]</f>
        <v>0.67202826818602812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0.62491584455419247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-0.1651785584335338</v>
      </c>
      <c r="H1214" t="s">
        <v>18</v>
      </c>
      <c r="I1214">
        <f>VLOOKUP(Table4[[#This Row],[Visitor]],'NHL Model'!$A$6:$B$38,2,FALSE)</f>
        <v>-0.79206768185043297</v>
      </c>
      <c r="J1214">
        <f>($B$1+Table4[[#This Row],[Home Differential]])-Table4[[#This Row],[Away Differential]]</f>
        <v>0.73327105618564226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0.6926543331149162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-0.54922296726434805</v>
      </c>
      <c r="H1215" t="s">
        <v>26</v>
      </c>
      <c r="I1215">
        <f>VLOOKUP(Table4[[#This Row],[Visitor]],'NHL Model'!$A$6:$B$38,2,FALSE)</f>
        <v>-0.98948521352045793</v>
      </c>
      <c r="J1215">
        <f>($B$1+Table4[[#This Row],[Home Differential]])-Table4[[#This Row],[Away Differential]]</f>
        <v>0.54664417902485296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0.58830338764580159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-0.40987688593271943</v>
      </c>
      <c r="H1216" t="s">
        <v>34</v>
      </c>
      <c r="I1216">
        <f>VLOOKUP(Table4[[#This Row],[Visitor]],'NHL Model'!$A$6:$B$38,2,FALSE)</f>
        <v>-0.26693531126155262</v>
      </c>
      <c r="J1216">
        <f>($B$1+Table4[[#This Row],[Home Differential]])-Table4[[#This Row],[Away Differential]]</f>
        <v>-3.6559641902423723E-2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0.504619586728283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-0.26282059799749452</v>
      </c>
      <c r="H1217" t="s">
        <v>11</v>
      </c>
      <c r="I1217">
        <f>VLOOKUP(Table4[[#This Row],[Visitor]],'NHL Model'!$A$6:$B$38,2,FALSE)</f>
        <v>-0.4374979224090173</v>
      </c>
      <c r="J1217">
        <f>($B$1+Table4[[#This Row],[Home Differential]])-Table4[[#This Row],[Away Differential]]</f>
        <v>0.28105925718026592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0.57800943795142889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-0.63099640390293943</v>
      </c>
      <c r="H1218" t="s">
        <v>10</v>
      </c>
      <c r="I1218">
        <f>VLOOKUP(Table4[[#This Row],[Visitor]],'NHL Model'!$A$6:$B$38,2,FALSE)</f>
        <v>-0.32256919101930787</v>
      </c>
      <c r="J1218">
        <f>($B$1+Table4[[#This Row],[Home Differential]])-Table4[[#This Row],[Away Differential]]</f>
        <v>-0.20204528011488848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0.48303446709606607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-0.66146476561443079</v>
      </c>
      <c r="H1219" t="s">
        <v>29</v>
      </c>
      <c r="I1219">
        <f>VLOOKUP(Table4[[#This Row],[Visitor]],'NHL Model'!$A$6:$B$38,2,FALSE)</f>
        <v>-1.5752718195161908</v>
      </c>
      <c r="J1219">
        <f>($B$1+Table4[[#This Row],[Home Differential]])-Table4[[#This Row],[Away Differential]]</f>
        <v>1.0201889866705032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0.66890857945878979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0.17240077100158954</v>
      </c>
      <c r="H1220" t="s">
        <v>21</v>
      </c>
      <c r="I1220">
        <f>VLOOKUP(Table4[[#This Row],[Visitor]],'NHL Model'!$A$6:$B$38,2,FALSE)</f>
        <v>-0.19106480716289626</v>
      </c>
      <c r="J1220">
        <f>($B$1+Table4[[#This Row],[Home Differential]])-Table4[[#This Row],[Away Differential]]</f>
        <v>0.46984751093322891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0.6307973511233208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-1.1323142195605178</v>
      </c>
      <c r="H1221" t="s">
        <v>55</v>
      </c>
      <c r="I1221">
        <f>VLOOKUP(Table4[[#This Row],[Visitor]],'NHL Model'!$A$6:$B$38,2,FALSE)</f>
        <v>-0.34901281259242245</v>
      </c>
      <c r="J1221">
        <f>($B$1+Table4[[#This Row],[Home Differential]])-Table4[[#This Row],[Away Differential]]</f>
        <v>-0.67691947419935217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0.54553388535570668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0.12620994778252301</v>
      </c>
      <c r="H1222" t="s">
        <v>23</v>
      </c>
      <c r="I1222">
        <f>VLOOKUP(Table4[[#This Row],[Visitor]],'NHL Model'!$A$6:$B$38,2,FALSE)</f>
        <v>-0.69947324663859312</v>
      </c>
      <c r="J1222">
        <f>($B$1+Table4[[#This Row],[Home Differential]])-Table4[[#This Row],[Away Differential]]</f>
        <v>0.93206512718985923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0.67179008510074456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1.4740146843006017</v>
      </c>
      <c r="H1223" t="s">
        <v>35</v>
      </c>
      <c r="I1223">
        <f>VLOOKUP(Table4[[#This Row],[Visitor]],'NHL Model'!$A$6:$B$38,2,FALSE)</f>
        <v>-1.6690304721962474</v>
      </c>
      <c r="J1223">
        <f>($B$1+Table4[[#This Row],[Home Differential]])-Table4[[#This Row],[Away Differential]]</f>
        <v>3.2494270892655921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-0.98948521352045793</v>
      </c>
      <c r="H1224" t="s">
        <v>34</v>
      </c>
      <c r="I1224">
        <f>VLOOKUP(Table4[[#This Row],[Visitor]],'NHL Model'!$A$6:$B$38,2,FALSE)</f>
        <v>-0.26693531126155262</v>
      </c>
      <c r="J1224">
        <f>($B$1+Table4[[#This Row],[Home Differential]])-Table4[[#This Row],[Away Differential]]</f>
        <v>-0.61616796949016228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0.56622956717048212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-0.79206768185043297</v>
      </c>
      <c r="H1225" t="s">
        <v>24</v>
      </c>
      <c r="I1225">
        <f>VLOOKUP(Table4[[#This Row],[Visitor]],'NHL Model'!$A$6:$B$38,2,FALSE)</f>
        <v>-0.1651785584335338</v>
      </c>
      <c r="J1225">
        <f>($B$1+Table4[[#This Row],[Home Differential]])-Table4[[#This Row],[Away Differential]]</f>
        <v>-0.52050719064815609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0.52659950572366754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-0.54922296726434805</v>
      </c>
      <c r="H1226" t="s">
        <v>22</v>
      </c>
      <c r="I1226">
        <f>VLOOKUP(Table4[[#This Row],[Visitor]],'NHL Model'!$A$6:$B$38,2,FALSE)</f>
        <v>0.12620994778252301</v>
      </c>
      <c r="J1226">
        <f>($B$1+Table4[[#This Row],[Home Differential]])-Table4[[#This Row],[Away Differential]]</f>
        <v>-0.569050982278128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0.55267311791518614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-0.40987688593271943</v>
      </c>
      <c r="H1227" t="s">
        <v>25</v>
      </c>
      <c r="I1227">
        <f>VLOOKUP(Table4[[#This Row],[Visitor]],'NHL Model'!$A$6:$B$38,2,FALSE)</f>
        <v>0.15503279744029827</v>
      </c>
      <c r="J1227">
        <f>($B$1+Table4[[#This Row],[Home Differential]])-Table4[[#This Row],[Away Differential]]</f>
        <v>-0.45852775060427464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0.58805892445661634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-0.5336297540825371</v>
      </c>
      <c r="H1228" t="s">
        <v>21</v>
      </c>
      <c r="I1228">
        <f>VLOOKUP(Table4[[#This Row],[Visitor]],'NHL Model'!$A$6:$B$38,2,FALSE)</f>
        <v>-0.19106480716289626</v>
      </c>
      <c r="J1228">
        <f>($B$1+Table4[[#This Row],[Home Differential]])-Table4[[#This Row],[Away Differential]]</f>
        <v>-0.23618301415089776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0.45841493525919563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-0.26282059799749452</v>
      </c>
      <c r="H1229" t="s">
        <v>11</v>
      </c>
      <c r="I1229">
        <f>VLOOKUP(Table4[[#This Row],[Visitor]],'NHL Model'!$A$6:$B$38,2,FALSE)</f>
        <v>-0.4374979224090173</v>
      </c>
      <c r="J1229">
        <f>($B$1+Table4[[#This Row],[Home Differential]])-Table4[[#This Row],[Away Differential]]</f>
        <v>0.28105925718026592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0.57800943795142889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-0.69947324663859312</v>
      </c>
      <c r="H1230" t="s">
        <v>37</v>
      </c>
      <c r="I1230">
        <f>VLOOKUP(Table4[[#This Row],[Visitor]],'NHL Model'!$A$6:$B$38,2,FALSE)</f>
        <v>0.17240077100158954</v>
      </c>
      <c r="J1230">
        <f>($B$1+Table4[[#This Row],[Home Differential]])-Table4[[#This Row],[Away Differential]]</f>
        <v>-0.7654920848714396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0.60892082526406599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-0.45522284197080148</v>
      </c>
      <c r="H1231" t="s">
        <v>29</v>
      </c>
      <c r="I1231">
        <f>VLOOKUP(Table4[[#This Row],[Visitor]],'NHL Model'!$A$6:$B$38,2,FALSE)</f>
        <v>-1.5752718195161908</v>
      </c>
      <c r="J1231">
        <f>($B$1+Table4[[#This Row],[Home Differential]])-Table4[[#This Row],[Away Differential]]</f>
        <v>1.2264309103141324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0.69496880334781241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-0.66146476561443079</v>
      </c>
      <c r="H1232" t="s">
        <v>10</v>
      </c>
      <c r="I1232">
        <f>VLOOKUP(Table4[[#This Row],[Visitor]],'NHL Model'!$A$6:$B$38,2,FALSE)</f>
        <v>-0.32256919101930787</v>
      </c>
      <c r="J1232">
        <f>($B$1+Table4[[#This Row],[Home Differential]])-Table4[[#This Row],[Away Differential]]</f>
        <v>-0.23251364182637985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0.4893798537959605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-0.2381776794561975</v>
      </c>
      <c r="H1233" t="s">
        <v>32</v>
      </c>
      <c r="I1233">
        <f>VLOOKUP(Table4[[#This Row],[Visitor]],'NHL Model'!$A$6:$B$38,2,FALSE)</f>
        <v>-0.63099640390293943</v>
      </c>
      <c r="J1233">
        <f>($B$1+Table4[[#This Row],[Home Differential]])-Table4[[#This Row],[Away Differential]]</f>
        <v>0.49920065721548501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0.60557325050685096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9.6060347736414392E-2</v>
      </c>
      <c r="H1234" t="s">
        <v>29</v>
      </c>
      <c r="I1234">
        <f>VLOOKUP(Table4[[#This Row],[Visitor]],'NHL Model'!$A$6:$B$38,2,FALSE)</f>
        <v>-1.5752718195161908</v>
      </c>
      <c r="J1234">
        <f>($B$1+Table4[[#This Row],[Home Differential]])-Table4[[#This Row],[Away Differential]]</f>
        <v>1.7777141000213483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0.83718502303937736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0.15503279744029827</v>
      </c>
      <c r="H1235" t="s">
        <v>21</v>
      </c>
      <c r="I1235">
        <f>VLOOKUP(Table4[[#This Row],[Visitor]],'NHL Model'!$A$6:$B$38,2,FALSE)</f>
        <v>-0.19106480716289626</v>
      </c>
      <c r="J1235">
        <f>($B$1+Table4[[#This Row],[Home Differential]])-Table4[[#This Row],[Away Differential]]</f>
        <v>0.45247953737193763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0.62239159643583841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8.2462575231143323E-2</v>
      </c>
      <c r="H1236" t="s">
        <v>16</v>
      </c>
      <c r="I1236">
        <f>VLOOKUP(Table4[[#This Row],[Visitor]],'NHL Model'!$A$6:$B$38,2,FALSE)</f>
        <v>-1.3446131114659174</v>
      </c>
      <c r="J1236">
        <f>($B$1+Table4[[#This Row],[Home Differential]])-Table4[[#This Row],[Away Differential]]</f>
        <v>1.5334576194658038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0.73625942487359342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-0.98948521352045793</v>
      </c>
      <c r="H1237" t="s">
        <v>28</v>
      </c>
      <c r="I1237">
        <f>VLOOKUP(Table4[[#This Row],[Visitor]],'NHL Model'!$A$6:$B$38,2,FALSE)</f>
        <v>-0.89619124881012313</v>
      </c>
      <c r="J1237">
        <f>($B$1+Table4[[#This Row],[Home Differential]])-Table4[[#This Row],[Away Differential]]</f>
        <v>1.3087968058408284E-2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0.55567038405855851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-0.26693531126155262</v>
      </c>
      <c r="H1238" t="s">
        <v>32</v>
      </c>
      <c r="I1238">
        <f>VLOOKUP(Table4[[#This Row],[Visitor]],'NHL Model'!$A$6:$B$38,2,FALSE)</f>
        <v>-0.63099640390293943</v>
      </c>
      <c r="J1238">
        <f>($B$1+Table4[[#This Row],[Home Differential]])-Table4[[#This Row],[Away Differential]]</f>
        <v>0.47044302541012994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0.59944402744420322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-0.79206768185043297</v>
      </c>
      <c r="H1239" t="s">
        <v>11</v>
      </c>
      <c r="I1239">
        <f>VLOOKUP(Table4[[#This Row],[Visitor]],'NHL Model'!$A$6:$B$38,2,FALSE)</f>
        <v>-0.4374979224090173</v>
      </c>
      <c r="J1239">
        <f>($B$1+Table4[[#This Row],[Home Differential]])-Table4[[#This Row],[Away Differential]]</f>
        <v>-0.24818782667267258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0.4913604053693551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-0.1651785584335338</v>
      </c>
      <c r="H1240" t="s">
        <v>27</v>
      </c>
      <c r="I1240">
        <f>VLOOKUP(Table4[[#This Row],[Visitor]],'NHL Model'!$A$6:$B$38,2,FALSE)</f>
        <v>-0.5336297540825371</v>
      </c>
      <c r="J1240">
        <f>($B$1+Table4[[#This Row],[Home Differential]])-Table4[[#This Row],[Away Differential]]</f>
        <v>0.47483312841774639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0.72176345598067582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-0.40987688593271943</v>
      </c>
      <c r="H1241" t="s">
        <v>37</v>
      </c>
      <c r="I1241">
        <f>VLOOKUP(Table4[[#This Row],[Visitor]],'NHL Model'!$A$6:$B$38,2,FALSE)</f>
        <v>0.17240077100158954</v>
      </c>
      <c r="J1241">
        <f>($B$1+Table4[[#This Row],[Home Differential]])-Table4[[#This Row],[Away Differential]]</f>
        <v>-0.47589572416556591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0.58394254090168807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-1.6690304721962474</v>
      </c>
      <c r="H1242" t="s">
        <v>12</v>
      </c>
      <c r="I1242">
        <f>VLOOKUP(Table4[[#This Row],[Visitor]],'NHL Model'!$A$6:$B$38,2,FALSE)</f>
        <v>1.4740146843006017</v>
      </c>
      <c r="J1242">
        <f>($B$1+Table4[[#This Row],[Home Differential]])-Table4[[#This Row],[Away Differential]]</f>
        <v>-3.0366632237281062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0.936191508702653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-0.34901281259242245</v>
      </c>
      <c r="H1243" t="s">
        <v>17</v>
      </c>
      <c r="I1243">
        <f>VLOOKUP(Table4[[#This Row],[Visitor]],'NHL Model'!$A$6:$B$38,2,FALSE)</f>
        <v>-1.1555135170505442</v>
      </c>
      <c r="J1243">
        <f>($B$1+Table4[[#This Row],[Home Differential]])-Table4[[#This Row],[Away Differential]]</f>
        <v>0.9128826372268648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0.69578078964056977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-1.1323142195605178</v>
      </c>
      <c r="H1244" t="s">
        <v>20</v>
      </c>
      <c r="I1244">
        <f>VLOOKUP(Table4[[#This Row],[Visitor]],'NHL Model'!$A$6:$B$38,2,FALSE)</f>
        <v>-0.26509018427102904</v>
      </c>
      <c r="J1244">
        <f>($B$1+Table4[[#This Row],[Home Differential]])-Table4[[#This Row],[Away Differential]]</f>
        <v>-0.76084210252074558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0.55613814294200514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-0.54922296726434805</v>
      </c>
      <c r="H1245" t="s">
        <v>23</v>
      </c>
      <c r="I1245">
        <f>VLOOKUP(Table4[[#This Row],[Visitor]],'NHL Model'!$A$6:$B$38,2,FALSE)</f>
        <v>-0.69947324663859312</v>
      </c>
      <c r="J1245">
        <f>($B$1+Table4[[#This Row],[Home Differential]])-Table4[[#This Row],[Away Differential]]</f>
        <v>0.25663221214298815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0.57242741721677115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-0.66146476561443079</v>
      </c>
      <c r="H1246" t="s">
        <v>17</v>
      </c>
      <c r="I1246">
        <f>VLOOKUP(Table4[[#This Row],[Visitor]],'NHL Model'!$A$6:$B$38,2,FALSE)</f>
        <v>-1.1555135170505442</v>
      </c>
      <c r="J1246">
        <f>($B$1+Table4[[#This Row],[Home Differential]])-Table4[[#This Row],[Away Differential]]</f>
        <v>0.60043068420485646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0.61586894935704284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-1.0208691773880865</v>
      </c>
      <c r="H1247" t="s">
        <v>22</v>
      </c>
      <c r="I1247">
        <f>VLOOKUP(Table4[[#This Row],[Visitor]],'NHL Model'!$A$6:$B$38,2,FALSE)</f>
        <v>0.12620994778252301</v>
      </c>
      <c r="J1247">
        <f>($B$1+Table4[[#This Row],[Home Differential]])-Table4[[#This Row],[Away Differential]]</f>
        <v>-1.0406971924018664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0.61226917683030724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9.6060347736414392E-2</v>
      </c>
      <c r="H1248" t="s">
        <v>33</v>
      </c>
      <c r="I1248">
        <f>VLOOKUP(Table4[[#This Row],[Visitor]],'NHL Model'!$A$6:$B$38,2,FALSE)</f>
        <v>-0.66146476561443079</v>
      </c>
      <c r="J1248">
        <f>($B$1+Table4[[#This Row],[Home Differential]])-Table4[[#This Row],[Away Differential]]</f>
        <v>0.86390704611958835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0.72171860381999065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-0.69947324663859312</v>
      </c>
      <c r="H1249" t="s">
        <v>28</v>
      </c>
      <c r="I1249">
        <f>VLOOKUP(Table4[[#This Row],[Visitor]],'NHL Model'!$A$6:$B$38,2,FALSE)</f>
        <v>-0.89619124881012313</v>
      </c>
      <c r="J1249">
        <f>($B$1+Table4[[#This Row],[Home Differential]])-Table4[[#This Row],[Away Differential]]</f>
        <v>0.3030999349402731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0.59231558525681971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-0.32256919101930787</v>
      </c>
      <c r="H1250" t="s">
        <v>25</v>
      </c>
      <c r="I1250">
        <f>VLOOKUP(Table4[[#This Row],[Visitor]],'NHL Model'!$A$6:$B$38,2,FALSE)</f>
        <v>0.15503279744029827</v>
      </c>
      <c r="J1250">
        <f>($B$1+Table4[[#This Row],[Home Differential]])-Table4[[#This Row],[Away Differential]]</f>
        <v>-0.37122005569086303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0.57952962533406671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1.4740146843006017</v>
      </c>
      <c r="H1251" t="s">
        <v>16</v>
      </c>
      <c r="I1251">
        <f>VLOOKUP(Table4[[#This Row],[Visitor]],'NHL Model'!$A$6:$B$38,2,FALSE)</f>
        <v>-1.3446131114659174</v>
      </c>
      <c r="J1251">
        <f>($B$1+Table4[[#This Row],[Home Differential]])-Table4[[#This Row],[Away Differential]]</f>
        <v>2.9250097285352625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8.2462575231143323E-2</v>
      </c>
      <c r="H1252" t="s">
        <v>34</v>
      </c>
      <c r="I1252">
        <f>VLOOKUP(Table4[[#This Row],[Visitor]],'NHL Model'!$A$6:$B$38,2,FALSE)</f>
        <v>-0.26693531126155262</v>
      </c>
      <c r="J1252">
        <f>($B$1+Table4[[#This Row],[Home Differential]])-Table4[[#This Row],[Away Differential]]</f>
        <v>0.45577981926143907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0.55759122066071876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-0.98948521352045793</v>
      </c>
      <c r="H1253" t="s">
        <v>27</v>
      </c>
      <c r="I1253">
        <f>VLOOKUP(Table4[[#This Row],[Visitor]],'NHL Model'!$A$6:$B$38,2,FALSE)</f>
        <v>-0.5336297540825371</v>
      </c>
      <c r="J1253">
        <f>($B$1+Table4[[#This Row],[Home Differential]])-Table4[[#This Row],[Away Differential]]</f>
        <v>-0.34947352666917775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0.49014199762997634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-0.45522284197080148</v>
      </c>
      <c r="H1254" t="s">
        <v>38</v>
      </c>
      <c r="I1254">
        <f>VLOOKUP(Table4[[#This Row],[Visitor]],'NHL Model'!$A$6:$B$38,2,FALSE)</f>
        <v>-1.1323142195605178</v>
      </c>
      <c r="J1254">
        <f>($B$1+Table4[[#This Row],[Home Differential]])-Table4[[#This Row],[Away Differential]]</f>
        <v>0.78347331035845946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0.59971103364788025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-0.79206768185043297</v>
      </c>
      <c r="H1255" t="s">
        <v>37</v>
      </c>
      <c r="I1255">
        <f>VLOOKUP(Table4[[#This Row],[Visitor]],'NHL Model'!$A$6:$B$38,2,FALSE)</f>
        <v>0.17240077100158954</v>
      </c>
      <c r="J1255">
        <f>($B$1+Table4[[#This Row],[Home Differential]])-Table4[[#This Row],[Away Differential]]</f>
        <v>-0.85808652008327946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0.6347414986333908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-0.1651785584335338</v>
      </c>
      <c r="H1256" t="s">
        <v>14</v>
      </c>
      <c r="I1256">
        <f>VLOOKUP(Table4[[#This Row],[Visitor]],'NHL Model'!$A$6:$B$38,2,FALSE)</f>
        <v>-0.26282059799749452</v>
      </c>
      <c r="J1256">
        <f>($B$1+Table4[[#This Row],[Home Differential]])-Table4[[#This Row],[Away Differential]]</f>
        <v>0.20402397233270383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0.68754467488082505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-0.22618911823839277</v>
      </c>
      <c r="H1257" t="s">
        <v>19</v>
      </c>
      <c r="I1257">
        <f>VLOOKUP(Table4[[#This Row],[Visitor]],'NHL Model'!$A$6:$B$38,2,FALSE)</f>
        <v>-1.0208691773880865</v>
      </c>
      <c r="J1257">
        <f>($B$1+Table4[[#This Row],[Home Differential]])-Table4[[#This Row],[Away Differential]]</f>
        <v>0.90106199191843683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0.65385598443048909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-0.40987688593271943</v>
      </c>
      <c r="H1258" t="s">
        <v>11</v>
      </c>
      <c r="I1258">
        <f>VLOOKUP(Table4[[#This Row],[Visitor]],'NHL Model'!$A$6:$B$38,2,FALSE)</f>
        <v>-0.4374979224090173</v>
      </c>
      <c r="J1258">
        <f>($B$1+Table4[[#This Row],[Home Differential]])-Table4[[#This Row],[Away Differential]]</f>
        <v>0.13400296924504096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0.55942776590252719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-0.63099640390293943</v>
      </c>
      <c r="H1259" t="s">
        <v>20</v>
      </c>
      <c r="I1259">
        <f>VLOOKUP(Table4[[#This Row],[Visitor]],'NHL Model'!$A$6:$B$38,2,FALSE)</f>
        <v>-0.26509018427102904</v>
      </c>
      <c r="J1259">
        <f>($B$1+Table4[[#This Row],[Home Differential]])-Table4[[#This Row],[Away Differential]]</f>
        <v>-0.25952428686316731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0.49029737348442515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-1.6690304721962474</v>
      </c>
      <c r="H1260" t="s">
        <v>40</v>
      </c>
      <c r="I1260">
        <f>VLOOKUP(Table4[[#This Row],[Visitor]],'NHL Model'!$A$6:$B$38,2,FALSE)</f>
        <v>-0.2381776794561975</v>
      </c>
      <c r="J1260">
        <f>($B$1+Table4[[#This Row],[Home Differential]])-Table4[[#This Row],[Away Differential]]</f>
        <v>-1.3244708599713069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0.66986945386489127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-0.34901281259242245</v>
      </c>
      <c r="H1261" t="s">
        <v>29</v>
      </c>
      <c r="I1261">
        <f>VLOOKUP(Table4[[#This Row],[Visitor]],'NHL Model'!$A$6:$B$38,2,FALSE)</f>
        <v>-1.5752718195161908</v>
      </c>
      <c r="J1261">
        <f>($B$1+Table4[[#This Row],[Home Differential]])-Table4[[#This Row],[Away Differential]]</f>
        <v>1.3326409396925114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0.74882041974231672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-0.19106480716289626</v>
      </c>
      <c r="H1262" t="s">
        <v>37</v>
      </c>
      <c r="I1262">
        <f>VLOOKUP(Table4[[#This Row],[Visitor]],'NHL Model'!$A$6:$B$38,2,FALSE)</f>
        <v>0.17240077100158954</v>
      </c>
      <c r="J1262">
        <f>($B$1+Table4[[#This Row],[Home Differential]])-Table4[[#This Row],[Away Differential]]</f>
        <v>-0.25708364539574269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0.50616866974225905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-0.32256919101930787</v>
      </c>
      <c r="H1263" t="s">
        <v>35</v>
      </c>
      <c r="I1263">
        <f>VLOOKUP(Table4[[#This Row],[Visitor]],'NHL Model'!$A$6:$B$38,2,FALSE)</f>
        <v>-1.6690304721962474</v>
      </c>
      <c r="J1263">
        <f>($B$1+Table4[[#This Row],[Home Differential]])-Table4[[#This Row],[Away Differential]]</f>
        <v>1.4528432139456826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0.72357770700632829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1.4740146843006017</v>
      </c>
      <c r="H1264" t="s">
        <v>20</v>
      </c>
      <c r="I1264">
        <f>VLOOKUP(Table4[[#This Row],[Visitor]],'NHL Model'!$A$6:$B$38,2,FALSE)</f>
        <v>-0.26509018427102904</v>
      </c>
      <c r="J1264">
        <f>($B$1+Table4[[#This Row],[Home Differential]])-Table4[[#This Row],[Away Differential]]</f>
        <v>1.8454868013403738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0.87330498618940577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8.2462575231143323E-2</v>
      </c>
      <c r="H1265" t="s">
        <v>15</v>
      </c>
      <c r="I1265">
        <f>VLOOKUP(Table4[[#This Row],[Visitor]],'NHL Model'!$A$6:$B$38,2,FALSE)</f>
        <v>-0.54922296726434805</v>
      </c>
      <c r="J1265">
        <f>($B$1+Table4[[#This Row],[Home Differential]])-Table4[[#This Row],[Away Differential]]</f>
        <v>0.73806747526423444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0.5432603968717189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-0.98948521352045793</v>
      </c>
      <c r="H1266" t="s">
        <v>24</v>
      </c>
      <c r="I1266">
        <f>VLOOKUP(Table4[[#This Row],[Visitor]],'NHL Model'!$A$6:$B$38,2,FALSE)</f>
        <v>-0.1651785584335338</v>
      </c>
      <c r="J1266">
        <f>($B$1+Table4[[#This Row],[Home Differential]])-Table4[[#This Row],[Away Differential]]</f>
        <v>-0.71792472231818105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0.53752371862580905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-0.45522284197080148</v>
      </c>
      <c r="H1267" t="s">
        <v>17</v>
      </c>
      <c r="I1267">
        <f>VLOOKUP(Table4[[#This Row],[Visitor]],'NHL Model'!$A$6:$B$38,2,FALSE)</f>
        <v>-1.1555135170505442</v>
      </c>
      <c r="J1267">
        <f>($B$1+Table4[[#This Row],[Home Differential]])-Table4[[#This Row],[Away Differential]]</f>
        <v>0.80667260784848582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0.64192917324606547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-0.79206768185043297</v>
      </c>
      <c r="H1268" t="s">
        <v>28</v>
      </c>
      <c r="I1268">
        <f>VLOOKUP(Table4[[#This Row],[Visitor]],'NHL Model'!$A$6:$B$38,2,FALSE)</f>
        <v>-0.89619124881012313</v>
      </c>
      <c r="J1268">
        <f>($B$1+Table4[[#This Row],[Home Differential]])-Table4[[#This Row],[Away Differential]]</f>
        <v>0.21050549972843324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0.5665989589113446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-1.5752718195161908</v>
      </c>
      <c r="H1269" t="s">
        <v>34</v>
      </c>
      <c r="I1269">
        <f>VLOOKUP(Table4[[#This Row],[Visitor]],'NHL Model'!$A$6:$B$38,2,FALSE)</f>
        <v>-0.26693531126155262</v>
      </c>
      <c r="J1269">
        <f>($B$1+Table4[[#This Row],[Home Differential]])-Table4[[#This Row],[Away Differential]]</f>
        <v>-1.2019545754858949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0.6543885964944085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-0.22618911823839277</v>
      </c>
      <c r="H1270" t="s">
        <v>36</v>
      </c>
      <c r="I1270">
        <f>VLOOKUP(Table4[[#This Row],[Visitor]],'NHL Model'!$A$6:$B$38,2,FALSE)</f>
        <v>-0.40987688593271943</v>
      </c>
      <c r="J1270">
        <f>($B$1+Table4[[#This Row],[Home Differential]])-Table4[[#This Row],[Away Differential]]</f>
        <v>0.29006970046306979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0.55588326550282308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-0.26282059799749452</v>
      </c>
      <c r="H1271" t="s">
        <v>22</v>
      </c>
      <c r="I1271">
        <f>VLOOKUP(Table4[[#This Row],[Visitor]],'NHL Model'!$A$6:$B$38,2,FALSE)</f>
        <v>0.12620994778252301</v>
      </c>
      <c r="J1271">
        <f>($B$1+Table4[[#This Row],[Home Differential]])-Table4[[#This Row],[Away Differential]]</f>
        <v>-0.28264861301127442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0.51397565541895696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-0.63099640390293943</v>
      </c>
      <c r="H1272" t="s">
        <v>16</v>
      </c>
      <c r="I1272">
        <f>VLOOKUP(Table4[[#This Row],[Visitor]],'NHL Model'!$A$6:$B$38,2,FALSE)</f>
        <v>-1.3446131114659174</v>
      </c>
      <c r="J1272">
        <f>($B$1+Table4[[#This Row],[Home Differential]])-Table4[[#This Row],[Away Differential]]</f>
        <v>0.8199986403317211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0.64610849724747765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-0.66146476561443079</v>
      </c>
      <c r="H1273" t="s">
        <v>38</v>
      </c>
      <c r="I1273">
        <f>VLOOKUP(Table4[[#This Row],[Visitor]],'NHL Model'!$A$6:$B$38,2,FALSE)</f>
        <v>-1.1323142195605178</v>
      </c>
      <c r="J1273">
        <f>($B$1+Table4[[#This Row],[Home Differential]])-Table4[[#This Row],[Away Differential]]</f>
        <v>0.5772313867148301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0.57365080975885752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-1.0208691773880865</v>
      </c>
      <c r="H1274" t="s">
        <v>11</v>
      </c>
      <c r="I1274">
        <f>VLOOKUP(Table4[[#This Row],[Visitor]],'NHL Model'!$A$6:$B$38,2,FALSE)</f>
        <v>-0.4374979224090173</v>
      </c>
      <c r="J1274">
        <f>($B$1+Table4[[#This Row],[Home Differential]])-Table4[[#This Row],[Away Differential]]</f>
        <v>-0.47698932221032608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0.52027120146024797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-0.34901281259242245</v>
      </c>
      <c r="H1275" t="s">
        <v>25</v>
      </c>
      <c r="I1275">
        <f>VLOOKUP(Table4[[#This Row],[Visitor]],'NHL Model'!$A$6:$B$38,2,FALSE)</f>
        <v>0.15503279744029827</v>
      </c>
      <c r="J1275">
        <f>($B$1+Table4[[#This Row],[Home Differential]])-Table4[[#This Row],[Away Differential]]</f>
        <v>-0.39766367726397761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0.54186791915599342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-0.2381776794561975</v>
      </c>
      <c r="H1276" t="s">
        <v>27</v>
      </c>
      <c r="I1276">
        <f>VLOOKUP(Table4[[#This Row],[Visitor]],'NHL Model'!$A$6:$B$38,2,FALSE)</f>
        <v>-0.5336297540825371</v>
      </c>
      <c r="J1276">
        <f>($B$1+Table4[[#This Row],[Home Differential]])-Table4[[#This Row],[Away Differential]]</f>
        <v>0.40183400739508268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0.59327023932068601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9.6060347736414392E-2</v>
      </c>
      <c r="H1277" t="s">
        <v>38</v>
      </c>
      <c r="I1277">
        <f>VLOOKUP(Table4[[#This Row],[Visitor]],'NHL Model'!$A$6:$B$38,2,FALSE)</f>
        <v>-1.1323142195605178</v>
      </c>
      <c r="J1277">
        <f>($B$1+Table4[[#This Row],[Home Differential]])-Table4[[#This Row],[Away Differential]]</f>
        <v>1.3347565000656754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0.74324219467798658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-0.89619124881012313</v>
      </c>
      <c r="H1278" t="s">
        <v>21</v>
      </c>
      <c r="I1278">
        <f>VLOOKUP(Table4[[#This Row],[Visitor]],'NHL Model'!$A$6:$B$38,2,FALSE)</f>
        <v>-0.19106480716289626</v>
      </c>
      <c r="J1278">
        <f>($B$1+Table4[[#This Row],[Home Differential]])-Table4[[#This Row],[Away Differential]]</f>
        <v>-0.59874450887848374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0.53648538146385938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-1.3446131114659174</v>
      </c>
      <c r="H1279" t="s">
        <v>55</v>
      </c>
      <c r="I1279">
        <f>VLOOKUP(Table4[[#This Row],[Visitor]],'NHL Model'!$A$6:$B$38,2,FALSE)</f>
        <v>-0.34901281259242245</v>
      </c>
      <c r="J1279">
        <f>($B$1+Table4[[#This Row],[Home Differential]])-Table4[[#This Row],[Away Differential]]</f>
        <v>-0.8892183661047518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0.57235945290620127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-0.1651785584335338</v>
      </c>
      <c r="H1280" t="s">
        <v>36</v>
      </c>
      <c r="I1280">
        <f>VLOOKUP(Table4[[#This Row],[Visitor]],'NHL Model'!$A$6:$B$38,2,FALSE)</f>
        <v>-0.40987688593271943</v>
      </c>
      <c r="J1280">
        <f>($B$1+Table4[[#This Row],[Home Differential]])-Table4[[#This Row],[Away Differential]]</f>
        <v>0.35108026026792871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0.68721878390451674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-0.22618911823839277</v>
      </c>
      <c r="H1281" t="s">
        <v>18</v>
      </c>
      <c r="I1281">
        <f>VLOOKUP(Table4[[#This Row],[Visitor]],'NHL Model'!$A$6:$B$38,2,FALSE)</f>
        <v>-0.79206768185043297</v>
      </c>
      <c r="J1281">
        <f>($B$1+Table4[[#This Row],[Home Differential]])-Table4[[#This Row],[Away Differential]]</f>
        <v>0.67226049638078333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0.5586293988659119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0.12620994778252301</v>
      </c>
      <c r="H1282" t="s">
        <v>14</v>
      </c>
      <c r="I1282">
        <f>VLOOKUP(Table4[[#This Row],[Visitor]],'NHL Model'!$A$6:$B$38,2,FALSE)</f>
        <v>-0.26282059799749452</v>
      </c>
      <c r="J1282">
        <f>($B$1+Table4[[#This Row],[Home Differential]])-Table4[[#This Row],[Away Differential]]</f>
        <v>0.49541247854876064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0.61661572683116073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-0.32256919101930787</v>
      </c>
      <c r="H1283" t="s">
        <v>23</v>
      </c>
      <c r="I1283">
        <f>VLOOKUP(Table4[[#This Row],[Visitor]],'NHL Model'!$A$6:$B$38,2,FALSE)</f>
        <v>-0.69947324663859312</v>
      </c>
      <c r="J1283">
        <f>($B$1+Table4[[#This Row],[Home Differential]])-Table4[[#This Row],[Away Differential]]</f>
        <v>0.48328598838802839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0.60106683276278028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-1.1555135170505442</v>
      </c>
      <c r="H1284" t="s">
        <v>12</v>
      </c>
      <c r="I1284">
        <f>VLOOKUP(Table4[[#This Row],[Visitor]],'NHL Model'!$A$6:$B$38,2,FALSE)</f>
        <v>1.4740146843006017</v>
      </c>
      <c r="J1284">
        <f>($B$1+Table4[[#This Row],[Home Differential]])-Table4[[#This Row],[Away Differential]]</f>
        <v>-2.5231462685824027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0.86427312269797263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-0.4374979224090173</v>
      </c>
      <c r="H1285" t="s">
        <v>15</v>
      </c>
      <c r="I1285">
        <f>VLOOKUP(Table4[[#This Row],[Visitor]],'NHL Model'!$A$6:$B$38,2,FALSE)</f>
        <v>-0.54922296726434805</v>
      </c>
      <c r="J1285">
        <f>($B$1+Table4[[#This Row],[Home Differential]])-Table4[[#This Row],[Away Differential]]</f>
        <v>0.21810697762407383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0.50755946302393307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-1.5752718195161908</v>
      </c>
      <c r="H1286" t="s">
        <v>33</v>
      </c>
      <c r="I1286">
        <f>VLOOKUP(Table4[[#This Row],[Visitor]],'NHL Model'!$A$6:$B$38,2,FALSE)</f>
        <v>-0.66146476561443079</v>
      </c>
      <c r="J1286">
        <f>($B$1+Table4[[#This Row],[Home Differential]])-Table4[[#This Row],[Away Differential]]</f>
        <v>-0.80742512113301679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0.56202425897998365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-0.5336297540825371</v>
      </c>
      <c r="H1287" t="s">
        <v>25</v>
      </c>
      <c r="I1287">
        <f>VLOOKUP(Table4[[#This Row],[Visitor]],'NHL Model'!$A$6:$B$38,2,FALSE)</f>
        <v>0.15503279744029827</v>
      </c>
      <c r="J1287">
        <f>($B$1+Table4[[#This Row],[Home Differential]])-Table4[[#This Row],[Away Differential]]</f>
        <v>-0.58228061875409232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0.57357555157985463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-0.63099640390293943</v>
      </c>
      <c r="H1288" t="s">
        <v>13</v>
      </c>
      <c r="I1288">
        <f>VLOOKUP(Table4[[#This Row],[Visitor]],'NHL Model'!$A$6:$B$38,2,FALSE)</f>
        <v>-0.45522284197080148</v>
      </c>
      <c r="J1288">
        <f>($B$1+Table4[[#This Row],[Home Differential]])-Table4[[#This Row],[Away Differential]]</f>
        <v>-6.9391629163394863E-2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0.5497517627114421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-1.6690304721962474</v>
      </c>
      <c r="H1289" t="s">
        <v>34</v>
      </c>
      <c r="I1289">
        <f>VLOOKUP(Table4[[#This Row],[Visitor]],'NHL Model'!$A$6:$B$38,2,FALSE)</f>
        <v>-0.26693531126155262</v>
      </c>
      <c r="J1289">
        <f>($B$1+Table4[[#This Row],[Home Differential]])-Table4[[#This Row],[Away Differential]]</f>
        <v>-1.2957132281659516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0.66623571000658344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0.17240077100158954</v>
      </c>
      <c r="H1290" t="s">
        <v>26</v>
      </c>
      <c r="I1290">
        <f>VLOOKUP(Table4[[#This Row],[Visitor]],'NHL Model'!$A$6:$B$38,2,FALSE)</f>
        <v>-0.98948521352045793</v>
      </c>
      <c r="J1290">
        <f>($B$1+Table4[[#This Row],[Home Differential]])-Table4[[#This Row],[Away Differential]]</f>
        <v>1.2682679172907907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0.71197936292094832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-1.0208691773880865</v>
      </c>
      <c r="H1291" t="s">
        <v>39</v>
      </c>
      <c r="I1291">
        <f>VLOOKUP(Table4[[#This Row],[Visitor]],'NHL Model'!$A$6:$B$38,2,FALSE)</f>
        <v>8.2462575231143323E-2</v>
      </c>
      <c r="J1291">
        <f>($B$1+Table4[[#This Row],[Home Differential]])-Table4[[#This Row],[Away Differential]]</f>
        <v>-0.9969498198504867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0.68776988811702255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-0.26509018427102904</v>
      </c>
      <c r="H1292" t="s">
        <v>40</v>
      </c>
      <c r="I1292">
        <f>VLOOKUP(Table4[[#This Row],[Visitor]],'NHL Model'!$A$6:$B$38,2,FALSE)</f>
        <v>-0.2381776794561975</v>
      </c>
      <c r="J1292">
        <f>($B$1+Table4[[#This Row],[Home Differential]])-Table4[[#This Row],[Away Differential]]</f>
        <v>7.946942795391157E-2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0.50752899929039308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-0.19106480716289626</v>
      </c>
      <c r="H1293" t="s">
        <v>24</v>
      </c>
      <c r="I1293">
        <f>VLOOKUP(Table4[[#This Row],[Visitor]],'NHL Model'!$A$6:$B$38,2,FALSE)</f>
        <v>-0.1651785584335338</v>
      </c>
      <c r="J1293">
        <f>($B$1+Table4[[#This Row],[Home Differential]])-Table4[[#This Row],[Away Differential]]</f>
        <v>8.0495684039380649E-2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0.60108032821674418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-0.89619124881012313</v>
      </c>
      <c r="H1294" t="s">
        <v>22</v>
      </c>
      <c r="I1294">
        <f>VLOOKUP(Table4[[#This Row],[Visitor]],'NHL Model'!$A$6:$B$38,2,FALSE)</f>
        <v>0.12620994778252301</v>
      </c>
      <c r="J1294">
        <f>($B$1+Table4[[#This Row],[Home Differential]])-Table4[[#This Row],[Away Differential]]</f>
        <v>-0.91601926382390308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0.59651517941135579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-1.3446131114659174</v>
      </c>
      <c r="H1295" t="s">
        <v>12</v>
      </c>
      <c r="I1295">
        <f>VLOOKUP(Table4[[#This Row],[Visitor]],'NHL Model'!$A$6:$B$38,2,FALSE)</f>
        <v>1.4740146843006017</v>
      </c>
      <c r="J1295">
        <f>($B$1+Table4[[#This Row],[Home Differential]])-Table4[[#This Row],[Away Differential]]</f>
        <v>-2.7122458629977757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0.89519892627927145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-0.26693531126155262</v>
      </c>
      <c r="H1296" t="s">
        <v>31</v>
      </c>
      <c r="I1296">
        <f>VLOOKUP(Table4[[#This Row],[Visitor]],'NHL Model'!$A$6:$B$38,2,FALSE)</f>
        <v>9.6060347736414392E-2</v>
      </c>
      <c r="J1296">
        <f>($B$1+Table4[[#This Row],[Home Differential]])-Table4[[#This Row],[Away Differential]]</f>
        <v>-0.2566137262292239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0.51319431215125511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-0.22618911823839277</v>
      </c>
      <c r="H1297" t="s">
        <v>25</v>
      </c>
      <c r="I1297">
        <f>VLOOKUP(Table4[[#This Row],[Visitor]],'NHL Model'!$A$6:$B$38,2,FALSE)</f>
        <v>0.15503279744029827</v>
      </c>
      <c r="J1297">
        <f>($B$1+Table4[[#This Row],[Home Differential]])-Table4[[#This Row],[Away Differential]]</f>
        <v>-0.27483998290994793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0.56735127560411103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-0.5336297540825371</v>
      </c>
      <c r="H1298" t="s">
        <v>18</v>
      </c>
      <c r="I1298">
        <f>VLOOKUP(Table4[[#This Row],[Visitor]],'NHL Model'!$A$6:$B$38,2,FALSE)</f>
        <v>-0.79206768185043297</v>
      </c>
      <c r="J1298">
        <f>($B$1+Table4[[#This Row],[Home Differential]])-Table4[[#This Row],[Away Differential]]</f>
        <v>0.36481986053663895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0.55242685718004692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-1.6690304721962474</v>
      </c>
      <c r="H1299" t="s">
        <v>14</v>
      </c>
      <c r="I1299">
        <f>VLOOKUP(Table4[[#This Row],[Visitor]],'NHL Model'!$A$6:$B$38,2,FALSE)</f>
        <v>-0.26282059799749452</v>
      </c>
      <c r="J1299">
        <f>($B$1+Table4[[#This Row],[Home Differential]])-Table4[[#This Row],[Away Differential]]</f>
        <v>-1.2998279414300098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0.62424307227372877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-0.34901281259242245</v>
      </c>
      <c r="H1300" t="s">
        <v>40</v>
      </c>
      <c r="I1300">
        <f>VLOOKUP(Table4[[#This Row],[Visitor]],'NHL Model'!$A$6:$B$38,2,FALSE)</f>
        <v>-0.2381776794561975</v>
      </c>
      <c r="J1300">
        <f>($B$1+Table4[[#This Row],[Home Differential]])-Table4[[#This Row],[Away Differential]]</f>
        <v>-4.453200367481841E-3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0.46210115702029669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-1.1323142195605178</v>
      </c>
      <c r="H1301" t="s">
        <v>13</v>
      </c>
      <c r="I1301">
        <f>VLOOKUP(Table4[[#This Row],[Visitor]],'NHL Model'!$A$6:$B$38,2,FALSE)</f>
        <v>-0.45522284197080148</v>
      </c>
      <c r="J1301">
        <f>($B$1+Table4[[#This Row],[Home Differential]])-Table4[[#This Row],[Away Differential]]</f>
        <v>-0.57070944482097308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0.6155917072768704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-0.69947324663859312</v>
      </c>
      <c r="H1302" t="s">
        <v>39</v>
      </c>
      <c r="I1302">
        <f>VLOOKUP(Table4[[#This Row],[Visitor]],'NHL Model'!$A$6:$B$38,2,FALSE)</f>
        <v>8.2462575231143323E-2</v>
      </c>
      <c r="J1302">
        <f>($B$1+Table4[[#This Row],[Home Differential]])-Table4[[#This Row],[Away Differential]]</f>
        <v>-0.67555388910099334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0.63318742032680264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-0.32256919101930787</v>
      </c>
      <c r="H1303" t="s">
        <v>33</v>
      </c>
      <c r="I1303">
        <f>VLOOKUP(Table4[[#This Row],[Visitor]],'NHL Model'!$A$6:$B$38,2,FALSE)</f>
        <v>-0.66146476561443079</v>
      </c>
      <c r="J1303">
        <f>($B$1+Table4[[#This Row],[Home Differential]])-Table4[[#This Row],[Away Differential]]</f>
        <v>0.44527750736386607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0.59626417427476663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-0.4374979224090173</v>
      </c>
      <c r="H1304" t="s">
        <v>26</v>
      </c>
      <c r="I1304">
        <f>VLOOKUP(Table4[[#This Row],[Visitor]],'NHL Model'!$A$6:$B$38,2,FALSE)</f>
        <v>-0.98948521352045793</v>
      </c>
      <c r="J1304">
        <f>($B$1+Table4[[#This Row],[Home Differential]])-Table4[[#This Row],[Away Differential]]</f>
        <v>0.65836922388018371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0.63491405913059673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-0.40987688593271943</v>
      </c>
      <c r="H1305" t="s">
        <v>19</v>
      </c>
      <c r="I1305">
        <f>VLOOKUP(Table4[[#This Row],[Visitor]],'NHL Model'!$A$6:$B$38,2,FALSE)</f>
        <v>-1.0208691773880865</v>
      </c>
      <c r="J1305">
        <f>($B$1+Table4[[#This Row],[Home Differential]])-Table4[[#This Row],[Away Differential]]</f>
        <v>0.71737422422411012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0.63314112760217822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0.17240077100158954</v>
      </c>
      <c r="H1306" t="s">
        <v>15</v>
      </c>
      <c r="I1306">
        <f>VLOOKUP(Table4[[#This Row],[Visitor]],'NHL Model'!$A$6:$B$38,2,FALSE)</f>
        <v>-0.54922296726434805</v>
      </c>
      <c r="J1306">
        <f>($B$1+Table4[[#This Row],[Home Differential]])-Table4[[#This Row],[Away Differential]]</f>
        <v>0.8280056710346807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0.58462476681428466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-0.26509018427102904</v>
      </c>
      <c r="H1307" t="s">
        <v>32</v>
      </c>
      <c r="I1307">
        <f>VLOOKUP(Table4[[#This Row],[Visitor]],'NHL Model'!$A$6:$B$38,2,FALSE)</f>
        <v>-0.63099640390293943</v>
      </c>
      <c r="J1307">
        <f>($B$1+Table4[[#This Row],[Home Differential]])-Table4[[#This Row],[Away Differential]]</f>
        <v>0.47228815240065347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0.5996771731675713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-1.3446131114659174</v>
      </c>
      <c r="H1308" t="s">
        <v>13</v>
      </c>
      <c r="I1308">
        <f>VLOOKUP(Table4[[#This Row],[Visitor]],'NHL Model'!$A$6:$B$38,2,FALSE)</f>
        <v>-0.45522284197080148</v>
      </c>
      <c r="J1308">
        <f>($B$1+Table4[[#This Row],[Home Differential]])-Table4[[#This Row],[Away Differential]]</f>
        <v>-0.78300833672637271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0.64241727482736499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1.4740146843006017</v>
      </c>
      <c r="H1309" t="s">
        <v>32</v>
      </c>
      <c r="I1309">
        <f>VLOOKUP(Table4[[#This Row],[Visitor]],'NHL Model'!$A$6:$B$38,2,FALSE)</f>
        <v>-0.63099640390293943</v>
      </c>
      <c r="J1309">
        <f>($B$1+Table4[[#This Row],[Home Differential]])-Table4[[#This Row],[Away Differential]]</f>
        <v>2.2113930209722845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0.919539999117574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-1.1555135170505442</v>
      </c>
      <c r="H1310" t="s">
        <v>38</v>
      </c>
      <c r="I1310">
        <f>VLOOKUP(Table4[[#This Row],[Visitor]],'NHL Model'!$A$6:$B$38,2,FALSE)</f>
        <v>-1.1323142195605178</v>
      </c>
      <c r="J1310">
        <f>($B$1+Table4[[#This Row],[Home Differential]])-Table4[[#This Row],[Away Differential]]</f>
        <v>8.3182635278716832E-2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0.51832325387944889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-1.5752718195161908</v>
      </c>
      <c r="H1311" t="s">
        <v>31</v>
      </c>
      <c r="I1311">
        <f>VLOOKUP(Table4[[#This Row],[Visitor]],'NHL Model'!$A$6:$B$38,2,FALSE)</f>
        <v>9.6060347736414392E-2</v>
      </c>
      <c r="J1311">
        <f>($B$1+Table4[[#This Row],[Home Differential]])-Table4[[#This Row],[Away Differential]]</f>
        <v>-1.5649502344838619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0.67851250607099634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-0.34901281259242245</v>
      </c>
      <c r="H1312" t="s">
        <v>35</v>
      </c>
      <c r="I1312">
        <f>VLOOKUP(Table4[[#This Row],[Visitor]],'NHL Model'!$A$6:$B$38,2,FALSE)</f>
        <v>-1.6690304721962474</v>
      </c>
      <c r="J1312">
        <f>($B$1+Table4[[#This Row],[Home Differential]])-Table4[[#This Row],[Away Differential]]</f>
        <v>1.4263995923725681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0.76066753325449166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-0.2381776794561975</v>
      </c>
      <c r="H1313" t="s">
        <v>33</v>
      </c>
      <c r="I1313">
        <f>VLOOKUP(Table4[[#This Row],[Visitor]],'NHL Model'!$A$6:$B$38,2,FALSE)</f>
        <v>-0.66146476561443079</v>
      </c>
      <c r="J1313">
        <f>($B$1+Table4[[#This Row],[Home Differential]])-Table4[[#This Row],[Away Differential]]</f>
        <v>0.52966901892697638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0.60942315800240543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1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0" priority="9" operator="containsText" text="NO">
      <formula>NOT(ISERROR(SEARCH("NO",M2)))</formula>
    </cfRule>
    <cfRule type="containsText" dxfId="29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28" priority="3" operator="containsText" text="YES">
      <formula>NOT(ISERROR(SEARCH("YES",R1)))</formula>
    </cfRule>
    <cfRule type="containsText" dxfId="27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23</v>
      </c>
      <c r="C2">
        <f>COUNTIF(NHL2025_26Results[Winning Team],Standings!A2)</f>
        <v>14</v>
      </c>
      <c r="D2">
        <f>COUNTIFS('NHL2025-26Results'!$H:$H,A2,'NHL2025-26Results'!$F:$F,"")</f>
        <v>8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29</v>
      </c>
      <c r="G2">
        <f>COUNTIFS('NHL2025-26Results'!$D:$D,A2,'NHL2025-26Results'!$G:$G,A2)</f>
        <v>8</v>
      </c>
      <c r="H2">
        <f>COUNTIFS('NHL2025-26Results'!$D:$D,A2,'NHL2025-26Results'!$H:$H,A2,'NHL2025-26Results'!$F:$F,"")</f>
        <v>3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0.72727272727272729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3.8181818181818183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2.7272727272727271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25</v>
      </c>
      <c r="C3">
        <f>COUNTIF(NHL2025_26Results[Winning Team],Standings!A3)</f>
        <v>14</v>
      </c>
      <c r="D3">
        <f>COUNTIFS('NHL2025-26Results'!$H:$H,A3,'NHL2025-26Results'!$F:$F,"")</f>
        <v>11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28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0.46153846153846156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2.8461538461538463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3.3076923076923075</v>
      </c>
    </row>
    <row r="4" spans="1:18" x14ac:dyDescent="0.2">
      <c r="A4" s="4" t="s">
        <v>23</v>
      </c>
      <c r="B4">
        <f>SUM(Table1[[#This Row],[W]:[OTL]])</f>
        <v>23</v>
      </c>
      <c r="C4">
        <f>COUNTIF(NHL2025_26Results[Winning Team],Standings!A4)</f>
        <v>9</v>
      </c>
      <c r="D4">
        <f>COUNTIFS('NHL2025-26Results'!$H:$H,A4,'NHL2025-26Results'!$F:$F,"")</f>
        <v>10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22</v>
      </c>
      <c r="G4">
        <f>COUNTIFS('NHL2025-26Results'!$D:$D,A4,'NHL2025-26Results'!$G:$G,A4)</f>
        <v>8</v>
      </c>
      <c r="H4">
        <f>COUNTIFS('NHL2025-26Results'!$D:$D,A4,'NHL2025-26Results'!$H:$H,A4,'NHL2025-26Results'!$F:$F,"")</f>
        <v>4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6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0.5714285714285714</v>
      </c>
      <c r="N4" s="11">
        <f>Table1[[#This Row],[AwayWins]]/SUM(Table1[[#This Row],[AwayWins]:[AwayOTL]])</f>
        <v>0.1111111111111111</v>
      </c>
      <c r="O4" s="14">
        <f>SUMIFS('NHL2025-26Results'!$E:$E,'NHL2025-26Results'!$D:$D,A4,'NHL2025-26Results'!$E:$E,"&gt;0")/COUNTIFS('NHL2025-26Results'!$D:$D,A4,'NHL2025-26Results'!$E:$E,"&gt;0")</f>
        <v>4.083333333333333</v>
      </c>
      <c r="P4" s="14">
        <f>SUMIFS('NHL2025-26Results'!$C:$C,'NHL2025-26Results'!$B:$B,A4,'NHL2025-26Results'!$C:$C,"&gt;0")/COUNTIFS('NHL2025-26Results'!$B:$B,A4,'NHL2025-26Results'!$C:$C,"&gt;0")</f>
        <v>2.6666666666666665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4.4444444444444446</v>
      </c>
    </row>
    <row r="5" spans="1:18" x14ac:dyDescent="0.2">
      <c r="A5" s="4" t="s">
        <v>16</v>
      </c>
      <c r="B5">
        <f>SUM(Table1[[#This Row],[W]:[OTL]])</f>
        <v>25</v>
      </c>
      <c r="C5">
        <f>COUNTIF(NHL2025_26Results[Winning Team],Standings!A5)</f>
        <v>8</v>
      </c>
      <c r="D5">
        <f>COUNTIFS('NHL2025-26Results'!$H:$H,A5,'NHL2025-26Results'!$F:$F,"")</f>
        <v>14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19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4</v>
      </c>
      <c r="K5">
        <f>COUNTIFS('NHL2025-26Results'!$B:$B,A5,'NHL2025-26Results'!$H:$H,A5,'NHL2025-26Results'!$F:$F,"")</f>
        <v>10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0.26666666666666666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2.5714285714285716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3.6</v>
      </c>
    </row>
    <row r="6" spans="1:18" x14ac:dyDescent="0.2">
      <c r="A6" s="4" t="s">
        <v>25</v>
      </c>
      <c r="B6">
        <f>SUM(Table1[[#This Row],[W]:[OTL]])</f>
        <v>23</v>
      </c>
      <c r="C6">
        <f>COUNTIF(NHL2025_26Results[Winning Team],Standings!A6)</f>
        <v>14</v>
      </c>
      <c r="D6">
        <f>COUNTIFS('NHL2025-26Results'!$H:$H,A6,'NHL2025-26Results'!$F:$F,"")</f>
        <v>7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30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3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3.9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3.5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23</v>
      </c>
      <c r="C7">
        <f>COUNTIF(NHL2025_26Results[Winning Team],Standings!A7)</f>
        <v>10</v>
      </c>
      <c r="D7">
        <f>COUNTIFS('NHL2025-26Results'!$H:$H,A7,'NHL2025-26Results'!$F:$F,"")</f>
        <v>8</v>
      </c>
      <c r="E7">
        <f>COUNTIFS('NHL2025-26Results'!$F:$F,"OT",'NHL2025-26Results'!$H:$H,A7) + COUNTIFS('NHL2025-26Results'!$F:$F,"SO",'NHL2025-26Results'!$H:$H,A7)</f>
        <v>5</v>
      </c>
      <c r="F7" s="3">
        <f>(Table1[[#This Row],[W]]*2)+Table1[[#This Row],[OTL]]</f>
        <v>25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4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0.41666666666666669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2.5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23</v>
      </c>
      <c r="C8">
        <f>COUNTIF(NHL2025_26Results[Winning Team],Standings!A8)</f>
        <v>17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39</v>
      </c>
      <c r="G8">
        <f>COUNTIFS('NHL2025-26Results'!$D:$D,A8,'NHL2025-26Results'!$G:$G,A8)</f>
        <v>9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0.81818181818181823</v>
      </c>
      <c r="N8" s="11">
        <f>Table1[[#This Row],[AwayWins]]/SUM(Table1[[#This Row],[AwayWins]:[AwayOTL]])</f>
        <v>0.66666666666666663</v>
      </c>
      <c r="O8" s="14">
        <f>SUMIFS('NHL2025-26Results'!$E:$E,'NHL2025-26Results'!$D:$D,A8,'NHL2025-26Results'!$E:$E,"&gt;0")/COUNTIFS('NHL2025-26Results'!$D:$D,A8,'NHL2025-26Results'!$E:$E,"&gt;0")</f>
        <v>4.6363636363636367</v>
      </c>
      <c r="P8" s="14">
        <f>SUMIFS('NHL2025-26Results'!$C:$C,'NHL2025-26Results'!$B:$B,A8,'NHL2025-26Results'!$C:$C,"&gt;0")/COUNTIFS('NHL2025-26Results'!$B:$B,A8,'NHL2025-26Results'!$C:$C,"&gt;0")</f>
        <v>3.5833333333333335</v>
      </c>
      <c r="Q8" s="14">
        <f>SUMIFS('NHL2025-26Results'!$C:$C,'NHL2025-26Results'!$D:$D,A8,'NHL2025-26Results'!$C:$C,"&gt;0")/COUNTIFS('NHL2025-26Results'!$D:$D,A8,'NHL2025-26Results'!$C:$C,"&gt;0")</f>
        <v>2.6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24</v>
      </c>
      <c r="C9">
        <f>COUNTIF(NHL2025_26Results[Winning Team],Standings!A9)</f>
        <v>11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4</v>
      </c>
      <c r="F9" s="3">
        <f>(Table1[[#This Row],[W]]*2)+Table1[[#This Row],[OTL]]</f>
        <v>26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2</v>
      </c>
      <c r="J9">
        <f>COUNTIFS('NHL2025-26Results'!$B:$B,A9,'NHL2025-26Results'!$G:$G,A9)</f>
        <v>6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2.7</v>
      </c>
      <c r="P9" s="14">
        <f>SUMIFS('NHL2025-26Results'!$C:$C,'NHL2025-26Results'!$B:$B,A9,'NHL2025-26Results'!$C:$C,"&gt;0")/COUNTIFS('NHL2025-26Results'!$B:$B,A9,'NHL2025-26Results'!$C:$C,"&gt;0")</f>
        <v>3.0714285714285716</v>
      </c>
      <c r="Q9" s="14">
        <f>SUMIFS('NHL2025-26Results'!$C:$C,'NHL2025-26Results'!$D:$D,A9,'NHL2025-26Results'!$C:$C,"&gt;0")/COUNTIFS('NHL2025-26Results'!$D:$D,A9,'NHL2025-26Results'!$C:$C,"&gt;0")</f>
        <v>3</v>
      </c>
      <c r="R9" s="14">
        <f>SUMIFS('NHL2025-26Results'!$E:$E,'NHL2025-26Results'!$B:$B,A9,'NHL2025-26Results'!$E:$E,"&gt;0")/COUNTIFS('NHL2025-26Results'!$B:$B,A9,'NHL2025-26Results'!$E:$E,"&gt;0")</f>
        <v>3.4285714285714284</v>
      </c>
    </row>
    <row r="10" spans="1:18" x14ac:dyDescent="0.2">
      <c r="A10" s="4" t="s">
        <v>39</v>
      </c>
      <c r="B10">
        <f>SUM(Table1[[#This Row],[W]:[OTL]])</f>
        <v>24</v>
      </c>
      <c r="C10">
        <f>COUNTIF(NHL2025_26Results[Winning Team],Standings!A10)</f>
        <v>15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34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9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0.69230769230769229</v>
      </c>
      <c r="O10" s="14">
        <f>SUMIFS('NHL2025-26Results'!$E:$E,'NHL2025-26Results'!$D:$D,A10,'NHL2025-26Results'!$E:$E,"&gt;0")/COUNTIFS('NHL2025-26Results'!$D:$D,A10,'NHL2025-26Results'!$E:$E,"&gt;0")</f>
        <v>3</v>
      </c>
      <c r="P10" s="14">
        <f>SUMIFS('NHL2025-26Results'!$C:$C,'NHL2025-26Results'!$B:$B,A10,'NHL2025-26Results'!$C:$C,"&gt;0")/COUNTIFS('NHL2025-26Results'!$B:$B,A10,'NHL2025-26Results'!$C:$C,"&gt;0")</f>
        <v>3.8461538461538463</v>
      </c>
      <c r="Q10" s="14">
        <f>SUMIFS('NHL2025-26Results'!$C:$C,'NHL2025-26Results'!$D:$D,A10,'NHL2025-26Results'!$C:$C,"&gt;0")/COUNTIFS('NHL2025-26Results'!$D:$D,A10,'NHL2025-26Results'!$C:$C,"&gt;0")</f>
        <v>3.2</v>
      </c>
      <c r="R10" s="14">
        <f>SUMIFS('NHL2025-26Results'!$E:$E,'NHL2025-26Results'!$B:$B,A10,'NHL2025-26Results'!$E:$E,"&gt;0")/COUNTIFS('NHL2025-26Results'!$B:$B,A10,'NHL2025-26Results'!$E:$E,"&gt;0")</f>
        <v>2.9166666666666665</v>
      </c>
    </row>
    <row r="11" spans="1:18" x14ac:dyDescent="0.2">
      <c r="A11" s="4" t="s">
        <v>26</v>
      </c>
      <c r="B11">
        <f>SUM(Table1[[#This Row],[W]:[OTL]])</f>
        <v>24</v>
      </c>
      <c r="C11">
        <f>COUNTIF(NHL2025_26Results[Winning Team],Standings!A11)</f>
        <v>13</v>
      </c>
      <c r="D11">
        <f>COUNTIFS('NHL2025-26Results'!$H:$H,A11,'NHL2025-26Results'!$F:$F,"")</f>
        <v>10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27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5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0.5714285714285714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3.5384615384615383</v>
      </c>
      <c r="P11" s="14">
        <f>SUMIFS('NHL2025-26Results'!$C:$C,'NHL2025-26Results'!$B:$B,A11,'NHL2025-26Results'!$C:$C,"&gt;0")/COUNTIFS('NHL2025-26Results'!$B:$B,A11,'NHL2025-26Results'!$C:$C,"&gt;0")</f>
        <v>2.8888888888888888</v>
      </c>
      <c r="Q11" s="14">
        <f>SUMIFS('NHL2025-26Results'!$C:$C,'NHL2025-26Results'!$D:$D,A11,'NHL2025-26Results'!$C:$C,"&gt;0")/COUNTIFS('NHL2025-26Results'!$D:$D,A11,'NHL2025-26Results'!$C:$C,"&gt;0")</f>
        <v>3.5</v>
      </c>
      <c r="R11" s="14">
        <f>SUMIFS('NHL2025-26Results'!$E:$E,'NHL2025-26Results'!$B:$B,A11,'NHL2025-26Results'!$E:$E,"&gt;0")/COUNTIFS('NHL2025-26Results'!$B:$B,A11,'NHL2025-26Results'!$E:$E,"&gt;0")</f>
        <v>3.1</v>
      </c>
    </row>
    <row r="12" spans="1:18" x14ac:dyDescent="0.2">
      <c r="A12" s="4" t="s">
        <v>17</v>
      </c>
      <c r="B12">
        <f>SUM(Table1[[#This Row],[W]:[OTL]])</f>
        <v>25</v>
      </c>
      <c r="C12">
        <f>COUNTIF(NHL2025_26Results[Winning Team],Standings!A12)</f>
        <v>10</v>
      </c>
      <c r="D12">
        <f>COUNTIFS('NHL2025-26Results'!$H:$H,A12,'NHL2025-26Results'!$F:$F,"")</f>
        <v>10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25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2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5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0.3125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2.75</v>
      </c>
      <c r="Q12" s="14">
        <f>SUMIFS('NHL2025-26Results'!$C:$C,'NHL2025-26Results'!$D:$D,A12,'NHL2025-26Results'!$C:$C,"&gt;0")/COUNTIFS('NHL2025-26Results'!$D:$D,A12,'NHL2025-26Results'!$C:$C,"&gt;0")</f>
        <v>4.4444444444444446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23</v>
      </c>
      <c r="C13">
        <f>COUNTIF(NHL2025_26Results[Winning Team],Standings!A13)</f>
        <v>12</v>
      </c>
      <c r="D13">
        <f>COUNTIFS('NHL2025-26Results'!$H:$H,A13,'NHL2025-26Results'!$F:$F,"")</f>
        <v>10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4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0.61538461538461542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3.3846153846153846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3.3636363636363638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23</v>
      </c>
      <c r="C14">
        <f>COUNTIF(NHL2025_26Results[Winning Team],Standings!A14)</f>
        <v>11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6</v>
      </c>
      <c r="F14" s="3">
        <f>(Table1[[#This Row],[W]]*2)+Table1[[#This Row],[OTL]]</f>
        <v>28</v>
      </c>
      <c r="G14">
        <f>COUNTIFS('NHL2025-26Results'!$D:$D,A14,'NHL2025-26Results'!$G:$G,A14)</f>
        <v>2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3</v>
      </c>
      <c r="M14" s="11">
        <f>Table1[[#This Row],[HomeWins]]/SUM(Table1[[#This Row],[HomeWins]:[HomeOTL]])</f>
        <v>0.22222222222222221</v>
      </c>
      <c r="N14" s="11">
        <f>Table1[[#This Row],[AwayWins]]/SUM(Table1[[#This Row],[AwayWins]:[AwayOTL]])</f>
        <v>0.6428571428571429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3.1428571428571428</v>
      </c>
      <c r="Q14" s="14">
        <f>SUMIFS('NHL2025-26Results'!$C:$C,'NHL2025-26Results'!$D:$D,A14,'NHL2025-26Results'!$C:$C,"&gt;0")/COUNTIFS('NHL2025-26Results'!$D:$D,A14,'NHL2025-26Results'!$C:$C,"&gt;0")</f>
        <v>3.5</v>
      </c>
      <c r="R14" s="14">
        <f>SUMIFS('NHL2025-26Results'!$E:$E,'NHL2025-26Results'!$B:$B,A14,'NHL2025-26Results'!$E:$E,"&gt;0")/COUNTIFS('NHL2025-26Results'!$B:$B,A14,'NHL2025-26Results'!$E:$E,"&gt;0")</f>
        <v>2.7692307692307692</v>
      </c>
    </row>
    <row r="15" spans="1:18" x14ac:dyDescent="0.2">
      <c r="A15" s="4" t="s">
        <v>34</v>
      </c>
      <c r="B15">
        <f>SUM(Table1[[#This Row],[W]:[OTL]])</f>
        <v>24</v>
      </c>
      <c r="C15">
        <f>COUNTIF(NHL2025_26Results[Winning Team],Standings!A15)</f>
        <v>13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30</v>
      </c>
      <c r="G15">
        <f>COUNTIFS('NHL2025-26Results'!$D:$D,A15,'NHL2025-26Results'!$G:$G,A15)</f>
        <v>7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6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0.53846153846153844</v>
      </c>
      <c r="N15" s="11">
        <f>Table1[[#This Row],[AwayWins]]/SUM(Table1[[#This Row],[AwayWins]:[AwayOTL]])</f>
        <v>0.54545454545454541</v>
      </c>
      <c r="O15" s="14">
        <f>SUMIFS('NHL2025-26Results'!$E:$E,'NHL2025-26Results'!$D:$D,A15,'NHL2025-26Results'!$E:$E,"&gt;0")/COUNTIFS('NHL2025-26Results'!$D:$D,A15,'NHL2025-26Results'!$E:$E,"&gt;0")</f>
        <v>3</v>
      </c>
      <c r="P15" s="14">
        <f>SUMIFS('NHL2025-26Results'!$C:$C,'NHL2025-26Results'!$B:$B,A15,'NHL2025-26Results'!$C:$C,"&gt;0")/COUNTIFS('NHL2025-26Results'!$B:$B,A15,'NHL2025-26Results'!$C:$C,"&gt;0")</f>
        <v>3</v>
      </c>
      <c r="Q15" s="14">
        <f>SUMIFS('NHL2025-26Results'!$C:$C,'NHL2025-26Results'!$D:$D,A15,'NHL2025-26Results'!$C:$C,"&gt;0")/COUNTIFS('NHL2025-26Results'!$D:$D,A15,'NHL2025-26Results'!$C:$C,"&gt;0")</f>
        <v>3.7272727272727271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22</v>
      </c>
      <c r="C16">
        <f>COUNTIF(NHL2025_26Results[Winning Team],Standings!A16)</f>
        <v>12</v>
      </c>
      <c r="D16">
        <f>COUNTIFS('NHL2025-26Results'!$H:$H,A16,'NHL2025-26Results'!$F:$F,"")</f>
        <v>7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27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6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3.5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3.2</v>
      </c>
    </row>
    <row r="17" spans="1:18" x14ac:dyDescent="0.2">
      <c r="A17" s="4" t="s">
        <v>29</v>
      </c>
      <c r="B17">
        <f>SUM(Table1[[#This Row],[W]:[OTL]])</f>
        <v>23</v>
      </c>
      <c r="C17">
        <f>COUNTIF(NHL2025_26Results[Winning Team],Standings!A17)</f>
        <v>7</v>
      </c>
      <c r="D17">
        <f>COUNTIFS('NHL2025-26Results'!$H:$H,A17,'NHL2025-26Results'!$F:$F,"")</f>
        <v>12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18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7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2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0.35714285714285715</v>
      </c>
      <c r="N17" s="11">
        <f>Table1[[#This Row],[AwayWins]]/SUM(Table1[[#This Row],[AwayWins]:[AwayOTL]])</f>
        <v>0.22222222222222221</v>
      </c>
      <c r="O17" s="14">
        <f>SUMIFS('NHL2025-26Results'!$E:$E,'NHL2025-26Results'!$D:$D,A17,'NHL2025-26Results'!$E:$E,"&gt;0")/COUNTIFS('NHL2025-26Results'!$D:$D,A17,'NHL2025-26Results'!$E:$E,"&gt;0")</f>
        <v>2.6923076923076925</v>
      </c>
      <c r="P17" s="14">
        <f>SUMIFS('NHL2025-26Results'!$C:$C,'NHL2025-26Results'!$B:$B,A17,'NHL2025-26Results'!$C:$C,"&gt;0")/COUNTIFS('NHL2025-26Results'!$B:$B,A17,'NHL2025-26Results'!$C:$C,"&gt;0")</f>
        <v>2.875</v>
      </c>
      <c r="Q17" s="14">
        <f>SUMIFS('NHL2025-26Results'!$C:$C,'NHL2025-26Results'!$D:$D,A17,'NHL2025-26Results'!$C:$C,"&gt;0")/COUNTIFS('NHL2025-26Results'!$D:$D,A17,'NHL2025-26Results'!$C:$C,"&gt;0")</f>
        <v>3.5</v>
      </c>
      <c r="R17" s="14">
        <f>SUMIFS('NHL2025-26Results'!$E:$E,'NHL2025-26Results'!$B:$B,A17,'NHL2025-26Results'!$E:$E,"&gt;0")/COUNTIFS('NHL2025-26Results'!$B:$B,A17,'NHL2025-26Results'!$E:$E,"&gt;0")</f>
        <v>3.8888888888888888</v>
      </c>
    </row>
    <row r="18" spans="1:18" x14ac:dyDescent="0.2">
      <c r="A18" s="4" t="s">
        <v>24</v>
      </c>
      <c r="B18">
        <f>SUM(Table1[[#This Row],[W]:[OTL]])</f>
        <v>23</v>
      </c>
      <c r="C18">
        <f>COUNTIF(NHL2025_26Results[Winning Team],Standings!A18)</f>
        <v>15</v>
      </c>
      <c r="D18">
        <f>COUNTIFS('NHL2025-26Results'!$H:$H,A18,'NHL2025-26Results'!$F:$F,"")</f>
        <v>7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31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0.9</v>
      </c>
      <c r="N18" s="11">
        <f>Table1[[#This Row],[AwayWins]]/SUM(Table1[[#This Row],[AwayWins]:[AwayOTL]])</f>
        <v>0.46153846153846156</v>
      </c>
      <c r="O18" s="14">
        <f>SUMIFS('NHL2025-26Results'!$E:$E,'NHL2025-26Results'!$D:$D,A18,'NHL2025-26Results'!$E:$E,"&gt;0")/COUNTIFS('NHL2025-26Results'!$D:$D,A18,'NHL2025-26Results'!$E:$E,"&gt;0")</f>
        <v>3.4</v>
      </c>
      <c r="P18" s="14">
        <f>SUMIFS('NHL2025-26Results'!$C:$C,'NHL2025-26Results'!$B:$B,A18,'NHL2025-26Results'!$C:$C,"&gt;0")/COUNTIFS('NHL2025-26Results'!$B:$B,A18,'NHL2025-26Results'!$C:$C,"&gt;0")</f>
        <v>3.1666666666666665</v>
      </c>
      <c r="Q18" s="14">
        <f>SUMIFS('NHL2025-26Results'!$C:$C,'NHL2025-26Results'!$D:$D,A18,'NHL2025-26Results'!$C:$C,"&gt;0")/COUNTIFS('NHL2025-26Results'!$D:$D,A18,'NHL2025-26Results'!$C:$C,"&gt;0")</f>
        <v>2.1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24</v>
      </c>
      <c r="C19">
        <f>COUNTIF(NHL2025_26Results[Winning Team],Standings!A19)</f>
        <v>13</v>
      </c>
      <c r="D19">
        <f>COUNTIFS('NHL2025-26Results'!$H:$H,A19,'NHL2025-26Results'!$F:$F,"")</f>
        <v>9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28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5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0.45454545454545453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2.7272727272727271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3.2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25</v>
      </c>
      <c r="C20">
        <f>COUNTIF(NHL2025_26Results[Winning Team],Standings!A20)</f>
        <v>12</v>
      </c>
      <c r="D20">
        <f>COUNTIFS('NHL2025-26Results'!$H:$H,A20,'NHL2025-26Results'!$F:$F,"")</f>
        <v>11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26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10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3.2</v>
      </c>
      <c r="P20" s="14">
        <f>SUMIFS('NHL2025-26Results'!$C:$C,'NHL2025-26Results'!$B:$B,A20,'NHL2025-26Results'!$C:$C,"&gt;0")/COUNTIFS('NHL2025-26Results'!$B:$B,A20,'NHL2025-26Results'!$C:$C,"&gt;0")</f>
        <v>3.2666666666666666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2.6923076923076925</v>
      </c>
    </row>
    <row r="21" spans="1:18" x14ac:dyDescent="0.2">
      <c r="A21" s="4" t="s">
        <v>36</v>
      </c>
      <c r="B21">
        <f>SUM(Table1[[#This Row],[W]:[OTL]])</f>
        <v>23</v>
      </c>
      <c r="C21">
        <f>COUNTIF(NHL2025_26Results[Winning Team],Standings!A21)</f>
        <v>12</v>
      </c>
      <c r="D21">
        <f>COUNTIFS('NHL2025-26Results'!$H:$H,A21,'NHL2025-26Results'!$F:$F,"")</f>
        <v>7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28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6</v>
      </c>
      <c r="K21">
        <f>COUNTIFS('NHL2025-26Results'!$B:$B,A21,'NHL2025-26Results'!$H:$H,A21,'NHL2025-26Results'!$F:$F,"")</f>
        <v>4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3.3333333333333335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3.6666666666666665</v>
      </c>
    </row>
    <row r="22" spans="1:18" x14ac:dyDescent="0.2">
      <c r="A22" s="4" t="s">
        <v>27</v>
      </c>
      <c r="B22">
        <f>SUM(Table1[[#This Row],[W]:[OTL]])</f>
        <v>22</v>
      </c>
      <c r="C22">
        <f>COUNTIF(NHL2025_26Results[Winning Team],Standings!A22)</f>
        <v>12</v>
      </c>
      <c r="D22">
        <f>COUNTIFS('NHL2025-26Results'!$H:$H,A22,'NHL2025-26Results'!$F:$F,"")</f>
        <v>7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27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4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0.61538461538461542</v>
      </c>
      <c r="N22" s="11">
        <f>Table1[[#This Row],[AwayWins]]/SUM(Table1[[#This Row],[AwayWins]:[AwayOTL]])</f>
        <v>0.44444444444444442</v>
      </c>
      <c r="O22" s="14">
        <f>SUMIFS('NHL2025-26Results'!$E:$E,'NHL2025-26Results'!$D:$D,A22,'NHL2025-26Results'!$E:$E,"&gt;0")/COUNTIFS('NHL2025-26Results'!$D:$D,A22,'NHL2025-26Results'!$E:$E,"&gt;0")</f>
        <v>3.0769230769230771</v>
      </c>
      <c r="P22" s="14">
        <f>SUMIFS('NHL2025-26Results'!$C:$C,'NHL2025-26Results'!$B:$B,A22,'NHL2025-26Results'!$C:$C,"&gt;0")/COUNTIFS('NHL2025-26Results'!$B:$B,A22,'NHL2025-26Results'!$C:$C,"&gt;0")</f>
        <v>3</v>
      </c>
      <c r="Q22" s="14">
        <f>SUMIFS('NHL2025-26Results'!$C:$C,'NHL2025-26Results'!$D:$D,A22,'NHL2025-26Results'!$C:$C,"&gt;0")/COUNTIFS('NHL2025-26Results'!$D:$D,A22,'NHL2025-26Results'!$C:$C,"&gt;0")</f>
        <v>2.5384615384615383</v>
      </c>
      <c r="R22" s="14">
        <f>SUMIFS('NHL2025-26Results'!$E:$E,'NHL2025-26Results'!$B:$B,A22,'NHL2025-26Results'!$E:$E,"&gt;0")/COUNTIFS('NHL2025-26Results'!$B:$B,A22,'NHL2025-26Results'!$E:$E,"&gt;0")</f>
        <v>3.1111111111111112</v>
      </c>
    </row>
    <row r="23" spans="1:18" x14ac:dyDescent="0.2">
      <c r="A23" s="4" t="s">
        <v>14</v>
      </c>
      <c r="B23">
        <f>SUM(Table1[[#This Row],[W]:[OTL]])</f>
        <v>22</v>
      </c>
      <c r="C23">
        <f>COUNTIF(NHL2025_26Results[Winning Team],Standings!A23)</f>
        <v>11</v>
      </c>
      <c r="D23">
        <f>COUNTIFS('NHL2025-26Results'!$H:$H,A23,'NHL2025-26Results'!$F:$F,"")</f>
        <v>6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27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3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0.54545454545454541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3.7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24</v>
      </c>
      <c r="C24">
        <f>COUNTIF(NHL2025_26Results[Winning Team],Standings!A24)</f>
        <v>11</v>
      </c>
      <c r="D24">
        <f>COUNTIFS('NHL2025-26Results'!$H:$H,A24,'NHL2025-26Results'!$F:$F,"")</f>
        <v>10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25</v>
      </c>
      <c r="G24">
        <f>COUNTIFS('NHL2025-26Results'!$D:$D,A24,'NHL2025-26Results'!$G:$G,A24)</f>
        <v>7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6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</v>
      </c>
      <c r="O24" s="14">
        <f>SUMIFS('NHL2025-26Results'!$E:$E,'NHL2025-26Results'!$D:$D,A24,'NHL2025-26Results'!$E:$E,"&gt;0")/COUNTIFS('NHL2025-26Results'!$D:$D,A24,'NHL2025-26Results'!$E:$E,"&gt;0")</f>
        <v>3.0769230769230771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2.9285714285714284</v>
      </c>
      <c r="R24" s="14">
        <f>SUMIFS('NHL2025-26Results'!$E:$E,'NHL2025-26Results'!$B:$B,A24,'NHL2025-26Results'!$E:$E,"&gt;0")/COUNTIFS('NHL2025-26Results'!$B:$B,A24,'NHL2025-26Results'!$E:$E,"&gt;0")</f>
        <v>3.7</v>
      </c>
    </row>
    <row r="25" spans="1:18" x14ac:dyDescent="0.2">
      <c r="A25" s="4" t="s">
        <v>32</v>
      </c>
      <c r="B25">
        <f>SUM(Table1[[#This Row],[W]:[OTL]])</f>
        <v>23</v>
      </c>
      <c r="C25">
        <f>COUNTIF(NHL2025_26Results[Winning Team],Standings!A25)</f>
        <v>11</v>
      </c>
      <c r="D25">
        <f>COUNTIFS('NHL2025-26Results'!$H:$H,A25,'NHL2025-26Results'!$F:$F,"")</f>
        <v>6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2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0.54545454545454541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2.4545454545454546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24</v>
      </c>
      <c r="C26">
        <f>COUNTIF(NHL2025_26Results[Winning Team],Standings!A26)</f>
        <v>7</v>
      </c>
      <c r="D26">
        <f>COUNTIFS('NHL2025-26Results'!$H:$H,A26,'NHL2025-26Results'!$F:$F,"")</f>
        <v>10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21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0.33333333333333331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3.4545454545454546</v>
      </c>
    </row>
    <row r="27" spans="1:18" x14ac:dyDescent="0.2">
      <c r="A27" s="4" t="s">
        <v>37</v>
      </c>
      <c r="B27">
        <f>SUM(Table1[[#This Row],[W]:[OTL]])</f>
        <v>23</v>
      </c>
      <c r="C27">
        <f>COUNTIF(NHL2025_26Results[Winning Team],Standings!A27)</f>
        <v>14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30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6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0.61538461538461542</v>
      </c>
      <c r="N27" s="11">
        <f>Table1[[#This Row],[AwayWins]]/SUM(Table1[[#This Row],[AwayWins]:[AwayOTL]])</f>
        <v>0.6</v>
      </c>
      <c r="O27" s="14">
        <f>SUMIFS('NHL2025-26Results'!$E:$E,'NHL2025-26Results'!$D:$D,A27,'NHL2025-26Results'!$E:$E,"&gt;0")/COUNTIFS('NHL2025-26Results'!$D:$D,A27,'NHL2025-26Results'!$E:$E,"&gt;0")</f>
        <v>3.0769230769230771</v>
      </c>
      <c r="P27" s="14">
        <f>SUMIFS('NHL2025-26Results'!$C:$C,'NHL2025-26Results'!$B:$B,A27,'NHL2025-26Results'!$C:$C,"&gt;0")/COUNTIFS('NHL2025-26Results'!$B:$B,A27,'NHL2025-26Results'!$C:$C,"&gt;0")</f>
        <v>3.4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2.5</v>
      </c>
    </row>
    <row r="28" spans="1:18" x14ac:dyDescent="0.2">
      <c r="A28" s="4" t="s">
        <v>19</v>
      </c>
      <c r="B28">
        <f>SUM(Table1[[#This Row],[W]:[OTL]])</f>
        <v>23</v>
      </c>
      <c r="C28">
        <f>COUNTIF(NHL2025_26Results[Winning Team],Standings!A28)</f>
        <v>10</v>
      </c>
      <c r="D28">
        <f>COUNTIFS('NHL2025-26Results'!$H:$H,A28,'NHL2025-26Results'!$F:$F,"")</f>
        <v>10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23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2</v>
      </c>
      <c r="K28">
        <f>COUNTIFS('NHL2025-26Results'!$B:$B,A28,'NHL2025-26Results'!$H:$H,A28,'NHL2025-26Results'!$F:$F,"")</f>
        <v>6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0.25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2.875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4.125</v>
      </c>
    </row>
    <row r="29" spans="1:18" x14ac:dyDescent="0.2">
      <c r="A29" t="s">
        <v>55</v>
      </c>
      <c r="B29">
        <f>SUM(Table1[[#This Row],[W]:[OTL]])</f>
        <v>24</v>
      </c>
      <c r="C29">
        <f>COUNTIF(NHL2025_26Results[Winning Team],Standings!A29)</f>
        <v>12</v>
      </c>
      <c r="D29">
        <f>COUNTIFS('NHL2025-26Results'!$H:$H,A29,'NHL2025-26Results'!$F:$F,"")</f>
        <v>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0.38461538461538464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2.8461538461538463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3.3076923076923075</v>
      </c>
    </row>
    <row r="30" spans="1:18" x14ac:dyDescent="0.2">
      <c r="A30" s="4" t="s">
        <v>38</v>
      </c>
      <c r="B30">
        <f>SUM(Table1[[#This Row],[W]:[OTL]])</f>
        <v>24</v>
      </c>
      <c r="C30">
        <f>COUNTIF(NHL2025_26Results[Winning Team],Standings!A30)</f>
        <v>10</v>
      </c>
      <c r="D30">
        <f>COUNTIFS('NHL2025-26Results'!$H:$H,A30,'NHL2025-26Results'!$F:$F,"")</f>
        <v>12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22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0.53846153846153844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3.4615384615384617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3.6923076923076925</v>
      </c>
    </row>
    <row r="31" spans="1:18" x14ac:dyDescent="0.2">
      <c r="A31" s="4" t="s">
        <v>20</v>
      </c>
      <c r="B31">
        <f>SUM(Table1[[#This Row],[W]:[OTL]])</f>
        <v>23</v>
      </c>
      <c r="C31">
        <f>COUNTIF(NHL2025_26Results[Winning Team],Standings!A31)</f>
        <v>10</v>
      </c>
      <c r="D31">
        <f>COUNTIFS('NHL2025-26Results'!$H:$H,A31,'NHL2025-26Results'!$F:$F,"")</f>
        <v>5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28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0.41666666666666669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3.4166666666666665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3.6363636363636362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24</v>
      </c>
      <c r="C32">
        <f>COUNTIF(NHL2025_26Results[Winning Team],Standings!A32)</f>
        <v>13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28</v>
      </c>
      <c r="G32">
        <f>COUNTIFS('NHL2025-26Results'!$D:$D,A32,'NHL2025-26Results'!$G:$G,A32)</f>
        <v>8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5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0.5714285714285714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3.3571428571428572</v>
      </c>
      <c r="P32" s="14">
        <f>SUMIFS('NHL2025-26Results'!$C:$C,'NHL2025-26Results'!$B:$B,A32,'NHL2025-26Results'!$C:$C,"&gt;0")/COUNTIFS('NHL2025-26Results'!$B:$B,A32,'NHL2025-26Results'!$C:$C,"&gt;0")</f>
        <v>3.6666666666666665</v>
      </c>
      <c r="Q32" s="14">
        <f>SUMIFS('NHL2025-26Results'!$C:$C,'NHL2025-26Results'!$D:$D,A32,'NHL2025-26Results'!$C:$C,"&gt;0")/COUNTIFS('NHL2025-26Results'!$D:$D,A32,'NHL2025-26Results'!$C:$C,"&gt;0")</f>
        <v>2.7857142857142856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22</v>
      </c>
      <c r="C33">
        <f>COUNTIF(NHL2025_26Results[Winning Team],Standings!A33)</f>
        <v>12</v>
      </c>
      <c r="D33">
        <f>COUNTIFS('NHL2025-26Results'!$H:$H,A33,'NHL2025-26Results'!$F:$F,"")</f>
        <v>10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5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0.54545454545454541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3.3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2.9090909090909092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90"/>
  <sheetViews>
    <sheetView tabSelected="1" topLeftCell="G28" zoomScale="59" workbookViewId="0">
      <selection activeCell="K65" sqref="K65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6" width="19.83203125" bestFit="1" customWidth="1"/>
    <col min="7" max="7" width="18" bestFit="1" customWidth="1"/>
    <col min="8" max="8" width="19.1640625" bestFit="1" customWidth="1"/>
    <col min="9" max="9" width="18.1640625" style="13" bestFit="1" customWidth="1"/>
    <col min="10" max="10" width="10.33203125" bestFit="1" customWidth="1"/>
    <col min="11" max="11" width="15.1640625" style="18" bestFit="1" customWidth="1"/>
    <col min="12" max="12" width="14.33203125" bestFit="1" customWidth="1"/>
    <col min="13" max="13" width="59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style="13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20" t="s">
        <v>216</v>
      </c>
      <c r="B2" s="20" t="s">
        <v>289</v>
      </c>
      <c r="C2" s="20" t="s">
        <v>55</v>
      </c>
      <c r="D2" s="20" t="s">
        <v>31</v>
      </c>
      <c r="E2" s="20" t="s">
        <v>290</v>
      </c>
      <c r="F2" s="20" t="s">
        <v>31</v>
      </c>
      <c r="G2" s="20">
        <v>4</v>
      </c>
      <c r="H2" s="20">
        <v>5</v>
      </c>
      <c r="I2" s="13">
        <v>0.96</v>
      </c>
      <c r="J2" s="20" t="s">
        <v>249</v>
      </c>
      <c r="L2" s="20" t="s">
        <v>248</v>
      </c>
      <c r="M2" s="20" t="s">
        <v>291</v>
      </c>
      <c r="N2" s="20" t="s">
        <v>31</v>
      </c>
      <c r="O2" s="20">
        <v>2</v>
      </c>
      <c r="P2" s="20">
        <v>4</v>
      </c>
      <c r="Q2" s="13">
        <v>0.75549999999999995</v>
      </c>
      <c r="R2" s="20" t="s">
        <v>249</v>
      </c>
      <c r="S2" s="20">
        <v>0.8</v>
      </c>
      <c r="T2" s="20" t="s">
        <v>248</v>
      </c>
      <c r="U2" s="20" t="s">
        <v>31</v>
      </c>
      <c r="V2" s="20">
        <v>2</v>
      </c>
      <c r="W2" s="20">
        <v>3</v>
      </c>
      <c r="X2" s="20" t="s">
        <v>379</v>
      </c>
      <c r="Y2" s="20" t="s">
        <v>292</v>
      </c>
      <c r="Z2" s="20" t="s">
        <v>60</v>
      </c>
      <c r="AA2" s="20" t="s">
        <v>380</v>
      </c>
    </row>
    <row r="3" spans="1:27" x14ac:dyDescent="0.2">
      <c r="A3" s="20" t="s">
        <v>216</v>
      </c>
      <c r="B3" s="20" t="s">
        <v>293</v>
      </c>
      <c r="C3" s="20" t="s">
        <v>25</v>
      </c>
      <c r="D3" s="20" t="s">
        <v>21</v>
      </c>
      <c r="E3" s="20" t="s">
        <v>294</v>
      </c>
      <c r="F3" s="20" t="s">
        <v>21</v>
      </c>
      <c r="G3" s="20">
        <v>3</v>
      </c>
      <c r="H3" s="20">
        <v>4</v>
      </c>
      <c r="I3" s="13">
        <v>0.54630000000000001</v>
      </c>
      <c r="J3" s="20" t="s">
        <v>249</v>
      </c>
      <c r="L3" s="20" t="s">
        <v>249</v>
      </c>
      <c r="M3" s="20" t="s">
        <v>381</v>
      </c>
      <c r="N3" s="20" t="s">
        <v>25</v>
      </c>
      <c r="O3" s="20">
        <v>2</v>
      </c>
      <c r="P3" s="20">
        <v>3</v>
      </c>
      <c r="Q3" s="13">
        <v>0.54330000000000001</v>
      </c>
      <c r="R3" s="20" t="s">
        <v>249</v>
      </c>
      <c r="S3" s="20">
        <v>-0.47</v>
      </c>
      <c r="T3" s="20" t="s">
        <v>248</v>
      </c>
      <c r="U3" s="20" t="s">
        <v>25</v>
      </c>
      <c r="V3" s="20">
        <v>3</v>
      </c>
      <c r="W3" s="20">
        <v>1</v>
      </c>
      <c r="X3" s="20" t="s">
        <v>379</v>
      </c>
      <c r="Y3" s="20" t="s">
        <v>292</v>
      </c>
      <c r="Z3" s="20" t="s">
        <v>60</v>
      </c>
      <c r="AA3" s="20" t="s">
        <v>380</v>
      </c>
    </row>
    <row r="4" spans="1:27" x14ac:dyDescent="0.2">
      <c r="A4" s="20" t="s">
        <v>216</v>
      </c>
      <c r="B4" s="20" t="s">
        <v>293</v>
      </c>
      <c r="C4" s="20" t="s">
        <v>17</v>
      </c>
      <c r="D4" s="20" t="s">
        <v>23</v>
      </c>
      <c r="E4" s="20" t="s">
        <v>295</v>
      </c>
      <c r="F4" s="20" t="s">
        <v>23</v>
      </c>
      <c r="G4" s="20">
        <v>3</v>
      </c>
      <c r="H4" s="20">
        <v>4</v>
      </c>
      <c r="I4" s="13">
        <v>0.55500000000000005</v>
      </c>
      <c r="J4" s="20" t="s">
        <v>249</v>
      </c>
      <c r="L4" s="20" t="s">
        <v>248</v>
      </c>
      <c r="M4" s="20" t="s">
        <v>296</v>
      </c>
      <c r="N4" s="20" t="s">
        <v>17</v>
      </c>
      <c r="O4" s="20">
        <v>2</v>
      </c>
      <c r="P4" s="20">
        <v>3</v>
      </c>
      <c r="Q4" s="13">
        <v>0.47189999999999999</v>
      </c>
      <c r="R4" s="20" t="s">
        <v>248</v>
      </c>
      <c r="S4" s="20">
        <v>-0.09</v>
      </c>
      <c r="T4" s="20" t="s">
        <v>249</v>
      </c>
      <c r="U4" s="20" t="s">
        <v>23</v>
      </c>
      <c r="V4" s="20">
        <v>1</v>
      </c>
      <c r="W4" s="20">
        <v>5</v>
      </c>
      <c r="X4" s="20" t="s">
        <v>379</v>
      </c>
      <c r="Y4" s="20" t="s">
        <v>292</v>
      </c>
      <c r="Z4" s="20" t="s">
        <v>60</v>
      </c>
      <c r="AA4" s="20" t="s">
        <v>380</v>
      </c>
    </row>
    <row r="5" spans="1:27" x14ac:dyDescent="0.2">
      <c r="A5" s="20" t="s">
        <v>216</v>
      </c>
      <c r="B5" s="20" t="s">
        <v>297</v>
      </c>
      <c r="C5" s="20" t="s">
        <v>18</v>
      </c>
      <c r="D5" s="20" t="s">
        <v>28</v>
      </c>
      <c r="E5" s="20" t="s">
        <v>298</v>
      </c>
      <c r="F5" s="20" t="s">
        <v>18</v>
      </c>
      <c r="G5" s="20">
        <v>4</v>
      </c>
      <c r="H5" s="20">
        <v>3</v>
      </c>
      <c r="I5" s="13">
        <v>0.7097</v>
      </c>
      <c r="J5" s="20" t="s">
        <v>249</v>
      </c>
      <c r="L5" s="20" t="s">
        <v>249</v>
      </c>
      <c r="M5" s="20" t="s">
        <v>382</v>
      </c>
      <c r="N5" s="20" t="s">
        <v>28</v>
      </c>
      <c r="O5" s="20">
        <v>2</v>
      </c>
      <c r="P5" s="20">
        <v>3</v>
      </c>
      <c r="Q5" s="13">
        <v>0.50209999999999999</v>
      </c>
      <c r="R5" s="20" t="s">
        <v>248</v>
      </c>
      <c r="S5" s="20">
        <v>0.28000000000000003</v>
      </c>
      <c r="T5" s="20" t="s">
        <v>248</v>
      </c>
      <c r="U5" s="20" t="s">
        <v>28</v>
      </c>
      <c r="V5" s="20">
        <v>3</v>
      </c>
      <c r="W5" s="20">
        <v>4</v>
      </c>
      <c r="X5" s="20" t="s">
        <v>379</v>
      </c>
      <c r="Y5" s="20" t="s">
        <v>292</v>
      </c>
      <c r="Z5" s="20" t="s">
        <v>60</v>
      </c>
      <c r="AA5" s="20" t="s">
        <v>380</v>
      </c>
    </row>
    <row r="6" spans="1:27" x14ac:dyDescent="0.2">
      <c r="A6" s="20" t="s">
        <v>216</v>
      </c>
      <c r="B6" s="20" t="s">
        <v>293</v>
      </c>
      <c r="C6" s="20" t="s">
        <v>38</v>
      </c>
      <c r="D6" s="20" t="s">
        <v>11</v>
      </c>
      <c r="E6" s="20" t="s">
        <v>299</v>
      </c>
      <c r="F6" s="20" t="s">
        <v>38</v>
      </c>
      <c r="G6" s="20">
        <v>5</v>
      </c>
      <c r="H6" s="20">
        <v>4</v>
      </c>
      <c r="I6" s="13">
        <v>0.5766</v>
      </c>
      <c r="J6" s="20" t="s">
        <v>249</v>
      </c>
      <c r="L6" s="20" t="s">
        <v>249</v>
      </c>
      <c r="M6" s="20" t="s">
        <v>383</v>
      </c>
      <c r="N6" s="20" t="s">
        <v>11</v>
      </c>
      <c r="O6" s="20">
        <v>2</v>
      </c>
      <c r="P6" s="20">
        <v>4</v>
      </c>
      <c r="Q6" s="13">
        <v>0.62919999999999998</v>
      </c>
      <c r="R6" s="20" t="s">
        <v>249</v>
      </c>
      <c r="S6" s="20">
        <v>0.56999999999999995</v>
      </c>
      <c r="T6" s="20" t="s">
        <v>248</v>
      </c>
      <c r="U6" s="20" t="s">
        <v>11</v>
      </c>
      <c r="V6" s="20">
        <v>5</v>
      </c>
      <c r="W6" s="20">
        <v>8</v>
      </c>
      <c r="X6" s="20" t="s">
        <v>379</v>
      </c>
      <c r="Y6" s="20" t="s">
        <v>292</v>
      </c>
      <c r="Z6" s="20" t="s">
        <v>60</v>
      </c>
      <c r="AA6" s="20" t="s">
        <v>380</v>
      </c>
    </row>
    <row r="7" spans="1:27" x14ac:dyDescent="0.2">
      <c r="A7" s="20" t="s">
        <v>216</v>
      </c>
      <c r="B7" s="20" t="s">
        <v>293</v>
      </c>
      <c r="C7" s="20" t="s">
        <v>13</v>
      </c>
      <c r="D7" s="20" t="s">
        <v>22</v>
      </c>
      <c r="E7" s="20" t="s">
        <v>300</v>
      </c>
      <c r="F7" s="20" t="s">
        <v>13</v>
      </c>
      <c r="G7" s="20">
        <v>4</v>
      </c>
      <c r="H7" s="20">
        <v>1</v>
      </c>
      <c r="I7" s="13">
        <v>0.84499999999999997</v>
      </c>
      <c r="J7" s="20" t="s">
        <v>249</v>
      </c>
      <c r="L7" s="20" t="s">
        <v>249</v>
      </c>
      <c r="M7" s="20" t="s">
        <v>384</v>
      </c>
      <c r="N7" s="20" t="s">
        <v>22</v>
      </c>
      <c r="O7" s="20">
        <v>2</v>
      </c>
      <c r="P7" s="20">
        <v>3</v>
      </c>
      <c r="Q7" s="13">
        <v>0.44309999999999999</v>
      </c>
      <c r="R7" s="20" t="s">
        <v>248</v>
      </c>
      <c r="S7" s="20">
        <v>0.18</v>
      </c>
      <c r="T7" s="20" t="s">
        <v>248</v>
      </c>
      <c r="U7" s="20" t="s">
        <v>22</v>
      </c>
      <c r="V7" s="20">
        <v>1</v>
      </c>
      <c r="W7" s="20">
        <v>2</v>
      </c>
      <c r="X7" s="20" t="s">
        <v>379</v>
      </c>
      <c r="Y7" s="20" t="s">
        <v>292</v>
      </c>
      <c r="Z7" s="20" t="s">
        <v>60</v>
      </c>
      <c r="AA7" s="20" t="s">
        <v>380</v>
      </c>
    </row>
    <row r="8" spans="1:27" x14ac:dyDescent="0.2">
      <c r="A8" s="20" t="s">
        <v>217</v>
      </c>
      <c r="B8" s="20" t="s">
        <v>301</v>
      </c>
      <c r="C8" s="20" t="s">
        <v>16</v>
      </c>
      <c r="D8" s="20" t="s">
        <v>10</v>
      </c>
      <c r="E8" s="20" t="s">
        <v>302</v>
      </c>
      <c r="F8" s="20" t="s">
        <v>10</v>
      </c>
      <c r="G8" s="20">
        <v>4</v>
      </c>
      <c r="H8" s="20">
        <v>5</v>
      </c>
      <c r="I8" s="13">
        <v>0.66520000000000001</v>
      </c>
      <c r="J8" s="20" t="s">
        <v>249</v>
      </c>
      <c r="L8" s="20" t="s">
        <v>248</v>
      </c>
      <c r="M8" s="20" t="s">
        <v>303</v>
      </c>
      <c r="N8" s="20" t="s">
        <v>10</v>
      </c>
      <c r="O8" s="20">
        <v>2</v>
      </c>
      <c r="P8" s="20">
        <v>5</v>
      </c>
      <c r="Q8" s="13">
        <v>0.80840000000000001</v>
      </c>
      <c r="R8" s="20" t="s">
        <v>249</v>
      </c>
      <c r="S8" s="20">
        <v>1.87</v>
      </c>
      <c r="T8" s="20" t="s">
        <v>248</v>
      </c>
      <c r="U8" s="20" t="s">
        <v>10</v>
      </c>
      <c r="V8" s="20">
        <v>2</v>
      </c>
      <c r="W8" s="20">
        <v>5</v>
      </c>
      <c r="X8" s="20" t="s">
        <v>379</v>
      </c>
      <c r="Y8" s="20" t="s">
        <v>292</v>
      </c>
      <c r="Z8" s="20" t="s">
        <v>60</v>
      </c>
      <c r="AA8" s="20" t="s">
        <v>380</v>
      </c>
    </row>
    <row r="9" spans="1:27" x14ac:dyDescent="0.2">
      <c r="A9" s="20" t="s">
        <v>217</v>
      </c>
      <c r="B9" s="20" t="s">
        <v>304</v>
      </c>
      <c r="C9" s="20" t="s">
        <v>30</v>
      </c>
      <c r="D9" s="20" t="s">
        <v>39</v>
      </c>
      <c r="E9" s="20" t="s">
        <v>305</v>
      </c>
      <c r="F9" s="20" t="s">
        <v>39</v>
      </c>
      <c r="G9" s="20">
        <v>3</v>
      </c>
      <c r="H9" s="20">
        <v>4</v>
      </c>
      <c r="I9" s="13">
        <v>0.60160000000000002</v>
      </c>
      <c r="J9" s="20" t="s">
        <v>249</v>
      </c>
      <c r="L9" s="20" t="s">
        <v>249</v>
      </c>
      <c r="M9" s="20" t="s">
        <v>385</v>
      </c>
      <c r="N9" s="20" t="s">
        <v>39</v>
      </c>
      <c r="O9" s="20">
        <v>2</v>
      </c>
      <c r="P9" s="20">
        <v>3</v>
      </c>
      <c r="Q9" s="13">
        <v>0.58560000000000001</v>
      </c>
      <c r="R9" s="20" t="s">
        <v>249</v>
      </c>
      <c r="S9" s="20">
        <v>0.43</v>
      </c>
      <c r="T9" s="20" t="s">
        <v>249</v>
      </c>
      <c r="U9" s="20" t="s">
        <v>30</v>
      </c>
      <c r="V9" s="20">
        <v>3</v>
      </c>
      <c r="W9" s="20">
        <v>2</v>
      </c>
      <c r="X9" s="20" t="s">
        <v>379</v>
      </c>
      <c r="Y9" s="20" t="s">
        <v>292</v>
      </c>
      <c r="Z9" s="20" t="s">
        <v>60</v>
      </c>
      <c r="AA9" s="20" t="s">
        <v>380</v>
      </c>
    </row>
    <row r="10" spans="1:27" x14ac:dyDescent="0.2">
      <c r="A10" s="20" t="s">
        <v>217</v>
      </c>
      <c r="B10" s="20" t="s">
        <v>293</v>
      </c>
      <c r="C10" s="20" t="s">
        <v>32</v>
      </c>
      <c r="D10" s="20" t="s">
        <v>26</v>
      </c>
      <c r="E10" s="20" t="s">
        <v>306</v>
      </c>
      <c r="F10" s="20" t="s">
        <v>26</v>
      </c>
      <c r="G10" s="20">
        <v>3</v>
      </c>
      <c r="H10" s="20">
        <v>4</v>
      </c>
      <c r="I10" s="13">
        <v>0.51580000000000004</v>
      </c>
      <c r="J10" s="20" t="s">
        <v>249</v>
      </c>
      <c r="L10" s="20" t="s">
        <v>248</v>
      </c>
      <c r="M10" s="20" t="s">
        <v>307</v>
      </c>
      <c r="N10" s="20" t="s">
        <v>26</v>
      </c>
      <c r="O10" s="20">
        <v>2</v>
      </c>
      <c r="P10" s="20">
        <v>3</v>
      </c>
      <c r="Q10" s="13">
        <v>0.57440000000000002</v>
      </c>
      <c r="R10" s="20" t="s">
        <v>248</v>
      </c>
      <c r="S10" s="20">
        <v>0.06</v>
      </c>
      <c r="T10" s="20" t="s">
        <v>248</v>
      </c>
      <c r="U10" s="20" t="s">
        <v>26</v>
      </c>
      <c r="V10" s="20">
        <v>2</v>
      </c>
      <c r="W10" s="20">
        <v>4</v>
      </c>
      <c r="X10" s="20" t="s">
        <v>379</v>
      </c>
      <c r="Y10" s="20" t="s">
        <v>292</v>
      </c>
      <c r="Z10" s="20" t="s">
        <v>60</v>
      </c>
      <c r="AA10" s="20" t="s">
        <v>380</v>
      </c>
    </row>
    <row r="11" spans="1:27" x14ac:dyDescent="0.2">
      <c r="A11" s="20" t="s">
        <v>217</v>
      </c>
      <c r="B11" s="20" t="s">
        <v>289</v>
      </c>
      <c r="C11" s="20" t="s">
        <v>55</v>
      </c>
      <c r="D11" s="20" t="s">
        <v>33</v>
      </c>
      <c r="E11" s="20" t="s">
        <v>308</v>
      </c>
      <c r="F11" s="20" t="s">
        <v>33</v>
      </c>
      <c r="G11" s="20">
        <v>3</v>
      </c>
      <c r="H11" s="20">
        <v>4</v>
      </c>
      <c r="I11" s="13">
        <v>0.51419999999999999</v>
      </c>
      <c r="J11" s="20" t="s">
        <v>249</v>
      </c>
      <c r="L11" s="20" t="s">
        <v>248</v>
      </c>
      <c r="M11" s="20" t="s">
        <v>309</v>
      </c>
      <c r="N11" s="20" t="s">
        <v>55</v>
      </c>
      <c r="O11" s="20">
        <v>2</v>
      </c>
      <c r="P11" s="20">
        <v>3</v>
      </c>
      <c r="Q11" s="13">
        <v>0.47210000000000002</v>
      </c>
      <c r="R11" s="20" t="s">
        <v>248</v>
      </c>
      <c r="S11" s="20">
        <v>-0.08</v>
      </c>
      <c r="T11" s="20" t="s">
        <v>249</v>
      </c>
      <c r="U11" s="20" t="s">
        <v>33</v>
      </c>
      <c r="V11" s="20">
        <v>2</v>
      </c>
      <c r="W11" s="20">
        <v>3</v>
      </c>
      <c r="X11" s="20" t="s">
        <v>379</v>
      </c>
      <c r="Y11" s="20" t="s">
        <v>292</v>
      </c>
      <c r="Z11" s="20" t="s">
        <v>60</v>
      </c>
      <c r="AA11" s="20" t="s">
        <v>380</v>
      </c>
    </row>
    <row r="12" spans="1:27" x14ac:dyDescent="0.2">
      <c r="A12" s="20" t="s">
        <v>217</v>
      </c>
      <c r="B12" s="20" t="s">
        <v>293</v>
      </c>
      <c r="C12" s="20" t="s">
        <v>24</v>
      </c>
      <c r="D12" s="20" t="s">
        <v>37</v>
      </c>
      <c r="E12" s="20" t="s">
        <v>310</v>
      </c>
      <c r="F12" s="20" t="s">
        <v>24</v>
      </c>
      <c r="G12" s="20">
        <v>4</v>
      </c>
      <c r="H12" s="20">
        <v>3</v>
      </c>
      <c r="I12" s="13">
        <v>0.66</v>
      </c>
      <c r="J12" s="20" t="s">
        <v>249</v>
      </c>
      <c r="L12" s="20" t="s">
        <v>249</v>
      </c>
      <c r="M12" s="20" t="s">
        <v>386</v>
      </c>
      <c r="N12" s="20" t="s">
        <v>24</v>
      </c>
      <c r="O12" s="20">
        <v>2</v>
      </c>
      <c r="P12" s="20">
        <v>3</v>
      </c>
      <c r="Q12" s="13">
        <v>0.59699999999999998</v>
      </c>
      <c r="R12" s="20" t="s">
        <v>249</v>
      </c>
      <c r="S12" s="20">
        <v>-0.49</v>
      </c>
      <c r="T12" s="20" t="s">
        <v>249</v>
      </c>
      <c r="U12" s="20" t="s">
        <v>37</v>
      </c>
      <c r="V12" s="20">
        <v>1</v>
      </c>
      <c r="W12" s="20">
        <v>5</v>
      </c>
      <c r="X12" s="20" t="s">
        <v>379</v>
      </c>
      <c r="Y12" s="20" t="s">
        <v>292</v>
      </c>
      <c r="Z12" s="20" t="s">
        <v>60</v>
      </c>
      <c r="AA12" s="20" t="s">
        <v>380</v>
      </c>
    </row>
    <row r="13" spans="1:27" x14ac:dyDescent="0.2">
      <c r="A13" s="20" t="s">
        <v>217</v>
      </c>
      <c r="B13" s="20" t="s">
        <v>293</v>
      </c>
      <c r="C13" s="20" t="s">
        <v>35</v>
      </c>
      <c r="D13" s="20" t="s">
        <v>19</v>
      </c>
      <c r="E13" s="20" t="s">
        <v>311</v>
      </c>
      <c r="F13" s="20" t="s">
        <v>19</v>
      </c>
      <c r="G13" s="20">
        <v>3</v>
      </c>
      <c r="H13" s="20">
        <v>4</v>
      </c>
      <c r="I13" s="13">
        <v>0.5917</v>
      </c>
      <c r="J13" s="20" t="s">
        <v>249</v>
      </c>
      <c r="L13" s="20" t="s">
        <v>248</v>
      </c>
      <c r="M13" s="20" t="s">
        <v>312</v>
      </c>
      <c r="N13" s="20" t="s">
        <v>19</v>
      </c>
      <c r="O13" s="20">
        <v>2</v>
      </c>
      <c r="P13" s="20">
        <v>4</v>
      </c>
      <c r="Q13" s="13">
        <v>0.7107</v>
      </c>
      <c r="R13" s="20" t="s">
        <v>249</v>
      </c>
      <c r="S13" s="20">
        <v>1.19</v>
      </c>
      <c r="T13" s="20" t="s">
        <v>248</v>
      </c>
      <c r="U13" s="20" t="s">
        <v>19</v>
      </c>
      <c r="V13" s="20">
        <v>2</v>
      </c>
      <c r="W13" s="20">
        <v>3</v>
      </c>
      <c r="X13" s="20" t="s">
        <v>379</v>
      </c>
      <c r="Y13" s="20" t="s">
        <v>292</v>
      </c>
      <c r="Z13" s="20" t="s">
        <v>60</v>
      </c>
      <c r="AA13" s="20" t="s">
        <v>380</v>
      </c>
    </row>
    <row r="14" spans="1:27" x14ac:dyDescent="0.2">
      <c r="A14" s="20" t="s">
        <v>217</v>
      </c>
      <c r="B14" s="20" t="s">
        <v>289</v>
      </c>
      <c r="C14" s="20" t="s">
        <v>15</v>
      </c>
      <c r="D14" s="20" t="s">
        <v>20</v>
      </c>
      <c r="E14" s="20" t="s">
        <v>313</v>
      </c>
      <c r="F14" s="20" t="s">
        <v>15</v>
      </c>
      <c r="G14" s="20">
        <v>5</v>
      </c>
      <c r="H14" s="20">
        <v>4</v>
      </c>
      <c r="I14" s="13">
        <v>0.55930000000000002</v>
      </c>
      <c r="J14" s="20" t="s">
        <v>249</v>
      </c>
      <c r="L14" s="20" t="s">
        <v>249</v>
      </c>
      <c r="M14" s="20" t="s">
        <v>387</v>
      </c>
      <c r="N14" s="20" t="s">
        <v>20</v>
      </c>
      <c r="O14" s="20">
        <v>2</v>
      </c>
      <c r="P14" s="20">
        <v>4</v>
      </c>
      <c r="Q14" s="13">
        <v>0.47089999999999999</v>
      </c>
      <c r="R14" s="20" t="s">
        <v>249</v>
      </c>
      <c r="S14" s="20">
        <v>0.51</v>
      </c>
      <c r="T14" s="20" t="s">
        <v>248</v>
      </c>
      <c r="U14" s="20" t="s">
        <v>20</v>
      </c>
      <c r="V14" s="20">
        <v>2</v>
      </c>
      <c r="W14" s="20">
        <v>3</v>
      </c>
      <c r="X14" s="20" t="s">
        <v>379</v>
      </c>
      <c r="Y14" s="20" t="s">
        <v>292</v>
      </c>
      <c r="Z14" s="20" t="s">
        <v>60</v>
      </c>
      <c r="AA14" s="20" t="s">
        <v>380</v>
      </c>
    </row>
    <row r="15" spans="1:27" x14ac:dyDescent="0.2">
      <c r="A15" s="20" t="s">
        <v>217</v>
      </c>
      <c r="B15" s="20" t="s">
        <v>304</v>
      </c>
      <c r="C15" s="20" t="s">
        <v>28</v>
      </c>
      <c r="D15" s="20" t="s">
        <v>40</v>
      </c>
      <c r="E15" s="20" t="s">
        <v>314</v>
      </c>
      <c r="F15" s="20" t="s">
        <v>40</v>
      </c>
      <c r="G15" s="20">
        <v>3</v>
      </c>
      <c r="H15" s="20">
        <v>4</v>
      </c>
      <c r="I15" s="13">
        <v>0.67559999999999998</v>
      </c>
      <c r="J15" s="20" t="s">
        <v>249</v>
      </c>
      <c r="L15" s="20" t="s">
        <v>248</v>
      </c>
      <c r="M15" s="20" t="s">
        <v>315</v>
      </c>
      <c r="N15" s="20" t="s">
        <v>40</v>
      </c>
      <c r="O15" s="20">
        <v>2</v>
      </c>
      <c r="P15" s="20">
        <v>4</v>
      </c>
      <c r="Q15" s="13">
        <v>0.64970000000000006</v>
      </c>
      <c r="R15" s="20" t="s">
        <v>249</v>
      </c>
      <c r="S15" s="20">
        <v>0.66</v>
      </c>
      <c r="T15" s="20" t="s">
        <v>248</v>
      </c>
      <c r="U15" s="20" t="s">
        <v>40</v>
      </c>
      <c r="V15" s="20">
        <v>2</v>
      </c>
      <c r="W15" s="20">
        <v>5</v>
      </c>
      <c r="X15" s="20" t="s">
        <v>379</v>
      </c>
      <c r="Y15" s="20" t="s">
        <v>292</v>
      </c>
      <c r="Z15" s="20" t="s">
        <v>60</v>
      </c>
      <c r="AA15" s="20" t="s">
        <v>380</v>
      </c>
    </row>
    <row r="16" spans="1:27" x14ac:dyDescent="0.2">
      <c r="A16" s="20" t="s">
        <v>218</v>
      </c>
      <c r="B16" s="20" t="s">
        <v>289</v>
      </c>
      <c r="C16" s="20" t="s">
        <v>21</v>
      </c>
      <c r="D16" s="20" t="s">
        <v>31</v>
      </c>
      <c r="E16" s="20" t="s">
        <v>316</v>
      </c>
      <c r="F16" s="20" t="s">
        <v>31</v>
      </c>
      <c r="G16" s="20">
        <v>4</v>
      </c>
      <c r="H16" s="20">
        <v>5</v>
      </c>
      <c r="I16" s="13">
        <v>0.84830000000000005</v>
      </c>
      <c r="J16" s="20" t="s">
        <v>249</v>
      </c>
      <c r="L16" s="20" t="s">
        <v>248</v>
      </c>
      <c r="M16" s="20" t="s">
        <v>291</v>
      </c>
      <c r="N16" s="20" t="s">
        <v>31</v>
      </c>
      <c r="O16" s="20">
        <v>2</v>
      </c>
      <c r="P16" s="20">
        <v>4</v>
      </c>
      <c r="Q16" s="13">
        <v>0.76080000000000003</v>
      </c>
      <c r="R16" s="20" t="s">
        <v>249</v>
      </c>
      <c r="S16" s="20">
        <v>0.77</v>
      </c>
      <c r="T16" s="20" t="s">
        <v>248</v>
      </c>
      <c r="U16" s="20" t="s">
        <v>31</v>
      </c>
      <c r="V16" s="20">
        <v>3</v>
      </c>
      <c r="W16" s="20">
        <v>4</v>
      </c>
      <c r="X16" s="20" t="s">
        <v>379</v>
      </c>
      <c r="Y16" s="20" t="s">
        <v>292</v>
      </c>
      <c r="Z16" s="20" t="s">
        <v>60</v>
      </c>
      <c r="AA16" s="20" t="s">
        <v>380</v>
      </c>
    </row>
    <row r="17" spans="1:27" x14ac:dyDescent="0.2">
      <c r="A17" s="20" t="s">
        <v>218</v>
      </c>
      <c r="B17" s="20" t="s">
        <v>297</v>
      </c>
      <c r="C17" s="20" t="s">
        <v>16</v>
      </c>
      <c r="D17" s="20" t="s">
        <v>23</v>
      </c>
      <c r="E17" s="20" t="s">
        <v>317</v>
      </c>
      <c r="F17" s="20" t="s">
        <v>23</v>
      </c>
      <c r="G17" s="20">
        <v>3</v>
      </c>
      <c r="H17" s="20">
        <v>4</v>
      </c>
      <c r="I17" s="13">
        <v>0.82420000000000004</v>
      </c>
      <c r="J17" s="20" t="s">
        <v>249</v>
      </c>
      <c r="L17" s="20" t="s">
        <v>249</v>
      </c>
      <c r="M17" s="20" t="s">
        <v>388</v>
      </c>
      <c r="N17" s="20" t="s">
        <v>23</v>
      </c>
      <c r="O17" s="20">
        <v>2</v>
      </c>
      <c r="P17" s="20">
        <v>4</v>
      </c>
      <c r="Q17" s="13">
        <v>0.68479999999999996</v>
      </c>
      <c r="R17" s="20" t="s">
        <v>249</v>
      </c>
      <c r="S17" s="20">
        <v>0.99</v>
      </c>
      <c r="T17" s="20" t="s">
        <v>249</v>
      </c>
      <c r="U17" s="20" t="s">
        <v>16</v>
      </c>
      <c r="V17" s="20">
        <v>6</v>
      </c>
      <c r="W17" s="20">
        <v>2</v>
      </c>
      <c r="X17" s="20" t="s">
        <v>379</v>
      </c>
      <c r="Y17" s="20" t="s">
        <v>292</v>
      </c>
      <c r="Z17" s="20" t="s">
        <v>60</v>
      </c>
      <c r="AA17" s="20" t="s">
        <v>380</v>
      </c>
    </row>
    <row r="18" spans="1:27" x14ac:dyDescent="0.2">
      <c r="A18" s="20" t="s">
        <v>218</v>
      </c>
      <c r="B18" s="20" t="s">
        <v>318</v>
      </c>
      <c r="C18" s="20" t="s">
        <v>25</v>
      </c>
      <c r="D18" s="20" t="s">
        <v>34</v>
      </c>
      <c r="E18" s="20" t="s">
        <v>319</v>
      </c>
      <c r="F18" s="20" t="s">
        <v>25</v>
      </c>
      <c r="G18" s="20">
        <v>5</v>
      </c>
      <c r="H18" s="20">
        <v>4</v>
      </c>
      <c r="I18" s="13">
        <v>0.62329999999999997</v>
      </c>
      <c r="J18" s="20" t="s">
        <v>249</v>
      </c>
      <c r="L18" s="20" t="s">
        <v>249</v>
      </c>
      <c r="M18" s="20" t="s">
        <v>389</v>
      </c>
      <c r="N18" s="20" t="s">
        <v>25</v>
      </c>
      <c r="O18" s="20">
        <v>2</v>
      </c>
      <c r="P18" s="20">
        <v>4</v>
      </c>
      <c r="Q18" s="13">
        <v>0.72150000000000003</v>
      </c>
      <c r="R18" s="20" t="s">
        <v>249</v>
      </c>
      <c r="S18" s="20">
        <v>-1.0900000000000001</v>
      </c>
      <c r="T18" s="20" t="s">
        <v>249</v>
      </c>
      <c r="U18" s="20" t="s">
        <v>34</v>
      </c>
      <c r="V18" s="20">
        <v>3</v>
      </c>
      <c r="W18" s="20">
        <v>4</v>
      </c>
      <c r="X18" s="20" t="s">
        <v>379</v>
      </c>
      <c r="Y18" s="20" t="s">
        <v>292</v>
      </c>
      <c r="Z18" s="20" t="s">
        <v>60</v>
      </c>
      <c r="AA18" s="20" t="s">
        <v>380</v>
      </c>
    </row>
    <row r="19" spans="1:27" x14ac:dyDescent="0.2">
      <c r="A19" s="20" t="s">
        <v>218</v>
      </c>
      <c r="B19" s="20" t="s">
        <v>293</v>
      </c>
      <c r="C19" s="20" t="s">
        <v>17</v>
      </c>
      <c r="D19" s="20" t="s">
        <v>22</v>
      </c>
      <c r="E19" s="20" t="s">
        <v>320</v>
      </c>
      <c r="F19" s="20" t="s">
        <v>22</v>
      </c>
      <c r="G19" s="20">
        <v>3</v>
      </c>
      <c r="H19" s="20">
        <v>4</v>
      </c>
      <c r="I19" s="13">
        <v>0.54659999999999997</v>
      </c>
      <c r="J19" s="20" t="s">
        <v>249</v>
      </c>
      <c r="L19" s="20" t="s">
        <v>248</v>
      </c>
      <c r="M19" s="20" t="s">
        <v>321</v>
      </c>
      <c r="N19" s="20" t="s">
        <v>22</v>
      </c>
      <c r="O19" s="20">
        <v>2</v>
      </c>
      <c r="P19" s="20">
        <v>4</v>
      </c>
      <c r="Q19" s="13">
        <v>0.68869999999999998</v>
      </c>
      <c r="R19" s="20" t="s">
        <v>249</v>
      </c>
      <c r="S19" s="20">
        <v>1.03</v>
      </c>
      <c r="T19" s="20" t="s">
        <v>248</v>
      </c>
      <c r="U19" s="20" t="s">
        <v>22</v>
      </c>
      <c r="V19" s="20">
        <v>4</v>
      </c>
      <c r="W19" s="20">
        <v>7</v>
      </c>
      <c r="X19" s="20" t="s">
        <v>379</v>
      </c>
      <c r="Y19" s="20" t="s">
        <v>292</v>
      </c>
      <c r="Z19" s="20" t="s">
        <v>60</v>
      </c>
      <c r="AA19" s="20" t="s">
        <v>380</v>
      </c>
    </row>
    <row r="20" spans="1:27" x14ac:dyDescent="0.2">
      <c r="A20" s="20" t="s">
        <v>219</v>
      </c>
      <c r="B20" s="20" t="s">
        <v>322</v>
      </c>
      <c r="C20" s="20" t="s">
        <v>36</v>
      </c>
      <c r="D20" s="20" t="s">
        <v>31</v>
      </c>
      <c r="E20" s="20" t="s">
        <v>323</v>
      </c>
      <c r="F20" s="20" t="s">
        <v>31</v>
      </c>
      <c r="G20" s="20">
        <v>3</v>
      </c>
      <c r="H20" s="20">
        <v>4</v>
      </c>
      <c r="I20" s="13">
        <v>0.79971067821067798</v>
      </c>
      <c r="J20" s="20" t="s">
        <v>248</v>
      </c>
      <c r="K20" s="18">
        <v>0.53300000000000003</v>
      </c>
      <c r="L20" s="20" t="s">
        <v>249</v>
      </c>
      <c r="M20" s="20" t="s">
        <v>390</v>
      </c>
      <c r="N20" s="20" t="s">
        <v>31</v>
      </c>
      <c r="O20" s="20">
        <v>2</v>
      </c>
      <c r="P20" s="20">
        <v>4</v>
      </c>
      <c r="Q20" s="13">
        <v>0.82141601872248204</v>
      </c>
      <c r="R20" s="20" t="s">
        <v>249</v>
      </c>
      <c r="S20" s="20">
        <v>1.21</v>
      </c>
      <c r="T20" s="20" t="s">
        <v>249</v>
      </c>
      <c r="U20" s="20" t="s">
        <v>36</v>
      </c>
      <c r="V20" s="20">
        <v>3</v>
      </c>
      <c r="W20" s="20">
        <v>2</v>
      </c>
      <c r="X20" s="20" t="s">
        <v>379</v>
      </c>
      <c r="Y20" s="20" t="s">
        <v>292</v>
      </c>
      <c r="Z20" s="20" t="s">
        <v>60</v>
      </c>
      <c r="AA20" s="20" t="s">
        <v>380</v>
      </c>
    </row>
    <row r="21" spans="1:27" x14ac:dyDescent="0.2">
      <c r="A21" s="20" t="s">
        <v>219</v>
      </c>
      <c r="B21" s="20" t="s">
        <v>324</v>
      </c>
      <c r="C21" s="20" t="s">
        <v>32</v>
      </c>
      <c r="D21" s="20" t="s">
        <v>10</v>
      </c>
      <c r="E21" s="20" t="s">
        <v>325</v>
      </c>
      <c r="F21" s="20" t="s">
        <v>10</v>
      </c>
      <c r="G21" s="20">
        <v>3</v>
      </c>
      <c r="H21" s="20">
        <v>4</v>
      </c>
      <c r="I21" s="13">
        <v>0.81409746588693999</v>
      </c>
      <c r="J21" s="20" t="s">
        <v>248</v>
      </c>
      <c r="K21" s="18">
        <v>0.50700000000000001</v>
      </c>
      <c r="L21" s="20" t="s">
        <v>249</v>
      </c>
      <c r="M21" s="20" t="s">
        <v>391</v>
      </c>
      <c r="N21" s="20" t="s">
        <v>10</v>
      </c>
      <c r="O21" s="20">
        <v>2</v>
      </c>
      <c r="P21" s="20">
        <v>4</v>
      </c>
      <c r="Q21" s="13">
        <v>0.68955873942591095</v>
      </c>
      <c r="R21" s="20" t="s">
        <v>249</v>
      </c>
      <c r="S21" s="20">
        <v>1.04</v>
      </c>
      <c r="T21" s="20" t="s">
        <v>249</v>
      </c>
      <c r="U21" s="20" t="s">
        <v>32</v>
      </c>
      <c r="V21" s="20">
        <v>3</v>
      </c>
      <c r="W21" s="20">
        <v>2</v>
      </c>
      <c r="X21" s="20" t="s">
        <v>379</v>
      </c>
      <c r="Y21" s="20" t="s">
        <v>292</v>
      </c>
      <c r="Z21" s="20" t="s">
        <v>60</v>
      </c>
      <c r="AA21" s="20" t="s">
        <v>380</v>
      </c>
    </row>
    <row r="22" spans="1:27" x14ac:dyDescent="0.2">
      <c r="A22" s="20" t="s">
        <v>219</v>
      </c>
      <c r="B22" s="20" t="s">
        <v>326</v>
      </c>
      <c r="C22" s="20" t="s">
        <v>15</v>
      </c>
      <c r="D22" s="20" t="s">
        <v>12</v>
      </c>
      <c r="E22" s="20" t="s">
        <v>327</v>
      </c>
      <c r="F22" s="20" t="s">
        <v>12</v>
      </c>
      <c r="G22" s="20">
        <v>3</v>
      </c>
      <c r="H22" s="20">
        <v>4</v>
      </c>
      <c r="I22" s="13">
        <v>0.68089417989418</v>
      </c>
      <c r="J22" s="20" t="s">
        <v>249</v>
      </c>
      <c r="K22" s="18">
        <v>0.28699999999999998</v>
      </c>
      <c r="L22" s="20" t="s">
        <v>248</v>
      </c>
      <c r="M22" s="20" t="s">
        <v>361</v>
      </c>
      <c r="N22" s="20" t="s">
        <v>12</v>
      </c>
      <c r="O22" s="20">
        <v>1</v>
      </c>
      <c r="P22" s="20">
        <v>5</v>
      </c>
      <c r="Q22" s="13">
        <v>0.79009355708149598</v>
      </c>
      <c r="R22" s="20" t="s">
        <v>249</v>
      </c>
      <c r="S22" s="20">
        <v>2.04</v>
      </c>
      <c r="T22" s="20" t="s">
        <v>248</v>
      </c>
      <c r="U22" s="20" t="s">
        <v>12</v>
      </c>
      <c r="V22" s="20">
        <v>3</v>
      </c>
      <c r="W22" s="20">
        <v>6</v>
      </c>
      <c r="X22" s="20" t="s">
        <v>379</v>
      </c>
      <c r="Y22" s="20" t="s">
        <v>292</v>
      </c>
      <c r="Z22" s="20" t="s">
        <v>60</v>
      </c>
      <c r="AA22" s="20" t="s">
        <v>380</v>
      </c>
    </row>
    <row r="23" spans="1:27" x14ac:dyDescent="0.2">
      <c r="A23" s="20" t="s">
        <v>219</v>
      </c>
      <c r="B23" s="20" t="s">
        <v>328</v>
      </c>
      <c r="C23" s="20" t="s">
        <v>30</v>
      </c>
      <c r="D23" s="20" t="s">
        <v>26</v>
      </c>
      <c r="E23" s="20" t="s">
        <v>329</v>
      </c>
      <c r="F23" s="20" t="s">
        <v>26</v>
      </c>
      <c r="G23" s="20">
        <v>3</v>
      </c>
      <c r="H23" s="20">
        <v>4</v>
      </c>
      <c r="I23" s="13">
        <v>0.507202173213117</v>
      </c>
      <c r="J23" s="20" t="s">
        <v>249</v>
      </c>
      <c r="K23" s="18">
        <v>0.44</v>
      </c>
      <c r="L23" s="20" t="s">
        <v>249</v>
      </c>
      <c r="M23" s="20" t="s">
        <v>392</v>
      </c>
      <c r="N23" s="20" t="s">
        <v>30</v>
      </c>
      <c r="O23" s="20">
        <v>2</v>
      </c>
      <c r="P23" s="20">
        <v>3</v>
      </c>
      <c r="Q23" s="13">
        <v>0.50783942088355705</v>
      </c>
      <c r="R23" s="20" t="s">
        <v>248</v>
      </c>
      <c r="S23" s="20">
        <v>-0.21</v>
      </c>
      <c r="T23" s="20" t="s">
        <v>248</v>
      </c>
      <c r="U23" s="20" t="s">
        <v>30</v>
      </c>
      <c r="V23" s="20">
        <v>5</v>
      </c>
      <c r="W23" s="20">
        <v>0</v>
      </c>
      <c r="X23" s="20" t="s">
        <v>379</v>
      </c>
      <c r="Y23" s="20" t="s">
        <v>292</v>
      </c>
      <c r="Z23" s="20" t="s">
        <v>60</v>
      </c>
      <c r="AA23" s="20" t="s">
        <v>380</v>
      </c>
    </row>
    <row r="24" spans="1:27" x14ac:dyDescent="0.2">
      <c r="A24" s="20" t="s">
        <v>219</v>
      </c>
      <c r="B24" s="20" t="s">
        <v>328</v>
      </c>
      <c r="C24" s="20" t="s">
        <v>24</v>
      </c>
      <c r="D24" s="20" t="s">
        <v>11</v>
      </c>
      <c r="E24" s="20" t="s">
        <v>330</v>
      </c>
      <c r="F24" s="20" t="s">
        <v>11</v>
      </c>
      <c r="G24" s="20">
        <v>3</v>
      </c>
      <c r="H24" s="20">
        <v>4</v>
      </c>
      <c r="I24" s="13">
        <v>0.61979461279461301</v>
      </c>
      <c r="J24" s="20" t="s">
        <v>249</v>
      </c>
      <c r="K24" s="18">
        <v>0.38100000000000001</v>
      </c>
      <c r="L24" s="20" t="s">
        <v>248</v>
      </c>
      <c r="M24" s="20" t="s">
        <v>393</v>
      </c>
      <c r="N24" s="20" t="s">
        <v>24</v>
      </c>
      <c r="O24" s="20">
        <v>2</v>
      </c>
      <c r="P24" s="20">
        <v>3</v>
      </c>
      <c r="Q24" s="13">
        <v>0.47717133510972898</v>
      </c>
      <c r="R24" s="20" t="s">
        <v>248</v>
      </c>
      <c r="S24" s="20">
        <v>-0.28000000000000003</v>
      </c>
      <c r="T24" s="20" t="s">
        <v>249</v>
      </c>
      <c r="U24" s="20" t="s">
        <v>11</v>
      </c>
      <c r="V24" s="20">
        <v>0</v>
      </c>
      <c r="W24" s="20">
        <v>1</v>
      </c>
      <c r="X24" s="20" t="s">
        <v>379</v>
      </c>
      <c r="Y24" s="20" t="s">
        <v>292</v>
      </c>
      <c r="Z24" s="20" t="s">
        <v>60</v>
      </c>
      <c r="AA24" s="20" t="s">
        <v>380</v>
      </c>
    </row>
    <row r="25" spans="1:27" x14ac:dyDescent="0.2">
      <c r="A25" s="20" t="s">
        <v>219</v>
      </c>
      <c r="B25" s="20" t="s">
        <v>328</v>
      </c>
      <c r="C25" s="20" t="s">
        <v>22</v>
      </c>
      <c r="D25" s="20" t="s">
        <v>18</v>
      </c>
      <c r="E25" s="20" t="s">
        <v>331</v>
      </c>
      <c r="F25" s="20" t="s">
        <v>18</v>
      </c>
      <c r="G25" s="20">
        <v>3</v>
      </c>
      <c r="H25" s="20">
        <v>4</v>
      </c>
      <c r="I25" s="13">
        <v>0.75639782537151001</v>
      </c>
      <c r="J25" s="20" t="s">
        <v>248</v>
      </c>
      <c r="K25" s="18">
        <v>0.63100000000000001</v>
      </c>
      <c r="L25" s="20" t="s">
        <v>249</v>
      </c>
      <c r="M25" s="20" t="s">
        <v>394</v>
      </c>
      <c r="N25" s="20" t="s">
        <v>22</v>
      </c>
      <c r="O25" s="20">
        <v>2</v>
      </c>
      <c r="P25" s="20">
        <v>3</v>
      </c>
      <c r="Q25" s="13">
        <v>0.52653488689618599</v>
      </c>
      <c r="R25" s="20" t="s">
        <v>249</v>
      </c>
      <c r="S25" s="20">
        <v>-0.48</v>
      </c>
      <c r="T25" s="20" t="s">
        <v>248</v>
      </c>
      <c r="U25" s="20" t="s">
        <v>22</v>
      </c>
      <c r="V25" s="20">
        <v>8</v>
      </c>
      <c r="W25" s="20">
        <v>4</v>
      </c>
      <c r="X25" s="20" t="s">
        <v>379</v>
      </c>
      <c r="Y25" s="20" t="s">
        <v>292</v>
      </c>
      <c r="Z25" s="20" t="s">
        <v>60</v>
      </c>
      <c r="AA25" s="20" t="s">
        <v>380</v>
      </c>
    </row>
    <row r="26" spans="1:27" x14ac:dyDescent="0.2">
      <c r="A26" s="20" t="s">
        <v>219</v>
      </c>
      <c r="B26" s="20" t="s">
        <v>328</v>
      </c>
      <c r="C26" s="20" t="s">
        <v>35</v>
      </c>
      <c r="D26" s="20" t="s">
        <v>27</v>
      </c>
      <c r="E26" s="20" t="s">
        <v>332</v>
      </c>
      <c r="F26" s="20" t="s">
        <v>27</v>
      </c>
      <c r="G26" s="20">
        <v>3</v>
      </c>
      <c r="H26" s="20">
        <v>4</v>
      </c>
      <c r="I26" s="13">
        <v>0.78318759018758999</v>
      </c>
      <c r="J26" s="20" t="s">
        <v>249</v>
      </c>
      <c r="K26" s="18">
        <v>0.42499999999999999</v>
      </c>
      <c r="L26" s="20" t="s">
        <v>248</v>
      </c>
      <c r="M26" s="20" t="s">
        <v>395</v>
      </c>
      <c r="N26" s="20" t="s">
        <v>27</v>
      </c>
      <c r="O26" s="20">
        <v>2</v>
      </c>
      <c r="P26" s="20">
        <v>4</v>
      </c>
      <c r="Q26" s="13">
        <v>0.72316153141538597</v>
      </c>
      <c r="R26" s="20" t="s">
        <v>249</v>
      </c>
      <c r="S26" s="20">
        <v>1.31</v>
      </c>
      <c r="T26" s="20" t="s">
        <v>248</v>
      </c>
      <c r="U26" s="20" t="s">
        <v>27</v>
      </c>
      <c r="V26" s="20">
        <v>2</v>
      </c>
      <c r="W26" s="20">
        <v>3</v>
      </c>
      <c r="X26" s="20" t="s">
        <v>379</v>
      </c>
      <c r="Y26" s="20" t="s">
        <v>292</v>
      </c>
      <c r="Z26" s="20" t="s">
        <v>60</v>
      </c>
      <c r="AA26" s="20" t="s">
        <v>380</v>
      </c>
    </row>
    <row r="27" spans="1:27" x14ac:dyDescent="0.2">
      <c r="A27" s="20" t="s">
        <v>219</v>
      </c>
      <c r="B27" s="20" t="s">
        <v>322</v>
      </c>
      <c r="C27" s="20" t="s">
        <v>13</v>
      </c>
      <c r="D27" s="20" t="s">
        <v>33</v>
      </c>
      <c r="E27" s="20" t="s">
        <v>333</v>
      </c>
      <c r="F27" s="20" t="s">
        <v>13</v>
      </c>
      <c r="G27" s="20">
        <v>5</v>
      </c>
      <c r="H27" s="20">
        <v>4</v>
      </c>
      <c r="I27" s="13">
        <v>0.68822126022125996</v>
      </c>
      <c r="J27" s="20" t="s">
        <v>249</v>
      </c>
      <c r="K27" s="18">
        <v>0.28199999999999997</v>
      </c>
      <c r="L27" s="20" t="s">
        <v>249</v>
      </c>
      <c r="M27" s="20" t="s">
        <v>396</v>
      </c>
      <c r="N27" s="20" t="s">
        <v>13</v>
      </c>
      <c r="O27" s="20">
        <v>2</v>
      </c>
      <c r="P27" s="20">
        <v>3</v>
      </c>
      <c r="Q27" s="13">
        <v>0.56836235759955001</v>
      </c>
      <c r="R27" s="20" t="s">
        <v>248</v>
      </c>
      <c r="S27" s="20">
        <v>-0.05</v>
      </c>
      <c r="T27" s="20" t="s">
        <v>249</v>
      </c>
      <c r="U27" s="20" t="s">
        <v>33</v>
      </c>
      <c r="V27" s="20">
        <v>3</v>
      </c>
      <c r="W27" s="20">
        <v>4</v>
      </c>
      <c r="X27" s="20" t="s">
        <v>379</v>
      </c>
      <c r="Y27" s="20" t="s">
        <v>292</v>
      </c>
      <c r="Z27" s="20" t="s">
        <v>60</v>
      </c>
      <c r="AA27" s="20" t="s">
        <v>380</v>
      </c>
    </row>
    <row r="28" spans="1:27" x14ac:dyDescent="0.2">
      <c r="A28" s="20" t="s">
        <v>219</v>
      </c>
      <c r="B28" s="20" t="s">
        <v>334</v>
      </c>
      <c r="C28" s="20" t="s">
        <v>17</v>
      </c>
      <c r="D28" s="20" t="s">
        <v>37</v>
      </c>
      <c r="E28" s="20" t="s">
        <v>335</v>
      </c>
      <c r="F28" s="20" t="s">
        <v>37</v>
      </c>
      <c r="G28" s="20">
        <v>3</v>
      </c>
      <c r="H28" s="20">
        <v>4</v>
      </c>
      <c r="I28" s="13">
        <v>0.77119047619047598</v>
      </c>
      <c r="J28" s="20" t="s">
        <v>248</v>
      </c>
      <c r="K28" s="18">
        <v>0.61599999999999999</v>
      </c>
      <c r="L28" s="20" t="s">
        <v>248</v>
      </c>
      <c r="M28" s="20" t="s">
        <v>397</v>
      </c>
      <c r="N28" s="20" t="s">
        <v>37</v>
      </c>
      <c r="O28" s="20">
        <v>2</v>
      </c>
      <c r="P28" s="20">
        <v>4</v>
      </c>
      <c r="Q28" s="13">
        <v>0.711970082114465</v>
      </c>
      <c r="R28" s="20" t="s">
        <v>249</v>
      </c>
      <c r="S28" s="20">
        <v>1.25</v>
      </c>
      <c r="T28" s="20" t="s">
        <v>248</v>
      </c>
      <c r="U28" s="20" t="s">
        <v>37</v>
      </c>
      <c r="V28" s="20">
        <v>1</v>
      </c>
      <c r="W28" s="20">
        <v>2</v>
      </c>
      <c r="X28" s="20" t="s">
        <v>379</v>
      </c>
      <c r="Y28" s="20" t="s">
        <v>292</v>
      </c>
      <c r="Z28" s="20" t="s">
        <v>60</v>
      </c>
      <c r="AA28" s="20" t="s">
        <v>380</v>
      </c>
    </row>
    <row r="29" spans="1:27" x14ac:dyDescent="0.2">
      <c r="A29" s="20" t="s">
        <v>219</v>
      </c>
      <c r="B29" s="20" t="s">
        <v>328</v>
      </c>
      <c r="C29" s="20" t="s">
        <v>28</v>
      </c>
      <c r="D29" s="20" t="s">
        <v>19</v>
      </c>
      <c r="E29" s="20" t="s">
        <v>336</v>
      </c>
      <c r="F29" s="20" t="s">
        <v>19</v>
      </c>
      <c r="G29" s="20">
        <v>3</v>
      </c>
      <c r="H29" s="20">
        <v>4</v>
      </c>
      <c r="I29" s="13">
        <v>0.56100667919398595</v>
      </c>
      <c r="J29" s="20" t="s">
        <v>249</v>
      </c>
      <c r="K29" s="18">
        <v>0.11600000000000001</v>
      </c>
      <c r="L29" s="20" t="s">
        <v>249</v>
      </c>
      <c r="M29" s="20" t="s">
        <v>398</v>
      </c>
      <c r="N29" s="20" t="s">
        <v>19</v>
      </c>
      <c r="O29" s="20">
        <v>2</v>
      </c>
      <c r="P29" s="20">
        <v>3</v>
      </c>
      <c r="Q29" s="13">
        <v>0.55864324773890295</v>
      </c>
      <c r="R29" s="20" t="s">
        <v>248</v>
      </c>
      <c r="S29" s="20">
        <v>0.03</v>
      </c>
      <c r="T29" s="20" t="s">
        <v>249</v>
      </c>
      <c r="U29" s="20" t="s">
        <v>28</v>
      </c>
      <c r="V29" s="20">
        <v>3</v>
      </c>
      <c r="W29" s="20">
        <v>2</v>
      </c>
      <c r="X29" s="20" t="s">
        <v>379</v>
      </c>
      <c r="Y29" s="20" t="s">
        <v>292</v>
      </c>
      <c r="Z29" s="20" t="s">
        <v>60</v>
      </c>
      <c r="AA29" s="20" t="s">
        <v>380</v>
      </c>
    </row>
    <row r="30" spans="1:27" x14ac:dyDescent="0.2">
      <c r="A30" s="20" t="s">
        <v>219</v>
      </c>
      <c r="B30" s="20" t="s">
        <v>326</v>
      </c>
      <c r="C30" s="20" t="s">
        <v>20</v>
      </c>
      <c r="D30" s="20" t="s">
        <v>55</v>
      </c>
      <c r="E30" s="20" t="s">
        <v>337</v>
      </c>
      <c r="F30" s="20" t="s">
        <v>55</v>
      </c>
      <c r="G30" s="20">
        <v>3</v>
      </c>
      <c r="H30" s="20">
        <v>4</v>
      </c>
      <c r="I30" s="13">
        <v>0.67815371762740195</v>
      </c>
      <c r="J30" s="20" t="s">
        <v>248</v>
      </c>
      <c r="K30" s="18">
        <v>0.54</v>
      </c>
      <c r="L30" s="20" t="s">
        <v>249</v>
      </c>
      <c r="M30" s="20" t="s">
        <v>399</v>
      </c>
      <c r="N30" s="20" t="s">
        <v>20</v>
      </c>
      <c r="O30" s="20">
        <v>2</v>
      </c>
      <c r="P30" s="20">
        <v>3</v>
      </c>
      <c r="Q30" s="13">
        <v>0.41674861628270699</v>
      </c>
      <c r="R30" s="20" t="s">
        <v>248</v>
      </c>
      <c r="S30" s="20">
        <v>-0.04</v>
      </c>
      <c r="T30" s="20" t="s">
        <v>248</v>
      </c>
      <c r="U30" s="20" t="s">
        <v>20</v>
      </c>
      <c r="V30" s="20">
        <v>4</v>
      </c>
      <c r="W30" s="20">
        <v>1</v>
      </c>
      <c r="X30" s="20" t="s">
        <v>379</v>
      </c>
      <c r="Y30" s="20" t="s">
        <v>292</v>
      </c>
      <c r="Z30" s="20" t="s">
        <v>60</v>
      </c>
      <c r="AA30" s="20" t="s">
        <v>380</v>
      </c>
    </row>
    <row r="31" spans="1:27" x14ac:dyDescent="0.2">
      <c r="A31" s="20" t="s">
        <v>219</v>
      </c>
      <c r="B31" s="20" t="s">
        <v>322</v>
      </c>
      <c r="C31" s="20" t="s">
        <v>39</v>
      </c>
      <c r="D31" s="20" t="s">
        <v>38</v>
      </c>
      <c r="E31" s="20" t="s">
        <v>338</v>
      </c>
      <c r="F31" s="20" t="s">
        <v>39</v>
      </c>
      <c r="G31" s="20">
        <v>5</v>
      </c>
      <c r="H31" s="20">
        <v>4</v>
      </c>
      <c r="I31" s="13">
        <v>0.73677777777777798</v>
      </c>
      <c r="J31" s="20" t="s">
        <v>249</v>
      </c>
      <c r="K31" s="18">
        <v>0.39100000000000001</v>
      </c>
      <c r="L31" s="20" t="s">
        <v>248</v>
      </c>
      <c r="M31" s="20" t="s">
        <v>400</v>
      </c>
      <c r="N31" s="20" t="s">
        <v>39</v>
      </c>
      <c r="O31" s="20">
        <v>2</v>
      </c>
      <c r="P31" s="20">
        <v>4</v>
      </c>
      <c r="Q31" s="13">
        <v>0.65070700646466895</v>
      </c>
      <c r="R31" s="20" t="s">
        <v>249</v>
      </c>
      <c r="S31" s="20">
        <v>-0.71</v>
      </c>
      <c r="T31" s="20" t="s">
        <v>248</v>
      </c>
      <c r="U31" s="20" t="s">
        <v>39</v>
      </c>
      <c r="V31" s="20">
        <v>4</v>
      </c>
      <c r="W31" s="20">
        <v>2</v>
      </c>
      <c r="X31" s="20" t="s">
        <v>379</v>
      </c>
      <c r="Y31" s="20" t="s">
        <v>292</v>
      </c>
      <c r="Z31" s="20" t="s">
        <v>60</v>
      </c>
      <c r="AA31" s="20" t="s">
        <v>380</v>
      </c>
    </row>
    <row r="32" spans="1:27" x14ac:dyDescent="0.2">
      <c r="A32" s="20" t="s">
        <v>220</v>
      </c>
      <c r="B32" s="20" t="s">
        <v>328</v>
      </c>
      <c r="C32" s="20" t="s">
        <v>10</v>
      </c>
      <c r="D32" s="20" t="s">
        <v>23</v>
      </c>
      <c r="E32" s="20" t="s">
        <v>339</v>
      </c>
      <c r="F32" s="20" t="s">
        <v>10</v>
      </c>
      <c r="G32" s="20">
        <v>4</v>
      </c>
      <c r="H32" s="20">
        <v>3</v>
      </c>
      <c r="I32" s="13">
        <v>0.58904761904761893</v>
      </c>
      <c r="J32" s="20" t="s">
        <v>248</v>
      </c>
      <c r="K32" s="18">
        <v>0.58099999999999996</v>
      </c>
      <c r="L32" s="20" t="s">
        <v>249</v>
      </c>
      <c r="M32" s="20" t="s">
        <v>401</v>
      </c>
      <c r="N32" s="20" t="s">
        <v>10</v>
      </c>
      <c r="O32" s="20">
        <v>2</v>
      </c>
      <c r="P32" s="20">
        <v>4</v>
      </c>
      <c r="Q32" s="13">
        <v>0.62127138852721631</v>
      </c>
      <c r="R32" s="20" t="s">
        <v>249</v>
      </c>
      <c r="S32" s="20">
        <v>-1.01</v>
      </c>
      <c r="T32" s="20" t="s">
        <v>249</v>
      </c>
      <c r="U32" s="20" t="s">
        <v>23</v>
      </c>
      <c r="V32" s="20">
        <v>3</v>
      </c>
      <c r="W32" s="20">
        <v>9</v>
      </c>
      <c r="X32" s="20" t="s">
        <v>379</v>
      </c>
      <c r="Y32" s="20" t="s">
        <v>292</v>
      </c>
      <c r="Z32" s="20" t="s">
        <v>60</v>
      </c>
      <c r="AA32" s="20" t="s">
        <v>380</v>
      </c>
    </row>
    <row r="33" spans="1:27" x14ac:dyDescent="0.2">
      <c r="A33" s="20" t="s">
        <v>220</v>
      </c>
      <c r="B33" s="20" t="s">
        <v>340</v>
      </c>
      <c r="C33" s="20" t="s">
        <v>21</v>
      </c>
      <c r="D33" s="20" t="s">
        <v>13</v>
      </c>
      <c r="E33" s="20" t="s">
        <v>341</v>
      </c>
      <c r="F33" s="20" t="s">
        <v>13</v>
      </c>
      <c r="G33" s="20">
        <v>3</v>
      </c>
      <c r="H33" s="20">
        <v>4</v>
      </c>
      <c r="I33" s="13">
        <v>0.54508201058201067</v>
      </c>
      <c r="J33" s="20" t="s">
        <v>248</v>
      </c>
      <c r="K33" s="18">
        <v>0.63700000000000001</v>
      </c>
      <c r="L33" s="20" t="s">
        <v>249</v>
      </c>
      <c r="M33" s="20" t="s">
        <v>402</v>
      </c>
      <c r="N33" s="20" t="s">
        <v>13</v>
      </c>
      <c r="O33" s="20">
        <v>2</v>
      </c>
      <c r="P33" s="20">
        <v>3</v>
      </c>
      <c r="Q33" s="13">
        <v>0.54352487978663888</v>
      </c>
      <c r="R33" s="20" t="s">
        <v>248</v>
      </c>
      <c r="S33" s="20">
        <v>0.03</v>
      </c>
      <c r="T33" s="20" t="s">
        <v>249</v>
      </c>
      <c r="U33" s="20" t="s">
        <v>21</v>
      </c>
      <c r="V33" s="20">
        <v>2</v>
      </c>
      <c r="W33" s="20">
        <v>1</v>
      </c>
      <c r="X33" s="20" t="s">
        <v>379</v>
      </c>
      <c r="Y33" s="20" t="s">
        <v>292</v>
      </c>
      <c r="Z33" s="20" t="s">
        <v>60</v>
      </c>
      <c r="AA33" s="20" t="s">
        <v>380</v>
      </c>
    </row>
    <row r="34" spans="1:27" x14ac:dyDescent="0.2">
      <c r="A34" s="20" t="s">
        <v>220</v>
      </c>
      <c r="B34" s="20" t="s">
        <v>328</v>
      </c>
      <c r="C34" s="20" t="s">
        <v>34</v>
      </c>
      <c r="D34" s="20" t="s">
        <v>14</v>
      </c>
      <c r="E34" s="20" t="s">
        <v>342</v>
      </c>
      <c r="F34" s="20" t="s">
        <v>34</v>
      </c>
      <c r="G34" s="20">
        <v>3</v>
      </c>
      <c r="H34" s="20">
        <v>2</v>
      </c>
      <c r="I34" s="13">
        <v>0.51067724867724873</v>
      </c>
      <c r="J34" s="20" t="s">
        <v>249</v>
      </c>
      <c r="K34" s="18">
        <v>0.44400000000000001</v>
      </c>
      <c r="L34" s="20" t="s">
        <v>248</v>
      </c>
      <c r="M34" s="20" t="s">
        <v>343</v>
      </c>
      <c r="N34" s="20" t="s">
        <v>14</v>
      </c>
      <c r="O34" s="20">
        <v>2</v>
      </c>
      <c r="P34" s="20">
        <v>4</v>
      </c>
      <c r="Q34" s="13">
        <v>0.69427003530691833</v>
      </c>
      <c r="R34" s="20" t="s">
        <v>249</v>
      </c>
      <c r="S34" s="20">
        <v>0.85</v>
      </c>
      <c r="T34" s="20" t="s">
        <v>249</v>
      </c>
      <c r="U34" s="20" t="s">
        <v>34</v>
      </c>
      <c r="V34" s="20">
        <v>5</v>
      </c>
      <c r="W34" s="20">
        <v>0</v>
      </c>
      <c r="X34" s="20" t="s">
        <v>379</v>
      </c>
      <c r="Y34" s="20" t="s">
        <v>292</v>
      </c>
      <c r="Z34" s="20" t="s">
        <v>60</v>
      </c>
      <c r="AA34" s="20" t="s">
        <v>380</v>
      </c>
    </row>
    <row r="35" spans="1:27" x14ac:dyDescent="0.2">
      <c r="A35" s="20" t="s">
        <v>220</v>
      </c>
      <c r="B35" s="20" t="s">
        <v>324</v>
      </c>
      <c r="C35" s="20" t="s">
        <v>25</v>
      </c>
      <c r="D35" s="20" t="s">
        <v>40</v>
      </c>
      <c r="E35" s="20" t="s">
        <v>344</v>
      </c>
      <c r="F35" s="20" t="s">
        <v>40</v>
      </c>
      <c r="G35" s="20">
        <v>3</v>
      </c>
      <c r="H35" s="20">
        <v>4</v>
      </c>
      <c r="I35" s="13">
        <v>0.75196825396825406</v>
      </c>
      <c r="J35" s="20" t="s">
        <v>248</v>
      </c>
      <c r="K35" s="18">
        <v>0.64800000000000002</v>
      </c>
      <c r="L35" s="20" t="s">
        <v>249</v>
      </c>
      <c r="M35" s="20" t="s">
        <v>403</v>
      </c>
      <c r="N35" s="20" t="s">
        <v>25</v>
      </c>
      <c r="O35" s="20">
        <v>2</v>
      </c>
      <c r="P35" s="20">
        <v>3</v>
      </c>
      <c r="Q35" s="13">
        <v>0.52384786307493458</v>
      </c>
      <c r="R35" s="20" t="s">
        <v>248</v>
      </c>
      <c r="S35" s="20">
        <v>-0.26</v>
      </c>
      <c r="T35" s="20" t="s">
        <v>248</v>
      </c>
      <c r="U35" s="20" t="s">
        <v>25</v>
      </c>
      <c r="V35" s="20">
        <v>4</v>
      </c>
      <c r="W35" s="20">
        <v>3</v>
      </c>
      <c r="X35" s="20" t="s">
        <v>379</v>
      </c>
      <c r="Y35" s="20" t="s">
        <v>292</v>
      </c>
      <c r="Z35" s="20" t="s">
        <v>60</v>
      </c>
      <c r="AA35" s="20" t="s">
        <v>380</v>
      </c>
    </row>
    <row r="36" spans="1:27" x14ac:dyDescent="0.2">
      <c r="A36" s="20" t="s">
        <v>221</v>
      </c>
      <c r="B36" s="20" t="s">
        <v>322</v>
      </c>
      <c r="C36" s="20" t="s">
        <v>20</v>
      </c>
      <c r="D36" s="20" t="s">
        <v>31</v>
      </c>
      <c r="E36" s="20" t="s">
        <v>345</v>
      </c>
      <c r="F36" s="20" t="s">
        <v>31</v>
      </c>
      <c r="G36" s="20">
        <v>3</v>
      </c>
      <c r="H36" s="20">
        <v>4</v>
      </c>
      <c r="I36" s="13">
        <v>0.7439365079365079</v>
      </c>
      <c r="J36" s="20" t="s">
        <v>248</v>
      </c>
      <c r="K36" s="18">
        <v>0.59399999999999997</v>
      </c>
      <c r="L36" s="20" t="s">
        <v>248</v>
      </c>
      <c r="M36" s="20" t="s">
        <v>291</v>
      </c>
      <c r="N36" s="20" t="s">
        <v>31</v>
      </c>
      <c r="O36" s="20">
        <v>2</v>
      </c>
      <c r="P36" s="20">
        <v>3</v>
      </c>
      <c r="Q36" s="13">
        <v>0.63411411850668342</v>
      </c>
      <c r="R36" s="20" t="s">
        <v>249</v>
      </c>
      <c r="S36" s="20">
        <v>0.35</v>
      </c>
      <c r="T36" s="20" t="s">
        <v>248</v>
      </c>
      <c r="U36" s="20" t="s">
        <v>31</v>
      </c>
      <c r="V36" s="20">
        <v>3</v>
      </c>
      <c r="W36" s="20">
        <v>4</v>
      </c>
      <c r="X36" s="20" t="s">
        <v>379</v>
      </c>
      <c r="Y36" s="20" t="s">
        <v>292</v>
      </c>
      <c r="Z36" s="20" t="s">
        <v>60</v>
      </c>
      <c r="AA36" s="20" t="s">
        <v>380</v>
      </c>
    </row>
    <row r="37" spans="1:27" x14ac:dyDescent="0.2">
      <c r="A37" s="20" t="s">
        <v>221</v>
      </c>
      <c r="B37" s="20" t="s">
        <v>322</v>
      </c>
      <c r="C37" s="20" t="s">
        <v>39</v>
      </c>
      <c r="D37" s="20" t="s">
        <v>16</v>
      </c>
      <c r="E37" s="20" t="s">
        <v>346</v>
      </c>
      <c r="F37" s="20" t="s">
        <v>39</v>
      </c>
      <c r="G37" s="20">
        <v>5</v>
      </c>
      <c r="H37" s="20">
        <v>4</v>
      </c>
      <c r="I37" s="13">
        <v>0.59559788359788357</v>
      </c>
      <c r="J37" s="20" t="s">
        <v>249</v>
      </c>
      <c r="K37" s="18">
        <v>0.39600000000000002</v>
      </c>
      <c r="L37" s="20" t="s">
        <v>249</v>
      </c>
      <c r="M37" s="20" t="s">
        <v>404</v>
      </c>
      <c r="N37" s="20" t="s">
        <v>39</v>
      </c>
      <c r="O37" s="20">
        <v>2</v>
      </c>
      <c r="P37" s="20">
        <v>4</v>
      </c>
      <c r="Q37" s="13">
        <v>0.75479145950448245</v>
      </c>
      <c r="R37" s="20" t="s">
        <v>249</v>
      </c>
      <c r="S37" s="20">
        <v>-1.31</v>
      </c>
      <c r="T37" s="20" t="s">
        <v>249</v>
      </c>
      <c r="U37" s="20" t="s">
        <v>16</v>
      </c>
      <c r="V37" s="20">
        <v>2</v>
      </c>
      <c r="W37" s="20">
        <v>3</v>
      </c>
      <c r="X37" s="20" t="s">
        <v>379</v>
      </c>
      <c r="Y37" s="20" t="s">
        <v>292</v>
      </c>
      <c r="Z37" s="20" t="s">
        <v>60</v>
      </c>
      <c r="AA37" s="20" t="s">
        <v>380</v>
      </c>
    </row>
    <row r="38" spans="1:27" x14ac:dyDescent="0.2">
      <c r="A38" s="20" t="s">
        <v>221</v>
      </c>
      <c r="B38" s="20" t="s">
        <v>347</v>
      </c>
      <c r="C38" s="20" t="s">
        <v>28</v>
      </c>
      <c r="D38" s="20" t="s">
        <v>26</v>
      </c>
      <c r="E38" s="20" t="s">
        <v>348</v>
      </c>
      <c r="F38" s="20" t="s">
        <v>26</v>
      </c>
      <c r="G38" s="20">
        <v>2</v>
      </c>
      <c r="H38" s="20">
        <v>3</v>
      </c>
      <c r="I38" s="13">
        <v>0.70020214957327953</v>
      </c>
      <c r="J38" s="20" t="s">
        <v>249</v>
      </c>
      <c r="K38" s="18">
        <v>0.36799999999999999</v>
      </c>
      <c r="L38" s="20" t="s">
        <v>248</v>
      </c>
      <c r="M38" s="20" t="s">
        <v>307</v>
      </c>
      <c r="N38" s="20" t="s">
        <v>28</v>
      </c>
      <c r="O38" s="20">
        <v>2</v>
      </c>
      <c r="P38" s="20">
        <v>3</v>
      </c>
      <c r="Q38" s="13">
        <v>0.46548155836437699</v>
      </c>
      <c r="R38" s="20" t="s">
        <v>248</v>
      </c>
      <c r="S38" s="20">
        <v>-0.03</v>
      </c>
      <c r="T38" s="20" t="s">
        <v>249</v>
      </c>
      <c r="U38" s="20" t="s">
        <v>26</v>
      </c>
      <c r="V38" s="20">
        <v>3</v>
      </c>
      <c r="W38" s="20">
        <v>4</v>
      </c>
      <c r="X38" s="20" t="s">
        <v>379</v>
      </c>
      <c r="Y38" s="20" t="s">
        <v>292</v>
      </c>
      <c r="Z38" s="20" t="s">
        <v>60</v>
      </c>
      <c r="AA38" s="20" t="s">
        <v>380</v>
      </c>
    </row>
    <row r="39" spans="1:27" x14ac:dyDescent="0.2">
      <c r="A39" s="20" t="s">
        <v>221</v>
      </c>
      <c r="B39" s="20" t="s">
        <v>328</v>
      </c>
      <c r="C39" s="20" t="s">
        <v>17</v>
      </c>
      <c r="D39" s="20" t="s">
        <v>11</v>
      </c>
      <c r="E39" s="20" t="s">
        <v>349</v>
      </c>
      <c r="F39" s="20" t="s">
        <v>11</v>
      </c>
      <c r="G39" s="20">
        <v>3</v>
      </c>
      <c r="H39" s="20">
        <v>4</v>
      </c>
      <c r="I39" s="13">
        <v>0.71271640211640208</v>
      </c>
      <c r="J39" s="20" t="s">
        <v>249</v>
      </c>
      <c r="K39" s="18">
        <v>0.317</v>
      </c>
      <c r="L39" s="20" t="s">
        <v>249</v>
      </c>
      <c r="M39" s="20" t="s">
        <v>405</v>
      </c>
      <c r="N39" s="20" t="s">
        <v>11</v>
      </c>
      <c r="O39" s="20">
        <v>2</v>
      </c>
      <c r="P39" s="20">
        <v>4</v>
      </c>
      <c r="Q39" s="13">
        <v>0.7567456775048037</v>
      </c>
      <c r="R39" s="20" t="s">
        <v>249</v>
      </c>
      <c r="S39" s="20">
        <v>1</v>
      </c>
      <c r="T39" s="20" t="s">
        <v>249</v>
      </c>
      <c r="U39" s="20" t="s">
        <v>17</v>
      </c>
      <c r="V39" s="20">
        <v>6</v>
      </c>
      <c r="W39" s="20">
        <v>3</v>
      </c>
      <c r="X39" s="20" t="s">
        <v>379</v>
      </c>
      <c r="Y39" s="20" t="s">
        <v>292</v>
      </c>
      <c r="Z39" s="20" t="s">
        <v>60</v>
      </c>
      <c r="AA39" s="20" t="s">
        <v>380</v>
      </c>
    </row>
    <row r="40" spans="1:27" x14ac:dyDescent="0.2">
      <c r="A40" s="20" t="s">
        <v>221</v>
      </c>
      <c r="B40" s="20" t="s">
        <v>328</v>
      </c>
      <c r="C40" s="20" t="s">
        <v>19</v>
      </c>
      <c r="D40" s="20" t="s">
        <v>18</v>
      </c>
      <c r="E40" s="20" t="s">
        <v>350</v>
      </c>
      <c r="F40" s="20" t="s">
        <v>18</v>
      </c>
      <c r="G40" s="20">
        <v>4</v>
      </c>
      <c r="H40" s="20">
        <v>5</v>
      </c>
      <c r="I40" s="13">
        <v>0.53974867724867714</v>
      </c>
      <c r="J40" s="20" t="s">
        <v>249</v>
      </c>
      <c r="K40" s="18">
        <v>0.46300000000000002</v>
      </c>
      <c r="L40" s="20" t="s">
        <v>248</v>
      </c>
      <c r="M40" s="20" t="s">
        <v>360</v>
      </c>
      <c r="N40" s="20" t="s">
        <v>18</v>
      </c>
      <c r="O40" s="20">
        <v>2</v>
      </c>
      <c r="P40" s="20">
        <v>3</v>
      </c>
      <c r="Q40" s="13">
        <v>0.55269401670466733</v>
      </c>
      <c r="R40" s="20" t="s">
        <v>248</v>
      </c>
      <c r="S40" s="20">
        <v>0.09</v>
      </c>
      <c r="T40" s="20" t="s">
        <v>248</v>
      </c>
      <c r="U40" s="20" t="s">
        <v>18</v>
      </c>
      <c r="V40" s="20">
        <v>2</v>
      </c>
      <c r="W40" s="20">
        <v>5</v>
      </c>
      <c r="X40" s="20" t="s">
        <v>379</v>
      </c>
      <c r="Y40" s="20" t="s">
        <v>292</v>
      </c>
      <c r="Z40" s="20" t="s">
        <v>60</v>
      </c>
      <c r="AA40" s="20" t="s">
        <v>380</v>
      </c>
    </row>
    <row r="41" spans="1:27" x14ac:dyDescent="0.2">
      <c r="A41" s="20" t="s">
        <v>221</v>
      </c>
      <c r="B41" s="20" t="s">
        <v>324</v>
      </c>
      <c r="C41" s="20" t="s">
        <v>12</v>
      </c>
      <c r="D41" s="20" t="s">
        <v>29</v>
      </c>
      <c r="E41" s="20" t="s">
        <v>351</v>
      </c>
      <c r="F41" s="20" t="s">
        <v>12</v>
      </c>
      <c r="G41" s="20">
        <v>4</v>
      </c>
      <c r="H41" s="20">
        <v>3</v>
      </c>
      <c r="I41" s="13">
        <v>0.79329100529100538</v>
      </c>
      <c r="J41" s="20" t="s">
        <v>249</v>
      </c>
      <c r="K41" s="18">
        <v>0.34200000000000003</v>
      </c>
      <c r="L41" s="20" t="s">
        <v>248</v>
      </c>
      <c r="M41" s="20" t="s">
        <v>361</v>
      </c>
      <c r="N41" s="20" t="s">
        <v>12</v>
      </c>
      <c r="O41" s="20">
        <v>1</v>
      </c>
      <c r="P41" s="20">
        <v>6</v>
      </c>
      <c r="Q41" s="13">
        <v>0.93629488580979003</v>
      </c>
      <c r="R41" s="20" t="s">
        <v>249</v>
      </c>
      <c r="S41" s="20">
        <v>-2.83</v>
      </c>
      <c r="T41" s="20" t="s">
        <v>248</v>
      </c>
      <c r="U41" s="20" t="s">
        <v>12</v>
      </c>
      <c r="V41" s="20">
        <v>3</v>
      </c>
      <c r="W41" s="20">
        <v>0</v>
      </c>
      <c r="X41" s="20" t="s">
        <v>379</v>
      </c>
      <c r="Y41" s="20" t="s">
        <v>292</v>
      </c>
      <c r="Z41" s="20" t="s">
        <v>60</v>
      </c>
      <c r="AA41" s="20" t="s">
        <v>380</v>
      </c>
    </row>
    <row r="42" spans="1:27" x14ac:dyDescent="0.2">
      <c r="A42" s="20" t="s">
        <v>221</v>
      </c>
      <c r="B42" s="20" t="s">
        <v>352</v>
      </c>
      <c r="C42" s="20" t="s">
        <v>35</v>
      </c>
      <c r="D42" s="20" t="s">
        <v>30</v>
      </c>
      <c r="E42" s="20" t="s">
        <v>353</v>
      </c>
      <c r="F42" s="20" t="s">
        <v>30</v>
      </c>
      <c r="G42" s="20">
        <v>3</v>
      </c>
      <c r="H42" s="20">
        <v>4</v>
      </c>
      <c r="I42" s="13">
        <v>0.82961190476190472</v>
      </c>
      <c r="J42" s="20" t="s">
        <v>249</v>
      </c>
      <c r="K42" s="18">
        <v>0.44800000000000001</v>
      </c>
      <c r="L42" s="20" t="s">
        <v>249</v>
      </c>
      <c r="M42" s="20" t="s">
        <v>406</v>
      </c>
      <c r="N42" s="20" t="s">
        <v>30</v>
      </c>
      <c r="O42" s="20">
        <v>1</v>
      </c>
      <c r="P42" s="20">
        <v>5</v>
      </c>
      <c r="Q42" s="13">
        <v>0.83238050643354911</v>
      </c>
      <c r="R42" s="20" t="s">
        <v>249</v>
      </c>
      <c r="S42" s="20">
        <v>2.02</v>
      </c>
      <c r="T42" s="20" t="s">
        <v>249</v>
      </c>
      <c r="U42" s="20" t="s">
        <v>35</v>
      </c>
      <c r="V42" s="20">
        <v>2</v>
      </c>
      <c r="W42" s="20">
        <v>1</v>
      </c>
      <c r="X42" s="20" t="s">
        <v>379</v>
      </c>
      <c r="Y42" s="20" t="s">
        <v>292</v>
      </c>
      <c r="Z42" s="20" t="s">
        <v>60</v>
      </c>
      <c r="AA42" s="20" t="s">
        <v>380</v>
      </c>
    </row>
    <row r="43" spans="1:27" x14ac:dyDescent="0.2">
      <c r="A43" s="20" t="s">
        <v>221</v>
      </c>
      <c r="B43" s="20" t="s">
        <v>328</v>
      </c>
      <c r="C43" s="20" t="s">
        <v>24</v>
      </c>
      <c r="D43" s="20" t="s">
        <v>27</v>
      </c>
      <c r="E43" s="20" t="s">
        <v>354</v>
      </c>
      <c r="F43" s="20" t="s">
        <v>24</v>
      </c>
      <c r="G43" s="20">
        <v>4</v>
      </c>
      <c r="H43" s="20">
        <v>3</v>
      </c>
      <c r="I43" s="13">
        <v>0.63601404151404162</v>
      </c>
      <c r="J43" s="20" t="s">
        <v>249</v>
      </c>
      <c r="K43" s="18">
        <v>0.44</v>
      </c>
      <c r="L43" s="20" t="s">
        <v>249</v>
      </c>
      <c r="M43" s="20" t="s">
        <v>407</v>
      </c>
      <c r="N43" s="20" t="s">
        <v>24</v>
      </c>
      <c r="O43" s="20">
        <v>2</v>
      </c>
      <c r="P43" s="20">
        <v>4</v>
      </c>
      <c r="Q43" s="13">
        <v>0.55265687829531895</v>
      </c>
      <c r="R43" s="20" t="s">
        <v>249</v>
      </c>
      <c r="S43" s="20">
        <v>-0.63</v>
      </c>
      <c r="T43" s="20" t="s">
        <v>249</v>
      </c>
      <c r="U43" s="20" t="s">
        <v>27</v>
      </c>
      <c r="V43" s="20">
        <v>3</v>
      </c>
      <c r="W43" s="20">
        <v>6</v>
      </c>
      <c r="X43" s="20" t="s">
        <v>379</v>
      </c>
      <c r="Y43" s="20" t="s">
        <v>292</v>
      </c>
      <c r="Z43" s="20" t="s">
        <v>60</v>
      </c>
      <c r="AA43" s="20" t="s">
        <v>380</v>
      </c>
    </row>
    <row r="44" spans="1:27" x14ac:dyDescent="0.2">
      <c r="A44" s="20" t="s">
        <v>221</v>
      </c>
      <c r="B44" s="20" t="s">
        <v>328</v>
      </c>
      <c r="C44" s="20" t="s">
        <v>32</v>
      </c>
      <c r="D44" s="20" t="s">
        <v>14</v>
      </c>
      <c r="E44" s="20" t="s">
        <v>355</v>
      </c>
      <c r="F44" s="20" t="s">
        <v>14</v>
      </c>
      <c r="G44" s="20">
        <v>3</v>
      </c>
      <c r="H44" s="20">
        <v>4</v>
      </c>
      <c r="I44" s="13">
        <v>0.53547883597883605</v>
      </c>
      <c r="J44" s="20" t="s">
        <v>249</v>
      </c>
      <c r="K44" s="18">
        <v>0.40500000000000003</v>
      </c>
      <c r="L44" s="20" t="s">
        <v>249</v>
      </c>
      <c r="M44" s="20" t="s">
        <v>408</v>
      </c>
      <c r="N44" s="20" t="s">
        <v>14</v>
      </c>
      <c r="O44" s="20">
        <v>2</v>
      </c>
      <c r="P44" s="20">
        <v>4</v>
      </c>
      <c r="Q44" s="13">
        <v>0.62760419841259008</v>
      </c>
      <c r="R44" s="20" t="s">
        <v>249</v>
      </c>
      <c r="S44" s="20">
        <v>0.56000000000000005</v>
      </c>
      <c r="T44" s="20" t="s">
        <v>249</v>
      </c>
      <c r="U44" s="20" t="s">
        <v>32</v>
      </c>
      <c r="V44" s="20">
        <v>3</v>
      </c>
      <c r="W44" s="20">
        <v>2</v>
      </c>
      <c r="X44" s="20" t="s">
        <v>379</v>
      </c>
      <c r="Y44" s="20" t="s">
        <v>292</v>
      </c>
      <c r="Z44" s="20" t="s">
        <v>60</v>
      </c>
      <c r="AA44" s="20" t="s">
        <v>380</v>
      </c>
    </row>
    <row r="45" spans="1:27" x14ac:dyDescent="0.2">
      <c r="A45" s="20" t="s">
        <v>221</v>
      </c>
      <c r="B45" s="20" t="s">
        <v>328</v>
      </c>
      <c r="C45" s="20" t="s">
        <v>36</v>
      </c>
      <c r="D45" s="20" t="s">
        <v>33</v>
      </c>
      <c r="E45" s="20" t="s">
        <v>356</v>
      </c>
      <c r="F45" s="20" t="s">
        <v>33</v>
      </c>
      <c r="G45" s="20">
        <v>4</v>
      </c>
      <c r="H45" s="20">
        <v>5</v>
      </c>
      <c r="I45" s="13">
        <v>0.57873187202660858</v>
      </c>
      <c r="J45" s="20" t="s">
        <v>248</v>
      </c>
      <c r="K45" s="18">
        <v>0.627</v>
      </c>
      <c r="L45" s="20" t="s">
        <v>249</v>
      </c>
      <c r="M45" s="20" t="s">
        <v>409</v>
      </c>
      <c r="N45" s="20" t="s">
        <v>33</v>
      </c>
      <c r="O45" s="20">
        <v>2</v>
      </c>
      <c r="P45" s="20">
        <v>3</v>
      </c>
      <c r="Q45" s="13">
        <v>0.5625647207386173</v>
      </c>
      <c r="R45" s="20" t="s">
        <v>248</v>
      </c>
      <c r="S45" s="20">
        <v>0.16</v>
      </c>
      <c r="T45" s="20" t="s">
        <v>249</v>
      </c>
      <c r="U45" s="20" t="s">
        <v>36</v>
      </c>
      <c r="V45" s="20">
        <v>3</v>
      </c>
      <c r="W45" s="20">
        <v>2</v>
      </c>
      <c r="X45" s="20" t="s">
        <v>379</v>
      </c>
      <c r="Y45" s="20" t="s">
        <v>292</v>
      </c>
      <c r="Z45" s="20" t="s">
        <v>60</v>
      </c>
      <c r="AA45" s="20" t="s">
        <v>380</v>
      </c>
    </row>
    <row r="46" spans="1:27" x14ac:dyDescent="0.2">
      <c r="A46" s="20" t="s">
        <v>221</v>
      </c>
      <c r="B46" s="20" t="s">
        <v>326</v>
      </c>
      <c r="C46" s="20" t="s">
        <v>15</v>
      </c>
      <c r="D46" s="20" t="s">
        <v>55</v>
      </c>
      <c r="E46" s="20" t="s">
        <v>357</v>
      </c>
      <c r="F46" s="20" t="s">
        <v>55</v>
      </c>
      <c r="G46" s="20">
        <v>3</v>
      </c>
      <c r="H46" s="20">
        <v>4</v>
      </c>
      <c r="I46" s="13">
        <v>0.6337840563691628</v>
      </c>
      <c r="J46" s="20" t="s">
        <v>249</v>
      </c>
      <c r="K46" s="18">
        <v>0.313</v>
      </c>
      <c r="L46" s="20" t="s">
        <v>248</v>
      </c>
      <c r="M46" s="20" t="s">
        <v>362</v>
      </c>
      <c r="N46" s="20" t="s">
        <v>55</v>
      </c>
      <c r="O46" s="20">
        <v>2</v>
      </c>
      <c r="P46" s="20">
        <v>3</v>
      </c>
      <c r="Q46" s="13">
        <v>0.51017063196028578</v>
      </c>
      <c r="R46" s="20" t="s">
        <v>248</v>
      </c>
      <c r="S46" s="20">
        <v>0.25</v>
      </c>
      <c r="T46" s="20" t="s">
        <v>248</v>
      </c>
      <c r="U46" s="20" t="s">
        <v>55</v>
      </c>
      <c r="V46" s="20">
        <v>2</v>
      </c>
      <c r="W46" s="20">
        <v>3</v>
      </c>
      <c r="X46" s="20" t="s">
        <v>379</v>
      </c>
      <c r="Y46" s="20" t="s">
        <v>292</v>
      </c>
      <c r="Z46" s="20" t="s">
        <v>60</v>
      </c>
      <c r="AA46" s="20" t="s">
        <v>380</v>
      </c>
    </row>
    <row r="47" spans="1:27" x14ac:dyDescent="0.2">
      <c r="A47" s="20" t="s">
        <v>221</v>
      </c>
      <c r="B47" s="20" t="s">
        <v>328</v>
      </c>
      <c r="C47" s="20" t="s">
        <v>37</v>
      </c>
      <c r="D47" s="20" t="s">
        <v>22</v>
      </c>
      <c r="E47" s="20" t="s">
        <v>358</v>
      </c>
      <c r="F47" s="20" t="s">
        <v>22</v>
      </c>
      <c r="G47" s="20">
        <v>3</v>
      </c>
      <c r="H47" s="20">
        <v>4</v>
      </c>
      <c r="I47" s="13">
        <v>0.64363278171788785</v>
      </c>
      <c r="J47" s="20" t="s">
        <v>248</v>
      </c>
      <c r="K47" s="18">
        <v>0.54700000000000004</v>
      </c>
      <c r="L47" s="20" t="s">
        <v>249</v>
      </c>
      <c r="M47" s="20" t="s">
        <v>410</v>
      </c>
      <c r="N47" s="20" t="s">
        <v>22</v>
      </c>
      <c r="O47" s="20">
        <v>2</v>
      </c>
      <c r="P47" s="20">
        <v>3</v>
      </c>
      <c r="Q47" s="13">
        <v>0.5417979763641656</v>
      </c>
      <c r="R47" s="20" t="s">
        <v>249</v>
      </c>
      <c r="S47" s="20">
        <v>0.32</v>
      </c>
      <c r="T47" s="20" t="s">
        <v>249</v>
      </c>
      <c r="U47" s="20" t="s">
        <v>37</v>
      </c>
      <c r="V47" s="20">
        <v>5</v>
      </c>
      <c r="W47" s="20">
        <v>3</v>
      </c>
      <c r="X47" s="20" t="s">
        <v>379</v>
      </c>
      <c r="Y47" s="20" t="s">
        <v>292</v>
      </c>
      <c r="Z47" s="20" t="s">
        <v>60</v>
      </c>
      <c r="AA47" s="20" t="s">
        <v>380</v>
      </c>
    </row>
    <row r="48" spans="1:27" x14ac:dyDescent="0.2">
      <c r="A48" s="20" t="s">
        <v>222</v>
      </c>
      <c r="B48" s="20" t="s">
        <v>347</v>
      </c>
      <c r="C48" s="20" t="s">
        <v>25</v>
      </c>
      <c r="D48" s="20" t="s">
        <v>23</v>
      </c>
      <c r="E48" s="20" t="s">
        <v>363</v>
      </c>
      <c r="F48" s="20" t="s">
        <v>25</v>
      </c>
      <c r="G48" s="20">
        <v>4</v>
      </c>
      <c r="H48" s="20">
        <v>3</v>
      </c>
      <c r="I48" s="13">
        <v>0.746</v>
      </c>
      <c r="J48" s="20" t="s">
        <v>249</v>
      </c>
      <c r="K48" s="18">
        <v>0.33900000000000002</v>
      </c>
      <c r="L48" s="20" t="s">
        <v>249</v>
      </c>
      <c r="M48" s="20" t="s">
        <v>411</v>
      </c>
      <c r="N48" s="20" t="s">
        <v>25</v>
      </c>
      <c r="O48" s="20">
        <v>4</v>
      </c>
      <c r="P48" s="20">
        <v>2</v>
      </c>
      <c r="Q48" s="13">
        <v>0.70099999999999996</v>
      </c>
      <c r="R48" s="20" t="s">
        <v>249</v>
      </c>
      <c r="S48" s="20">
        <v>-1.1599999999999999</v>
      </c>
      <c r="T48" s="20" t="s">
        <v>249</v>
      </c>
      <c r="U48" s="20" t="s">
        <v>23</v>
      </c>
      <c r="V48" s="20">
        <v>1</v>
      </c>
      <c r="W48" s="20">
        <v>4</v>
      </c>
      <c r="X48" s="20" t="s">
        <v>379</v>
      </c>
      <c r="Y48" s="20" t="s">
        <v>292</v>
      </c>
      <c r="Z48" s="20" t="s">
        <v>359</v>
      </c>
      <c r="AA48" s="20" t="s">
        <v>380</v>
      </c>
    </row>
    <row r="49" spans="1:27" x14ac:dyDescent="0.2">
      <c r="A49" s="20" t="s">
        <v>222</v>
      </c>
      <c r="B49" s="20" t="s">
        <v>328</v>
      </c>
      <c r="C49" s="20" t="s">
        <v>12</v>
      </c>
      <c r="D49" s="20" t="s">
        <v>10</v>
      </c>
      <c r="E49" s="20" t="s">
        <v>364</v>
      </c>
      <c r="F49" s="20" t="s">
        <v>12</v>
      </c>
      <c r="G49" s="20">
        <v>5</v>
      </c>
      <c r="H49" s="20">
        <v>4</v>
      </c>
      <c r="I49" s="13">
        <v>0.65200000000000002</v>
      </c>
      <c r="J49" s="20" t="s">
        <v>248</v>
      </c>
      <c r="K49" s="18">
        <v>0.53400000000000003</v>
      </c>
      <c r="L49" s="20" t="s">
        <v>248</v>
      </c>
      <c r="M49" s="20" t="s">
        <v>361</v>
      </c>
      <c r="N49" s="20" t="s">
        <v>12</v>
      </c>
      <c r="O49" s="20">
        <v>4</v>
      </c>
      <c r="P49" s="20">
        <v>2</v>
      </c>
      <c r="Q49" s="13">
        <v>0.73299999999999998</v>
      </c>
      <c r="R49" s="20" t="s">
        <v>249</v>
      </c>
      <c r="S49" s="20">
        <v>-1.5</v>
      </c>
      <c r="T49" s="20" t="s">
        <v>248</v>
      </c>
      <c r="U49" s="20" t="s">
        <v>12</v>
      </c>
      <c r="V49" s="20">
        <v>1</v>
      </c>
      <c r="W49" s="20">
        <v>0</v>
      </c>
      <c r="X49" s="20" t="s">
        <v>379</v>
      </c>
      <c r="Y49" s="20" t="s">
        <v>292</v>
      </c>
      <c r="Z49" s="20" t="s">
        <v>359</v>
      </c>
      <c r="AA49" s="20" t="s">
        <v>380</v>
      </c>
    </row>
    <row r="50" spans="1:27" x14ac:dyDescent="0.2">
      <c r="A50" s="20" t="s">
        <v>222</v>
      </c>
      <c r="B50" s="20" t="s">
        <v>365</v>
      </c>
      <c r="C50" s="20" t="s">
        <v>32</v>
      </c>
      <c r="D50" s="20" t="s">
        <v>30</v>
      </c>
      <c r="E50" s="20" t="s">
        <v>366</v>
      </c>
      <c r="F50" s="20" t="s">
        <v>32</v>
      </c>
      <c r="G50" s="20">
        <v>5</v>
      </c>
      <c r="H50" s="20">
        <v>4</v>
      </c>
      <c r="I50" s="13">
        <v>0.57899999999999996</v>
      </c>
      <c r="J50" s="20" t="s">
        <v>249</v>
      </c>
      <c r="K50" s="18">
        <v>0.48799999999999999</v>
      </c>
      <c r="L50" s="20" t="s">
        <v>249</v>
      </c>
      <c r="M50" s="20" t="s">
        <v>412</v>
      </c>
      <c r="N50" s="20" t="s">
        <v>30</v>
      </c>
      <c r="O50" s="20">
        <v>2</v>
      </c>
      <c r="P50" s="20">
        <v>4</v>
      </c>
      <c r="Q50" s="13">
        <v>0.61299999999999999</v>
      </c>
      <c r="R50" s="20" t="s">
        <v>249</v>
      </c>
      <c r="S50" s="20">
        <v>0.56999999999999995</v>
      </c>
      <c r="T50" s="20" t="s">
        <v>248</v>
      </c>
      <c r="U50" s="20" t="s">
        <v>30</v>
      </c>
      <c r="V50" s="20">
        <v>0</v>
      </c>
      <c r="W50" s="20">
        <v>1</v>
      </c>
      <c r="X50" s="20" t="s">
        <v>379</v>
      </c>
      <c r="Y50" s="20" t="s">
        <v>292</v>
      </c>
      <c r="Z50" s="20" t="s">
        <v>359</v>
      </c>
      <c r="AA50" s="20" t="s">
        <v>380</v>
      </c>
    </row>
    <row r="51" spans="1:27" x14ac:dyDescent="0.2">
      <c r="A51" s="20" t="s">
        <v>222</v>
      </c>
      <c r="B51" s="20" t="s">
        <v>324</v>
      </c>
      <c r="C51" s="20" t="s">
        <v>21</v>
      </c>
      <c r="D51" s="20" t="s">
        <v>33</v>
      </c>
      <c r="E51" s="20" t="s">
        <v>367</v>
      </c>
      <c r="F51" s="20" t="s">
        <v>33</v>
      </c>
      <c r="G51" s="20">
        <v>3</v>
      </c>
      <c r="H51" s="20">
        <v>4</v>
      </c>
      <c r="I51" s="13">
        <v>0.51900000000000002</v>
      </c>
      <c r="J51" s="20" t="s">
        <v>249</v>
      </c>
      <c r="K51" s="18">
        <v>0.27900000000000003</v>
      </c>
      <c r="L51" s="20" t="s">
        <v>248</v>
      </c>
      <c r="M51" s="20" t="s">
        <v>309</v>
      </c>
      <c r="N51" s="20" t="s">
        <v>21</v>
      </c>
      <c r="O51" s="20">
        <v>3</v>
      </c>
      <c r="P51" s="20">
        <v>2</v>
      </c>
      <c r="Q51" s="13">
        <v>0.49399999999999999</v>
      </c>
      <c r="R51" s="20" t="s">
        <v>248</v>
      </c>
      <c r="S51" s="20">
        <v>-0.26</v>
      </c>
      <c r="T51" s="20" t="s">
        <v>249</v>
      </c>
      <c r="U51" s="20" t="s">
        <v>33</v>
      </c>
      <c r="V51" s="20">
        <v>1</v>
      </c>
      <c r="W51" s="20">
        <v>3</v>
      </c>
      <c r="X51" s="20" t="s">
        <v>379</v>
      </c>
      <c r="Y51" s="20" t="s">
        <v>292</v>
      </c>
      <c r="Z51" s="20" t="s">
        <v>359</v>
      </c>
      <c r="AA51" s="20" t="s">
        <v>380</v>
      </c>
    </row>
    <row r="52" spans="1:27" x14ac:dyDescent="0.2">
      <c r="A52" s="20" t="s">
        <v>222</v>
      </c>
      <c r="B52" s="20" t="s">
        <v>326</v>
      </c>
      <c r="C52" s="20" t="s">
        <v>16</v>
      </c>
      <c r="D52" s="20" t="s">
        <v>38</v>
      </c>
      <c r="E52" s="20" t="s">
        <v>368</v>
      </c>
      <c r="F52" s="20" t="s">
        <v>16</v>
      </c>
      <c r="G52" s="20">
        <v>4</v>
      </c>
      <c r="H52" s="20">
        <v>2</v>
      </c>
      <c r="I52" s="13">
        <v>0.53600000000000003</v>
      </c>
      <c r="J52" s="20" t="s">
        <v>249</v>
      </c>
      <c r="K52" s="18">
        <v>0.182</v>
      </c>
      <c r="L52" s="20" t="s">
        <v>248</v>
      </c>
      <c r="M52" s="20" t="s">
        <v>372</v>
      </c>
      <c r="N52" s="20" t="s">
        <v>38</v>
      </c>
      <c r="O52" s="20">
        <v>2</v>
      </c>
      <c r="P52" s="20">
        <v>3</v>
      </c>
      <c r="Q52" s="13">
        <v>0.59</v>
      </c>
      <c r="R52" s="20" t="s">
        <v>249</v>
      </c>
      <c r="S52" s="20">
        <v>0.39</v>
      </c>
      <c r="T52" s="20" t="s">
        <v>249</v>
      </c>
      <c r="U52" s="20" t="s">
        <v>16</v>
      </c>
      <c r="V52" s="20">
        <v>5</v>
      </c>
      <c r="W52" s="20">
        <v>2</v>
      </c>
      <c r="X52" s="20" t="s">
        <v>379</v>
      </c>
      <c r="Y52" s="20" t="s">
        <v>292</v>
      </c>
      <c r="Z52" s="20" t="s">
        <v>359</v>
      </c>
      <c r="AA52" s="20" t="s">
        <v>380</v>
      </c>
    </row>
    <row r="53" spans="1:27" x14ac:dyDescent="0.2">
      <c r="A53" s="20" t="s">
        <v>222</v>
      </c>
      <c r="B53" s="20" t="s">
        <v>369</v>
      </c>
      <c r="C53" s="20" t="s">
        <v>34</v>
      </c>
      <c r="D53" s="20" t="s">
        <v>40</v>
      </c>
      <c r="E53" s="20" t="s">
        <v>370</v>
      </c>
      <c r="F53" s="20" t="s">
        <v>40</v>
      </c>
      <c r="G53" s="20">
        <v>3</v>
      </c>
      <c r="H53" s="20">
        <v>4</v>
      </c>
      <c r="I53" s="13">
        <v>0.78</v>
      </c>
      <c r="J53" s="20" t="s">
        <v>249</v>
      </c>
      <c r="K53" s="18">
        <v>0.24199999999999999</v>
      </c>
      <c r="L53" s="20" t="s">
        <v>249</v>
      </c>
      <c r="M53" s="20" t="s">
        <v>413</v>
      </c>
      <c r="N53" s="20" t="s">
        <v>40</v>
      </c>
      <c r="O53" s="20">
        <v>2</v>
      </c>
      <c r="P53" s="20">
        <v>4</v>
      </c>
      <c r="Q53" s="13">
        <v>0.63400000000000001</v>
      </c>
      <c r="R53" s="20" t="s">
        <v>249</v>
      </c>
      <c r="S53" s="20">
        <v>0.53</v>
      </c>
      <c r="T53" s="20" t="s">
        <v>249</v>
      </c>
      <c r="U53" s="20" t="s">
        <v>34</v>
      </c>
      <c r="V53" s="20">
        <v>3</v>
      </c>
      <c r="W53" s="20">
        <v>0</v>
      </c>
      <c r="X53" s="20" t="s">
        <v>379</v>
      </c>
      <c r="Y53" s="20" t="s">
        <v>292</v>
      </c>
      <c r="Z53" s="20" t="s">
        <v>359</v>
      </c>
      <c r="AA53" s="20" t="s">
        <v>380</v>
      </c>
    </row>
    <row r="54" spans="1:27" x14ac:dyDescent="0.2">
      <c r="A54" s="20" t="s">
        <v>223</v>
      </c>
      <c r="B54" s="20" t="s">
        <v>326</v>
      </c>
      <c r="C54" s="20" t="s">
        <v>36</v>
      </c>
      <c r="D54" s="20" t="s">
        <v>13</v>
      </c>
      <c r="E54" s="20" t="s">
        <v>373</v>
      </c>
      <c r="F54" s="20" t="s">
        <v>36</v>
      </c>
      <c r="G54" s="20">
        <v>5</v>
      </c>
      <c r="H54" s="20">
        <v>4</v>
      </c>
      <c r="I54" s="13">
        <v>0.60899999999999999</v>
      </c>
      <c r="J54" s="20" t="s">
        <v>249</v>
      </c>
      <c r="K54" s="18">
        <v>0.40400000000000003</v>
      </c>
      <c r="L54" s="20" t="s">
        <v>249</v>
      </c>
      <c r="M54" s="20" t="s">
        <v>414</v>
      </c>
      <c r="N54" s="20" t="s">
        <v>13</v>
      </c>
      <c r="O54" s="20">
        <v>2</v>
      </c>
      <c r="P54" s="20">
        <v>3</v>
      </c>
      <c r="Q54" s="13">
        <v>0.53200000000000003</v>
      </c>
      <c r="R54" s="20" t="s">
        <v>248</v>
      </c>
      <c r="S54" s="20">
        <v>0.09</v>
      </c>
      <c r="T54" s="20" t="s">
        <v>249</v>
      </c>
      <c r="U54" s="20" t="s">
        <v>60</v>
      </c>
      <c r="V54" s="20"/>
      <c r="W54" s="20"/>
      <c r="X54" s="20" t="s">
        <v>379</v>
      </c>
      <c r="Y54" s="20" t="s">
        <v>292</v>
      </c>
      <c r="Z54" s="20" t="s">
        <v>371</v>
      </c>
      <c r="AA54" s="20" t="s">
        <v>380</v>
      </c>
    </row>
    <row r="55" spans="1:27" x14ac:dyDescent="0.2">
      <c r="A55" s="20" t="s">
        <v>223</v>
      </c>
      <c r="B55" s="20" t="s">
        <v>328</v>
      </c>
      <c r="C55" s="20" t="s">
        <v>26</v>
      </c>
      <c r="D55" s="20" t="s">
        <v>24</v>
      </c>
      <c r="E55" s="20" t="s">
        <v>374</v>
      </c>
      <c r="F55" s="20" t="s">
        <v>24</v>
      </c>
      <c r="G55" s="20">
        <v>3</v>
      </c>
      <c r="H55" s="20">
        <v>4</v>
      </c>
      <c r="I55" s="13">
        <v>0.77800000000000002</v>
      </c>
      <c r="J55" s="20" t="s">
        <v>249</v>
      </c>
      <c r="K55" s="18">
        <v>0.39800000000000002</v>
      </c>
      <c r="L55" s="20" t="s">
        <v>249</v>
      </c>
      <c r="M55" s="20" t="s">
        <v>415</v>
      </c>
      <c r="N55" s="20" t="s">
        <v>24</v>
      </c>
      <c r="O55" s="20">
        <v>2</v>
      </c>
      <c r="P55" s="20">
        <v>4</v>
      </c>
      <c r="Q55" s="13">
        <v>0.71599999999999997</v>
      </c>
      <c r="R55" s="20" t="s">
        <v>249</v>
      </c>
      <c r="S55" s="20">
        <v>0.78</v>
      </c>
      <c r="T55" s="20" t="s">
        <v>249</v>
      </c>
      <c r="U55" s="20" t="s">
        <v>60</v>
      </c>
      <c r="V55" s="20"/>
      <c r="W55" s="20"/>
      <c r="X55" s="20" t="s">
        <v>379</v>
      </c>
      <c r="Y55" s="20" t="s">
        <v>292</v>
      </c>
      <c r="Z55" s="20" t="s">
        <v>371</v>
      </c>
      <c r="AA55" s="20" t="s">
        <v>380</v>
      </c>
    </row>
    <row r="56" spans="1:27" x14ac:dyDescent="0.2">
      <c r="A56" s="20" t="s">
        <v>223</v>
      </c>
      <c r="B56" s="20" t="s">
        <v>324</v>
      </c>
      <c r="C56" s="20" t="s">
        <v>11</v>
      </c>
      <c r="D56" s="20" t="s">
        <v>29</v>
      </c>
      <c r="E56" s="20" t="s">
        <v>375</v>
      </c>
      <c r="F56" s="20" t="s">
        <v>11</v>
      </c>
      <c r="G56" s="20">
        <v>5</v>
      </c>
      <c r="H56" s="20">
        <v>4</v>
      </c>
      <c r="I56" s="13">
        <v>0.50600000000000001</v>
      </c>
      <c r="J56" s="20" t="s">
        <v>249</v>
      </c>
      <c r="K56" s="18">
        <v>0.22700000000000001</v>
      </c>
      <c r="L56" s="20" t="s">
        <v>249</v>
      </c>
      <c r="M56" s="20" t="s">
        <v>416</v>
      </c>
      <c r="N56" s="20" t="s">
        <v>11</v>
      </c>
      <c r="O56" s="20">
        <v>4</v>
      </c>
      <c r="P56" s="20">
        <v>2</v>
      </c>
      <c r="Q56" s="13">
        <v>0.59099999999999997</v>
      </c>
      <c r="R56" s="20" t="s">
        <v>249</v>
      </c>
      <c r="S56" s="20">
        <v>-0.98</v>
      </c>
      <c r="T56" s="20" t="s">
        <v>249</v>
      </c>
      <c r="U56" s="20" t="s">
        <v>60</v>
      </c>
      <c r="V56" s="20"/>
      <c r="W56" s="20"/>
      <c r="X56" s="20" t="s">
        <v>379</v>
      </c>
      <c r="Y56" s="20" t="s">
        <v>292</v>
      </c>
      <c r="Z56" s="20" t="s">
        <v>371</v>
      </c>
      <c r="AA56" s="20" t="s">
        <v>380</v>
      </c>
    </row>
    <row r="57" spans="1:27" x14ac:dyDescent="0.2">
      <c r="A57" s="20" t="s">
        <v>223</v>
      </c>
      <c r="B57" s="20" t="s">
        <v>328</v>
      </c>
      <c r="C57" s="20" t="s">
        <v>35</v>
      </c>
      <c r="D57" s="20" t="s">
        <v>15</v>
      </c>
      <c r="E57" s="20" t="s">
        <v>376</v>
      </c>
      <c r="F57" s="20" t="s">
        <v>15</v>
      </c>
      <c r="G57" s="20">
        <v>3</v>
      </c>
      <c r="H57" s="20">
        <v>4</v>
      </c>
      <c r="I57" s="13">
        <v>0.63800000000000001</v>
      </c>
      <c r="J57" s="20" t="s">
        <v>249</v>
      </c>
      <c r="K57" s="18">
        <v>0.35499999999999998</v>
      </c>
      <c r="L57" s="20" t="s">
        <v>249</v>
      </c>
      <c r="M57" s="20" t="s">
        <v>417</v>
      </c>
      <c r="N57" s="20" t="s">
        <v>15</v>
      </c>
      <c r="O57" s="20">
        <v>2</v>
      </c>
      <c r="P57" s="20">
        <v>4</v>
      </c>
      <c r="Q57" s="13">
        <v>0.7</v>
      </c>
      <c r="R57" s="20" t="s">
        <v>249</v>
      </c>
      <c r="S57" s="20">
        <v>1.2</v>
      </c>
      <c r="T57" s="20" t="s">
        <v>249</v>
      </c>
      <c r="U57" s="20" t="s">
        <v>60</v>
      </c>
      <c r="V57" s="20"/>
      <c r="W57" s="20"/>
      <c r="X57" s="20" t="s">
        <v>379</v>
      </c>
      <c r="Y57" s="20" t="s">
        <v>292</v>
      </c>
      <c r="Z57" s="20" t="s">
        <v>371</v>
      </c>
      <c r="AA57" s="20" t="s">
        <v>380</v>
      </c>
    </row>
    <row r="58" spans="1:27" x14ac:dyDescent="0.2">
      <c r="A58" s="20" t="s">
        <v>223</v>
      </c>
      <c r="B58" s="20" t="s">
        <v>328</v>
      </c>
      <c r="C58" s="20" t="s">
        <v>27</v>
      </c>
      <c r="D58" s="20" t="s">
        <v>37</v>
      </c>
      <c r="E58" s="20" t="s">
        <v>377</v>
      </c>
      <c r="F58" s="20" t="s">
        <v>37</v>
      </c>
      <c r="G58" s="20">
        <v>2</v>
      </c>
      <c r="H58" s="20">
        <v>3</v>
      </c>
      <c r="I58" s="13">
        <v>0.71899999999999997</v>
      </c>
      <c r="J58" s="20" t="s">
        <v>248</v>
      </c>
      <c r="K58" s="18">
        <v>0.501</v>
      </c>
      <c r="L58" s="20" t="s">
        <v>249</v>
      </c>
      <c r="M58" s="20" t="s">
        <v>418</v>
      </c>
      <c r="N58" s="20" t="s">
        <v>37</v>
      </c>
      <c r="O58" s="20">
        <v>2</v>
      </c>
      <c r="P58" s="20">
        <v>4</v>
      </c>
      <c r="Q58" s="13">
        <v>0.627</v>
      </c>
      <c r="R58" s="20" t="s">
        <v>249</v>
      </c>
      <c r="S58" s="20">
        <v>0.63</v>
      </c>
      <c r="T58" s="20" t="s">
        <v>249</v>
      </c>
      <c r="U58" s="20" t="s">
        <v>60</v>
      </c>
      <c r="V58" s="20"/>
      <c r="W58" s="20"/>
      <c r="X58" s="20" t="s">
        <v>379</v>
      </c>
      <c r="Y58" s="20" t="s">
        <v>292</v>
      </c>
      <c r="Z58" s="20" t="s">
        <v>371</v>
      </c>
      <c r="AA58" s="20" t="s">
        <v>380</v>
      </c>
    </row>
    <row r="59" spans="1:27" x14ac:dyDescent="0.2">
      <c r="A59" s="20" t="s">
        <v>223</v>
      </c>
      <c r="B59" s="20" t="s">
        <v>326</v>
      </c>
      <c r="C59" s="20" t="s">
        <v>20</v>
      </c>
      <c r="D59" s="20" t="s">
        <v>55</v>
      </c>
      <c r="E59" s="20" t="s">
        <v>337</v>
      </c>
      <c r="F59" s="20" t="s">
        <v>55</v>
      </c>
      <c r="G59" s="20">
        <v>3</v>
      </c>
      <c r="H59" s="20">
        <v>4</v>
      </c>
      <c r="I59" s="13">
        <v>0.754</v>
      </c>
      <c r="J59" s="20" t="s">
        <v>249</v>
      </c>
      <c r="K59" s="18">
        <v>0.438</v>
      </c>
      <c r="L59" s="20" t="s">
        <v>249</v>
      </c>
      <c r="M59" s="20" t="s">
        <v>419</v>
      </c>
      <c r="N59" s="20" t="s">
        <v>20</v>
      </c>
      <c r="O59" s="20">
        <v>3</v>
      </c>
      <c r="P59" s="20">
        <v>2</v>
      </c>
      <c r="Q59" s="13">
        <v>0.46800000000000003</v>
      </c>
      <c r="R59" s="20" t="s">
        <v>248</v>
      </c>
      <c r="S59" s="20">
        <v>-0.28999999999999998</v>
      </c>
      <c r="T59" s="20" t="s">
        <v>249</v>
      </c>
      <c r="U59" s="20" t="s">
        <v>60</v>
      </c>
      <c r="V59" s="20"/>
      <c r="W59" s="20"/>
      <c r="X59" s="20" t="s">
        <v>379</v>
      </c>
      <c r="Y59" s="20" t="s">
        <v>292</v>
      </c>
      <c r="Z59" s="20" t="s">
        <v>371</v>
      </c>
      <c r="AA59" s="20" t="s">
        <v>380</v>
      </c>
    </row>
    <row r="60" spans="1:27" x14ac:dyDescent="0.2">
      <c r="A60" s="20" t="s">
        <v>223</v>
      </c>
      <c r="B60" s="20" t="s">
        <v>328</v>
      </c>
      <c r="C60" s="20" t="s">
        <v>28</v>
      </c>
      <c r="D60" s="20" t="s">
        <v>22</v>
      </c>
      <c r="E60" s="20" t="s">
        <v>378</v>
      </c>
      <c r="F60" s="20" t="s">
        <v>22</v>
      </c>
      <c r="G60" s="20">
        <v>3</v>
      </c>
      <c r="H60" s="20">
        <v>4</v>
      </c>
      <c r="I60" s="13">
        <v>0.59399999999999997</v>
      </c>
      <c r="J60" s="20" t="s">
        <v>249</v>
      </c>
      <c r="K60" s="18">
        <v>0.48699999999999999</v>
      </c>
      <c r="L60" s="20" t="s">
        <v>249</v>
      </c>
      <c r="M60" s="20" t="s">
        <v>420</v>
      </c>
      <c r="N60" s="20" t="s">
        <v>22</v>
      </c>
      <c r="O60" s="20">
        <v>2</v>
      </c>
      <c r="P60" s="20">
        <v>4</v>
      </c>
      <c r="Q60" s="13">
        <v>0.64500000000000002</v>
      </c>
      <c r="R60" s="20" t="s">
        <v>249</v>
      </c>
      <c r="S60" s="20">
        <v>0.8</v>
      </c>
      <c r="T60" s="20" t="s">
        <v>249</v>
      </c>
      <c r="U60" s="20" t="s">
        <v>60</v>
      </c>
      <c r="V60" s="20"/>
      <c r="W60" s="20"/>
      <c r="X60" s="20" t="s">
        <v>379</v>
      </c>
      <c r="Y60" s="20" t="s">
        <v>292</v>
      </c>
      <c r="Z60" s="20" t="s">
        <v>371</v>
      </c>
      <c r="AA60" s="20" t="s">
        <v>380</v>
      </c>
    </row>
    <row r="61" spans="1:27" x14ac:dyDescent="0.2">
      <c r="A61" s="20" t="s">
        <v>225</v>
      </c>
      <c r="B61" s="20" t="s">
        <v>322</v>
      </c>
      <c r="C61" s="20" t="s">
        <v>38</v>
      </c>
      <c r="D61" s="20" t="s">
        <v>31</v>
      </c>
      <c r="E61" s="20" t="s">
        <v>422</v>
      </c>
      <c r="F61" s="20" t="s">
        <v>31</v>
      </c>
      <c r="G61" s="20">
        <v>3</v>
      </c>
      <c r="H61" s="20">
        <v>5</v>
      </c>
      <c r="I61" s="13">
        <v>0.73499999999999999</v>
      </c>
      <c r="J61" s="20" t="s">
        <v>249</v>
      </c>
      <c r="K61" s="18">
        <v>0.44500000000000001</v>
      </c>
      <c r="L61" s="20" t="s">
        <v>60</v>
      </c>
      <c r="M61" s="20" t="s">
        <v>60</v>
      </c>
      <c r="N61" s="20" t="s">
        <v>31</v>
      </c>
      <c r="O61" s="20">
        <v>2</v>
      </c>
      <c r="P61" s="20">
        <v>5</v>
      </c>
      <c r="Q61" s="13">
        <v>0.84299999999999997</v>
      </c>
      <c r="R61" s="20" t="s">
        <v>249</v>
      </c>
      <c r="S61" s="20">
        <v>1.64</v>
      </c>
      <c r="T61" s="20" t="s">
        <v>60</v>
      </c>
      <c r="U61" s="20" t="s">
        <v>60</v>
      </c>
      <c r="V61" s="20"/>
      <c r="W61" s="20"/>
      <c r="X61" s="20" t="s">
        <v>60</v>
      </c>
      <c r="Y61" s="20" t="s">
        <v>421</v>
      </c>
      <c r="Z61" s="20" t="s">
        <v>439</v>
      </c>
      <c r="AA61" s="20" t="s">
        <v>60</v>
      </c>
    </row>
    <row r="62" spans="1:27" x14ac:dyDescent="0.2">
      <c r="A62" s="20" t="s">
        <v>225</v>
      </c>
      <c r="B62" s="20" t="s">
        <v>328</v>
      </c>
      <c r="C62" s="20" t="s">
        <v>15</v>
      </c>
      <c r="D62" s="20" t="s">
        <v>25</v>
      </c>
      <c r="E62" s="20" t="s">
        <v>423</v>
      </c>
      <c r="F62" s="20" t="s">
        <v>15</v>
      </c>
      <c r="G62" s="20">
        <v>5</v>
      </c>
      <c r="H62" s="20">
        <v>4</v>
      </c>
      <c r="I62" s="13">
        <v>0.54400000000000004</v>
      </c>
      <c r="J62" s="20" t="s">
        <v>249</v>
      </c>
      <c r="K62" s="18">
        <v>0.38300000000000001</v>
      </c>
      <c r="L62" s="20" t="s">
        <v>60</v>
      </c>
      <c r="M62" s="20" t="s">
        <v>60</v>
      </c>
      <c r="N62" s="20" t="s">
        <v>25</v>
      </c>
      <c r="O62" s="20">
        <v>2</v>
      </c>
      <c r="P62" s="20">
        <v>4</v>
      </c>
      <c r="Q62" s="13">
        <v>0.66</v>
      </c>
      <c r="R62" s="20" t="s">
        <v>249</v>
      </c>
      <c r="S62" s="20">
        <v>1.0900000000000001</v>
      </c>
      <c r="T62" s="20" t="s">
        <v>60</v>
      </c>
      <c r="U62" s="20" t="s">
        <v>60</v>
      </c>
      <c r="V62" s="20"/>
      <c r="W62" s="20"/>
      <c r="X62" s="20" t="s">
        <v>60</v>
      </c>
      <c r="Y62" s="20" t="s">
        <v>421</v>
      </c>
      <c r="Z62" s="20" t="s">
        <v>439</v>
      </c>
      <c r="AA62" s="20" t="s">
        <v>60</v>
      </c>
    </row>
    <row r="63" spans="1:27" x14ac:dyDescent="0.2">
      <c r="A63" s="20" t="s">
        <v>225</v>
      </c>
      <c r="B63" s="20" t="s">
        <v>328</v>
      </c>
      <c r="C63" s="20" t="s">
        <v>19</v>
      </c>
      <c r="D63" s="20" t="s">
        <v>28</v>
      </c>
      <c r="E63" s="20" t="s">
        <v>424</v>
      </c>
      <c r="F63" s="20" t="s">
        <v>28</v>
      </c>
      <c r="G63" s="20">
        <v>4</v>
      </c>
      <c r="H63" s="20">
        <v>5</v>
      </c>
      <c r="I63" s="13">
        <v>0.81299999999999994</v>
      </c>
      <c r="J63" s="20" t="s">
        <v>249</v>
      </c>
      <c r="K63" s="18">
        <v>0.442</v>
      </c>
      <c r="L63" s="20" t="s">
        <v>60</v>
      </c>
      <c r="M63" s="20" t="s">
        <v>60</v>
      </c>
      <c r="N63" s="20" t="s">
        <v>28</v>
      </c>
      <c r="O63" s="20">
        <v>2</v>
      </c>
      <c r="P63" s="20">
        <v>3</v>
      </c>
      <c r="Q63" s="13">
        <v>0.60199999999999998</v>
      </c>
      <c r="R63" s="20" t="s">
        <v>249</v>
      </c>
      <c r="S63" s="20">
        <v>0.4</v>
      </c>
      <c r="T63" s="20" t="s">
        <v>60</v>
      </c>
      <c r="U63" s="20" t="s">
        <v>60</v>
      </c>
      <c r="V63" s="20"/>
      <c r="W63" s="20"/>
      <c r="X63" s="20" t="s">
        <v>60</v>
      </c>
      <c r="Y63" s="20" t="s">
        <v>421</v>
      </c>
      <c r="Z63" s="20" t="s">
        <v>439</v>
      </c>
      <c r="AA63" s="20" t="s">
        <v>60</v>
      </c>
    </row>
    <row r="64" spans="1:27" x14ac:dyDescent="0.2">
      <c r="A64" s="20" t="s">
        <v>225</v>
      </c>
      <c r="B64" s="20" t="s">
        <v>425</v>
      </c>
      <c r="C64" s="20" t="s">
        <v>34</v>
      </c>
      <c r="D64" s="20" t="s">
        <v>10</v>
      </c>
      <c r="E64" s="20" t="s">
        <v>426</v>
      </c>
      <c r="F64" s="20" t="s">
        <v>34</v>
      </c>
      <c r="G64" s="20">
        <v>4</v>
      </c>
      <c r="H64" s="20">
        <v>3</v>
      </c>
      <c r="I64" s="13">
        <v>0.57699999999999996</v>
      </c>
      <c r="J64" s="20" t="s">
        <v>249</v>
      </c>
      <c r="K64" s="18">
        <v>0.313</v>
      </c>
      <c r="L64" s="20" t="s">
        <v>60</v>
      </c>
      <c r="M64" s="20" t="s">
        <v>60</v>
      </c>
      <c r="N64" s="20" t="s">
        <v>10</v>
      </c>
      <c r="O64" s="20">
        <v>2</v>
      </c>
      <c r="P64" s="20">
        <v>3</v>
      </c>
      <c r="Q64" s="13">
        <v>0.54800000000000004</v>
      </c>
      <c r="R64" s="20" t="s">
        <v>248</v>
      </c>
      <c r="S64" s="20">
        <v>0.2</v>
      </c>
      <c r="T64" s="20" t="s">
        <v>60</v>
      </c>
      <c r="U64" s="20" t="s">
        <v>60</v>
      </c>
      <c r="V64" s="20"/>
      <c r="W64" s="20"/>
      <c r="X64" s="20" t="s">
        <v>60</v>
      </c>
      <c r="Y64" s="20" t="s">
        <v>421</v>
      </c>
      <c r="Z64" s="20" t="s">
        <v>439</v>
      </c>
      <c r="AA64" s="20" t="s">
        <v>60</v>
      </c>
    </row>
    <row r="65" spans="1:27" x14ac:dyDescent="0.2">
      <c r="A65" s="20" t="s">
        <v>225</v>
      </c>
      <c r="B65" s="20" t="s">
        <v>326</v>
      </c>
      <c r="C65" s="20" t="s">
        <v>33</v>
      </c>
      <c r="D65" s="20" t="s">
        <v>12</v>
      </c>
      <c r="E65" s="20" t="s">
        <v>427</v>
      </c>
      <c r="F65" s="20" t="s">
        <v>12</v>
      </c>
      <c r="G65" s="20">
        <v>2</v>
      </c>
      <c r="H65" s="20">
        <v>4</v>
      </c>
      <c r="I65" s="13">
        <v>0.84299999999999997</v>
      </c>
      <c r="J65" s="20" t="s">
        <v>249</v>
      </c>
      <c r="K65" s="18">
        <v>0.34399999999999997</v>
      </c>
      <c r="L65" s="20" t="s">
        <v>60</v>
      </c>
      <c r="M65" s="20" t="s">
        <v>60</v>
      </c>
      <c r="N65" s="20" t="s">
        <v>12</v>
      </c>
      <c r="O65" s="20">
        <v>2</v>
      </c>
      <c r="P65" s="20">
        <v>5</v>
      </c>
      <c r="Q65" s="13">
        <v>0.90800000000000003</v>
      </c>
      <c r="R65" s="20" t="s">
        <v>249</v>
      </c>
      <c r="S65" s="20">
        <v>1.97</v>
      </c>
      <c r="T65" s="20" t="s">
        <v>60</v>
      </c>
      <c r="U65" s="20" t="s">
        <v>60</v>
      </c>
      <c r="V65" s="20"/>
      <c r="W65" s="20"/>
      <c r="X65" s="20" t="s">
        <v>60</v>
      </c>
      <c r="Y65" s="20" t="s">
        <v>421</v>
      </c>
      <c r="Z65" s="20" t="s">
        <v>439</v>
      </c>
      <c r="AA65" s="20" t="s">
        <v>60</v>
      </c>
    </row>
    <row r="66" spans="1:27" x14ac:dyDescent="0.2">
      <c r="A66" s="20" t="s">
        <v>225</v>
      </c>
      <c r="B66" s="20" t="s">
        <v>328</v>
      </c>
      <c r="C66" s="20" t="s">
        <v>29</v>
      </c>
      <c r="D66" s="20" t="s">
        <v>26</v>
      </c>
      <c r="E66" s="20" t="s">
        <v>428</v>
      </c>
      <c r="F66" s="20" t="s">
        <v>26</v>
      </c>
      <c r="G66" s="20">
        <v>3</v>
      </c>
      <c r="H66" s="20">
        <v>4</v>
      </c>
      <c r="I66" s="13">
        <v>0.89500000000000002</v>
      </c>
      <c r="J66" s="20" t="s">
        <v>249</v>
      </c>
      <c r="K66" s="18">
        <v>0.44</v>
      </c>
      <c r="L66" s="20" t="s">
        <v>60</v>
      </c>
      <c r="M66" s="20" t="s">
        <v>60</v>
      </c>
      <c r="N66" s="20" t="s">
        <v>26</v>
      </c>
      <c r="O66" s="20">
        <v>2</v>
      </c>
      <c r="P66" s="20">
        <v>4</v>
      </c>
      <c r="Q66" s="13">
        <v>0.73499999999999999</v>
      </c>
      <c r="R66" s="20" t="s">
        <v>249</v>
      </c>
      <c r="S66" s="20">
        <v>1.17</v>
      </c>
      <c r="T66" s="20" t="s">
        <v>60</v>
      </c>
      <c r="U66" s="20" t="s">
        <v>60</v>
      </c>
      <c r="V66" s="20"/>
      <c r="W66" s="20"/>
      <c r="X66" s="20" t="s">
        <v>60</v>
      </c>
      <c r="Y66" s="20" t="s">
        <v>421</v>
      </c>
      <c r="Z66" s="20" t="s">
        <v>439</v>
      </c>
      <c r="AA66" s="20" t="s">
        <v>60</v>
      </c>
    </row>
    <row r="67" spans="1:27" x14ac:dyDescent="0.2">
      <c r="A67" s="20" t="s">
        <v>225</v>
      </c>
      <c r="B67" s="20" t="s">
        <v>328</v>
      </c>
      <c r="C67" s="20" t="s">
        <v>27</v>
      </c>
      <c r="D67" s="20" t="s">
        <v>11</v>
      </c>
      <c r="E67" s="20" t="s">
        <v>429</v>
      </c>
      <c r="F67" s="20" t="s">
        <v>11</v>
      </c>
      <c r="G67" s="20">
        <v>3</v>
      </c>
      <c r="H67" s="20">
        <v>4</v>
      </c>
      <c r="I67" s="13">
        <v>0.78400000000000003</v>
      </c>
      <c r="J67" s="20" t="s">
        <v>248</v>
      </c>
      <c r="K67" s="18">
        <v>0.67900000000000005</v>
      </c>
      <c r="L67" s="20" t="s">
        <v>60</v>
      </c>
      <c r="M67" s="20" t="s">
        <v>60</v>
      </c>
      <c r="N67" s="20" t="s">
        <v>11</v>
      </c>
      <c r="O67" s="20">
        <v>2</v>
      </c>
      <c r="P67" s="20">
        <v>3</v>
      </c>
      <c r="Q67" s="13">
        <v>0.66</v>
      </c>
      <c r="R67" s="20" t="s">
        <v>249</v>
      </c>
      <c r="S67" s="20">
        <v>0.49</v>
      </c>
      <c r="T67" s="20" t="s">
        <v>60</v>
      </c>
      <c r="U67" s="20" t="s">
        <v>60</v>
      </c>
      <c r="V67" s="20"/>
      <c r="W67" s="20"/>
      <c r="X67" s="20" t="s">
        <v>60</v>
      </c>
      <c r="Y67" s="20" t="s">
        <v>421</v>
      </c>
      <c r="Z67" s="20" t="s">
        <v>439</v>
      </c>
      <c r="AA67" s="20" t="s">
        <v>60</v>
      </c>
    </row>
    <row r="68" spans="1:27" x14ac:dyDescent="0.2">
      <c r="A68" s="20" t="s">
        <v>225</v>
      </c>
      <c r="B68" s="20" t="s">
        <v>328</v>
      </c>
      <c r="C68" s="20" t="s">
        <v>35</v>
      </c>
      <c r="D68" s="20" t="s">
        <v>24</v>
      </c>
      <c r="E68" s="20" t="s">
        <v>430</v>
      </c>
      <c r="F68" s="20" t="s">
        <v>24</v>
      </c>
      <c r="G68" s="20">
        <v>3</v>
      </c>
      <c r="H68" s="20">
        <v>4</v>
      </c>
      <c r="I68" s="13">
        <v>0.872</v>
      </c>
      <c r="J68" s="20" t="s">
        <v>249</v>
      </c>
      <c r="K68" s="18">
        <v>0.25900000000000001</v>
      </c>
      <c r="L68" s="20" t="s">
        <v>60</v>
      </c>
      <c r="M68" s="20" t="s">
        <v>60</v>
      </c>
      <c r="N68" s="20" t="s">
        <v>24</v>
      </c>
      <c r="O68" s="20">
        <v>2</v>
      </c>
      <c r="P68" s="20">
        <v>5</v>
      </c>
      <c r="Q68" s="13">
        <v>0.90100000000000002</v>
      </c>
      <c r="R68" s="20" t="s">
        <v>249</v>
      </c>
      <c r="S68" s="20">
        <v>1.74</v>
      </c>
      <c r="T68" s="20" t="s">
        <v>60</v>
      </c>
      <c r="U68" s="20" t="s">
        <v>60</v>
      </c>
      <c r="V68" s="20"/>
      <c r="W68" s="20"/>
      <c r="X68" s="20" t="s">
        <v>60</v>
      </c>
      <c r="Y68" s="20" t="s">
        <v>421</v>
      </c>
      <c r="Z68" s="20" t="s">
        <v>439</v>
      </c>
      <c r="AA68" s="20" t="s">
        <v>60</v>
      </c>
    </row>
    <row r="69" spans="1:27" x14ac:dyDescent="0.2">
      <c r="A69" s="20" t="s">
        <v>225</v>
      </c>
      <c r="B69" s="20" t="s">
        <v>328</v>
      </c>
      <c r="C69" s="20" t="s">
        <v>21</v>
      </c>
      <c r="D69" s="20" t="s">
        <v>30</v>
      </c>
      <c r="E69" s="20" t="s">
        <v>431</v>
      </c>
      <c r="F69" s="20" t="s">
        <v>30</v>
      </c>
      <c r="G69" s="20">
        <v>2</v>
      </c>
      <c r="H69" s="20">
        <v>5</v>
      </c>
      <c r="I69" s="13">
        <v>0.85799999999999998</v>
      </c>
      <c r="J69" s="20" t="s">
        <v>249</v>
      </c>
      <c r="K69" s="18">
        <v>0.38900000000000001</v>
      </c>
      <c r="L69" s="20" t="s">
        <v>60</v>
      </c>
      <c r="M69" s="20" t="s">
        <v>60</v>
      </c>
      <c r="N69" s="20" t="s">
        <v>30</v>
      </c>
      <c r="O69" s="20">
        <v>2</v>
      </c>
      <c r="P69" s="20">
        <v>3</v>
      </c>
      <c r="Q69" s="13">
        <v>0.57999999999999996</v>
      </c>
      <c r="R69" s="20" t="s">
        <v>248</v>
      </c>
      <c r="S69" s="20">
        <v>0.28999999999999998</v>
      </c>
      <c r="T69" s="20" t="s">
        <v>60</v>
      </c>
      <c r="U69" s="20" t="s">
        <v>60</v>
      </c>
      <c r="V69" s="20"/>
      <c r="W69" s="20"/>
      <c r="X69" s="20" t="s">
        <v>60</v>
      </c>
      <c r="Y69" s="20" t="s">
        <v>421</v>
      </c>
      <c r="Z69" s="20" t="s">
        <v>439</v>
      </c>
      <c r="AA69" s="20" t="s">
        <v>60</v>
      </c>
    </row>
    <row r="70" spans="1:27" x14ac:dyDescent="0.2">
      <c r="A70" s="20" t="s">
        <v>225</v>
      </c>
      <c r="B70" s="20" t="s">
        <v>328</v>
      </c>
      <c r="C70" s="20" t="s">
        <v>23</v>
      </c>
      <c r="D70" s="20" t="s">
        <v>14</v>
      </c>
      <c r="E70" s="20" t="s">
        <v>432</v>
      </c>
      <c r="F70" s="20" t="s">
        <v>14</v>
      </c>
      <c r="G70" s="20">
        <v>3</v>
      </c>
      <c r="H70" s="20">
        <v>4</v>
      </c>
      <c r="I70" s="13">
        <v>0.76300000000000001</v>
      </c>
      <c r="J70" s="20" t="s">
        <v>249</v>
      </c>
      <c r="K70" s="18">
        <v>0.495</v>
      </c>
      <c r="L70" s="20" t="s">
        <v>60</v>
      </c>
      <c r="M70" s="20" t="s">
        <v>60</v>
      </c>
      <c r="N70" s="20" t="s">
        <v>14</v>
      </c>
      <c r="O70" s="20">
        <v>2</v>
      </c>
      <c r="P70" s="20">
        <v>3</v>
      </c>
      <c r="Q70" s="13">
        <v>0.60099999999999998</v>
      </c>
      <c r="R70" s="20" t="s">
        <v>249</v>
      </c>
      <c r="S70" s="20">
        <v>0.44</v>
      </c>
      <c r="T70" s="20" t="s">
        <v>60</v>
      </c>
      <c r="U70" s="20" t="s">
        <v>60</v>
      </c>
      <c r="V70" s="20"/>
      <c r="W70" s="20"/>
      <c r="X70" s="20" t="s">
        <v>60</v>
      </c>
      <c r="Y70" s="20" t="s">
        <v>421</v>
      </c>
      <c r="Z70" s="20" t="s">
        <v>439</v>
      </c>
      <c r="AA70" s="20" t="s">
        <v>60</v>
      </c>
    </row>
    <row r="71" spans="1:27" x14ac:dyDescent="0.2">
      <c r="A71" s="20" t="s">
        <v>225</v>
      </c>
      <c r="B71" s="20" t="s">
        <v>322</v>
      </c>
      <c r="C71" s="20" t="s">
        <v>39</v>
      </c>
      <c r="D71" s="20" t="s">
        <v>32</v>
      </c>
      <c r="E71" s="20" t="s">
        <v>433</v>
      </c>
      <c r="F71" s="20" t="s">
        <v>32</v>
      </c>
      <c r="G71" s="20">
        <v>4</v>
      </c>
      <c r="H71" s="20">
        <v>5</v>
      </c>
      <c r="I71" s="13">
        <v>0.60299999999999998</v>
      </c>
      <c r="J71" s="20" t="s">
        <v>249</v>
      </c>
      <c r="K71" s="18">
        <v>0.44900000000000001</v>
      </c>
      <c r="L71" s="20" t="s">
        <v>60</v>
      </c>
      <c r="M71" s="20" t="s">
        <v>60</v>
      </c>
      <c r="N71" s="20" t="s">
        <v>39</v>
      </c>
      <c r="O71" s="20">
        <v>3</v>
      </c>
      <c r="P71" s="20">
        <v>2</v>
      </c>
      <c r="Q71" s="13">
        <v>0.56799999999999995</v>
      </c>
      <c r="R71" s="20" t="s">
        <v>249</v>
      </c>
      <c r="S71" s="20">
        <v>-0.3</v>
      </c>
      <c r="T71" s="20" t="s">
        <v>60</v>
      </c>
      <c r="U71" s="20" t="s">
        <v>60</v>
      </c>
      <c r="V71" s="20"/>
      <c r="W71" s="20"/>
      <c r="X71" s="20" t="s">
        <v>60</v>
      </c>
      <c r="Y71" s="20" t="s">
        <v>421</v>
      </c>
      <c r="Z71" s="20" t="s">
        <v>439</v>
      </c>
      <c r="AA71" s="20" t="s">
        <v>60</v>
      </c>
    </row>
    <row r="72" spans="1:27" x14ac:dyDescent="0.2">
      <c r="A72" s="20" t="s">
        <v>225</v>
      </c>
      <c r="B72" s="20" t="s">
        <v>328</v>
      </c>
      <c r="C72" s="20" t="s">
        <v>16</v>
      </c>
      <c r="D72" s="20" t="s">
        <v>37</v>
      </c>
      <c r="E72" s="20" t="s">
        <v>434</v>
      </c>
      <c r="F72" s="20" t="s">
        <v>37</v>
      </c>
      <c r="G72" s="20">
        <v>2</v>
      </c>
      <c r="H72" s="20">
        <v>3</v>
      </c>
      <c r="I72" s="13">
        <v>0.86699999999999999</v>
      </c>
      <c r="J72" s="20" t="s">
        <v>248</v>
      </c>
      <c r="K72" s="18">
        <v>0.72199999999999998</v>
      </c>
      <c r="L72" s="20" t="s">
        <v>60</v>
      </c>
      <c r="M72" s="20" t="s">
        <v>60</v>
      </c>
      <c r="N72" s="20" t="s">
        <v>37</v>
      </c>
      <c r="O72" s="20">
        <v>2</v>
      </c>
      <c r="P72" s="20">
        <v>4</v>
      </c>
      <c r="Q72" s="13">
        <v>0.76200000000000001</v>
      </c>
      <c r="R72" s="20" t="s">
        <v>249</v>
      </c>
      <c r="S72" s="20">
        <v>1.46</v>
      </c>
      <c r="T72" s="20" t="s">
        <v>60</v>
      </c>
      <c r="U72" s="20" t="s">
        <v>60</v>
      </c>
      <c r="V72" s="20"/>
      <c r="W72" s="20"/>
      <c r="X72" s="20" t="s">
        <v>60</v>
      </c>
      <c r="Y72" s="20" t="s">
        <v>421</v>
      </c>
      <c r="Z72" s="20" t="s">
        <v>439</v>
      </c>
      <c r="AA72" s="20" t="s">
        <v>60</v>
      </c>
    </row>
    <row r="73" spans="1:27" x14ac:dyDescent="0.2">
      <c r="A73" s="20" t="s">
        <v>225</v>
      </c>
      <c r="B73" s="20" t="s">
        <v>435</v>
      </c>
      <c r="C73" s="20" t="s">
        <v>18</v>
      </c>
      <c r="D73" s="20" t="s">
        <v>55</v>
      </c>
      <c r="E73" s="20" t="s">
        <v>436</v>
      </c>
      <c r="F73" s="20" t="s">
        <v>55</v>
      </c>
      <c r="G73" s="20">
        <v>3</v>
      </c>
      <c r="H73" s="20">
        <v>4</v>
      </c>
      <c r="I73" s="13">
        <v>0.81100000000000005</v>
      </c>
      <c r="J73" s="20" t="s">
        <v>249</v>
      </c>
      <c r="K73" s="18">
        <v>0.45600000000000002</v>
      </c>
      <c r="L73" s="20" t="s">
        <v>60</v>
      </c>
      <c r="M73" s="20" t="s">
        <v>60</v>
      </c>
      <c r="N73" s="20" t="s">
        <v>55</v>
      </c>
      <c r="O73" s="20">
        <v>2</v>
      </c>
      <c r="P73" s="20">
        <v>4</v>
      </c>
      <c r="Q73" s="13">
        <v>0.66600000000000004</v>
      </c>
      <c r="R73" s="20" t="s">
        <v>249</v>
      </c>
      <c r="S73" s="20">
        <v>0.78</v>
      </c>
      <c r="T73" s="20" t="s">
        <v>60</v>
      </c>
      <c r="U73" s="20" t="s">
        <v>60</v>
      </c>
      <c r="V73" s="20"/>
      <c r="W73" s="20"/>
      <c r="X73" s="20" t="s">
        <v>60</v>
      </c>
      <c r="Y73" s="20" t="s">
        <v>421</v>
      </c>
      <c r="Z73" s="20" t="s">
        <v>439</v>
      </c>
      <c r="AA73" s="20" t="s">
        <v>60</v>
      </c>
    </row>
    <row r="74" spans="1:27" x14ac:dyDescent="0.2">
      <c r="A74" s="20" t="s">
        <v>225</v>
      </c>
      <c r="B74" s="20" t="s">
        <v>322</v>
      </c>
      <c r="C74" s="20" t="s">
        <v>36</v>
      </c>
      <c r="D74" s="20" t="s">
        <v>20</v>
      </c>
      <c r="E74" s="20" t="s">
        <v>437</v>
      </c>
      <c r="F74" s="20" t="s">
        <v>36</v>
      </c>
      <c r="G74" s="20">
        <v>4</v>
      </c>
      <c r="H74" s="20">
        <v>2</v>
      </c>
      <c r="I74" s="13">
        <v>0.64300000000000002</v>
      </c>
      <c r="J74" s="20" t="s">
        <v>249</v>
      </c>
      <c r="K74" s="18">
        <v>0.42599999999999999</v>
      </c>
      <c r="L74" s="20" t="s">
        <v>60</v>
      </c>
      <c r="M74" s="20" t="s">
        <v>60</v>
      </c>
      <c r="N74" s="20" t="s">
        <v>20</v>
      </c>
      <c r="O74" s="20">
        <v>2</v>
      </c>
      <c r="P74" s="20">
        <v>3</v>
      </c>
      <c r="Q74" s="13">
        <v>0.60499999999999998</v>
      </c>
      <c r="R74" s="20" t="s">
        <v>249</v>
      </c>
      <c r="S74" s="20">
        <v>0.47</v>
      </c>
      <c r="T74" s="20" t="s">
        <v>60</v>
      </c>
      <c r="U74" s="20" t="s">
        <v>60</v>
      </c>
      <c r="V74" s="20"/>
      <c r="W74" s="20"/>
      <c r="X74" s="20" t="s">
        <v>60</v>
      </c>
      <c r="Y74" s="20" t="s">
        <v>421</v>
      </c>
      <c r="Z74" s="20" t="s">
        <v>439</v>
      </c>
      <c r="AA74" s="20" t="s">
        <v>60</v>
      </c>
    </row>
    <row r="75" spans="1:27" x14ac:dyDescent="0.2">
      <c r="A75" s="20" t="s">
        <v>225</v>
      </c>
      <c r="B75" s="20" t="s">
        <v>328</v>
      </c>
      <c r="C75" s="20" t="s">
        <v>40</v>
      </c>
      <c r="D75" s="20" t="s">
        <v>22</v>
      </c>
      <c r="E75" s="20" t="s">
        <v>438</v>
      </c>
      <c r="F75" s="20" t="s">
        <v>22</v>
      </c>
      <c r="G75" s="20">
        <v>3</v>
      </c>
      <c r="H75" s="20">
        <v>4</v>
      </c>
      <c r="I75" s="13">
        <v>0.56299999999999994</v>
      </c>
      <c r="J75" s="20" t="s">
        <v>248</v>
      </c>
      <c r="K75" s="18">
        <v>0.53500000000000003</v>
      </c>
      <c r="L75" s="20" t="s">
        <v>60</v>
      </c>
      <c r="M75" s="20" t="s">
        <v>60</v>
      </c>
      <c r="N75" s="20" t="s">
        <v>22</v>
      </c>
      <c r="O75" s="20">
        <v>2</v>
      </c>
      <c r="P75" s="20">
        <v>3</v>
      </c>
      <c r="Q75" s="13">
        <v>0.53600000000000003</v>
      </c>
      <c r="R75" s="20" t="s">
        <v>249</v>
      </c>
      <c r="S75" s="20">
        <v>0.45</v>
      </c>
      <c r="T75" s="20" t="s">
        <v>60</v>
      </c>
      <c r="U75" s="20" t="s">
        <v>60</v>
      </c>
      <c r="V75" s="20"/>
      <c r="W75" s="20"/>
      <c r="X75" s="20" t="s">
        <v>60</v>
      </c>
      <c r="Y75" s="20" t="s">
        <v>421</v>
      </c>
      <c r="Z75" s="20" t="s">
        <v>439</v>
      </c>
      <c r="AA75" s="20" t="s">
        <v>60</v>
      </c>
    </row>
    <row r="76" spans="1:27" x14ac:dyDescent="0.2">
      <c r="A76" s="20" t="s">
        <v>226</v>
      </c>
      <c r="B76" s="20" t="s">
        <v>369</v>
      </c>
      <c r="C76" s="20" t="s">
        <v>13</v>
      </c>
      <c r="D76" s="20" t="s">
        <v>31</v>
      </c>
      <c r="E76" s="20" t="s">
        <v>440</v>
      </c>
      <c r="F76" s="20" t="s">
        <v>31</v>
      </c>
      <c r="G76" s="20">
        <v>3</v>
      </c>
      <c r="H76" s="20">
        <v>4</v>
      </c>
      <c r="I76" s="13">
        <v>0.748</v>
      </c>
      <c r="J76" s="20" t="s">
        <v>249</v>
      </c>
      <c r="K76" s="18">
        <v>0.36399999999999999</v>
      </c>
      <c r="L76" s="20" t="s">
        <v>60</v>
      </c>
      <c r="M76" s="20" t="s">
        <v>60</v>
      </c>
      <c r="N76" s="20" t="s">
        <v>31</v>
      </c>
      <c r="O76" s="20">
        <v>2</v>
      </c>
      <c r="P76" s="20">
        <v>4</v>
      </c>
      <c r="Q76" s="13">
        <v>0.61399999999999999</v>
      </c>
      <c r="R76" s="20" t="s">
        <v>249</v>
      </c>
      <c r="S76" s="20">
        <v>0.66</v>
      </c>
      <c r="T76" s="20" t="s">
        <v>60</v>
      </c>
      <c r="U76" s="20" t="s">
        <v>60</v>
      </c>
      <c r="V76" s="20"/>
      <c r="W76" s="20"/>
      <c r="X76" s="20" t="s">
        <v>60</v>
      </c>
      <c r="Y76" s="20" t="s">
        <v>421</v>
      </c>
      <c r="Z76" s="20" t="s">
        <v>441</v>
      </c>
      <c r="AA76" s="20" t="s">
        <v>60</v>
      </c>
    </row>
    <row r="77" spans="1:27" x14ac:dyDescent="0.2">
      <c r="A77" s="20" t="s">
        <v>226</v>
      </c>
      <c r="B77" s="20" t="s">
        <v>347</v>
      </c>
      <c r="C77" s="20" t="s">
        <v>15</v>
      </c>
      <c r="D77" s="20" t="s">
        <v>21</v>
      </c>
      <c r="E77" s="20" t="s">
        <v>442</v>
      </c>
      <c r="F77" s="20" t="s">
        <v>21</v>
      </c>
      <c r="G77" s="20">
        <v>2</v>
      </c>
      <c r="H77" s="20">
        <v>5</v>
      </c>
      <c r="I77" s="13">
        <v>0.66300000000000003</v>
      </c>
      <c r="J77" s="20" t="s">
        <v>249</v>
      </c>
      <c r="K77" s="18">
        <v>0.41599999999999998</v>
      </c>
      <c r="L77" s="20" t="s">
        <v>60</v>
      </c>
      <c r="M77" s="20" t="s">
        <v>60</v>
      </c>
      <c r="N77" s="20" t="s">
        <v>21</v>
      </c>
      <c r="O77" s="20">
        <v>2</v>
      </c>
      <c r="P77" s="20">
        <v>3</v>
      </c>
      <c r="Q77" s="13">
        <v>0.55900000000000005</v>
      </c>
      <c r="R77" s="20" t="s">
        <v>249</v>
      </c>
      <c r="S77" s="20">
        <v>0.46</v>
      </c>
      <c r="T77" s="20" t="s">
        <v>60</v>
      </c>
      <c r="U77" s="20" t="s">
        <v>60</v>
      </c>
      <c r="V77" s="20"/>
      <c r="W77" s="20"/>
      <c r="X77" s="20" t="s">
        <v>60</v>
      </c>
      <c r="Y77" s="20" t="s">
        <v>421</v>
      </c>
      <c r="Z77" s="20" t="s">
        <v>441</v>
      </c>
      <c r="AA77" s="20" t="s">
        <v>60</v>
      </c>
    </row>
    <row r="78" spans="1:27" x14ac:dyDescent="0.2">
      <c r="A78" s="20" t="s">
        <v>226</v>
      </c>
      <c r="B78" s="20" t="s">
        <v>369</v>
      </c>
      <c r="C78" s="20" t="s">
        <v>24</v>
      </c>
      <c r="D78" s="20" t="s">
        <v>23</v>
      </c>
      <c r="E78" s="20" t="s">
        <v>443</v>
      </c>
      <c r="F78" s="20" t="s">
        <v>24</v>
      </c>
      <c r="G78" s="20">
        <v>4</v>
      </c>
      <c r="H78" s="20">
        <v>3</v>
      </c>
      <c r="I78" s="13">
        <v>0.60199999999999998</v>
      </c>
      <c r="J78" s="20" t="s">
        <v>249</v>
      </c>
      <c r="K78" s="18">
        <v>0.48499999999999999</v>
      </c>
      <c r="L78" s="20" t="s">
        <v>60</v>
      </c>
      <c r="M78" s="20" t="s">
        <v>60</v>
      </c>
      <c r="N78" s="20" t="s">
        <v>24</v>
      </c>
      <c r="O78" s="20">
        <v>3</v>
      </c>
      <c r="P78" s="20">
        <v>2</v>
      </c>
      <c r="Q78" s="13">
        <v>0.501</v>
      </c>
      <c r="R78" s="20" t="s">
        <v>249</v>
      </c>
      <c r="S78" s="20">
        <v>-0.43</v>
      </c>
      <c r="T78" s="20" t="s">
        <v>60</v>
      </c>
      <c r="U78" s="20" t="s">
        <v>60</v>
      </c>
      <c r="V78" s="20"/>
      <c r="W78" s="20"/>
      <c r="X78" s="20" t="s">
        <v>60</v>
      </c>
      <c r="Y78" s="20" t="s">
        <v>421</v>
      </c>
      <c r="Z78" s="20" t="s">
        <v>441</v>
      </c>
      <c r="AA78" s="20" t="s">
        <v>60</v>
      </c>
    </row>
    <row r="79" spans="1:27" x14ac:dyDescent="0.2">
      <c r="A79" s="20" t="s">
        <v>226</v>
      </c>
      <c r="B79" s="20" t="s">
        <v>365</v>
      </c>
      <c r="C79" s="20" t="s">
        <v>40</v>
      </c>
      <c r="D79" s="20" t="s">
        <v>25</v>
      </c>
      <c r="E79" s="20" t="s">
        <v>444</v>
      </c>
      <c r="F79" s="20" t="s">
        <v>25</v>
      </c>
      <c r="G79" s="20">
        <v>3</v>
      </c>
      <c r="H79" s="20">
        <v>4</v>
      </c>
      <c r="I79" s="13">
        <v>0.64400000000000002</v>
      </c>
      <c r="J79" s="20" t="s">
        <v>248</v>
      </c>
      <c r="K79" s="18">
        <v>0.52600000000000002</v>
      </c>
      <c r="L79" s="20" t="s">
        <v>60</v>
      </c>
      <c r="M79" s="20" t="s">
        <v>60</v>
      </c>
      <c r="N79" s="20" t="s">
        <v>25</v>
      </c>
      <c r="O79" s="20">
        <v>2</v>
      </c>
      <c r="P79" s="20">
        <v>3</v>
      </c>
      <c r="Q79" s="13">
        <v>0.58699999999999997</v>
      </c>
      <c r="R79" s="20" t="s">
        <v>249</v>
      </c>
      <c r="S79" s="20">
        <v>0.5</v>
      </c>
      <c r="T79" s="20" t="s">
        <v>60</v>
      </c>
      <c r="U79" s="20" t="s">
        <v>60</v>
      </c>
      <c r="V79" s="20"/>
      <c r="W79" s="20"/>
      <c r="X79" s="20" t="s">
        <v>60</v>
      </c>
      <c r="Y79" s="20" t="s">
        <v>421</v>
      </c>
      <c r="Z79" s="20" t="s">
        <v>441</v>
      </c>
      <c r="AA79" s="20" t="s">
        <v>60</v>
      </c>
    </row>
    <row r="80" spans="1:27" x14ac:dyDescent="0.2">
      <c r="A80" s="20" t="s">
        <v>226</v>
      </c>
      <c r="B80" s="20" t="s">
        <v>328</v>
      </c>
      <c r="C80" s="20" t="s">
        <v>14</v>
      </c>
      <c r="D80" s="20" t="s">
        <v>28</v>
      </c>
      <c r="E80" s="20" t="s">
        <v>445</v>
      </c>
      <c r="F80" s="20" t="s">
        <v>14</v>
      </c>
      <c r="G80" s="20">
        <v>4</v>
      </c>
      <c r="H80" s="20">
        <v>3</v>
      </c>
      <c r="I80" s="13">
        <v>0.55700000000000005</v>
      </c>
      <c r="J80" s="20" t="s">
        <v>248</v>
      </c>
      <c r="K80" s="18">
        <v>0.51500000000000001</v>
      </c>
      <c r="L80" s="20" t="s">
        <v>60</v>
      </c>
      <c r="M80" s="20" t="s">
        <v>60</v>
      </c>
      <c r="N80" s="20" t="s">
        <v>14</v>
      </c>
      <c r="O80" s="20">
        <v>4</v>
      </c>
      <c r="P80" s="20">
        <v>2</v>
      </c>
      <c r="Q80" s="13">
        <v>0.52700000000000002</v>
      </c>
      <c r="R80" s="20" t="s">
        <v>249</v>
      </c>
      <c r="S80" s="20">
        <v>-0.53</v>
      </c>
      <c r="T80" s="20" t="s">
        <v>60</v>
      </c>
      <c r="U80" s="20" t="s">
        <v>60</v>
      </c>
      <c r="V80" s="20"/>
      <c r="W80" s="20"/>
      <c r="X80" s="20" t="s">
        <v>60</v>
      </c>
      <c r="Y80" s="20" t="s">
        <v>421</v>
      </c>
      <c r="Z80" s="20" t="s">
        <v>441</v>
      </c>
      <c r="AA80" s="20" t="s">
        <v>60</v>
      </c>
    </row>
    <row r="81" spans="1:27" x14ac:dyDescent="0.2">
      <c r="A81" s="20" t="s">
        <v>226</v>
      </c>
      <c r="B81" s="20" t="s">
        <v>324</v>
      </c>
      <c r="C81" s="20" t="s">
        <v>29</v>
      </c>
      <c r="D81" s="20" t="s">
        <v>10</v>
      </c>
      <c r="E81" s="20" t="s">
        <v>446</v>
      </c>
      <c r="F81" s="20" t="s">
        <v>10</v>
      </c>
      <c r="G81" s="20">
        <v>2</v>
      </c>
      <c r="H81" s="20">
        <v>4</v>
      </c>
      <c r="I81" s="13">
        <v>0.82499999999999996</v>
      </c>
      <c r="J81" s="20" t="s">
        <v>249</v>
      </c>
      <c r="K81" s="18">
        <v>0.28999999999999998</v>
      </c>
      <c r="L81" s="20" t="s">
        <v>60</v>
      </c>
      <c r="M81" s="20" t="s">
        <v>60</v>
      </c>
      <c r="N81" s="20" t="s">
        <v>10</v>
      </c>
      <c r="O81" s="20">
        <v>2</v>
      </c>
      <c r="P81" s="20">
        <v>4</v>
      </c>
      <c r="Q81" s="13">
        <v>0.71199999999999997</v>
      </c>
      <c r="R81" s="20" t="s">
        <v>249</v>
      </c>
      <c r="S81" s="20">
        <v>1.36</v>
      </c>
      <c r="T81" s="20" t="s">
        <v>60</v>
      </c>
      <c r="U81" s="20" t="s">
        <v>60</v>
      </c>
      <c r="V81" s="20"/>
      <c r="W81" s="20"/>
      <c r="X81" s="20" t="s">
        <v>60</v>
      </c>
      <c r="Y81" s="20" t="s">
        <v>421</v>
      </c>
      <c r="Z81" s="20" t="s">
        <v>441</v>
      </c>
      <c r="AA81" s="20" t="s">
        <v>60</v>
      </c>
    </row>
    <row r="82" spans="1:27" x14ac:dyDescent="0.2">
      <c r="A82" s="20" t="s">
        <v>226</v>
      </c>
      <c r="B82" s="20" t="s">
        <v>324</v>
      </c>
      <c r="C82" s="20" t="s">
        <v>55</v>
      </c>
      <c r="D82" s="20" t="s">
        <v>39</v>
      </c>
      <c r="E82" s="20" t="s">
        <v>447</v>
      </c>
      <c r="F82" s="20" t="s">
        <v>39</v>
      </c>
      <c r="G82" s="20">
        <v>3</v>
      </c>
      <c r="H82" s="20">
        <v>4</v>
      </c>
      <c r="I82" s="13">
        <v>0.85899999999999999</v>
      </c>
      <c r="J82" s="20" t="s">
        <v>249</v>
      </c>
      <c r="K82" s="18">
        <v>0.42599999999999999</v>
      </c>
      <c r="L82" s="20" t="s">
        <v>60</v>
      </c>
      <c r="M82" s="20" t="s">
        <v>60</v>
      </c>
      <c r="N82" s="20" t="s">
        <v>39</v>
      </c>
      <c r="O82" s="20">
        <v>2</v>
      </c>
      <c r="P82" s="20">
        <v>4</v>
      </c>
      <c r="Q82" s="13">
        <v>0.61</v>
      </c>
      <c r="R82" s="20" t="s">
        <v>249</v>
      </c>
      <c r="S82" s="20">
        <v>0.54</v>
      </c>
      <c r="T82" s="20" t="s">
        <v>60</v>
      </c>
      <c r="U82" s="20" t="s">
        <v>60</v>
      </c>
      <c r="V82" s="20"/>
      <c r="W82" s="20"/>
      <c r="X82" s="20" t="s">
        <v>60</v>
      </c>
      <c r="Y82" s="20" t="s">
        <v>421</v>
      </c>
      <c r="Z82" s="20" t="s">
        <v>441</v>
      </c>
      <c r="AA82" s="20" t="s">
        <v>60</v>
      </c>
    </row>
    <row r="83" spans="1:27" x14ac:dyDescent="0.2">
      <c r="A83" s="20" t="s">
        <v>226</v>
      </c>
      <c r="B83" s="20" t="s">
        <v>448</v>
      </c>
      <c r="C83" s="20" t="s">
        <v>37</v>
      </c>
      <c r="D83" s="20" t="s">
        <v>26</v>
      </c>
      <c r="E83" s="20" t="s">
        <v>449</v>
      </c>
      <c r="F83" s="20" t="s">
        <v>37</v>
      </c>
      <c r="G83" s="20">
        <v>4</v>
      </c>
      <c r="H83" s="20">
        <v>3</v>
      </c>
      <c r="I83" s="13">
        <v>0.68200000000000005</v>
      </c>
      <c r="J83" s="20" t="s">
        <v>249</v>
      </c>
      <c r="K83" s="18">
        <v>0.311</v>
      </c>
      <c r="L83" s="20" t="s">
        <v>60</v>
      </c>
      <c r="M83" s="20" t="s">
        <v>60</v>
      </c>
      <c r="N83" s="20" t="s">
        <v>37</v>
      </c>
      <c r="O83" s="20">
        <v>4</v>
      </c>
      <c r="P83" s="20">
        <v>2</v>
      </c>
      <c r="Q83" s="13">
        <v>0.64600000000000002</v>
      </c>
      <c r="R83" s="20" t="s">
        <v>249</v>
      </c>
      <c r="S83" s="20">
        <v>-1.06</v>
      </c>
      <c r="T83" s="20" t="s">
        <v>60</v>
      </c>
      <c r="U83" s="20" t="s">
        <v>60</v>
      </c>
      <c r="V83" s="20"/>
      <c r="W83" s="20"/>
      <c r="X83" s="20" t="s">
        <v>60</v>
      </c>
      <c r="Y83" s="20" t="s">
        <v>421</v>
      </c>
      <c r="Z83" s="20" t="s">
        <v>441</v>
      </c>
      <c r="AA83" s="20" t="s">
        <v>60</v>
      </c>
    </row>
    <row r="84" spans="1:27" x14ac:dyDescent="0.2">
      <c r="A84" s="20" t="s">
        <v>226</v>
      </c>
      <c r="B84" s="20" t="s">
        <v>369</v>
      </c>
      <c r="C84" s="20" t="s">
        <v>16</v>
      </c>
      <c r="D84" s="20" t="s">
        <v>11</v>
      </c>
      <c r="E84" s="20" t="s">
        <v>450</v>
      </c>
      <c r="F84" s="20" t="s">
        <v>11</v>
      </c>
      <c r="G84" s="20">
        <v>3</v>
      </c>
      <c r="H84" s="20">
        <v>4</v>
      </c>
      <c r="I84" s="13">
        <v>0.83899999999999997</v>
      </c>
      <c r="J84" s="20" t="s">
        <v>249</v>
      </c>
      <c r="K84" s="18">
        <v>0.47299999999999998</v>
      </c>
      <c r="L84" s="20" t="s">
        <v>60</v>
      </c>
      <c r="M84" s="20" t="s">
        <v>60</v>
      </c>
      <c r="N84" s="20" t="s">
        <v>11</v>
      </c>
      <c r="O84" s="20">
        <v>2</v>
      </c>
      <c r="P84" s="20">
        <v>4</v>
      </c>
      <c r="Q84" s="13">
        <v>0.7</v>
      </c>
      <c r="R84" s="20" t="s">
        <v>249</v>
      </c>
      <c r="S84" s="20">
        <v>1.01</v>
      </c>
      <c r="T84" s="20" t="s">
        <v>60</v>
      </c>
      <c r="U84" s="20" t="s">
        <v>60</v>
      </c>
      <c r="V84" s="20"/>
      <c r="W84" s="20"/>
      <c r="X84" s="20" t="s">
        <v>60</v>
      </c>
      <c r="Y84" s="20" t="s">
        <v>421</v>
      </c>
      <c r="Z84" s="20" t="s">
        <v>441</v>
      </c>
      <c r="AA84" s="20" t="s">
        <v>60</v>
      </c>
    </row>
    <row r="85" spans="1:27" x14ac:dyDescent="0.2">
      <c r="A85" s="20" t="s">
        <v>226</v>
      </c>
      <c r="B85" s="20" t="s">
        <v>352</v>
      </c>
      <c r="C85" s="20" t="s">
        <v>12</v>
      </c>
      <c r="D85" s="20" t="s">
        <v>34</v>
      </c>
      <c r="E85" s="20" t="s">
        <v>451</v>
      </c>
      <c r="F85" s="20" t="s">
        <v>12</v>
      </c>
      <c r="G85" s="20">
        <v>5</v>
      </c>
      <c r="H85" s="20">
        <v>4</v>
      </c>
      <c r="I85" s="13">
        <v>0.72299999999999998</v>
      </c>
      <c r="J85" s="20" t="s">
        <v>249</v>
      </c>
      <c r="K85" s="18">
        <v>0.371</v>
      </c>
      <c r="L85" s="20" t="s">
        <v>60</v>
      </c>
      <c r="M85" s="20" t="s">
        <v>60</v>
      </c>
      <c r="N85" s="20" t="s">
        <v>12</v>
      </c>
      <c r="O85" s="20">
        <v>5</v>
      </c>
      <c r="P85" s="20">
        <v>2</v>
      </c>
      <c r="Q85" s="13">
        <v>0.75900000000000001</v>
      </c>
      <c r="R85" s="20" t="s">
        <v>249</v>
      </c>
      <c r="S85" s="20">
        <v>-1.63</v>
      </c>
      <c r="T85" s="20" t="s">
        <v>60</v>
      </c>
      <c r="U85" s="20" t="s">
        <v>60</v>
      </c>
      <c r="V85" s="20"/>
      <c r="W85" s="20"/>
      <c r="X85" s="20" t="s">
        <v>60</v>
      </c>
      <c r="Y85" s="20" t="s">
        <v>421</v>
      </c>
      <c r="Z85" s="20" t="s">
        <v>441</v>
      </c>
      <c r="AA85" s="20" t="s">
        <v>60</v>
      </c>
    </row>
    <row r="86" spans="1:27" x14ac:dyDescent="0.2">
      <c r="A86" s="20" t="s">
        <v>226</v>
      </c>
      <c r="B86" s="20" t="s">
        <v>369</v>
      </c>
      <c r="C86" s="20" t="s">
        <v>27</v>
      </c>
      <c r="D86" s="20" t="s">
        <v>30</v>
      </c>
      <c r="E86" s="20" t="s">
        <v>452</v>
      </c>
      <c r="F86" s="20" t="s">
        <v>27</v>
      </c>
      <c r="G86" s="20">
        <v>4</v>
      </c>
      <c r="H86" s="20">
        <v>3</v>
      </c>
      <c r="I86" s="13">
        <v>0.53200000000000003</v>
      </c>
      <c r="J86" s="20" t="s">
        <v>249</v>
      </c>
      <c r="K86" s="18">
        <v>0.42499999999999999</v>
      </c>
      <c r="L86" s="20" t="s">
        <v>60</v>
      </c>
      <c r="M86" s="20" t="s">
        <v>60</v>
      </c>
      <c r="N86" s="20" t="s">
        <v>30</v>
      </c>
      <c r="O86" s="20">
        <v>2</v>
      </c>
      <c r="P86" s="20">
        <v>3</v>
      </c>
      <c r="Q86" s="13">
        <v>0.59199999999999997</v>
      </c>
      <c r="R86" s="20" t="s">
        <v>249</v>
      </c>
      <c r="S86" s="20">
        <v>0.41</v>
      </c>
      <c r="T86" s="20" t="s">
        <v>60</v>
      </c>
      <c r="U86" s="20" t="s">
        <v>60</v>
      </c>
      <c r="V86" s="20"/>
      <c r="W86" s="20"/>
      <c r="X86" s="20" t="s">
        <v>60</v>
      </c>
      <c r="Y86" s="20" t="s">
        <v>421</v>
      </c>
      <c r="Z86" s="20" t="s">
        <v>441</v>
      </c>
      <c r="AA86" s="20" t="s">
        <v>60</v>
      </c>
    </row>
    <row r="87" spans="1:27" x14ac:dyDescent="0.2">
      <c r="A87" s="20" t="s">
        <v>226</v>
      </c>
      <c r="B87" s="20" t="s">
        <v>369</v>
      </c>
      <c r="C87" s="20" t="s">
        <v>38</v>
      </c>
      <c r="D87" s="20" t="s">
        <v>33</v>
      </c>
      <c r="E87" s="20" t="s">
        <v>453</v>
      </c>
      <c r="F87" s="20" t="s">
        <v>33</v>
      </c>
      <c r="G87" s="20">
        <v>3</v>
      </c>
      <c r="H87" s="20">
        <v>4</v>
      </c>
      <c r="I87" s="13">
        <v>0.54800000000000004</v>
      </c>
      <c r="J87" s="20" t="s">
        <v>249</v>
      </c>
      <c r="K87" s="18">
        <v>0.36899999999999999</v>
      </c>
      <c r="L87" s="20" t="s">
        <v>60</v>
      </c>
      <c r="M87" s="20" t="s">
        <v>60</v>
      </c>
      <c r="N87" s="20" t="s">
        <v>33</v>
      </c>
      <c r="O87" s="20">
        <v>2</v>
      </c>
      <c r="P87" s="20">
        <v>4</v>
      </c>
      <c r="Q87" s="13">
        <v>0.57399999999999995</v>
      </c>
      <c r="R87" s="20" t="s">
        <v>249</v>
      </c>
      <c r="S87" s="20">
        <v>0.57999999999999996</v>
      </c>
      <c r="T87" s="20" t="s">
        <v>60</v>
      </c>
      <c r="U87" s="20" t="s">
        <v>60</v>
      </c>
      <c r="V87" s="20"/>
      <c r="W87" s="20"/>
      <c r="X87" s="20" t="s">
        <v>60</v>
      </c>
      <c r="Y87" s="20" t="s">
        <v>421</v>
      </c>
      <c r="Z87" s="20" t="s">
        <v>441</v>
      </c>
      <c r="AA87" s="20" t="s">
        <v>60</v>
      </c>
    </row>
    <row r="88" spans="1:27" x14ac:dyDescent="0.2">
      <c r="A88" s="20" t="s">
        <v>226</v>
      </c>
      <c r="B88" s="20" t="s">
        <v>369</v>
      </c>
      <c r="C88" s="20" t="s">
        <v>36</v>
      </c>
      <c r="D88" s="20" t="s">
        <v>35</v>
      </c>
      <c r="E88" s="20" t="s">
        <v>454</v>
      </c>
      <c r="F88" s="20" t="s">
        <v>36</v>
      </c>
      <c r="G88" s="20">
        <v>5</v>
      </c>
      <c r="H88" s="20">
        <v>4</v>
      </c>
      <c r="I88" s="13">
        <v>0.80500000000000005</v>
      </c>
      <c r="J88" s="20" t="s">
        <v>249</v>
      </c>
      <c r="K88" s="18">
        <v>0.46300000000000002</v>
      </c>
      <c r="L88" s="20" t="s">
        <v>60</v>
      </c>
      <c r="M88" s="20" t="s">
        <v>60</v>
      </c>
      <c r="N88" s="20" t="s">
        <v>36</v>
      </c>
      <c r="O88" s="20">
        <v>4</v>
      </c>
      <c r="P88" s="20">
        <v>2</v>
      </c>
      <c r="Q88" s="13">
        <v>0.626</v>
      </c>
      <c r="R88" s="20" t="s">
        <v>249</v>
      </c>
      <c r="S88" s="20">
        <v>-1.1499999999999999</v>
      </c>
      <c r="T88" s="20" t="s">
        <v>60</v>
      </c>
      <c r="U88" s="20" t="s">
        <v>60</v>
      </c>
      <c r="V88" s="20"/>
      <c r="W88" s="20"/>
      <c r="X88" s="20" t="s">
        <v>60</v>
      </c>
      <c r="Y88" s="20" t="s">
        <v>421</v>
      </c>
      <c r="Z88" s="20" t="s">
        <v>441</v>
      </c>
      <c r="AA88" s="20" t="s">
        <v>60</v>
      </c>
    </row>
    <row r="89" spans="1:27" x14ac:dyDescent="0.2">
      <c r="A89" s="20" t="s">
        <v>226</v>
      </c>
      <c r="B89" s="20" t="s">
        <v>369</v>
      </c>
      <c r="C89" s="20" t="s">
        <v>18</v>
      </c>
      <c r="D89" s="20" t="s">
        <v>20</v>
      </c>
      <c r="E89" s="20" t="s">
        <v>455</v>
      </c>
      <c r="F89" s="20" t="s">
        <v>18</v>
      </c>
      <c r="G89" s="20">
        <v>4</v>
      </c>
      <c r="H89" s="20">
        <v>3</v>
      </c>
      <c r="I89" s="13">
        <v>0.70499999999999996</v>
      </c>
      <c r="J89" s="20" t="s">
        <v>249</v>
      </c>
      <c r="K89" s="18">
        <v>0.44800000000000001</v>
      </c>
      <c r="L89" s="20" t="s">
        <v>60</v>
      </c>
      <c r="M89" s="20" t="s">
        <v>60</v>
      </c>
      <c r="N89" s="20" t="s">
        <v>20</v>
      </c>
      <c r="O89" s="20">
        <v>2</v>
      </c>
      <c r="P89" s="20">
        <v>4</v>
      </c>
      <c r="Q89" s="13">
        <v>0.55400000000000005</v>
      </c>
      <c r="R89" s="20" t="s">
        <v>249</v>
      </c>
      <c r="S89" s="20">
        <v>0.63</v>
      </c>
      <c r="T89" s="20" t="s">
        <v>60</v>
      </c>
      <c r="U89" s="20" t="s">
        <v>60</v>
      </c>
      <c r="V89" s="20"/>
      <c r="W89" s="20"/>
      <c r="X89" s="20" t="s">
        <v>60</v>
      </c>
      <c r="Y89" s="20" t="s">
        <v>421</v>
      </c>
      <c r="Z89" s="20" t="s">
        <v>441</v>
      </c>
      <c r="AA89" s="20" t="s">
        <v>60</v>
      </c>
    </row>
    <row r="90" spans="1:27" x14ac:dyDescent="0.2">
      <c r="A90" s="20" t="s">
        <v>226</v>
      </c>
      <c r="B90" s="20" t="s">
        <v>365</v>
      </c>
      <c r="C90" s="20" t="s">
        <v>19</v>
      </c>
      <c r="D90" s="20" t="s">
        <v>22</v>
      </c>
      <c r="E90" s="20" t="s">
        <v>456</v>
      </c>
      <c r="F90" s="20" t="s">
        <v>22</v>
      </c>
      <c r="G90" s="20">
        <v>3</v>
      </c>
      <c r="H90" s="20">
        <v>4</v>
      </c>
      <c r="I90" s="13">
        <v>0.80500000000000005</v>
      </c>
      <c r="J90" s="20" t="s">
        <v>249</v>
      </c>
      <c r="K90" s="18">
        <v>0.29899999999999999</v>
      </c>
      <c r="L90" s="20" t="s">
        <v>60</v>
      </c>
      <c r="M90" s="20" t="s">
        <v>60</v>
      </c>
      <c r="N90" s="20" t="s">
        <v>22</v>
      </c>
      <c r="O90" s="20">
        <v>2</v>
      </c>
      <c r="P90" s="20">
        <v>4</v>
      </c>
      <c r="Q90" s="13">
        <v>0.71199999999999997</v>
      </c>
      <c r="R90" s="20" t="s">
        <v>249</v>
      </c>
      <c r="S90" s="20">
        <v>1.25</v>
      </c>
      <c r="T90" s="20" t="s">
        <v>60</v>
      </c>
      <c r="U90" s="20" t="s">
        <v>60</v>
      </c>
      <c r="V90" s="20"/>
      <c r="W90" s="20"/>
      <c r="X90" s="20" t="s">
        <v>60</v>
      </c>
      <c r="Y90" s="20" t="s">
        <v>421</v>
      </c>
      <c r="Z90" s="20" t="s">
        <v>441</v>
      </c>
      <c r="AA90" s="20" t="s">
        <v>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2025-11-28T18:13:57Z</dcterms:modified>
</cp:coreProperties>
</file>