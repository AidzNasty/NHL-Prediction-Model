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555" documentId="14_{BC0C37BD-5950-BD49-823D-87212FE79B51}" xr6:coauthVersionLast="47" xr6:coauthVersionMax="47" xr10:uidLastSave="{77CA5E75-0110-244D-8C5F-B83BE30C331C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8" r:id="rId5"/>
  </sheets>
  <definedNames>
    <definedName name="ExternalData_1" localSheetId="4" hidden="1">'ML Prediction Model'!$A$1:$R$15</definedName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1" r:id="rId6"/>
    <pivotCache cacheId="7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5" i="4" l="1"/>
  <c r="J314" i="4"/>
  <c r="J313" i="4"/>
  <c r="J312" i="4"/>
  <c r="J311" i="4"/>
  <c r="J310" i="4"/>
  <c r="J309" i="4"/>
  <c r="J308" i="4"/>
  <c r="E312" i="1"/>
  <c r="E310" i="1"/>
  <c r="E309" i="1"/>
  <c r="E308" i="1"/>
  <c r="H308" i="1" s="1"/>
  <c r="E307" i="1"/>
  <c r="G307" i="1"/>
  <c r="H307" i="1" s="1"/>
  <c r="I307" i="1"/>
  <c r="G308" i="1"/>
  <c r="I308" i="1"/>
  <c r="G309" i="1"/>
  <c r="H309" i="1" s="1"/>
  <c r="I309" i="1"/>
  <c r="G310" i="1"/>
  <c r="H310" i="1"/>
  <c r="I310" i="1"/>
  <c r="J310" i="1" s="1"/>
  <c r="G311" i="1"/>
  <c r="H311" i="1" s="1"/>
  <c r="I311" i="1"/>
  <c r="G312" i="1"/>
  <c r="I312" i="1"/>
  <c r="E311" i="1"/>
  <c r="H312" i="1"/>
  <c r="V8" i="4"/>
  <c r="V4" i="4"/>
  <c r="V3" i="4"/>
  <c r="J307" i="1" l="1"/>
  <c r="J311" i="1"/>
  <c r="J312" i="1"/>
  <c r="J308" i="1"/>
  <c r="J309" i="1"/>
  <c r="V5" i="4"/>
  <c r="V6" i="4" s="1"/>
  <c r="P3" i="5" l="1"/>
  <c r="P2" i="5"/>
  <c r="O3" i="5"/>
  <c r="O2" i="5"/>
  <c r="G303" i="4"/>
  <c r="I303" i="4"/>
  <c r="I306" i="1"/>
  <c r="I305" i="1"/>
  <c r="I304" i="1"/>
  <c r="I303" i="1"/>
  <c r="I302" i="1"/>
  <c r="H303" i="1"/>
  <c r="G306" i="1"/>
  <c r="H306" i="1" s="1"/>
  <c r="G305" i="1"/>
  <c r="G304" i="1"/>
  <c r="G303" i="1"/>
  <c r="G302" i="1"/>
  <c r="H302" i="1" s="1"/>
  <c r="E303" i="1"/>
  <c r="E302" i="1"/>
  <c r="E304" i="1"/>
  <c r="E305" i="1"/>
  <c r="E306" i="1"/>
  <c r="H305" i="1" l="1"/>
  <c r="H304" i="1"/>
  <c r="J306" i="1"/>
  <c r="J305" i="1"/>
  <c r="J302" i="1"/>
  <c r="J303" i="1"/>
  <c r="J304" i="1"/>
  <c r="G291" i="1" l="1"/>
  <c r="G289" i="1"/>
  <c r="E301" i="1"/>
  <c r="E300" i="1"/>
  <c r="E299" i="1"/>
  <c r="H299" i="1" s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H296" i="1" s="1"/>
  <c r="I296" i="1"/>
  <c r="G297" i="1"/>
  <c r="H297" i="1" s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H286" i="1" s="1"/>
  <c r="G285" i="1"/>
  <c r="H285" i="1" s="1"/>
  <c r="G284" i="1"/>
  <c r="E288" i="1"/>
  <c r="E287" i="1"/>
  <c r="E286" i="1"/>
  <c r="E285" i="1"/>
  <c r="H293" i="1" l="1"/>
  <c r="H301" i="1"/>
  <c r="H298" i="1"/>
  <c r="H290" i="1"/>
  <c r="H295" i="1"/>
  <c r="J295" i="1" s="1"/>
  <c r="J289" i="1"/>
  <c r="J292" i="1"/>
  <c r="J293" i="1"/>
  <c r="J299" i="1"/>
  <c r="J296" i="1"/>
  <c r="J294" i="1"/>
  <c r="J298" i="1"/>
  <c r="J291" i="1"/>
  <c r="J297" i="1"/>
  <c r="J290" i="1"/>
  <c r="J301" i="1"/>
  <c r="J300" i="1"/>
  <c r="H287" i="1"/>
  <c r="H288" i="1"/>
  <c r="J288" i="1"/>
  <c r="J285" i="1"/>
  <c r="J287" i="1"/>
  <c r="J286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6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H180" i="1" s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H122" i="1" s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H107" i="1" s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H96" i="1" s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M8" i="5" s="1"/>
  <c r="G9" i="5"/>
  <c r="G10" i="5"/>
  <c r="G11" i="5"/>
  <c r="G12" i="5"/>
  <c r="G13" i="5"/>
  <c r="M13" i="5" s="1"/>
  <c r="G14" i="5"/>
  <c r="G15" i="5"/>
  <c r="G16" i="5"/>
  <c r="G17" i="5"/>
  <c r="G18" i="5"/>
  <c r="G19" i="5"/>
  <c r="G21" i="5"/>
  <c r="G22" i="5"/>
  <c r="G23" i="5"/>
  <c r="M23" i="5" s="1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B2" i="5" s="1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M16" i="5"/>
  <c r="N32" i="5"/>
  <c r="N24" i="5"/>
  <c r="N16" i="5"/>
  <c r="N8" i="5"/>
  <c r="M32" i="5"/>
  <c r="H130" i="1"/>
  <c r="H131" i="1"/>
  <c r="H124" i="1"/>
  <c r="H126" i="1"/>
  <c r="H119" i="1"/>
  <c r="H87" i="1"/>
  <c r="H113" i="1"/>
  <c r="H118" i="1"/>
  <c r="H90" i="1"/>
  <c r="H110" i="1"/>
  <c r="H123" i="1"/>
  <c r="H116" i="1"/>
  <c r="H125" i="1"/>
  <c r="H121" i="1"/>
  <c r="H127" i="1"/>
  <c r="H117" i="1"/>
  <c r="H102" i="1"/>
  <c r="H109" i="1"/>
  <c r="H105" i="1"/>
  <c r="H115" i="1"/>
  <c r="H111" i="1"/>
  <c r="H101" i="1"/>
  <c r="H97" i="1"/>
  <c r="H89" i="1"/>
  <c r="H95" i="1"/>
  <c r="H91" i="1"/>
  <c r="H75" i="1"/>
  <c r="H67" i="1"/>
  <c r="H85" i="1"/>
  <c r="H84" i="1"/>
  <c r="H76" i="1"/>
  <c r="H68" i="1"/>
  <c r="H88" i="1"/>
  <c r="H94" i="1"/>
  <c r="H83" i="1"/>
  <c r="H79" i="1"/>
  <c r="H71" i="1"/>
  <c r="H78" i="1"/>
  <c r="H92" i="1"/>
  <c r="H82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K308" i="4" l="1"/>
  <c r="J9" i="4"/>
  <c r="J17" i="4"/>
  <c r="L17" i="4" s="1"/>
  <c r="J25" i="4"/>
  <c r="J33" i="4"/>
  <c r="L33" i="4" s="1"/>
  <c r="J41" i="4"/>
  <c r="J49" i="4"/>
  <c r="K49" i="4" s="1"/>
  <c r="M49" i="4" s="1"/>
  <c r="J57" i="4"/>
  <c r="L57" i="4" s="1"/>
  <c r="J65" i="4"/>
  <c r="J73" i="4"/>
  <c r="J81" i="4"/>
  <c r="K81" i="4" s="1"/>
  <c r="M81" i="4" s="1"/>
  <c r="J89" i="4"/>
  <c r="J97" i="4"/>
  <c r="L97" i="4" s="1"/>
  <c r="J105" i="4"/>
  <c r="J113" i="4"/>
  <c r="J121" i="4"/>
  <c r="J129" i="4"/>
  <c r="J137" i="4"/>
  <c r="L137" i="4" s="1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L225" i="4" s="1"/>
  <c r="J233" i="4"/>
  <c r="J241" i="4"/>
  <c r="Q241" i="4" s="1"/>
  <c r="J249" i="4"/>
  <c r="J257" i="4"/>
  <c r="J265" i="4"/>
  <c r="L265" i="4" s="1"/>
  <c r="J273" i="4"/>
  <c r="L273" i="4" s="1"/>
  <c r="J281" i="4"/>
  <c r="J289" i="4"/>
  <c r="J297" i="4"/>
  <c r="L297" i="4" s="1"/>
  <c r="J306" i="4"/>
  <c r="K306" i="4" s="1"/>
  <c r="M306" i="4" s="1"/>
  <c r="K315" i="4"/>
  <c r="M315" i="4" s="1"/>
  <c r="N315" i="4" s="1"/>
  <c r="J323" i="4"/>
  <c r="J331" i="4"/>
  <c r="J339" i="4"/>
  <c r="K339" i="4" s="1"/>
  <c r="M339" i="4" s="1"/>
  <c r="N339" i="4" s="1"/>
  <c r="J347" i="4"/>
  <c r="J355" i="4"/>
  <c r="L355" i="4" s="1"/>
  <c r="J363" i="4"/>
  <c r="L363" i="4" s="1"/>
  <c r="J371" i="4"/>
  <c r="L371" i="4" s="1"/>
  <c r="J379" i="4"/>
  <c r="L379" i="4" s="1"/>
  <c r="J387" i="4"/>
  <c r="J395" i="4"/>
  <c r="J403" i="4"/>
  <c r="J411" i="4"/>
  <c r="J419" i="4"/>
  <c r="L419" i="4" s="1"/>
  <c r="J427" i="4"/>
  <c r="L427" i="4" s="1"/>
  <c r="J435" i="4"/>
  <c r="L435" i="4" s="1"/>
  <c r="J443" i="4"/>
  <c r="L443" i="4" s="1"/>
  <c r="J451" i="4"/>
  <c r="J459" i="4"/>
  <c r="J467" i="4"/>
  <c r="L467" i="4" s="1"/>
  <c r="J475" i="4"/>
  <c r="J483" i="4"/>
  <c r="L483" i="4" s="1"/>
  <c r="J491" i="4"/>
  <c r="J499" i="4"/>
  <c r="J507" i="4"/>
  <c r="L507" i="4" s="1"/>
  <c r="J515" i="4"/>
  <c r="J523" i="4"/>
  <c r="J531" i="4"/>
  <c r="L531" i="4" s="1"/>
  <c r="J539" i="4"/>
  <c r="L539" i="4" s="1"/>
  <c r="J547" i="4"/>
  <c r="L547" i="4" s="1"/>
  <c r="J555" i="4"/>
  <c r="K555" i="4" s="1"/>
  <c r="M555" i="4" s="1"/>
  <c r="N555" i="4" s="1"/>
  <c r="J563" i="4"/>
  <c r="J571" i="4"/>
  <c r="J579" i="4"/>
  <c r="J587" i="4"/>
  <c r="L587" i="4" s="1"/>
  <c r="J595" i="4"/>
  <c r="J603" i="4"/>
  <c r="K603" i="4" s="1"/>
  <c r="M603" i="4" s="1"/>
  <c r="N603" i="4" s="1"/>
  <c r="J611" i="4"/>
  <c r="J619" i="4"/>
  <c r="J2" i="4"/>
  <c r="L2" i="4" s="1"/>
  <c r="J10" i="4"/>
  <c r="J18" i="4"/>
  <c r="J26" i="4"/>
  <c r="J34" i="4"/>
  <c r="L34" i="4" s="1"/>
  <c r="J42" i="4"/>
  <c r="K42" i="4" s="1"/>
  <c r="M42" i="4" s="1"/>
  <c r="J50" i="4"/>
  <c r="J58" i="4"/>
  <c r="L58" i="4" s="1"/>
  <c r="J66" i="4"/>
  <c r="L66" i="4" s="1"/>
  <c r="J74" i="4"/>
  <c r="L74" i="4" s="1"/>
  <c r="J82" i="4"/>
  <c r="J90" i="4"/>
  <c r="J98" i="4"/>
  <c r="J106" i="4"/>
  <c r="L106" i="4" s="1"/>
  <c r="J114" i="4"/>
  <c r="L114" i="4" s="1"/>
  <c r="J122" i="4"/>
  <c r="L122" i="4" s="1"/>
  <c r="J130" i="4"/>
  <c r="J138" i="4"/>
  <c r="L138" i="4" s="1"/>
  <c r="J146" i="4"/>
  <c r="J154" i="4"/>
  <c r="J162" i="4"/>
  <c r="J170" i="4"/>
  <c r="J178" i="4"/>
  <c r="K178" i="4" s="1"/>
  <c r="M178" i="4" s="1"/>
  <c r="J186" i="4"/>
  <c r="L186" i="4" s="1"/>
  <c r="J194" i="4"/>
  <c r="J202" i="4"/>
  <c r="J210" i="4"/>
  <c r="J218" i="4"/>
  <c r="J226" i="4"/>
  <c r="L226" i="4" s="1"/>
  <c r="J234" i="4"/>
  <c r="Q234" i="4" s="1"/>
  <c r="J242" i="4"/>
  <c r="J250" i="4"/>
  <c r="J258" i="4"/>
  <c r="J266" i="4"/>
  <c r="K266" i="4" s="1"/>
  <c r="M266" i="4" s="1"/>
  <c r="J274" i="4"/>
  <c r="J282" i="4"/>
  <c r="J290" i="4"/>
  <c r="J298" i="4"/>
  <c r="L298" i="4" s="1"/>
  <c r="J307" i="4"/>
  <c r="K307" i="4" s="1"/>
  <c r="M307" i="4" s="1"/>
  <c r="J316" i="4"/>
  <c r="J324" i="4"/>
  <c r="K324" i="4" s="1"/>
  <c r="M324" i="4" s="1"/>
  <c r="N324" i="4" s="1"/>
  <c r="J332" i="4"/>
  <c r="J340" i="4"/>
  <c r="J348" i="4"/>
  <c r="L348" i="4" s="1"/>
  <c r="J356" i="4"/>
  <c r="L356" i="4" s="1"/>
  <c r="J364" i="4"/>
  <c r="L364" i="4" s="1"/>
  <c r="J372" i="4"/>
  <c r="L372" i="4" s="1"/>
  <c r="J380" i="4"/>
  <c r="J388" i="4"/>
  <c r="L388" i="4" s="1"/>
  <c r="J396" i="4"/>
  <c r="L396" i="4" s="1"/>
  <c r="J404" i="4"/>
  <c r="J412" i="4"/>
  <c r="J420" i="4"/>
  <c r="L420" i="4" s="1"/>
  <c r="J428" i="4"/>
  <c r="J436" i="4"/>
  <c r="K436" i="4" s="1"/>
  <c r="M436" i="4" s="1"/>
  <c r="N436" i="4" s="1"/>
  <c r="J444" i="4"/>
  <c r="K444" i="4" s="1"/>
  <c r="M444" i="4" s="1"/>
  <c r="N444" i="4" s="1"/>
  <c r="J452" i="4"/>
  <c r="J460" i="4"/>
  <c r="J468" i="4"/>
  <c r="J476" i="4"/>
  <c r="J484" i="4"/>
  <c r="J492" i="4"/>
  <c r="J500" i="4"/>
  <c r="L500" i="4" s="1"/>
  <c r="J508" i="4"/>
  <c r="J516" i="4"/>
  <c r="L516" i="4" s="1"/>
  <c r="J524" i="4"/>
  <c r="J532" i="4"/>
  <c r="J540" i="4"/>
  <c r="J548" i="4"/>
  <c r="J556" i="4"/>
  <c r="J564" i="4"/>
  <c r="L564" i="4" s="1"/>
  <c r="J572" i="4"/>
  <c r="L572" i="4" s="1"/>
  <c r="J580" i="4"/>
  <c r="J588" i="4"/>
  <c r="J596" i="4"/>
  <c r="J604" i="4"/>
  <c r="L604" i="4" s="1"/>
  <c r="J612" i="4"/>
  <c r="J620" i="4"/>
  <c r="J628" i="4"/>
  <c r="J636" i="4"/>
  <c r="L636" i="4" s="1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L75" i="4" s="1"/>
  <c r="J83" i="4"/>
  <c r="J91" i="4"/>
  <c r="L91" i="4" s="1"/>
  <c r="J99" i="4"/>
  <c r="K99" i="4" s="1"/>
  <c r="M99" i="4" s="1"/>
  <c r="J107" i="4"/>
  <c r="J115" i="4"/>
  <c r="L115" i="4" s="1"/>
  <c r="J123" i="4"/>
  <c r="J131" i="4"/>
  <c r="L131" i="4" s="1"/>
  <c r="J139" i="4"/>
  <c r="J147" i="4"/>
  <c r="J155" i="4"/>
  <c r="K155" i="4" s="1"/>
  <c r="M155" i="4" s="1"/>
  <c r="J163" i="4"/>
  <c r="L163" i="4" s="1"/>
  <c r="J171" i="4"/>
  <c r="L171" i="4" s="1"/>
  <c r="J179" i="4"/>
  <c r="L179" i="4" s="1"/>
  <c r="J187" i="4"/>
  <c r="J195" i="4"/>
  <c r="K195" i="4" s="1"/>
  <c r="M195" i="4" s="1"/>
  <c r="J203" i="4"/>
  <c r="L203" i="4" s="1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J283" i="4"/>
  <c r="J291" i="4"/>
  <c r="J299" i="4"/>
  <c r="K299" i="4" s="1"/>
  <c r="M299" i="4" s="1"/>
  <c r="J317" i="4"/>
  <c r="K317" i="4" s="1"/>
  <c r="M317" i="4" s="1"/>
  <c r="N317" i="4" s="1"/>
  <c r="J325" i="4"/>
  <c r="K325" i="4" s="1"/>
  <c r="M325" i="4" s="1"/>
  <c r="N325" i="4" s="1"/>
  <c r="J333" i="4"/>
  <c r="J341" i="4"/>
  <c r="J349" i="4"/>
  <c r="J357" i="4"/>
  <c r="L357" i="4" s="1"/>
  <c r="J365" i="4"/>
  <c r="J373" i="4"/>
  <c r="K373" i="4" s="1"/>
  <c r="M373" i="4" s="1"/>
  <c r="N373" i="4" s="1"/>
  <c r="J381" i="4"/>
  <c r="J389" i="4"/>
  <c r="L389" i="4" s="1"/>
  <c r="J397" i="4"/>
  <c r="L397" i="4" s="1"/>
  <c r="J405" i="4"/>
  <c r="J413" i="4"/>
  <c r="L413" i="4" s="1"/>
  <c r="J421" i="4"/>
  <c r="J429" i="4"/>
  <c r="J437" i="4"/>
  <c r="L437" i="4" s="1"/>
  <c r="J445" i="4"/>
  <c r="L445" i="4" s="1"/>
  <c r="J453" i="4"/>
  <c r="L453" i="4" s="1"/>
  <c r="J461" i="4"/>
  <c r="L461" i="4" s="1"/>
  <c r="J469" i="4"/>
  <c r="J477" i="4"/>
  <c r="J485" i="4"/>
  <c r="L485" i="4" s="1"/>
  <c r="J493" i="4"/>
  <c r="K493" i="4" s="1"/>
  <c r="M493" i="4" s="1"/>
  <c r="N493" i="4" s="1"/>
  <c r="J501" i="4"/>
  <c r="J509" i="4"/>
  <c r="J517" i="4"/>
  <c r="K517" i="4" s="1"/>
  <c r="M517" i="4" s="1"/>
  <c r="N517" i="4" s="1"/>
  <c r="J525" i="4"/>
  <c r="K525" i="4" s="1"/>
  <c r="M525" i="4" s="1"/>
  <c r="N525" i="4" s="1"/>
  <c r="J533" i="4"/>
  <c r="J541" i="4"/>
  <c r="J549" i="4"/>
  <c r="J557" i="4"/>
  <c r="J565" i="4"/>
  <c r="L565" i="4" s="1"/>
  <c r="J573" i="4"/>
  <c r="J581" i="4"/>
  <c r="J589" i="4"/>
  <c r="L589" i="4" s="1"/>
  <c r="J597" i="4"/>
  <c r="J605" i="4"/>
  <c r="J613" i="4"/>
  <c r="K613" i="4" s="1"/>
  <c r="M613" i="4" s="1"/>
  <c r="N613" i="4" s="1"/>
  <c r="J621" i="4"/>
  <c r="J8" i="4"/>
  <c r="L8" i="4" s="1"/>
  <c r="J16" i="4"/>
  <c r="J24" i="4"/>
  <c r="L24" i="4" s="1"/>
  <c r="J32" i="4"/>
  <c r="L32" i="4" s="1"/>
  <c r="J40" i="4"/>
  <c r="J48" i="4"/>
  <c r="J56" i="4"/>
  <c r="K56" i="4" s="1"/>
  <c r="M56" i="4" s="1"/>
  <c r="J64" i="4"/>
  <c r="J72" i="4"/>
  <c r="J80" i="4"/>
  <c r="L80" i="4" s="1"/>
  <c r="J88" i="4"/>
  <c r="J96" i="4"/>
  <c r="K96" i="4" s="1"/>
  <c r="M96" i="4" s="1"/>
  <c r="J104" i="4"/>
  <c r="J112" i="4"/>
  <c r="K112" i="4" s="1"/>
  <c r="M112" i="4" s="1"/>
  <c r="J120" i="4"/>
  <c r="L120" i="4" s="1"/>
  <c r="J128" i="4"/>
  <c r="L128" i="4" s="1"/>
  <c r="J136" i="4"/>
  <c r="K136" i="4" s="1"/>
  <c r="M136" i="4" s="1"/>
  <c r="J144" i="4"/>
  <c r="L144" i="4" s="1"/>
  <c r="J152" i="4"/>
  <c r="L152" i="4" s="1"/>
  <c r="J160" i="4"/>
  <c r="J168" i="4"/>
  <c r="J176" i="4"/>
  <c r="L176" i="4" s="1"/>
  <c r="J184" i="4"/>
  <c r="L184" i="4" s="1"/>
  <c r="J192" i="4"/>
  <c r="L192" i="4" s="1"/>
  <c r="J200" i="4"/>
  <c r="L200" i="4" s="1"/>
  <c r="J208" i="4"/>
  <c r="J216" i="4"/>
  <c r="L216" i="4" s="1"/>
  <c r="J224" i="4"/>
  <c r="L224" i="4" s="1"/>
  <c r="J232" i="4"/>
  <c r="J240" i="4"/>
  <c r="J248" i="4"/>
  <c r="L248" i="4" s="1"/>
  <c r="J256" i="4"/>
  <c r="L256" i="4" s="1"/>
  <c r="J264" i="4"/>
  <c r="L264" i="4" s="1"/>
  <c r="J272" i="4"/>
  <c r="K272" i="4" s="1"/>
  <c r="M272" i="4" s="1"/>
  <c r="J280" i="4"/>
  <c r="J288" i="4"/>
  <c r="L288" i="4" s="1"/>
  <c r="J296" i="4"/>
  <c r="J305" i="4"/>
  <c r="L305" i="4" s="1"/>
  <c r="L314" i="4"/>
  <c r="J322" i="4"/>
  <c r="J330" i="4"/>
  <c r="J338" i="4"/>
  <c r="K338" i="4" s="1"/>
  <c r="M338" i="4" s="1"/>
  <c r="N338" i="4" s="1"/>
  <c r="J346" i="4"/>
  <c r="J354" i="4"/>
  <c r="J362" i="4"/>
  <c r="J370" i="4"/>
  <c r="J378" i="4"/>
  <c r="J386" i="4"/>
  <c r="J394" i="4"/>
  <c r="L394" i="4" s="1"/>
  <c r="J402" i="4"/>
  <c r="K402" i="4" s="1"/>
  <c r="M402" i="4" s="1"/>
  <c r="N402" i="4" s="1"/>
  <c r="J410" i="4"/>
  <c r="J418" i="4"/>
  <c r="J426" i="4"/>
  <c r="J434" i="4"/>
  <c r="J442" i="4"/>
  <c r="J450" i="4"/>
  <c r="K450" i="4" s="1"/>
  <c r="M450" i="4" s="1"/>
  <c r="N450" i="4" s="1"/>
  <c r="J458" i="4"/>
  <c r="L458" i="4" s="1"/>
  <c r="J466" i="4"/>
  <c r="J474" i="4"/>
  <c r="J482" i="4"/>
  <c r="L482" i="4" s="1"/>
  <c r="J490" i="4"/>
  <c r="J498" i="4"/>
  <c r="L498" i="4" s="1"/>
  <c r="J506" i="4"/>
  <c r="K506" i="4" s="1"/>
  <c r="M506" i="4" s="1"/>
  <c r="N506" i="4" s="1"/>
  <c r="J514" i="4"/>
  <c r="J522" i="4"/>
  <c r="J530" i="4"/>
  <c r="L530" i="4" s="1"/>
  <c r="J538" i="4"/>
  <c r="J546" i="4"/>
  <c r="J554" i="4"/>
  <c r="J562" i="4"/>
  <c r="L562" i="4" s="1"/>
  <c r="J570" i="4"/>
  <c r="K570" i="4" s="1"/>
  <c r="M570" i="4" s="1"/>
  <c r="N570" i="4" s="1"/>
  <c r="J578" i="4"/>
  <c r="L578" i="4" s="1"/>
  <c r="J586" i="4"/>
  <c r="L586" i="4" s="1"/>
  <c r="J594" i="4"/>
  <c r="L594" i="4" s="1"/>
  <c r="J602" i="4"/>
  <c r="J610" i="4"/>
  <c r="J618" i="4"/>
  <c r="J626" i="4"/>
  <c r="L626" i="4" s="1"/>
  <c r="J634" i="4"/>
  <c r="J642" i="4"/>
  <c r="J650" i="4"/>
  <c r="K650" i="4" s="1"/>
  <c r="M650" i="4" s="1"/>
  <c r="N650" i="4" s="1"/>
  <c r="J658" i="4"/>
  <c r="K658" i="4" s="1"/>
  <c r="M658" i="4" s="1"/>
  <c r="N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L212" i="4" s="1"/>
  <c r="J228" i="4"/>
  <c r="L228" i="4" s="1"/>
  <c r="J244" i="4"/>
  <c r="J260" i="4"/>
  <c r="L260" i="4" s="1"/>
  <c r="J276" i="4"/>
  <c r="J292" i="4"/>
  <c r="K292" i="4" s="1"/>
  <c r="M292" i="4" s="1"/>
  <c r="K310" i="4"/>
  <c r="M310" i="4" s="1"/>
  <c r="N310" i="4" s="1"/>
  <c r="J326" i="4"/>
  <c r="J342" i="4"/>
  <c r="K342" i="4" s="1"/>
  <c r="M342" i="4" s="1"/>
  <c r="N342" i="4" s="1"/>
  <c r="J358" i="4"/>
  <c r="K358" i="4" s="1"/>
  <c r="M358" i="4" s="1"/>
  <c r="N358" i="4" s="1"/>
  <c r="J374" i="4"/>
  <c r="J390" i="4"/>
  <c r="L390" i="4" s="1"/>
  <c r="J406" i="4"/>
  <c r="L406" i="4" s="1"/>
  <c r="J422" i="4"/>
  <c r="K422" i="4" s="1"/>
  <c r="M422" i="4" s="1"/>
  <c r="N422" i="4" s="1"/>
  <c r="J438" i="4"/>
  <c r="J454" i="4"/>
  <c r="J470" i="4"/>
  <c r="J486" i="4"/>
  <c r="J502" i="4"/>
  <c r="J518" i="4"/>
  <c r="J534" i="4"/>
  <c r="L534" i="4" s="1"/>
  <c r="J550" i="4"/>
  <c r="J566" i="4"/>
  <c r="J582" i="4"/>
  <c r="J598" i="4"/>
  <c r="L598" i="4" s="1"/>
  <c r="J614" i="4"/>
  <c r="J627" i="4"/>
  <c r="J638" i="4"/>
  <c r="K638" i="4" s="1"/>
  <c r="M638" i="4" s="1"/>
  <c r="N638" i="4" s="1"/>
  <c r="J647" i="4"/>
  <c r="L647" i="4" s="1"/>
  <c r="J656" i="4"/>
  <c r="L656" i="4" s="1"/>
  <c r="J665" i="4"/>
  <c r="J675" i="4"/>
  <c r="K675" i="4" s="1"/>
  <c r="M675" i="4" s="1"/>
  <c r="N675" i="4" s="1"/>
  <c r="J684" i="4"/>
  <c r="J692" i="4"/>
  <c r="J700" i="4"/>
  <c r="J708" i="4"/>
  <c r="J716" i="4"/>
  <c r="L716" i="4" s="1"/>
  <c r="J724" i="4"/>
  <c r="L724" i="4" s="1"/>
  <c r="J732" i="4"/>
  <c r="K732" i="4" s="1"/>
  <c r="M732" i="4" s="1"/>
  <c r="N732" i="4" s="1"/>
  <c r="J740" i="4"/>
  <c r="K740" i="4" s="1"/>
  <c r="M740" i="4" s="1"/>
  <c r="N740" i="4" s="1"/>
  <c r="J748" i="4"/>
  <c r="J756" i="4"/>
  <c r="J764" i="4"/>
  <c r="J772" i="4"/>
  <c r="J780" i="4"/>
  <c r="J788" i="4"/>
  <c r="K788" i="4" s="1"/>
  <c r="M788" i="4" s="1"/>
  <c r="N788" i="4" s="1"/>
  <c r="J796" i="4"/>
  <c r="J804" i="4"/>
  <c r="K804" i="4" s="1"/>
  <c r="M804" i="4" s="1"/>
  <c r="N804" i="4" s="1"/>
  <c r="J812" i="4"/>
  <c r="L812" i="4" s="1"/>
  <c r="J820" i="4"/>
  <c r="J828" i="4"/>
  <c r="J836" i="4"/>
  <c r="J844" i="4"/>
  <c r="L844" i="4" s="1"/>
  <c r="J852" i="4"/>
  <c r="J860" i="4"/>
  <c r="L860" i="4" s="1"/>
  <c r="J868" i="4"/>
  <c r="J876" i="4"/>
  <c r="K876" i="4" s="1"/>
  <c r="M876" i="4" s="1"/>
  <c r="N876" i="4" s="1"/>
  <c r="J884" i="4"/>
  <c r="J892" i="4"/>
  <c r="J900" i="4"/>
  <c r="K900" i="4" s="1"/>
  <c r="M900" i="4" s="1"/>
  <c r="N900" i="4" s="1"/>
  <c r="J908" i="4"/>
  <c r="L908" i="4" s="1"/>
  <c r="J916" i="4"/>
  <c r="L916" i="4" s="1"/>
  <c r="J924" i="4"/>
  <c r="J932" i="4"/>
  <c r="J940" i="4"/>
  <c r="L940" i="4" s="1"/>
  <c r="J948" i="4"/>
  <c r="L948" i="4" s="1"/>
  <c r="J956" i="4"/>
  <c r="J964" i="4"/>
  <c r="J972" i="4"/>
  <c r="K972" i="4" s="1"/>
  <c r="M972" i="4" s="1"/>
  <c r="N972" i="4" s="1"/>
  <c r="J980" i="4"/>
  <c r="J988" i="4"/>
  <c r="J996" i="4"/>
  <c r="K996" i="4" s="1"/>
  <c r="M996" i="4" s="1"/>
  <c r="N996" i="4" s="1"/>
  <c r="J5" i="4"/>
  <c r="K5" i="4" s="1"/>
  <c r="M5" i="4" s="1"/>
  <c r="J21" i="4"/>
  <c r="K21" i="4" s="1"/>
  <c r="M21" i="4" s="1"/>
  <c r="J37" i="4"/>
  <c r="J53" i="4"/>
  <c r="J69" i="4"/>
  <c r="L69" i="4" s="1"/>
  <c r="J85" i="4"/>
  <c r="L85" i="4" s="1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L229" i="4" s="1"/>
  <c r="J245" i="4"/>
  <c r="J261" i="4"/>
  <c r="J277" i="4"/>
  <c r="L277" i="4" s="1"/>
  <c r="J293" i="4"/>
  <c r="J327" i="4"/>
  <c r="J343" i="4"/>
  <c r="J359" i="4"/>
  <c r="K359" i="4" s="1"/>
  <c r="M359" i="4" s="1"/>
  <c r="N359" i="4" s="1"/>
  <c r="J375" i="4"/>
  <c r="J391" i="4"/>
  <c r="J407" i="4"/>
  <c r="J423" i="4"/>
  <c r="J439" i="4"/>
  <c r="L439" i="4" s="1"/>
  <c r="J455" i="4"/>
  <c r="J471" i="4"/>
  <c r="J487" i="4"/>
  <c r="J503" i="4"/>
  <c r="L503" i="4" s="1"/>
  <c r="J519" i="4"/>
  <c r="J535" i="4"/>
  <c r="J551" i="4"/>
  <c r="J567" i="4"/>
  <c r="J583" i="4"/>
  <c r="K583" i="4" s="1"/>
  <c r="M583" i="4" s="1"/>
  <c r="N583" i="4" s="1"/>
  <c r="J599" i="4"/>
  <c r="L599" i="4" s="1"/>
  <c r="J615" i="4"/>
  <c r="L615" i="4" s="1"/>
  <c r="J629" i="4"/>
  <c r="J639" i="4"/>
  <c r="J648" i="4"/>
  <c r="K648" i="4" s="1"/>
  <c r="M648" i="4" s="1"/>
  <c r="N648" i="4" s="1"/>
  <c r="J657" i="4"/>
  <c r="J667" i="4"/>
  <c r="J676" i="4"/>
  <c r="K676" i="4" s="1"/>
  <c r="M676" i="4" s="1"/>
  <c r="N676" i="4" s="1"/>
  <c r="J685" i="4"/>
  <c r="J693" i="4"/>
  <c r="J701" i="4"/>
  <c r="L701" i="4" s="1"/>
  <c r="J709" i="4"/>
  <c r="L709" i="4" s="1"/>
  <c r="J717" i="4"/>
  <c r="J725" i="4"/>
  <c r="J733" i="4"/>
  <c r="J741" i="4"/>
  <c r="L741" i="4" s="1"/>
  <c r="J749" i="4"/>
  <c r="J757" i="4"/>
  <c r="J765" i="4"/>
  <c r="J773" i="4"/>
  <c r="J781" i="4"/>
  <c r="J789" i="4"/>
  <c r="J797" i="4"/>
  <c r="K797" i="4" s="1"/>
  <c r="M797" i="4" s="1"/>
  <c r="N797" i="4" s="1"/>
  <c r="J805" i="4"/>
  <c r="J813" i="4"/>
  <c r="J821" i="4"/>
  <c r="J829" i="4"/>
  <c r="L829" i="4" s="1"/>
  <c r="J837" i="4"/>
  <c r="K837" i="4" s="1"/>
  <c r="M837" i="4" s="1"/>
  <c r="N837" i="4" s="1"/>
  <c r="J845" i="4"/>
  <c r="J853" i="4"/>
  <c r="J861" i="4"/>
  <c r="L861" i="4" s="1"/>
  <c r="J869" i="4"/>
  <c r="J877" i="4"/>
  <c r="L877" i="4" s="1"/>
  <c r="J885" i="4"/>
  <c r="L885" i="4" s="1"/>
  <c r="J893" i="4"/>
  <c r="K893" i="4" s="1"/>
  <c r="M893" i="4" s="1"/>
  <c r="N893" i="4" s="1"/>
  <c r="J901" i="4"/>
  <c r="J909" i="4"/>
  <c r="K909" i="4" s="1"/>
  <c r="M909" i="4" s="1"/>
  <c r="N909" i="4" s="1"/>
  <c r="J917" i="4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L134" i="4" s="1"/>
  <c r="J150" i="4"/>
  <c r="L150" i="4" s="1"/>
  <c r="J166" i="4"/>
  <c r="J182" i="4"/>
  <c r="J198" i="4"/>
  <c r="J214" i="4"/>
  <c r="J230" i="4"/>
  <c r="J246" i="4"/>
  <c r="L246" i="4" s="1"/>
  <c r="J262" i="4"/>
  <c r="J278" i="4"/>
  <c r="J294" i="4"/>
  <c r="K312" i="4"/>
  <c r="M312" i="4" s="1"/>
  <c r="N312" i="4" s="1"/>
  <c r="J328" i="4"/>
  <c r="J344" i="4"/>
  <c r="J360" i="4"/>
  <c r="L360" i="4" s="1"/>
  <c r="J376" i="4"/>
  <c r="J392" i="4"/>
  <c r="J408" i="4"/>
  <c r="L408" i="4" s="1"/>
  <c r="J424" i="4"/>
  <c r="K424" i="4" s="1"/>
  <c r="M424" i="4" s="1"/>
  <c r="N424" i="4" s="1"/>
  <c r="J440" i="4"/>
  <c r="J456" i="4"/>
  <c r="J472" i="4"/>
  <c r="L472" i="4" s="1"/>
  <c r="J488" i="4"/>
  <c r="J504" i="4"/>
  <c r="L504" i="4" s="1"/>
  <c r="J520" i="4"/>
  <c r="J536" i="4"/>
  <c r="L536" i="4" s="1"/>
  <c r="J552" i="4"/>
  <c r="J568" i="4"/>
  <c r="L568" i="4" s="1"/>
  <c r="J584" i="4"/>
  <c r="J600" i="4"/>
  <c r="J616" i="4"/>
  <c r="J630" i="4"/>
  <c r="J640" i="4"/>
  <c r="J649" i="4"/>
  <c r="L649" i="4" s="1"/>
  <c r="J659" i="4"/>
  <c r="L659" i="4" s="1"/>
  <c r="J668" i="4"/>
  <c r="L668" i="4" s="1"/>
  <c r="J677" i="4"/>
  <c r="J686" i="4"/>
  <c r="J694" i="4"/>
  <c r="J702" i="4"/>
  <c r="L702" i="4" s="1"/>
  <c r="J710" i="4"/>
  <c r="J718" i="4"/>
  <c r="J726" i="4"/>
  <c r="J734" i="4"/>
  <c r="K734" i="4" s="1"/>
  <c r="M734" i="4" s="1"/>
  <c r="N734" i="4" s="1"/>
  <c r="J742" i="4"/>
  <c r="J750" i="4"/>
  <c r="J758" i="4"/>
  <c r="J766" i="4"/>
  <c r="J774" i="4"/>
  <c r="J782" i="4"/>
  <c r="J790" i="4"/>
  <c r="L790" i="4" s="1"/>
  <c r="J798" i="4"/>
  <c r="L798" i="4" s="1"/>
  <c r="J806" i="4"/>
  <c r="J814" i="4"/>
  <c r="K814" i="4" s="1"/>
  <c r="M814" i="4" s="1"/>
  <c r="N814" i="4" s="1"/>
  <c r="J822" i="4"/>
  <c r="J830" i="4"/>
  <c r="L830" i="4" s="1"/>
  <c r="J838" i="4"/>
  <c r="L838" i="4" s="1"/>
  <c r="J846" i="4"/>
  <c r="J854" i="4"/>
  <c r="L854" i="4" s="1"/>
  <c r="J862" i="4"/>
  <c r="J870" i="4"/>
  <c r="J878" i="4"/>
  <c r="K878" i="4" s="1"/>
  <c r="M878" i="4" s="1"/>
  <c r="N878" i="4" s="1"/>
  <c r="J886" i="4"/>
  <c r="J894" i="4"/>
  <c r="K894" i="4" s="1"/>
  <c r="M894" i="4" s="1"/>
  <c r="N894" i="4" s="1"/>
  <c r="J902" i="4"/>
  <c r="L902" i="4" s="1"/>
  <c r="J910" i="4"/>
  <c r="J918" i="4"/>
  <c r="J926" i="4"/>
  <c r="L926" i="4" s="1"/>
  <c r="J934" i="4"/>
  <c r="J942" i="4"/>
  <c r="K942" i="4" s="1"/>
  <c r="M942" i="4" s="1"/>
  <c r="N942" i="4" s="1"/>
  <c r="J7" i="4"/>
  <c r="J12" i="4"/>
  <c r="J13" i="4"/>
  <c r="J14" i="4"/>
  <c r="J15" i="4"/>
  <c r="J31" i="4"/>
  <c r="J47" i="4"/>
  <c r="J63" i="4"/>
  <c r="J79" i="4"/>
  <c r="L79" i="4" s="1"/>
  <c r="J95" i="4"/>
  <c r="J111" i="4"/>
  <c r="J127" i="4"/>
  <c r="J143" i="4"/>
  <c r="K143" i="4" s="1"/>
  <c r="M143" i="4" s="1"/>
  <c r="J159" i="4"/>
  <c r="J175" i="4"/>
  <c r="J191" i="4"/>
  <c r="L191" i="4" s="1"/>
  <c r="J207" i="4"/>
  <c r="J223" i="4"/>
  <c r="J239" i="4"/>
  <c r="Q239" i="4" s="1"/>
  <c r="J255" i="4"/>
  <c r="L255" i="4" s="1"/>
  <c r="J271" i="4"/>
  <c r="K271" i="4" s="1"/>
  <c r="M271" i="4" s="1"/>
  <c r="J287" i="4"/>
  <c r="L287" i="4" s="1"/>
  <c r="J304" i="4"/>
  <c r="J321" i="4"/>
  <c r="K321" i="4" s="1"/>
  <c r="M321" i="4" s="1"/>
  <c r="N321" i="4" s="1"/>
  <c r="J337" i="4"/>
  <c r="J353" i="4"/>
  <c r="L353" i="4" s="1"/>
  <c r="J369" i="4"/>
  <c r="K369" i="4" s="1"/>
  <c r="M369" i="4" s="1"/>
  <c r="N369" i="4" s="1"/>
  <c r="J385" i="4"/>
  <c r="J401" i="4"/>
  <c r="J417" i="4"/>
  <c r="J433" i="4"/>
  <c r="J449" i="4"/>
  <c r="J465" i="4"/>
  <c r="K465" i="4" s="1"/>
  <c r="M465" i="4" s="1"/>
  <c r="N465" i="4" s="1"/>
  <c r="J481" i="4"/>
  <c r="J497" i="4"/>
  <c r="J513" i="4"/>
  <c r="L513" i="4" s="1"/>
  <c r="J529" i="4"/>
  <c r="J545" i="4"/>
  <c r="K545" i="4" s="1"/>
  <c r="M545" i="4" s="1"/>
  <c r="N545" i="4" s="1"/>
  <c r="J561" i="4"/>
  <c r="J577" i="4"/>
  <c r="J593" i="4"/>
  <c r="L593" i="4" s="1"/>
  <c r="J609" i="4"/>
  <c r="J625" i="4"/>
  <c r="L625" i="4" s="1"/>
  <c r="J637" i="4"/>
  <c r="J646" i="4"/>
  <c r="J655" i="4"/>
  <c r="K655" i="4" s="1"/>
  <c r="M655" i="4" s="1"/>
  <c r="N655" i="4" s="1"/>
  <c r="J664" i="4"/>
  <c r="J673" i="4"/>
  <c r="J683" i="4"/>
  <c r="K683" i="4" s="1"/>
  <c r="M683" i="4" s="1"/>
  <c r="N683" i="4" s="1"/>
  <c r="J691" i="4"/>
  <c r="L691" i="4" s="1"/>
  <c r="J699" i="4"/>
  <c r="L699" i="4" s="1"/>
  <c r="J707" i="4"/>
  <c r="K707" i="4" s="1"/>
  <c r="M707" i="4" s="1"/>
  <c r="N707" i="4" s="1"/>
  <c r="J715" i="4"/>
  <c r="L715" i="4" s="1"/>
  <c r="J723" i="4"/>
  <c r="K723" i="4" s="1"/>
  <c r="M723" i="4" s="1"/>
  <c r="N723" i="4" s="1"/>
  <c r="J731" i="4"/>
  <c r="J739" i="4"/>
  <c r="K739" i="4" s="1"/>
  <c r="M739" i="4" s="1"/>
  <c r="N739" i="4" s="1"/>
  <c r="J747" i="4"/>
  <c r="J755" i="4"/>
  <c r="L755" i="4" s="1"/>
  <c r="J763" i="4"/>
  <c r="K763" i="4" s="1"/>
  <c r="M763" i="4" s="1"/>
  <c r="N763" i="4" s="1"/>
  <c r="J771" i="4"/>
  <c r="J779" i="4"/>
  <c r="L779" i="4" s="1"/>
  <c r="J787" i="4"/>
  <c r="K787" i="4" s="1"/>
  <c r="M787" i="4" s="1"/>
  <c r="N787" i="4" s="1"/>
  <c r="J795" i="4"/>
  <c r="J803" i="4"/>
  <c r="J811" i="4"/>
  <c r="L811" i="4" s="1"/>
  <c r="J819" i="4"/>
  <c r="K819" i="4" s="1"/>
  <c r="M819" i="4" s="1"/>
  <c r="N819" i="4" s="1"/>
  <c r="J827" i="4"/>
  <c r="L827" i="4" s="1"/>
  <c r="J835" i="4"/>
  <c r="J843" i="4"/>
  <c r="J851" i="4"/>
  <c r="J859" i="4"/>
  <c r="J867" i="4"/>
  <c r="L867" i="4" s="1"/>
  <c r="J875" i="4"/>
  <c r="J883" i="4"/>
  <c r="K883" i="4" s="1"/>
  <c r="M883" i="4" s="1"/>
  <c r="N883" i="4" s="1"/>
  <c r="J891" i="4"/>
  <c r="J899" i="4"/>
  <c r="J907" i="4"/>
  <c r="J915" i="4"/>
  <c r="K915" i="4" s="1"/>
  <c r="M915" i="4" s="1"/>
  <c r="N915" i="4" s="1"/>
  <c r="J923" i="4"/>
  <c r="J931" i="4"/>
  <c r="J939" i="4"/>
  <c r="L939" i="4" s="1"/>
  <c r="J23" i="4"/>
  <c r="L23" i="4" s="1"/>
  <c r="J55" i="4"/>
  <c r="J87" i="4"/>
  <c r="K87" i="4" s="1"/>
  <c r="M87" i="4" s="1"/>
  <c r="J119" i="4"/>
  <c r="L119" i="4" s="1"/>
  <c r="J151" i="4"/>
  <c r="J183" i="4"/>
  <c r="J215" i="4"/>
  <c r="J247" i="4"/>
  <c r="K247" i="4" s="1"/>
  <c r="M247" i="4" s="1"/>
  <c r="J279" i="4"/>
  <c r="L313" i="4"/>
  <c r="J345" i="4"/>
  <c r="L345" i="4" s="1"/>
  <c r="J377" i="4"/>
  <c r="J409" i="4"/>
  <c r="L409" i="4" s="1"/>
  <c r="J441" i="4"/>
  <c r="J473" i="4"/>
  <c r="J505" i="4"/>
  <c r="L505" i="4" s="1"/>
  <c r="J537" i="4"/>
  <c r="J569" i="4"/>
  <c r="L569" i="4" s="1"/>
  <c r="J601" i="4"/>
  <c r="L601" i="4" s="1"/>
  <c r="J631" i="4"/>
  <c r="L631" i="4" s="1"/>
  <c r="J651" i="4"/>
  <c r="K651" i="4" s="1"/>
  <c r="M651" i="4" s="1"/>
  <c r="N651" i="4" s="1"/>
  <c r="J669" i="4"/>
  <c r="J687" i="4"/>
  <c r="J703" i="4"/>
  <c r="K703" i="4" s="1"/>
  <c r="M703" i="4" s="1"/>
  <c r="N703" i="4" s="1"/>
  <c r="J719" i="4"/>
  <c r="L719" i="4" s="1"/>
  <c r="J735" i="4"/>
  <c r="J751" i="4"/>
  <c r="K751" i="4" s="1"/>
  <c r="M751" i="4" s="1"/>
  <c r="N751" i="4" s="1"/>
  <c r="J767" i="4"/>
  <c r="L767" i="4" s="1"/>
  <c r="J783" i="4"/>
  <c r="K783" i="4" s="1"/>
  <c r="M783" i="4" s="1"/>
  <c r="N783" i="4" s="1"/>
  <c r="J799" i="4"/>
  <c r="J815" i="4"/>
  <c r="J831" i="4"/>
  <c r="K831" i="4" s="1"/>
  <c r="M831" i="4" s="1"/>
  <c r="N831" i="4" s="1"/>
  <c r="J847" i="4"/>
  <c r="J863" i="4"/>
  <c r="K863" i="4" s="1"/>
  <c r="M863" i="4" s="1"/>
  <c r="N863" i="4" s="1"/>
  <c r="J879" i="4"/>
  <c r="J895" i="4"/>
  <c r="L895" i="4" s="1"/>
  <c r="J911" i="4"/>
  <c r="J927" i="4"/>
  <c r="J943" i="4"/>
  <c r="L943" i="4" s="1"/>
  <c r="J952" i="4"/>
  <c r="L952" i="4" s="1"/>
  <c r="J961" i="4"/>
  <c r="J970" i="4"/>
  <c r="J979" i="4"/>
  <c r="J989" i="4"/>
  <c r="K989" i="4" s="1"/>
  <c r="M989" i="4" s="1"/>
  <c r="N989" i="4" s="1"/>
  <c r="J998" i="4"/>
  <c r="J1006" i="4"/>
  <c r="J1014" i="4"/>
  <c r="J1022" i="4"/>
  <c r="L1022" i="4" s="1"/>
  <c r="J1030" i="4"/>
  <c r="L1030" i="4" s="1"/>
  <c r="J1038" i="4"/>
  <c r="J1046" i="4"/>
  <c r="J1054" i="4"/>
  <c r="J1062" i="4"/>
  <c r="J1070" i="4"/>
  <c r="J1078" i="4"/>
  <c r="J1086" i="4"/>
  <c r="L1086" i="4" s="1"/>
  <c r="J1094" i="4"/>
  <c r="L1094" i="4" s="1"/>
  <c r="J1102" i="4"/>
  <c r="J1110" i="4"/>
  <c r="J1118" i="4"/>
  <c r="J1126" i="4"/>
  <c r="J1134" i="4"/>
  <c r="J1142" i="4"/>
  <c r="J1150" i="4"/>
  <c r="J1158" i="4"/>
  <c r="J1166" i="4"/>
  <c r="L1166" i="4" s="1"/>
  <c r="J1174" i="4"/>
  <c r="J1182" i="4"/>
  <c r="L1182" i="4" s="1"/>
  <c r="J1190" i="4"/>
  <c r="J1198" i="4"/>
  <c r="J1206" i="4"/>
  <c r="J1214" i="4"/>
  <c r="L1214" i="4" s="1"/>
  <c r="J1222" i="4"/>
  <c r="K1222" i="4" s="1"/>
  <c r="M1222" i="4" s="1"/>
  <c r="N1222" i="4" s="1"/>
  <c r="J1230" i="4"/>
  <c r="J1238" i="4"/>
  <c r="K1238" i="4" s="1"/>
  <c r="M1238" i="4" s="1"/>
  <c r="N1238" i="4" s="1"/>
  <c r="J1246" i="4"/>
  <c r="J1254" i="4"/>
  <c r="L1254" i="4" s="1"/>
  <c r="J1262" i="4"/>
  <c r="J1270" i="4"/>
  <c r="J1278" i="4"/>
  <c r="J1286" i="4"/>
  <c r="L1286" i="4" s="1"/>
  <c r="J1294" i="4"/>
  <c r="J1302" i="4"/>
  <c r="J1310" i="4"/>
  <c r="K1310" i="4" s="1"/>
  <c r="M1310" i="4" s="1"/>
  <c r="N1310" i="4" s="1"/>
  <c r="J28" i="4"/>
  <c r="J60" i="4"/>
  <c r="J92" i="4"/>
  <c r="J124" i="4"/>
  <c r="L124" i="4" s="1"/>
  <c r="J156" i="4"/>
  <c r="J188" i="4"/>
  <c r="L188" i="4" s="1"/>
  <c r="J220" i="4"/>
  <c r="K220" i="4" s="1"/>
  <c r="M220" i="4" s="1"/>
  <c r="J252" i="4"/>
  <c r="L252" i="4" s="1"/>
  <c r="J284" i="4"/>
  <c r="J318" i="4"/>
  <c r="J350" i="4"/>
  <c r="L350" i="4" s="1"/>
  <c r="J382" i="4"/>
  <c r="L382" i="4" s="1"/>
  <c r="J414" i="4"/>
  <c r="J446" i="4"/>
  <c r="L446" i="4" s="1"/>
  <c r="J478" i="4"/>
  <c r="L478" i="4" s="1"/>
  <c r="J510" i="4"/>
  <c r="L510" i="4" s="1"/>
  <c r="J542" i="4"/>
  <c r="J574" i="4"/>
  <c r="J606" i="4"/>
  <c r="J632" i="4"/>
  <c r="L632" i="4" s="1"/>
  <c r="J652" i="4"/>
  <c r="L652" i="4" s="1"/>
  <c r="J670" i="4"/>
  <c r="J688" i="4"/>
  <c r="K688" i="4" s="1"/>
  <c r="M688" i="4" s="1"/>
  <c r="N688" i="4" s="1"/>
  <c r="J704" i="4"/>
  <c r="J720" i="4"/>
  <c r="L720" i="4" s="1"/>
  <c r="J736" i="4"/>
  <c r="J752" i="4"/>
  <c r="J768" i="4"/>
  <c r="L768" i="4" s="1"/>
  <c r="J784" i="4"/>
  <c r="J800" i="4"/>
  <c r="L800" i="4" s="1"/>
  <c r="J816" i="4"/>
  <c r="K816" i="4" s="1"/>
  <c r="M816" i="4" s="1"/>
  <c r="N816" i="4" s="1"/>
  <c r="J832" i="4"/>
  <c r="J848" i="4"/>
  <c r="L848" i="4" s="1"/>
  <c r="J864" i="4"/>
  <c r="J880" i="4"/>
  <c r="J896" i="4"/>
  <c r="K896" i="4" s="1"/>
  <c r="M896" i="4" s="1"/>
  <c r="N896" i="4" s="1"/>
  <c r="J912" i="4"/>
  <c r="L912" i="4" s="1"/>
  <c r="J928" i="4"/>
  <c r="L928" i="4" s="1"/>
  <c r="J944" i="4"/>
  <c r="L944" i="4" s="1"/>
  <c r="J953" i="4"/>
  <c r="J962" i="4"/>
  <c r="K962" i="4" s="1"/>
  <c r="M962" i="4" s="1"/>
  <c r="N962" i="4" s="1"/>
  <c r="J971" i="4"/>
  <c r="J981" i="4"/>
  <c r="J990" i="4"/>
  <c r="J999" i="4"/>
  <c r="J1007" i="4"/>
  <c r="J1015" i="4"/>
  <c r="J1023" i="4"/>
  <c r="J1031" i="4"/>
  <c r="L1031" i="4" s="1"/>
  <c r="J1039" i="4"/>
  <c r="J1047" i="4"/>
  <c r="K1047" i="4" s="1"/>
  <c r="M1047" i="4" s="1"/>
  <c r="N1047" i="4" s="1"/>
  <c r="J1055" i="4"/>
  <c r="J1063" i="4"/>
  <c r="L1063" i="4" s="1"/>
  <c r="J1071" i="4"/>
  <c r="J1079" i="4"/>
  <c r="K1079" i="4" s="1"/>
  <c r="M1079" i="4" s="1"/>
  <c r="N1079" i="4" s="1"/>
  <c r="J1087" i="4"/>
  <c r="J1095" i="4"/>
  <c r="L1095" i="4" s="1"/>
  <c r="J1103" i="4"/>
  <c r="J1111" i="4"/>
  <c r="J1119" i="4"/>
  <c r="L1119" i="4" s="1"/>
  <c r="J1127" i="4"/>
  <c r="J1135" i="4"/>
  <c r="J1143" i="4"/>
  <c r="J1151" i="4"/>
  <c r="L1151" i="4" s="1"/>
  <c r="J1159" i="4"/>
  <c r="J1167" i="4"/>
  <c r="J1175" i="4"/>
  <c r="L1175" i="4" s="1"/>
  <c r="J1183" i="4"/>
  <c r="L1183" i="4" s="1"/>
  <c r="J1191" i="4"/>
  <c r="K1191" i="4" s="1"/>
  <c r="M1191" i="4" s="1"/>
  <c r="N1191" i="4" s="1"/>
  <c r="J1199" i="4"/>
  <c r="J1207" i="4"/>
  <c r="J1215" i="4"/>
  <c r="J1223" i="4"/>
  <c r="J1231" i="4"/>
  <c r="J1239" i="4"/>
  <c r="J1247" i="4"/>
  <c r="L1247" i="4" s="1"/>
  <c r="J1255" i="4"/>
  <c r="L1255" i="4" s="1"/>
  <c r="J1263" i="4"/>
  <c r="J1271" i="4"/>
  <c r="J1279" i="4"/>
  <c r="J1287" i="4"/>
  <c r="L1287" i="4" s="1"/>
  <c r="J1295" i="4"/>
  <c r="J1303" i="4"/>
  <c r="L1303" i="4" s="1"/>
  <c r="J1311" i="4"/>
  <c r="J29" i="4"/>
  <c r="J61" i="4"/>
  <c r="J93" i="4"/>
  <c r="J125" i="4"/>
  <c r="J157" i="4"/>
  <c r="J189" i="4"/>
  <c r="J221" i="4"/>
  <c r="L221" i="4" s="1"/>
  <c r="J253" i="4"/>
  <c r="J285" i="4"/>
  <c r="L285" i="4" s="1"/>
  <c r="J319" i="4"/>
  <c r="J351" i="4"/>
  <c r="L351" i="4" s="1"/>
  <c r="J383" i="4"/>
  <c r="J415" i="4"/>
  <c r="L415" i="4" s="1"/>
  <c r="J447" i="4"/>
  <c r="J479" i="4"/>
  <c r="J511" i="4"/>
  <c r="L511" i="4" s="1"/>
  <c r="J543" i="4"/>
  <c r="L543" i="4" s="1"/>
  <c r="J575" i="4"/>
  <c r="L575" i="4" s="1"/>
  <c r="J607" i="4"/>
  <c r="J633" i="4"/>
  <c r="L633" i="4" s="1"/>
  <c r="J653" i="4"/>
  <c r="K653" i="4" s="1"/>
  <c r="M653" i="4" s="1"/>
  <c r="N653" i="4" s="1"/>
  <c r="J671" i="4"/>
  <c r="J689" i="4"/>
  <c r="J705" i="4"/>
  <c r="L705" i="4" s="1"/>
  <c r="J721" i="4"/>
  <c r="L721" i="4" s="1"/>
  <c r="J737" i="4"/>
  <c r="L737" i="4" s="1"/>
  <c r="J753" i="4"/>
  <c r="J769" i="4"/>
  <c r="J785" i="4"/>
  <c r="J801" i="4"/>
  <c r="J817" i="4"/>
  <c r="L817" i="4" s="1"/>
  <c r="J833" i="4"/>
  <c r="K833" i="4" s="1"/>
  <c r="M833" i="4" s="1"/>
  <c r="N833" i="4" s="1"/>
  <c r="J849" i="4"/>
  <c r="L849" i="4" s="1"/>
  <c r="J865" i="4"/>
  <c r="L865" i="4" s="1"/>
  <c r="J881" i="4"/>
  <c r="L881" i="4" s="1"/>
  <c r="J897" i="4"/>
  <c r="L897" i="4" s="1"/>
  <c r="J913" i="4"/>
  <c r="L913" i="4" s="1"/>
  <c r="J929" i="4"/>
  <c r="J945" i="4"/>
  <c r="J954" i="4"/>
  <c r="J963" i="4"/>
  <c r="L963" i="4" s="1"/>
  <c r="J973" i="4"/>
  <c r="J982" i="4"/>
  <c r="J991" i="4"/>
  <c r="J1000" i="4"/>
  <c r="L1000" i="4" s="1"/>
  <c r="J1008" i="4"/>
  <c r="J1016" i="4"/>
  <c r="J1024" i="4"/>
  <c r="J1032" i="4"/>
  <c r="J1040" i="4"/>
  <c r="J1048" i="4"/>
  <c r="J1056" i="4"/>
  <c r="J1064" i="4"/>
  <c r="L1064" i="4" s="1"/>
  <c r="J1072" i="4"/>
  <c r="J1080" i="4"/>
  <c r="J1088" i="4"/>
  <c r="K1088" i="4" s="1"/>
  <c r="M1088" i="4" s="1"/>
  <c r="N1088" i="4" s="1"/>
  <c r="J1096" i="4"/>
  <c r="J1104" i="4"/>
  <c r="J1112" i="4"/>
  <c r="K1112" i="4" s="1"/>
  <c r="M1112" i="4" s="1"/>
  <c r="N1112" i="4" s="1"/>
  <c r="J1120" i="4"/>
  <c r="J1128" i="4"/>
  <c r="L1128" i="4" s="1"/>
  <c r="J1136" i="4"/>
  <c r="J1144" i="4"/>
  <c r="J1152" i="4"/>
  <c r="J1160" i="4"/>
  <c r="J1168" i="4"/>
  <c r="J1176" i="4"/>
  <c r="J1184" i="4"/>
  <c r="L1184" i="4" s="1"/>
  <c r="J1192" i="4"/>
  <c r="K1192" i="4" s="1"/>
  <c r="M1192" i="4" s="1"/>
  <c r="N1192" i="4" s="1"/>
  <c r="J1200" i="4"/>
  <c r="J1208" i="4"/>
  <c r="L1208" i="4" s="1"/>
  <c r="J1216" i="4"/>
  <c r="J1224" i="4"/>
  <c r="J1232" i="4"/>
  <c r="L1232" i="4" s="1"/>
  <c r="J1240" i="4"/>
  <c r="K1240" i="4" s="1"/>
  <c r="M1240" i="4" s="1"/>
  <c r="N1240" i="4" s="1"/>
  <c r="J1248" i="4"/>
  <c r="L1248" i="4" s="1"/>
  <c r="J1256" i="4"/>
  <c r="J1264" i="4"/>
  <c r="J1272" i="4"/>
  <c r="K1272" i="4" s="1"/>
  <c r="M1272" i="4" s="1"/>
  <c r="N1272" i="4" s="1"/>
  <c r="J1280" i="4"/>
  <c r="J1288" i="4"/>
  <c r="J1296" i="4"/>
  <c r="J1304" i="4"/>
  <c r="L1304" i="4" s="1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J368" i="4"/>
  <c r="L368" i="4" s="1"/>
  <c r="J400" i="4"/>
  <c r="L400" i="4" s="1"/>
  <c r="J432" i="4"/>
  <c r="K432" i="4" s="1"/>
  <c r="M432" i="4" s="1"/>
  <c r="N432" i="4" s="1"/>
  <c r="J464" i="4"/>
  <c r="L464" i="4" s="1"/>
  <c r="J496" i="4"/>
  <c r="L496" i="4" s="1"/>
  <c r="J528" i="4"/>
  <c r="K528" i="4" s="1"/>
  <c r="M528" i="4" s="1"/>
  <c r="N528" i="4" s="1"/>
  <c r="J560" i="4"/>
  <c r="J592" i="4"/>
  <c r="J624" i="4"/>
  <c r="J645" i="4"/>
  <c r="J663" i="4"/>
  <c r="J681" i="4"/>
  <c r="J698" i="4"/>
  <c r="J714" i="4"/>
  <c r="L714" i="4" s="1"/>
  <c r="J730" i="4"/>
  <c r="J746" i="4"/>
  <c r="J762" i="4"/>
  <c r="J778" i="4"/>
  <c r="L778" i="4" s="1"/>
  <c r="J794" i="4"/>
  <c r="L794" i="4" s="1"/>
  <c r="J810" i="4"/>
  <c r="L810" i="4" s="1"/>
  <c r="J826" i="4"/>
  <c r="L826" i="4" s="1"/>
  <c r="J842" i="4"/>
  <c r="J858" i="4"/>
  <c r="L858" i="4" s="1"/>
  <c r="J874" i="4"/>
  <c r="J890" i="4"/>
  <c r="J906" i="4"/>
  <c r="J922" i="4"/>
  <c r="J938" i="4"/>
  <c r="K938" i="4" s="1"/>
  <c r="M938" i="4" s="1"/>
  <c r="N938" i="4" s="1"/>
  <c r="J951" i="4"/>
  <c r="K951" i="4" s="1"/>
  <c r="M951" i="4" s="1"/>
  <c r="N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N1037" i="4" s="1"/>
  <c r="J1045" i="4"/>
  <c r="J1053" i="4"/>
  <c r="J1061" i="4"/>
  <c r="L1061" i="4" s="1"/>
  <c r="J1069" i="4"/>
  <c r="L1069" i="4" s="1"/>
  <c r="J1077" i="4"/>
  <c r="L1077" i="4" s="1"/>
  <c r="J1085" i="4"/>
  <c r="L1085" i="4" s="1"/>
  <c r="J1093" i="4"/>
  <c r="L1093" i="4" s="1"/>
  <c r="J1101" i="4"/>
  <c r="L1101" i="4" s="1"/>
  <c r="J1109" i="4"/>
  <c r="J1117" i="4"/>
  <c r="J1125" i="4"/>
  <c r="L1125" i="4" s="1"/>
  <c r="J1133" i="4"/>
  <c r="L1133" i="4" s="1"/>
  <c r="J1141" i="4"/>
  <c r="J1149" i="4"/>
  <c r="L1149" i="4" s="1"/>
  <c r="J1157" i="4"/>
  <c r="J1165" i="4"/>
  <c r="K1165" i="4" s="1"/>
  <c r="M1165" i="4" s="1"/>
  <c r="N1165" i="4" s="1"/>
  <c r="J1173" i="4"/>
  <c r="J1181" i="4"/>
  <c r="K1181" i="4" s="1"/>
  <c r="M1181" i="4" s="1"/>
  <c r="N1181" i="4" s="1"/>
  <c r="J1189" i="4"/>
  <c r="J1197" i="4"/>
  <c r="L1197" i="4" s="1"/>
  <c r="J1205" i="4"/>
  <c r="J1213" i="4"/>
  <c r="J1221" i="4"/>
  <c r="J1229" i="4"/>
  <c r="L1229" i="4" s="1"/>
  <c r="J1237" i="4"/>
  <c r="J1245" i="4"/>
  <c r="J1253" i="4"/>
  <c r="J1261" i="4"/>
  <c r="J1269" i="4"/>
  <c r="L1269" i="4" s="1"/>
  <c r="J1277" i="4"/>
  <c r="J1285" i="4"/>
  <c r="K1285" i="4" s="1"/>
  <c r="M1285" i="4" s="1"/>
  <c r="N1285" i="4" s="1"/>
  <c r="J1293" i="4"/>
  <c r="L1293" i="4" s="1"/>
  <c r="J1301" i="4"/>
  <c r="J1309" i="4"/>
  <c r="J30" i="4"/>
  <c r="J94" i="4"/>
  <c r="J158" i="4"/>
  <c r="J222" i="4"/>
  <c r="J286" i="4"/>
  <c r="J352" i="4"/>
  <c r="L352" i="4" s="1"/>
  <c r="J416" i="4"/>
  <c r="J480" i="4"/>
  <c r="K480" i="4" s="1"/>
  <c r="M480" i="4" s="1"/>
  <c r="N480" i="4" s="1"/>
  <c r="J544" i="4"/>
  <c r="K544" i="4" s="1"/>
  <c r="M544" i="4" s="1"/>
  <c r="N544" i="4" s="1"/>
  <c r="J608" i="4"/>
  <c r="J654" i="4"/>
  <c r="L654" i="4" s="1"/>
  <c r="J690" i="4"/>
  <c r="L690" i="4" s="1"/>
  <c r="J722" i="4"/>
  <c r="L722" i="4" s="1"/>
  <c r="J754" i="4"/>
  <c r="J786" i="4"/>
  <c r="J818" i="4"/>
  <c r="J850" i="4"/>
  <c r="L850" i="4" s="1"/>
  <c r="J882" i="4"/>
  <c r="J914" i="4"/>
  <c r="L914" i="4" s="1"/>
  <c r="J946" i="4"/>
  <c r="L946" i="4" s="1"/>
  <c r="J965" i="4"/>
  <c r="L965" i="4" s="1"/>
  <c r="J983" i="4"/>
  <c r="L983" i="4" s="1"/>
  <c r="J1001" i="4"/>
  <c r="J1017" i="4"/>
  <c r="J1033" i="4"/>
  <c r="L1033" i="4" s="1"/>
  <c r="J1049" i="4"/>
  <c r="L1049" i="4" s="1"/>
  <c r="J1065" i="4"/>
  <c r="K1065" i="4" s="1"/>
  <c r="M1065" i="4" s="1"/>
  <c r="N1065" i="4" s="1"/>
  <c r="J1081" i="4"/>
  <c r="K1081" i="4" s="1"/>
  <c r="M1081" i="4" s="1"/>
  <c r="N1081" i="4" s="1"/>
  <c r="J1097" i="4"/>
  <c r="J1113" i="4"/>
  <c r="L1113" i="4" s="1"/>
  <c r="J1129" i="4"/>
  <c r="L1129" i="4" s="1"/>
  <c r="J1145" i="4"/>
  <c r="L1145" i="4" s="1"/>
  <c r="J1161" i="4"/>
  <c r="K1161" i="4" s="1"/>
  <c r="M1161" i="4" s="1"/>
  <c r="N1161" i="4" s="1"/>
  <c r="J1177" i="4"/>
  <c r="K1177" i="4" s="1"/>
  <c r="M1177" i="4" s="1"/>
  <c r="N1177" i="4" s="1"/>
  <c r="J1193" i="4"/>
  <c r="J1209" i="4"/>
  <c r="K1209" i="4" s="1"/>
  <c r="M1209" i="4" s="1"/>
  <c r="N1209" i="4" s="1"/>
  <c r="J1225" i="4"/>
  <c r="L1225" i="4" s="1"/>
  <c r="J1241" i="4"/>
  <c r="K1241" i="4" s="1"/>
  <c r="M1241" i="4" s="1"/>
  <c r="N1241" i="4" s="1"/>
  <c r="J1257" i="4"/>
  <c r="J1273" i="4"/>
  <c r="J1289" i="4"/>
  <c r="L1289" i="4" s="1"/>
  <c r="J1305" i="4"/>
  <c r="K1305" i="4" s="1"/>
  <c r="M1305" i="4" s="1"/>
  <c r="N1305" i="4" s="1"/>
  <c r="J173" i="4"/>
  <c r="K173" i="4" s="1"/>
  <c r="M173" i="4" s="1"/>
  <c r="J301" i="4"/>
  <c r="J431" i="4"/>
  <c r="J495" i="4"/>
  <c r="K495" i="4" s="1"/>
  <c r="M495" i="4" s="1"/>
  <c r="N495" i="4" s="1"/>
  <c r="J623" i="4"/>
  <c r="K623" i="4" s="1"/>
  <c r="M623" i="4" s="1"/>
  <c r="N623" i="4" s="1"/>
  <c r="J697" i="4"/>
  <c r="J761" i="4"/>
  <c r="J825" i="4"/>
  <c r="K825" i="4" s="1"/>
  <c r="M825" i="4" s="1"/>
  <c r="N825" i="4" s="1"/>
  <c r="J889" i="4"/>
  <c r="L889" i="4" s="1"/>
  <c r="J950" i="4"/>
  <c r="K950" i="4" s="1"/>
  <c r="M950" i="4" s="1"/>
  <c r="N950" i="4" s="1"/>
  <c r="J986" i="4"/>
  <c r="K986" i="4" s="1"/>
  <c r="M986" i="4" s="1"/>
  <c r="N986" i="4" s="1"/>
  <c r="J1020" i="4"/>
  <c r="K1020" i="4" s="1"/>
  <c r="M1020" i="4" s="1"/>
  <c r="N1020" i="4" s="1"/>
  <c r="J1052" i="4"/>
  <c r="J1100" i="4"/>
  <c r="J1148" i="4"/>
  <c r="J1180" i="4"/>
  <c r="L1180" i="4" s="1"/>
  <c r="J1212" i="4"/>
  <c r="J1244" i="4"/>
  <c r="K1244" i="4" s="1"/>
  <c r="M1244" i="4" s="1"/>
  <c r="N1244" i="4" s="1"/>
  <c r="J1276" i="4"/>
  <c r="K1276" i="4" s="1"/>
  <c r="M1276" i="4" s="1"/>
  <c r="N1276" i="4" s="1"/>
  <c r="J1308" i="4"/>
  <c r="K1308" i="4" s="1"/>
  <c r="M1308" i="4" s="1"/>
  <c r="N1308" i="4" s="1"/>
  <c r="J126" i="4"/>
  <c r="J384" i="4"/>
  <c r="K384" i="4" s="1"/>
  <c r="M384" i="4" s="1"/>
  <c r="N384" i="4" s="1"/>
  <c r="J576" i="4"/>
  <c r="L576" i="4" s="1"/>
  <c r="J738" i="4"/>
  <c r="J866" i="4"/>
  <c r="L866" i="4" s="1"/>
  <c r="J974" i="4"/>
  <c r="J1041" i="4"/>
  <c r="J1089" i="4"/>
  <c r="L1089" i="4" s="1"/>
  <c r="J1169" i="4"/>
  <c r="J1249" i="4"/>
  <c r="K1249" i="4" s="1"/>
  <c r="M1249" i="4" s="1"/>
  <c r="N1249" i="4" s="1"/>
  <c r="J263" i="4"/>
  <c r="J1298" i="4"/>
  <c r="L1298" i="4" s="1"/>
  <c r="J140" i="4"/>
  <c r="J334" i="4"/>
  <c r="L334" i="4" s="1"/>
  <c r="J590" i="4"/>
  <c r="K590" i="4" s="1"/>
  <c r="M590" i="4" s="1"/>
  <c r="N590" i="4" s="1"/>
  <c r="J712" i="4"/>
  <c r="L712" i="4" s="1"/>
  <c r="J776" i="4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N1299" i="4" s="1"/>
  <c r="J39" i="4"/>
  <c r="L39" i="4" s="1"/>
  <c r="J103" i="4"/>
  <c r="L103" i="4" s="1"/>
  <c r="J167" i="4"/>
  <c r="L167" i="4" s="1"/>
  <c r="J231" i="4"/>
  <c r="K231" i="4" s="1"/>
  <c r="M231" i="4" s="1"/>
  <c r="J295" i="4"/>
  <c r="J361" i="4"/>
  <c r="J425" i="4"/>
  <c r="J489" i="4"/>
  <c r="L489" i="4" s="1"/>
  <c r="J553" i="4"/>
  <c r="J617" i="4"/>
  <c r="J660" i="4"/>
  <c r="J695" i="4"/>
  <c r="J727" i="4"/>
  <c r="J759" i="4"/>
  <c r="L759" i="4" s="1"/>
  <c r="J791" i="4"/>
  <c r="J823" i="4"/>
  <c r="J855" i="4"/>
  <c r="J887" i="4"/>
  <c r="J919" i="4"/>
  <c r="J947" i="4"/>
  <c r="L947" i="4" s="1"/>
  <c r="J966" i="4"/>
  <c r="J984" i="4"/>
  <c r="J1002" i="4"/>
  <c r="J1018" i="4"/>
  <c r="L1018" i="4" s="1"/>
  <c r="J1034" i="4"/>
  <c r="J1050" i="4"/>
  <c r="L1050" i="4" s="1"/>
  <c r="J1066" i="4"/>
  <c r="J1082" i="4"/>
  <c r="L1082" i="4" s="1"/>
  <c r="J1098" i="4"/>
  <c r="J1114" i="4"/>
  <c r="K1114" i="4" s="1"/>
  <c r="M1114" i="4" s="1"/>
  <c r="N1114" i="4" s="1"/>
  <c r="J1130" i="4"/>
  <c r="J1146" i="4"/>
  <c r="J1162" i="4"/>
  <c r="L1162" i="4" s="1"/>
  <c r="J1178" i="4"/>
  <c r="J1194" i="4"/>
  <c r="J1210" i="4"/>
  <c r="J1226" i="4"/>
  <c r="L1226" i="4" s="1"/>
  <c r="J1242" i="4"/>
  <c r="L1242" i="4" s="1"/>
  <c r="J1258" i="4"/>
  <c r="L1258" i="4" s="1"/>
  <c r="J1274" i="4"/>
  <c r="J1290" i="4"/>
  <c r="L1290" i="4" s="1"/>
  <c r="J1306" i="4"/>
  <c r="K1306" i="4" s="1"/>
  <c r="M1306" i="4" s="1"/>
  <c r="N1306" i="4" s="1"/>
  <c r="J109" i="4"/>
  <c r="J367" i="4"/>
  <c r="J559" i="4"/>
  <c r="L559" i="4" s="1"/>
  <c r="J662" i="4"/>
  <c r="J729" i="4"/>
  <c r="L729" i="4" s="1"/>
  <c r="J793" i="4"/>
  <c r="J857" i="4"/>
  <c r="J921" i="4"/>
  <c r="K921" i="4" s="1"/>
  <c r="M921" i="4" s="1"/>
  <c r="N921" i="4" s="1"/>
  <c r="J968" i="4"/>
  <c r="J1004" i="4"/>
  <c r="J1036" i="4"/>
  <c r="K1036" i="4" s="1"/>
  <c r="M1036" i="4" s="1"/>
  <c r="N1036" i="4" s="1"/>
  <c r="J1068" i="4"/>
  <c r="L1068" i="4" s="1"/>
  <c r="J1116" i="4"/>
  <c r="K1116" i="4" s="1"/>
  <c r="M1116" i="4" s="1"/>
  <c r="N1116" i="4" s="1"/>
  <c r="J1132" i="4"/>
  <c r="K1132" i="4" s="1"/>
  <c r="M1132" i="4" s="1"/>
  <c r="N1132" i="4" s="1"/>
  <c r="J1164" i="4"/>
  <c r="J1196" i="4"/>
  <c r="L1196" i="4" s="1"/>
  <c r="J1228" i="4"/>
  <c r="J1292" i="4"/>
  <c r="K1292" i="4" s="1"/>
  <c r="M1292" i="4" s="1"/>
  <c r="N1292" i="4" s="1"/>
  <c r="J62" i="4"/>
  <c r="L62" i="4" s="1"/>
  <c r="J320" i="4"/>
  <c r="J448" i="4"/>
  <c r="K448" i="4" s="1"/>
  <c r="M448" i="4" s="1"/>
  <c r="N448" i="4" s="1"/>
  <c r="J512" i="4"/>
  <c r="K512" i="4" s="1"/>
  <c r="M512" i="4" s="1"/>
  <c r="N512" i="4" s="1"/>
  <c r="J635" i="4"/>
  <c r="K635" i="4" s="1"/>
  <c r="M635" i="4" s="1"/>
  <c r="N635" i="4" s="1"/>
  <c r="J706" i="4"/>
  <c r="K706" i="4" s="1"/>
  <c r="M706" i="4" s="1"/>
  <c r="N706" i="4" s="1"/>
  <c r="J770" i="4"/>
  <c r="J834" i="4"/>
  <c r="K834" i="4" s="1"/>
  <c r="M834" i="4" s="1"/>
  <c r="N834" i="4" s="1"/>
  <c r="J955" i="4"/>
  <c r="K955" i="4" s="1"/>
  <c r="M955" i="4" s="1"/>
  <c r="N955" i="4" s="1"/>
  <c r="J1025" i="4"/>
  <c r="J1105" i="4"/>
  <c r="L1105" i="4" s="1"/>
  <c r="J1153" i="4"/>
  <c r="J1217" i="4"/>
  <c r="J1297" i="4"/>
  <c r="J199" i="4"/>
  <c r="J329" i="4"/>
  <c r="L329" i="4" s="1"/>
  <c r="J393" i="4"/>
  <c r="K393" i="4" s="1"/>
  <c r="M393" i="4" s="1"/>
  <c r="N393" i="4" s="1"/>
  <c r="J585" i="4"/>
  <c r="J678" i="4"/>
  <c r="L678" i="4" s="1"/>
  <c r="J775" i="4"/>
  <c r="J871" i="4"/>
  <c r="K871" i="4" s="1"/>
  <c r="M871" i="4" s="1"/>
  <c r="N871" i="4" s="1"/>
  <c r="J957" i="4"/>
  <c r="J993" i="4"/>
  <c r="J1042" i="4"/>
  <c r="K1042" i="4" s="1"/>
  <c r="M1042" i="4" s="1"/>
  <c r="N1042" i="4" s="1"/>
  <c r="J1090" i="4"/>
  <c r="L1090" i="4" s="1"/>
  <c r="J1138" i="4"/>
  <c r="J1186" i="4"/>
  <c r="J1234" i="4"/>
  <c r="L1234" i="4" s="1"/>
  <c r="J1282" i="4"/>
  <c r="K1282" i="4" s="1"/>
  <c r="M1282" i="4" s="1"/>
  <c r="N1282" i="4" s="1"/>
  <c r="J76" i="4"/>
  <c r="J204" i="4"/>
  <c r="J268" i="4"/>
  <c r="J398" i="4"/>
  <c r="L398" i="4" s="1"/>
  <c r="J643" i="4"/>
  <c r="J679" i="4"/>
  <c r="L679" i="4" s="1"/>
  <c r="J744" i="4"/>
  <c r="J808" i="4"/>
  <c r="L808" i="4" s="1"/>
  <c r="J872" i="4"/>
  <c r="L872" i="4" s="1"/>
  <c r="J936" i="4"/>
  <c r="J976" i="4"/>
  <c r="L976" i="4" s="1"/>
  <c r="J994" i="4"/>
  <c r="J1027" i="4"/>
  <c r="J1059" i="4"/>
  <c r="J1091" i="4"/>
  <c r="J1123" i="4"/>
  <c r="L1123" i="4" s="1"/>
  <c r="J1155" i="4"/>
  <c r="J1187" i="4"/>
  <c r="J1219" i="4"/>
  <c r="J1251" i="4"/>
  <c r="J1283" i="4"/>
  <c r="J44" i="4"/>
  <c r="L44" i="4" s="1"/>
  <c r="J108" i="4"/>
  <c r="J172" i="4"/>
  <c r="K172" i="4" s="1"/>
  <c r="M172" i="4" s="1"/>
  <c r="J236" i="4"/>
  <c r="J300" i="4"/>
  <c r="J366" i="4"/>
  <c r="K366" i="4" s="1"/>
  <c r="M366" i="4" s="1"/>
  <c r="N366" i="4" s="1"/>
  <c r="J430" i="4"/>
  <c r="L430" i="4" s="1"/>
  <c r="J494" i="4"/>
  <c r="L494" i="4" s="1"/>
  <c r="J558" i="4"/>
  <c r="J622" i="4"/>
  <c r="K622" i="4" s="1"/>
  <c r="M622" i="4" s="1"/>
  <c r="N622" i="4" s="1"/>
  <c r="J661" i="4"/>
  <c r="K661" i="4" s="1"/>
  <c r="M661" i="4" s="1"/>
  <c r="N661" i="4" s="1"/>
  <c r="J696" i="4"/>
  <c r="J728" i="4"/>
  <c r="J760" i="4"/>
  <c r="L760" i="4" s="1"/>
  <c r="J792" i="4"/>
  <c r="L792" i="4" s="1"/>
  <c r="J824" i="4"/>
  <c r="L824" i="4" s="1"/>
  <c r="J856" i="4"/>
  <c r="J888" i="4"/>
  <c r="J920" i="4"/>
  <c r="J949" i="4"/>
  <c r="L949" i="4" s="1"/>
  <c r="J967" i="4"/>
  <c r="J985" i="4"/>
  <c r="J1003" i="4"/>
  <c r="L1003" i="4" s="1"/>
  <c r="J1019" i="4"/>
  <c r="J1035" i="4"/>
  <c r="L1035" i="4" s="1"/>
  <c r="J1051" i="4"/>
  <c r="K1051" i="4" s="1"/>
  <c r="M1051" i="4" s="1"/>
  <c r="N1051" i="4" s="1"/>
  <c r="J1067" i="4"/>
  <c r="J1083" i="4"/>
  <c r="J1099" i="4"/>
  <c r="J1115" i="4"/>
  <c r="L1115" i="4" s="1"/>
  <c r="J1131" i="4"/>
  <c r="L1131" i="4" s="1"/>
  <c r="J1147" i="4"/>
  <c r="K1147" i="4" s="1"/>
  <c r="M1147" i="4" s="1"/>
  <c r="N1147" i="4" s="1"/>
  <c r="J1163" i="4"/>
  <c r="K1163" i="4" s="1"/>
  <c r="M1163" i="4" s="1"/>
  <c r="N1163" i="4" s="1"/>
  <c r="J1179" i="4"/>
  <c r="J1195" i="4"/>
  <c r="K1195" i="4" s="1"/>
  <c r="M1195" i="4" s="1"/>
  <c r="N1195" i="4" s="1"/>
  <c r="J1211" i="4"/>
  <c r="J1227" i="4"/>
  <c r="J1243" i="4"/>
  <c r="L1243" i="4" s="1"/>
  <c r="J1259" i="4"/>
  <c r="L1259" i="4" s="1"/>
  <c r="J1275" i="4"/>
  <c r="J1291" i="4"/>
  <c r="J1307" i="4"/>
  <c r="J45" i="4"/>
  <c r="L45" i="4" s="1"/>
  <c r="J1084" i="4"/>
  <c r="J1260" i="4"/>
  <c r="J190" i="4"/>
  <c r="L190" i="4" s="1"/>
  <c r="J672" i="4"/>
  <c r="J802" i="4"/>
  <c r="K802" i="4" s="1"/>
  <c r="M802" i="4" s="1"/>
  <c r="N802" i="4" s="1"/>
  <c r="J898" i="4"/>
  <c r="L898" i="4" s="1"/>
  <c r="J992" i="4"/>
  <c r="K992" i="4" s="1"/>
  <c r="M992" i="4" s="1"/>
  <c r="N992" i="4" s="1"/>
  <c r="J1009" i="4"/>
  <c r="L1009" i="4" s="1"/>
  <c r="J1073" i="4"/>
  <c r="L1073" i="4" s="1"/>
  <c r="J1137" i="4"/>
  <c r="J1185" i="4"/>
  <c r="L1185" i="4" s="1"/>
  <c r="J1233" i="4"/>
  <c r="L1233" i="4" s="1"/>
  <c r="J1265" i="4"/>
  <c r="J1313" i="4"/>
  <c r="J135" i="4"/>
  <c r="J457" i="4"/>
  <c r="L457" i="4" s="1"/>
  <c r="J641" i="4"/>
  <c r="K641" i="4" s="1"/>
  <c r="M641" i="4" s="1"/>
  <c r="N641" i="4" s="1"/>
  <c r="J743" i="4"/>
  <c r="J839" i="4"/>
  <c r="J935" i="4"/>
  <c r="J1010" i="4"/>
  <c r="J1058" i="4"/>
  <c r="J1122" i="4"/>
  <c r="J1170" i="4"/>
  <c r="K1170" i="4" s="1"/>
  <c r="M1170" i="4" s="1"/>
  <c r="N1170" i="4" s="1"/>
  <c r="J1218" i="4"/>
  <c r="K1218" i="4" s="1"/>
  <c r="M1218" i="4" s="1"/>
  <c r="N1218" i="4" s="1"/>
  <c r="J1266" i="4"/>
  <c r="J526" i="4"/>
  <c r="J77" i="4"/>
  <c r="L77" i="4" s="1"/>
  <c r="J141" i="4"/>
  <c r="K141" i="4" s="1"/>
  <c r="M141" i="4" s="1"/>
  <c r="J205" i="4"/>
  <c r="K205" i="4" s="1"/>
  <c r="M205" i="4" s="1"/>
  <c r="J269" i="4"/>
  <c r="J335" i="4"/>
  <c r="L335" i="4" s="1"/>
  <c r="J399" i="4"/>
  <c r="J463" i="4"/>
  <c r="J527" i="4"/>
  <c r="J591" i="4"/>
  <c r="J644" i="4"/>
  <c r="L644" i="4" s="1"/>
  <c r="J680" i="4"/>
  <c r="J713" i="4"/>
  <c r="J745" i="4"/>
  <c r="L745" i="4" s="1"/>
  <c r="J777" i="4"/>
  <c r="J809" i="4"/>
  <c r="J841" i="4"/>
  <c r="L841" i="4" s="1"/>
  <c r="J873" i="4"/>
  <c r="L873" i="4" s="1"/>
  <c r="J905" i="4"/>
  <c r="J937" i="4"/>
  <c r="J959" i="4"/>
  <c r="L959" i="4" s="1"/>
  <c r="J977" i="4"/>
  <c r="J995" i="4"/>
  <c r="L995" i="4" s="1"/>
  <c r="J1012" i="4"/>
  <c r="J1028" i="4"/>
  <c r="J1044" i="4"/>
  <c r="K1044" i="4" s="1"/>
  <c r="M1044" i="4" s="1"/>
  <c r="N1044" i="4" s="1"/>
  <c r="J1060" i="4"/>
  <c r="L1060" i="4" s="1"/>
  <c r="J1076" i="4"/>
  <c r="J1092" i="4"/>
  <c r="L1092" i="4" s="1"/>
  <c r="J1108" i="4"/>
  <c r="J1124" i="4"/>
  <c r="J1140" i="4"/>
  <c r="J1156" i="4"/>
  <c r="K1156" i="4" s="1"/>
  <c r="M1156" i="4" s="1"/>
  <c r="N1156" i="4" s="1"/>
  <c r="J1172" i="4"/>
  <c r="J1188" i="4"/>
  <c r="L1188" i="4" s="1"/>
  <c r="J1204" i="4"/>
  <c r="J1220" i="4"/>
  <c r="L1220" i="4" s="1"/>
  <c r="J1236" i="4"/>
  <c r="K1236" i="4" s="1"/>
  <c r="M1236" i="4" s="1"/>
  <c r="N1236" i="4" s="1"/>
  <c r="J1252" i="4"/>
  <c r="J1268" i="4"/>
  <c r="J1284" i="4"/>
  <c r="J1300" i="4"/>
  <c r="L1300" i="4" s="1"/>
  <c r="J237" i="4"/>
  <c r="Q237" i="4" s="1"/>
  <c r="J254" i="4"/>
  <c r="L254" i="4" s="1"/>
  <c r="J930" i="4"/>
  <c r="J1057" i="4"/>
  <c r="L1057" i="4" s="1"/>
  <c r="J1121" i="4"/>
  <c r="J1201" i="4"/>
  <c r="J1281" i="4"/>
  <c r="J71" i="4"/>
  <c r="J521" i="4"/>
  <c r="L521" i="4" s="1"/>
  <c r="J711" i="4"/>
  <c r="K711" i="4" s="1"/>
  <c r="M711" i="4" s="1"/>
  <c r="N711" i="4" s="1"/>
  <c r="J807" i="4"/>
  <c r="J903" i="4"/>
  <c r="J975" i="4"/>
  <c r="K975" i="4" s="1"/>
  <c r="M975" i="4" s="1"/>
  <c r="N975" i="4" s="1"/>
  <c r="J1026" i="4"/>
  <c r="K1026" i="4" s="1"/>
  <c r="M1026" i="4" s="1"/>
  <c r="N1026" i="4" s="1"/>
  <c r="J1074" i="4"/>
  <c r="L1074" i="4" s="1"/>
  <c r="J1106" i="4"/>
  <c r="K1106" i="4" s="1"/>
  <c r="M1106" i="4" s="1"/>
  <c r="N1106" i="4" s="1"/>
  <c r="J1154" i="4"/>
  <c r="L1154" i="4" s="1"/>
  <c r="J1202" i="4"/>
  <c r="J1250" i="4"/>
  <c r="J462" i="4"/>
  <c r="L462" i="4" s="1"/>
  <c r="J303" i="4"/>
  <c r="H41" i="1"/>
  <c r="H33" i="1"/>
  <c r="F28" i="5"/>
  <c r="F12" i="5"/>
  <c r="H98" i="1"/>
  <c r="H112" i="1"/>
  <c r="F31" i="5"/>
  <c r="H80" i="1"/>
  <c r="H72" i="1"/>
  <c r="H86" i="1"/>
  <c r="H106" i="1"/>
  <c r="H128" i="1"/>
  <c r="H120" i="1"/>
  <c r="H153" i="1"/>
  <c r="M22" i="5"/>
  <c r="M20" i="5"/>
  <c r="F7" i="5"/>
  <c r="M4" i="5"/>
  <c r="H176" i="1"/>
  <c r="H193" i="1"/>
  <c r="H204" i="1"/>
  <c r="J204" i="1" s="1"/>
  <c r="M17" i="5"/>
  <c r="H150" i="1"/>
  <c r="H198" i="1"/>
  <c r="H194" i="1"/>
  <c r="H190" i="1"/>
  <c r="H186" i="1"/>
  <c r="H50" i="1"/>
  <c r="J50" i="1" s="1"/>
  <c r="H26" i="1"/>
  <c r="J26" i="1" s="1"/>
  <c r="H18" i="1"/>
  <c r="M18" i="5"/>
  <c r="H36" i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H133" i="1"/>
  <c r="H151" i="1"/>
  <c r="M19" i="5"/>
  <c r="M11" i="5"/>
  <c r="M3" i="5"/>
  <c r="N27" i="5"/>
  <c r="N19" i="5"/>
  <c r="N11" i="5"/>
  <c r="F5" i="5"/>
  <c r="B27" i="5"/>
  <c r="F19" i="5"/>
  <c r="F11" i="5"/>
  <c r="H60" i="1"/>
  <c r="F33" i="5"/>
  <c r="F25" i="5"/>
  <c r="H64" i="1"/>
  <c r="F16" i="5"/>
  <c r="B9" i="5"/>
  <c r="H57" i="1"/>
  <c r="H70" i="1"/>
  <c r="H74" i="1"/>
  <c r="H66" i="1"/>
  <c r="H93" i="1"/>
  <c r="H100" i="1"/>
  <c r="H104" i="1"/>
  <c r="F18" i="5"/>
  <c r="H143" i="1"/>
  <c r="H103" i="1"/>
  <c r="J103" i="1" s="1"/>
  <c r="B32" i="5"/>
  <c r="N21" i="5"/>
  <c r="H205" i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H99" i="1"/>
  <c r="H108" i="1"/>
  <c r="J108" i="1" s="1"/>
  <c r="H129" i="1"/>
  <c r="J129" i="1" s="1"/>
  <c r="H77" i="1"/>
  <c r="H69" i="1"/>
  <c r="H81" i="1"/>
  <c r="J81" i="1" s="1"/>
  <c r="H73" i="1"/>
  <c r="H114" i="1"/>
  <c r="H44" i="1"/>
  <c r="J44" i="1" s="1"/>
  <c r="H20" i="1"/>
  <c r="J20" i="1" s="1"/>
  <c r="F6" i="5"/>
  <c r="B14" i="5"/>
  <c r="M30" i="5"/>
  <c r="M5" i="5"/>
  <c r="N29" i="5"/>
  <c r="N5" i="5"/>
  <c r="H173" i="1"/>
  <c r="H227" i="1"/>
  <c r="J227" i="1" s="1"/>
  <c r="H51" i="1"/>
  <c r="J51" i="1" s="1"/>
  <c r="H35" i="1"/>
  <c r="J35" i="1" s="1"/>
  <c r="H19" i="1"/>
  <c r="H42" i="1"/>
  <c r="J42" i="1" s="1"/>
  <c r="H34" i="1"/>
  <c r="J34" i="1" s="1"/>
  <c r="B31" i="5"/>
  <c r="B23" i="5"/>
  <c r="B15" i="5"/>
  <c r="H142" i="1"/>
  <c r="H134" i="1"/>
  <c r="J134" i="1" s="1"/>
  <c r="H152" i="1"/>
  <c r="J152" i="1" s="1"/>
  <c r="H148" i="1"/>
  <c r="H49" i="1"/>
  <c r="J49" i="1" s="1"/>
  <c r="H25" i="1"/>
  <c r="J25" i="1" s="1"/>
  <c r="H56" i="1"/>
  <c r="J56" i="1" s="1"/>
  <c r="H139" i="1"/>
  <c r="H149" i="1"/>
  <c r="H158" i="1"/>
  <c r="J158" i="1" s="1"/>
  <c r="H229" i="1"/>
  <c r="H234" i="1"/>
  <c r="B26" i="5"/>
  <c r="H140" i="1"/>
  <c r="H220" i="1"/>
  <c r="H43" i="1"/>
  <c r="J43" i="1" s="1"/>
  <c r="B11" i="5"/>
  <c r="N10" i="5"/>
  <c r="H165" i="1"/>
  <c r="H157" i="1"/>
  <c r="B13" i="5"/>
  <c r="F15" i="5"/>
  <c r="H135" i="1"/>
  <c r="H162" i="1"/>
  <c r="J162" i="1" s="1"/>
  <c r="H172" i="1"/>
  <c r="H168" i="1"/>
  <c r="J168" i="1" s="1"/>
  <c r="H210" i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H23" i="1"/>
  <c r="J23" i="1" s="1"/>
  <c r="H62" i="1"/>
  <c r="J62" i="1" s="1"/>
  <c r="H65" i="1"/>
  <c r="J65" i="1" s="1"/>
  <c r="M10" i="5"/>
  <c r="M2" i="5"/>
  <c r="N18" i="5"/>
  <c r="B12" i="5"/>
  <c r="H38" i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H201" i="1"/>
  <c r="J201" i="1" s="1"/>
  <c r="H212" i="1"/>
  <c r="H52" i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80" i="1"/>
  <c r="J176" i="1"/>
  <c r="B30" i="5"/>
  <c r="J41" i="1"/>
  <c r="J33" i="1"/>
  <c r="B28" i="5"/>
  <c r="H200" i="1"/>
  <c r="H27" i="1"/>
  <c r="J27" i="1" s="1"/>
  <c r="H191" i="1"/>
  <c r="H225" i="1"/>
  <c r="J225" i="1" s="1"/>
  <c r="H169" i="1"/>
  <c r="J169" i="1" s="1"/>
  <c r="H183" i="1"/>
  <c r="H175" i="1"/>
  <c r="H197" i="1"/>
  <c r="H189" i="1"/>
  <c r="J189" i="1" s="1"/>
  <c r="H203" i="1"/>
  <c r="H215" i="1"/>
  <c r="J215" i="1" s="1"/>
  <c r="H217" i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J60" i="1"/>
  <c r="F24" i="5"/>
  <c r="J36" i="1"/>
  <c r="F32" i="5"/>
  <c r="H22" i="1"/>
  <c r="J22" i="1" s="1"/>
  <c r="J38" i="1"/>
  <c r="J19" i="1"/>
  <c r="J18" i="1"/>
  <c r="N14" i="5"/>
  <c r="J118" i="1"/>
  <c r="H155" i="1"/>
  <c r="H170" i="1"/>
  <c r="H196" i="1"/>
  <c r="H192" i="1"/>
  <c r="H188" i="1"/>
  <c r="H184" i="1"/>
  <c r="M6" i="5"/>
  <c r="N22" i="5"/>
  <c r="J79" i="1"/>
  <c r="J71" i="1"/>
  <c r="J110" i="1"/>
  <c r="H154" i="1"/>
  <c r="H164" i="1"/>
  <c r="H160" i="1"/>
  <c r="H156" i="1"/>
  <c r="H182" i="1"/>
  <c r="H178" i="1"/>
  <c r="H199" i="1"/>
  <c r="J199" i="1" s="1"/>
  <c r="H211" i="1"/>
  <c r="H207" i="1"/>
  <c r="H221" i="1"/>
  <c r="J83" i="1"/>
  <c r="J98" i="1"/>
  <c r="J116" i="1"/>
  <c r="J117" i="1"/>
  <c r="H161" i="1"/>
  <c r="H218" i="1"/>
  <c r="J210" i="1"/>
  <c r="M31" i="5"/>
  <c r="N3" i="5"/>
  <c r="M28" i="5"/>
  <c r="M12" i="5"/>
  <c r="N28" i="5"/>
  <c r="N12" i="5"/>
  <c r="J101" i="1"/>
  <c r="H171" i="1"/>
  <c r="H159" i="1"/>
  <c r="H181" i="1"/>
  <c r="J194" i="1"/>
  <c r="H219" i="1"/>
  <c r="J76" i="1"/>
  <c r="J68" i="1"/>
  <c r="J94" i="1"/>
  <c r="J86" i="1"/>
  <c r="J82" i="1"/>
  <c r="J97" i="1"/>
  <c r="J115" i="1"/>
  <c r="J124" i="1"/>
  <c r="J120" i="1"/>
  <c r="M29" i="5"/>
  <c r="J75" i="1"/>
  <c r="J67" i="1"/>
  <c r="J112" i="1"/>
  <c r="H145" i="1"/>
  <c r="H195" i="1"/>
  <c r="H187" i="1"/>
  <c r="H206" i="1"/>
  <c r="H209" i="1"/>
  <c r="M14" i="5"/>
  <c r="N31" i="5"/>
  <c r="N23" i="5"/>
  <c r="M33" i="5"/>
  <c r="J127" i="1"/>
  <c r="J157" i="1"/>
  <c r="H202" i="1"/>
  <c r="H213" i="1"/>
  <c r="M21" i="5"/>
  <c r="N30" i="5"/>
  <c r="N15" i="5"/>
  <c r="N7" i="5"/>
  <c r="J107" i="1"/>
  <c r="H179" i="1"/>
  <c r="H224" i="1"/>
  <c r="H235" i="1"/>
  <c r="H231" i="1"/>
  <c r="J231" i="1" s="1"/>
  <c r="H236" i="1"/>
  <c r="J223" i="1"/>
  <c r="J85" i="1"/>
  <c r="J123" i="1"/>
  <c r="J84" i="1"/>
  <c r="J102" i="1"/>
  <c r="J80" i="1"/>
  <c r="J125" i="1"/>
  <c r="J126" i="1"/>
  <c r="J109" i="1"/>
  <c r="J166" i="1"/>
  <c r="J113" i="1"/>
  <c r="J77" i="1"/>
  <c r="J87" i="1"/>
  <c r="L60" i="4"/>
  <c r="J119" i="1"/>
  <c r="K1136" i="4"/>
  <c r="M1136" i="4" s="1"/>
  <c r="N1136" i="4" s="1"/>
  <c r="J114" i="1"/>
  <c r="L1231" i="4"/>
  <c r="L1295" i="4"/>
  <c r="J96" i="1"/>
  <c r="K336" i="4"/>
  <c r="M336" i="4" s="1"/>
  <c r="N336" i="4" s="1"/>
  <c r="K776" i="4"/>
  <c r="M776" i="4" s="1"/>
  <c r="N776" i="4" s="1"/>
  <c r="L1008" i="4"/>
  <c r="K1200" i="4"/>
  <c r="M1200" i="4" s="1"/>
  <c r="N1200" i="4" s="1"/>
  <c r="J106" i="1"/>
  <c r="J73" i="1"/>
  <c r="J66" i="1"/>
  <c r="J89" i="1"/>
  <c r="J111" i="1"/>
  <c r="J74" i="1"/>
  <c r="J131" i="1"/>
  <c r="L806" i="4"/>
  <c r="K441" i="4"/>
  <c r="M441" i="4" s="1"/>
  <c r="N441" i="4" s="1"/>
  <c r="L1257" i="4"/>
  <c r="K993" i="4"/>
  <c r="M993" i="4" s="1"/>
  <c r="N993" i="4" s="1"/>
  <c r="J64" i="1"/>
  <c r="K874" i="4"/>
  <c r="M874" i="4" s="1"/>
  <c r="N874" i="4" s="1"/>
  <c r="L1066" i="4"/>
  <c r="J95" i="1"/>
  <c r="K18" i="4"/>
  <c r="M18" i="4" s="1"/>
  <c r="K146" i="4"/>
  <c r="M146" i="4" s="1"/>
  <c r="J90" i="1"/>
  <c r="J155" i="1"/>
  <c r="L83" i="4"/>
  <c r="L786" i="4"/>
  <c r="L82" i="4"/>
  <c r="K274" i="4"/>
  <c r="M274" i="4" s="1"/>
  <c r="L618" i="4"/>
  <c r="K923" i="4"/>
  <c r="M923" i="4" s="1"/>
  <c r="N923" i="4" s="1"/>
  <c r="L341" i="4"/>
  <c r="K917" i="4"/>
  <c r="M917" i="4" s="1"/>
  <c r="N917" i="4" s="1"/>
  <c r="K1045" i="4"/>
  <c r="M1045" i="4" s="1"/>
  <c r="N1045" i="4" s="1"/>
  <c r="L198" i="4"/>
  <c r="L374" i="4"/>
  <c r="L934" i="4"/>
  <c r="L1006" i="4"/>
  <c r="J52" i="1"/>
  <c r="J128" i="1"/>
  <c r="J78" i="1"/>
  <c r="J104" i="1"/>
  <c r="J92" i="1"/>
  <c r="J91" i="1"/>
  <c r="J88" i="1"/>
  <c r="J99" i="1"/>
  <c r="J178" i="1"/>
  <c r="K323" i="4"/>
  <c r="M323" i="4" s="1"/>
  <c r="N323" i="4" s="1"/>
  <c r="L147" i="4"/>
  <c r="J202" i="1"/>
  <c r="J121" i="1"/>
  <c r="J122" i="1"/>
  <c r="K1198" i="4"/>
  <c r="M1198" i="4" s="1"/>
  <c r="N1198" i="4" s="1"/>
  <c r="J69" i="1"/>
  <c r="J130" i="1"/>
  <c r="J100" i="1"/>
  <c r="J105" i="1"/>
  <c r="J93" i="1"/>
  <c r="K919" i="4"/>
  <c r="M919" i="4" s="1"/>
  <c r="N919" i="4" s="1"/>
  <c r="K853" i="4"/>
  <c r="M853" i="4" s="1"/>
  <c r="N853" i="4" s="1"/>
  <c r="L1260" i="4"/>
  <c r="L47" i="4"/>
  <c r="L1237" i="4"/>
  <c r="J193" i="1"/>
  <c r="J197" i="1"/>
  <c r="J170" i="1"/>
  <c r="J150" i="1"/>
  <c r="J154" i="1"/>
  <c r="J156" i="1"/>
  <c r="J182" i="1"/>
  <c r="J213" i="1"/>
  <c r="J70" i="1"/>
  <c r="J72" i="1"/>
  <c r="J236" i="1"/>
  <c r="J196" i="1"/>
  <c r="J192" i="1"/>
  <c r="J188" i="1"/>
  <c r="J184" i="1"/>
  <c r="J206" i="1"/>
  <c r="J209" i="1"/>
  <c r="L362" i="4"/>
  <c r="L1099" i="4"/>
  <c r="K1169" i="4"/>
  <c r="M1169" i="4" s="1"/>
  <c r="N1169" i="4" s="1"/>
  <c r="L293" i="4"/>
  <c r="K490" i="4"/>
  <c r="M490" i="4" s="1"/>
  <c r="N490" i="4" s="1"/>
  <c r="L183" i="4"/>
  <c r="K809" i="4"/>
  <c r="M809" i="4" s="1"/>
  <c r="N809" i="4" s="1"/>
  <c r="L165" i="4"/>
  <c r="L300" i="4"/>
  <c r="L109" i="4"/>
  <c r="L257" i="4"/>
  <c r="L1039" i="4"/>
  <c r="K129" i="4"/>
  <c r="M129" i="4" s="1"/>
  <c r="K275" i="4"/>
  <c r="M275" i="4" s="1"/>
  <c r="L1167" i="4"/>
  <c r="K405" i="4"/>
  <c r="M405" i="4" s="1"/>
  <c r="N405" i="4" s="1"/>
  <c r="K469" i="4"/>
  <c r="M469" i="4" s="1"/>
  <c r="N469" i="4" s="1"/>
  <c r="L1201" i="4"/>
  <c r="L1103" i="4"/>
  <c r="L1264" i="4"/>
  <c r="J57" i="1"/>
  <c r="J48" i="1"/>
  <c r="L40" i="4"/>
  <c r="L104" i="4"/>
  <c r="L627" i="4"/>
  <c r="J203" i="1"/>
  <c r="J217" i="1"/>
  <c r="J165" i="1"/>
  <c r="J140" i="1"/>
  <c r="J161" i="1"/>
  <c r="J143" i="1"/>
  <c r="J220" i="1"/>
  <c r="K956" i="4"/>
  <c r="M956" i="4" s="1"/>
  <c r="N956" i="4" s="1"/>
  <c r="L657" i="4"/>
  <c r="L669" i="4"/>
  <c r="L770" i="4"/>
  <c r="L318" i="4"/>
  <c r="L210" i="4"/>
  <c r="L19" i="4"/>
  <c r="K533" i="4"/>
  <c r="M533" i="4" s="1"/>
  <c r="N533" i="4" s="1"/>
  <c r="K584" i="4"/>
  <c r="M584" i="4" s="1"/>
  <c r="N584" i="4" s="1"/>
  <c r="J171" i="1"/>
  <c r="J159" i="1"/>
  <c r="J181" i="1"/>
  <c r="J174" i="1"/>
  <c r="J219" i="1"/>
  <c r="J191" i="1"/>
  <c r="L168" i="4"/>
  <c r="K296" i="4"/>
  <c r="M296" i="4" s="1"/>
  <c r="L304" i="4"/>
  <c r="L328" i="4"/>
  <c r="L592" i="4"/>
  <c r="L664" i="4"/>
  <c r="K864" i="4"/>
  <c r="M864" i="4" s="1"/>
  <c r="N864" i="4" s="1"/>
  <c r="J183" i="1"/>
  <c r="J179" i="1"/>
  <c r="J175" i="1"/>
  <c r="J200" i="1"/>
  <c r="J218" i="1"/>
  <c r="J153" i="1"/>
  <c r="J142" i="1"/>
  <c r="J148" i="1"/>
  <c r="J212" i="1"/>
  <c r="J208" i="1"/>
  <c r="J139" i="1"/>
  <c r="J149" i="1"/>
  <c r="J198" i="1"/>
  <c r="J190" i="1"/>
  <c r="J186" i="1"/>
  <c r="J135" i="1"/>
  <c r="J145" i="1"/>
  <c r="J141" i="1"/>
  <c r="J137" i="1"/>
  <c r="J133" i="1"/>
  <c r="J151" i="1"/>
  <c r="J147" i="1"/>
  <c r="J195" i="1"/>
  <c r="J187" i="1"/>
  <c r="J205" i="1"/>
  <c r="J211" i="1"/>
  <c r="J207" i="1"/>
  <c r="J221" i="1"/>
  <c r="J224" i="1"/>
  <c r="J235" i="1"/>
  <c r="J228" i="1"/>
  <c r="J233" i="1"/>
  <c r="J229" i="1"/>
  <c r="J234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J164" i="1"/>
  <c r="J160" i="1"/>
  <c r="H167" i="1"/>
  <c r="J167" i="1" s="1"/>
  <c r="H163" i="1"/>
  <c r="J163" i="1" s="1"/>
  <c r="H177" i="1"/>
  <c r="J177" i="1" s="1"/>
  <c r="J173" i="1"/>
  <c r="H185" i="1"/>
  <c r="J185" i="1" s="1"/>
  <c r="H214" i="1"/>
  <c r="J214" i="1" s="1"/>
  <c r="L686" i="4" l="1"/>
  <c r="L553" i="4"/>
  <c r="J3" i="1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L1200" i="4"/>
  <c r="K9" i="4"/>
  <c r="M9" i="4" s="1"/>
  <c r="L1136" i="4"/>
  <c r="L1222" i="4"/>
  <c r="K599" i="4"/>
  <c r="M599" i="4" s="1"/>
  <c r="N599" i="4" s="1"/>
  <c r="K908" i="4"/>
  <c r="M908" i="4" s="1"/>
  <c r="N908" i="4" s="1"/>
  <c r="K111" i="4"/>
  <c r="M111" i="4" s="1"/>
  <c r="K119" i="4"/>
  <c r="M119" i="4" s="1"/>
  <c r="N119" i="4" s="1"/>
  <c r="L336" i="4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L1240" i="4"/>
  <c r="L776" i="4"/>
  <c r="K431" i="4"/>
  <c r="M431" i="4" s="1"/>
  <c r="N431" i="4" s="1"/>
  <c r="L1106" i="4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N965" i="4" s="1"/>
  <c r="K1111" i="4"/>
  <c r="M1111" i="4" s="1"/>
  <c r="N1111" i="4" s="1"/>
  <c r="L1177" i="4"/>
  <c r="K786" i="4"/>
  <c r="M786" i="4" s="1"/>
  <c r="N786" i="4" s="1"/>
  <c r="K841" i="4"/>
  <c r="M841" i="4" s="1"/>
  <c r="N841" i="4" s="1"/>
  <c r="K1162" i="4"/>
  <c r="M1162" i="4" s="1"/>
  <c r="N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K792" i="4"/>
  <c r="M792" i="4" s="1"/>
  <c r="N792" i="4" s="1"/>
  <c r="K895" i="4"/>
  <c r="M895" i="4" s="1"/>
  <c r="N895" i="4" s="1"/>
  <c r="K505" i="4"/>
  <c r="M505" i="4" s="1"/>
  <c r="N505" i="4" s="1"/>
  <c r="L1036" i="4"/>
  <c r="K516" i="4"/>
  <c r="M516" i="4" s="1"/>
  <c r="N516" i="4" s="1"/>
  <c r="K252" i="4"/>
  <c r="M252" i="4" s="1"/>
  <c r="N252" i="4" s="1"/>
  <c r="L178" i="4"/>
  <c r="N178" i="4" s="1"/>
  <c r="K457" i="4"/>
  <c r="M457" i="4" s="1"/>
  <c r="N457" i="4" s="1"/>
  <c r="L819" i="4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N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N686" i="4" s="1"/>
  <c r="L972" i="4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K948" i="4"/>
  <c r="M948" i="4" s="1"/>
  <c r="N948" i="4" s="1"/>
  <c r="K1298" i="4"/>
  <c r="M1298" i="4" s="1"/>
  <c r="N1298" i="4" s="1"/>
  <c r="K389" i="4"/>
  <c r="M389" i="4" s="1"/>
  <c r="N389" i="4" s="1"/>
  <c r="K511" i="4"/>
  <c r="M511" i="4" s="1"/>
  <c r="N511" i="4" s="1"/>
  <c r="K572" i="4"/>
  <c r="M572" i="4" s="1"/>
  <c r="N572" i="4" s="1"/>
  <c r="L87" i="4"/>
  <c r="N87" i="4" s="1"/>
  <c r="L1209" i="4"/>
  <c r="K58" i="4"/>
  <c r="M58" i="4" s="1"/>
  <c r="N58" i="4" s="1"/>
  <c r="K1008" i="4"/>
  <c r="M1008" i="4" s="1"/>
  <c r="N1008" i="4" s="1"/>
  <c r="L989" i="4"/>
  <c r="K673" i="4"/>
  <c r="M673" i="4" s="1"/>
  <c r="N673" i="4" s="1"/>
  <c r="L703" i="4"/>
  <c r="K936" i="4"/>
  <c r="M936" i="4" s="1"/>
  <c r="N936" i="4" s="1"/>
  <c r="L38" i="4"/>
  <c r="N38" i="4" s="1"/>
  <c r="L1305" i="4"/>
  <c r="K167" i="4"/>
  <c r="M167" i="4" s="1"/>
  <c r="N167" i="4" s="1"/>
  <c r="K1095" i="4"/>
  <c r="M1095" i="4" s="1"/>
  <c r="N1095" i="4" s="1"/>
  <c r="L975" i="4"/>
  <c r="L324" i="4"/>
  <c r="L506" i="4"/>
  <c r="K260" i="4"/>
  <c r="M260" i="4" s="1"/>
  <c r="N260" i="4" s="1"/>
  <c r="K1077" i="4"/>
  <c r="M1077" i="4" s="1"/>
  <c r="N1077" i="4" s="1"/>
  <c r="L1272" i="4"/>
  <c r="K849" i="4"/>
  <c r="M849" i="4" s="1"/>
  <c r="N849" i="4" s="1"/>
  <c r="L1044" i="4"/>
  <c r="L441" i="4"/>
  <c r="L1282" i="4"/>
  <c r="K913" i="4"/>
  <c r="M913" i="4" s="1"/>
  <c r="N913" i="4" s="1"/>
  <c r="K103" i="4"/>
  <c r="M103" i="4" s="1"/>
  <c r="N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L917" i="4"/>
  <c r="L1114" i="4"/>
  <c r="K586" i="4"/>
  <c r="M586" i="4" s="1"/>
  <c r="N586" i="4" s="1"/>
  <c r="L545" i="4"/>
  <c r="K150" i="4"/>
  <c r="M150" i="4" s="1"/>
  <c r="N150" i="4" s="1"/>
  <c r="L831" i="4"/>
  <c r="K214" i="4"/>
  <c r="M214" i="4" s="1"/>
  <c r="L81" i="4"/>
  <c r="N81" i="4" s="1"/>
  <c r="K461" i="4"/>
  <c r="M461" i="4" s="1"/>
  <c r="N461" i="4" s="1"/>
  <c r="K335" i="4"/>
  <c r="M335" i="4" s="1"/>
  <c r="N335" i="4" s="1"/>
  <c r="K959" i="4"/>
  <c r="M959" i="4" s="1"/>
  <c r="N959" i="4" s="1"/>
  <c r="K255" i="4"/>
  <c r="M255" i="4" s="1"/>
  <c r="N255" i="4" s="1"/>
  <c r="L1241" i="4"/>
  <c r="K1089" i="4"/>
  <c r="M1089" i="4" s="1"/>
  <c r="N1089" i="4" s="1"/>
  <c r="K867" i="4"/>
  <c r="M867" i="4" s="1"/>
  <c r="N867" i="4" s="1"/>
  <c r="L1310" i="4"/>
  <c r="K124" i="4"/>
  <c r="M124" i="4" s="1"/>
  <c r="N124" i="4" s="1"/>
  <c r="K397" i="4"/>
  <c r="M397" i="4" s="1"/>
  <c r="N397" i="4" s="1"/>
  <c r="K1220" i="4"/>
  <c r="M1220" i="4" s="1"/>
  <c r="N1220" i="4" s="1"/>
  <c r="K1214" i="4"/>
  <c r="M1214" i="4" s="1"/>
  <c r="N1214" i="4" s="1"/>
  <c r="K191" i="4"/>
  <c r="M191" i="4" s="1"/>
  <c r="N191" i="4" s="1"/>
  <c r="K357" i="4"/>
  <c r="M357" i="4" s="1"/>
  <c r="N357" i="4" s="1"/>
  <c r="K1068" i="4"/>
  <c r="M1068" i="4" s="1"/>
  <c r="N1068" i="4" s="1"/>
  <c r="L1308" i="4"/>
  <c r="K446" i="4"/>
  <c r="M446" i="4" s="1"/>
  <c r="N446" i="4" s="1"/>
  <c r="K198" i="4"/>
  <c r="M198" i="4" s="1"/>
  <c r="N198" i="4" s="1"/>
  <c r="K485" i="4"/>
  <c r="M485" i="4" s="1"/>
  <c r="N485" i="4" s="1"/>
  <c r="L1156" i="4"/>
  <c r="L173" i="4"/>
  <c r="N173" i="4" s="1"/>
  <c r="K1066" i="4"/>
  <c r="M1066" i="4" s="1"/>
  <c r="N1066" i="4" s="1"/>
  <c r="K265" i="4"/>
  <c r="M265" i="4" s="1"/>
  <c r="N265" i="4" s="1"/>
  <c r="K854" i="4"/>
  <c r="M854" i="4" s="1"/>
  <c r="N854" i="4" s="1"/>
  <c r="L1249" i="4"/>
  <c r="K273" i="4"/>
  <c r="M273" i="4" s="1"/>
  <c r="N273" i="4" s="1"/>
  <c r="L797" i="4"/>
  <c r="L141" i="4"/>
  <c r="N141" i="4" s="1"/>
  <c r="K449" i="4"/>
  <c r="M449" i="4" s="1"/>
  <c r="N449" i="4" s="1"/>
  <c r="L1191" i="4"/>
  <c r="K1151" i="4"/>
  <c r="M1151" i="4" s="1"/>
  <c r="N1151" i="4" s="1"/>
  <c r="L49" i="4"/>
  <c r="N49" i="4" s="1"/>
  <c r="K478" i="4"/>
  <c r="M478" i="4" s="1"/>
  <c r="N478" i="4" s="1"/>
  <c r="K190" i="4"/>
  <c r="M190" i="4" s="1"/>
  <c r="N190" i="4" s="1"/>
  <c r="K345" i="4"/>
  <c r="M345" i="4" s="1"/>
  <c r="N345" i="4" s="1"/>
  <c r="L18" i="4"/>
  <c r="N18" i="4" s="1"/>
  <c r="K93" i="4"/>
  <c r="M93" i="4" s="1"/>
  <c r="L342" i="4"/>
  <c r="K1287" i="4"/>
  <c r="M1287" i="4" s="1"/>
  <c r="N1287" i="4" s="1"/>
  <c r="K574" i="4"/>
  <c r="M574" i="4" s="1"/>
  <c r="N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L874" i="4"/>
  <c r="K1208" i="4"/>
  <c r="M1208" i="4" s="1"/>
  <c r="N1208" i="4" s="1"/>
  <c r="K1009" i="4"/>
  <c r="M1009" i="4" s="1"/>
  <c r="N1009" i="4" s="1"/>
  <c r="L809" i="4"/>
  <c r="L1020" i="4"/>
  <c r="L196" i="4"/>
  <c r="N196" i="4" s="1"/>
  <c r="L583" i="4"/>
  <c r="L307" i="4"/>
  <c r="N307" i="4" s="1"/>
  <c r="L1116" i="4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N74" i="4" s="1"/>
  <c r="K1094" i="4"/>
  <c r="M1094" i="4" s="1"/>
  <c r="N1094" i="4" s="1"/>
  <c r="K97" i="4"/>
  <c r="M97" i="4" s="1"/>
  <c r="N97" i="4" s="1"/>
  <c r="K1033" i="4"/>
  <c r="M1033" i="4" s="1"/>
  <c r="N1033" i="4" s="1"/>
  <c r="K212" i="4"/>
  <c r="M212" i="4" s="1"/>
  <c r="N212" i="4" s="1"/>
  <c r="L992" i="4"/>
  <c r="K374" i="4"/>
  <c r="M374" i="4" s="1"/>
  <c r="N374" i="4" s="1"/>
  <c r="K1060" i="4"/>
  <c r="M1060" i="4" s="1"/>
  <c r="N1060" i="4" s="1"/>
  <c r="L648" i="4"/>
  <c r="L266" i="4"/>
  <c r="N266" i="4" s="1"/>
  <c r="K724" i="4"/>
  <c r="M724" i="4" s="1"/>
  <c r="N724" i="4" s="1"/>
  <c r="K553" i="4"/>
  <c r="M553" i="4" s="1"/>
  <c r="N553" i="4" s="1"/>
  <c r="L1276" i="4"/>
  <c r="L369" i="4"/>
  <c r="L783" i="4"/>
  <c r="K122" i="4"/>
  <c r="M122" i="4" s="1"/>
  <c r="N122" i="4" s="1"/>
  <c r="L951" i="4"/>
  <c r="K1304" i="4"/>
  <c r="M1304" i="4" s="1"/>
  <c r="N1304" i="4" s="1"/>
  <c r="K1260" i="4"/>
  <c r="M1260" i="4" s="1"/>
  <c r="N1260" i="4" s="1"/>
  <c r="L993" i="4"/>
  <c r="K1018" i="4"/>
  <c r="M1018" i="4" s="1"/>
  <c r="N1018" i="4" s="1"/>
  <c r="K225" i="4"/>
  <c r="M225" i="4" s="1"/>
  <c r="N225" i="4" s="1"/>
  <c r="K82" i="4"/>
  <c r="M82" i="4" s="1"/>
  <c r="N82" i="4" s="1"/>
  <c r="K458" i="4"/>
  <c r="M458" i="4" s="1"/>
  <c r="N458" i="4" s="1"/>
  <c r="L909" i="4"/>
  <c r="K691" i="4"/>
  <c r="M691" i="4" s="1"/>
  <c r="N691" i="4" s="1"/>
  <c r="K633" i="4"/>
  <c r="M633" i="4" s="1"/>
  <c r="N633" i="4" s="1"/>
  <c r="L444" i="4"/>
  <c r="K535" i="4"/>
  <c r="M535" i="4" s="1"/>
  <c r="N535" i="4" s="1"/>
  <c r="L788" i="4"/>
  <c r="K598" i="4"/>
  <c r="M598" i="4" s="1"/>
  <c r="N598" i="4" s="1"/>
  <c r="L833" i="4"/>
  <c r="K578" i="4"/>
  <c r="M578" i="4" s="1"/>
  <c r="N578" i="4" s="1"/>
  <c r="L325" i="4"/>
  <c r="K503" i="4"/>
  <c r="M503" i="4" s="1"/>
  <c r="N503" i="4" s="1"/>
  <c r="K1093" i="4"/>
  <c r="M1093" i="4" s="1"/>
  <c r="N1093" i="4" s="1"/>
  <c r="K587" i="4"/>
  <c r="M587" i="4" s="1"/>
  <c r="N587" i="4" s="1"/>
  <c r="L490" i="4"/>
  <c r="L853" i="4"/>
  <c r="K171" i="4"/>
  <c r="M171" i="4" s="1"/>
  <c r="N171" i="4" s="1"/>
  <c r="K530" i="4"/>
  <c r="M530" i="4" s="1"/>
  <c r="N530" i="4" s="1"/>
  <c r="K147" i="4"/>
  <c r="M147" i="4" s="1"/>
  <c r="N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N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K388" i="4"/>
  <c r="M388" i="4" s="1"/>
  <c r="N388" i="4" s="1"/>
  <c r="K1293" i="4"/>
  <c r="M1293" i="4" s="1"/>
  <c r="N1293" i="4" s="1"/>
  <c r="L1169" i="4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N1101" i="4" s="1"/>
  <c r="K521" i="4"/>
  <c r="M521" i="4" s="1"/>
  <c r="N521" i="4" s="1"/>
  <c r="L942" i="4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L1195" i="4"/>
  <c r="L1042" i="4"/>
  <c r="L986" i="4"/>
  <c r="K626" i="4"/>
  <c r="M626" i="4" s="1"/>
  <c r="N626" i="4" s="1"/>
  <c r="K203" i="4"/>
  <c r="M203" i="4" s="1"/>
  <c r="N203" i="4" s="1"/>
  <c r="L1198" i="4"/>
  <c r="L894" i="4"/>
  <c r="L1037" i="4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N66" i="4" s="1"/>
  <c r="K500" i="4"/>
  <c r="M500" i="4" s="1"/>
  <c r="N500" i="4" s="1"/>
  <c r="K1183" i="4"/>
  <c r="M1183" i="4" s="1"/>
  <c r="N1183" i="4" s="1"/>
  <c r="L136" i="4"/>
  <c r="N136" i="4" s="1"/>
  <c r="L339" i="4"/>
  <c r="L763" i="4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L149" i="4"/>
  <c r="N149" i="4" s="1"/>
  <c r="K351" i="4"/>
  <c r="M351" i="4" s="1"/>
  <c r="N351" i="4" s="1"/>
  <c r="L938" i="4"/>
  <c r="L450" i="4"/>
  <c r="L921" i="4"/>
  <c r="L1306" i="4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N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L56" i="4"/>
  <c r="N56" i="4" s="1"/>
  <c r="K494" i="4"/>
  <c r="M494" i="4" s="1"/>
  <c r="N494" i="4" s="1"/>
  <c r="L323" i="4"/>
  <c r="K916" i="4"/>
  <c r="M916" i="4" s="1"/>
  <c r="N916" i="4" s="1"/>
  <c r="K709" i="4"/>
  <c r="M709" i="4" s="1"/>
  <c r="N709" i="4" s="1"/>
  <c r="L622" i="4"/>
  <c r="K810" i="4"/>
  <c r="M810" i="4" s="1"/>
  <c r="N810" i="4" s="1"/>
  <c r="K1064" i="4"/>
  <c r="M1064" i="4" s="1"/>
  <c r="N1064" i="4" s="1"/>
  <c r="K106" i="4"/>
  <c r="M106" i="4" s="1"/>
  <c r="N106" i="4" s="1"/>
  <c r="L739" i="4"/>
  <c r="K398" i="4"/>
  <c r="M398" i="4" s="1"/>
  <c r="N398" i="4" s="1"/>
  <c r="K277" i="4"/>
  <c r="M277" i="4" s="1"/>
  <c r="N277" i="4" s="1"/>
  <c r="K77" i="4"/>
  <c r="M77" i="4" s="1"/>
  <c r="N77" i="4" s="1"/>
  <c r="K228" i="4"/>
  <c r="M228" i="4" s="1"/>
  <c r="N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L1161" i="4"/>
  <c r="K865" i="4"/>
  <c r="M865" i="4" s="1"/>
  <c r="N865" i="4" s="1"/>
  <c r="L555" i="4"/>
  <c r="L638" i="4"/>
  <c r="L1163" i="4"/>
  <c r="K45" i="4"/>
  <c r="M45" i="4" s="1"/>
  <c r="N45" i="4" s="1"/>
  <c r="K489" i="4"/>
  <c r="M489" i="4" s="1"/>
  <c r="N489" i="4" s="1"/>
  <c r="K817" i="4"/>
  <c r="M817" i="4" s="1"/>
  <c r="N817" i="4" s="1"/>
  <c r="L653" i="4"/>
  <c r="K188" i="4"/>
  <c r="M188" i="4" s="1"/>
  <c r="N188" i="4" s="1"/>
  <c r="L436" i="4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N33" i="4" s="1"/>
  <c r="L570" i="4"/>
  <c r="K1182" i="4"/>
  <c r="M1182" i="4" s="1"/>
  <c r="N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N221" i="4" s="1"/>
  <c r="L1045" i="4"/>
  <c r="K498" i="4"/>
  <c r="M498" i="4" s="1"/>
  <c r="N498" i="4" s="1"/>
  <c r="K858" i="4"/>
  <c r="M858" i="4" s="1"/>
  <c r="N858" i="4" s="1"/>
  <c r="L359" i="4"/>
  <c r="K881" i="4"/>
  <c r="M881" i="4" s="1"/>
  <c r="N881" i="4" s="1"/>
  <c r="K1237" i="4"/>
  <c r="M1237" i="4" s="1"/>
  <c r="N1237" i="4" s="1"/>
  <c r="K877" i="4"/>
  <c r="M877" i="4" s="1"/>
  <c r="N877" i="4" s="1"/>
  <c r="L422" i="4"/>
  <c r="K939" i="4"/>
  <c r="M939" i="4" s="1"/>
  <c r="N939" i="4" s="1"/>
  <c r="K1123" i="4"/>
  <c r="M1123" i="4" s="1"/>
  <c r="N1123" i="4" s="1"/>
  <c r="L317" i="4"/>
  <c r="K716" i="4"/>
  <c r="M716" i="4" s="1"/>
  <c r="N716" i="4" s="1"/>
  <c r="K636" i="4"/>
  <c r="M636" i="4" s="1"/>
  <c r="N636" i="4" s="1"/>
  <c r="L706" i="4"/>
  <c r="K246" i="4"/>
  <c r="M246" i="4" s="1"/>
  <c r="N246" i="4" s="1"/>
  <c r="L465" i="4"/>
  <c r="K679" i="4"/>
  <c r="M679" i="4" s="1"/>
  <c r="N679" i="4" s="1"/>
  <c r="K134" i="4"/>
  <c r="M134" i="4" s="1"/>
  <c r="N134" i="4" s="1"/>
  <c r="K364" i="4"/>
  <c r="M364" i="4" s="1"/>
  <c r="N364" i="4" s="1"/>
  <c r="L1299" i="4"/>
  <c r="K281" i="4"/>
  <c r="M281" i="4" s="1"/>
  <c r="K40" i="4"/>
  <c r="M40" i="4" s="1"/>
  <c r="N40" i="4" s="1"/>
  <c r="L469" i="4"/>
  <c r="K47" i="4"/>
  <c r="M47" i="4" s="1"/>
  <c r="N47" i="4" s="1"/>
  <c r="K702" i="4"/>
  <c r="M702" i="4" s="1"/>
  <c r="N702" i="4" s="1"/>
  <c r="K186" i="4"/>
  <c r="M186" i="4" s="1"/>
  <c r="N186" i="4" s="1"/>
  <c r="L240" i="4"/>
  <c r="L683" i="4"/>
  <c r="K952" i="4"/>
  <c r="M952" i="4" s="1"/>
  <c r="N952" i="4" s="1"/>
  <c r="K254" i="4"/>
  <c r="M254" i="4" s="1"/>
  <c r="N254" i="4" s="1"/>
  <c r="K114" i="4"/>
  <c r="M114" i="4" s="1"/>
  <c r="N114" i="4" s="1"/>
  <c r="K575" i="4"/>
  <c r="M575" i="4" s="1"/>
  <c r="N575" i="4" s="1"/>
  <c r="L661" i="4"/>
  <c r="K334" i="4"/>
  <c r="M334" i="4" s="1"/>
  <c r="N334" i="4" s="1"/>
  <c r="L996" i="4"/>
  <c r="L402" i="4"/>
  <c r="L1132" i="4"/>
  <c r="L878" i="4"/>
  <c r="L525" i="4"/>
  <c r="K1103" i="4"/>
  <c r="M1103" i="4" s="1"/>
  <c r="N1103" i="4" s="1"/>
  <c r="L658" i="4"/>
  <c r="K396" i="4"/>
  <c r="M396" i="4" s="1"/>
  <c r="N396" i="4" s="1"/>
  <c r="K420" i="4"/>
  <c r="M420" i="4" s="1"/>
  <c r="N420" i="4" s="1"/>
  <c r="L366" i="4"/>
  <c r="K439" i="4"/>
  <c r="M439" i="4" s="1"/>
  <c r="N439" i="4" s="1"/>
  <c r="K445" i="4"/>
  <c r="M445" i="4" s="1"/>
  <c r="N445" i="4" s="1"/>
  <c r="L883" i="4"/>
  <c r="K947" i="4"/>
  <c r="M947" i="4" s="1"/>
  <c r="N947" i="4" s="1"/>
  <c r="L834" i="4"/>
  <c r="K83" i="4"/>
  <c r="M83" i="4" s="1"/>
  <c r="N83" i="4" s="1"/>
  <c r="K812" i="4"/>
  <c r="M812" i="4" s="1"/>
  <c r="N812" i="4" s="1"/>
  <c r="L915" i="4"/>
  <c r="L814" i="4"/>
  <c r="K1233" i="4"/>
  <c r="M1233" i="4" s="1"/>
  <c r="N1233" i="4" s="1"/>
  <c r="L802" i="4"/>
  <c r="K1099" i="4"/>
  <c r="M1099" i="4" s="1"/>
  <c r="N1099" i="4" s="1"/>
  <c r="L740" i="4"/>
  <c r="K363" i="4"/>
  <c r="M363" i="4" s="1"/>
  <c r="N363" i="4" s="1"/>
  <c r="L650" i="4"/>
  <c r="L1238" i="4"/>
  <c r="L96" i="4"/>
  <c r="N96" i="4" s="1"/>
  <c r="K372" i="4"/>
  <c r="M372" i="4" s="1"/>
  <c r="N372" i="4" s="1"/>
  <c r="K229" i="4"/>
  <c r="M229" i="4" s="1"/>
  <c r="N229" i="4" s="1"/>
  <c r="L603" i="4"/>
  <c r="K811" i="4"/>
  <c r="M811" i="4" s="1"/>
  <c r="N811" i="4" s="1"/>
  <c r="K531" i="4"/>
  <c r="M531" i="4" s="1"/>
  <c r="N531" i="4" s="1"/>
  <c r="L358" i="4"/>
  <c r="L1112" i="4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L950" i="4"/>
  <c r="K115" i="4"/>
  <c r="M115" i="4" s="1"/>
  <c r="N115" i="4" s="1"/>
  <c r="L623" i="4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K844" i="4"/>
  <c r="M844" i="4" s="1"/>
  <c r="N844" i="4" s="1"/>
  <c r="L1285" i="4"/>
  <c r="K926" i="4"/>
  <c r="M926" i="4" s="1"/>
  <c r="N926" i="4" s="1"/>
  <c r="K1184" i="4"/>
  <c r="M1184" i="4" s="1"/>
  <c r="N1184" i="4" s="1"/>
  <c r="L1047" i="4"/>
  <c r="K409" i="4"/>
  <c r="M409" i="4" s="1"/>
  <c r="N409" i="4" s="1"/>
  <c r="L900" i="4"/>
  <c r="L590" i="4"/>
  <c r="L876" i="4"/>
  <c r="K631" i="4"/>
  <c r="M631" i="4" s="1"/>
  <c r="N631" i="4" s="1"/>
  <c r="K34" i="4"/>
  <c r="M34" i="4" s="1"/>
  <c r="N34" i="4" s="1"/>
  <c r="L804" i="4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N69" i="4" s="1"/>
  <c r="K934" i="4"/>
  <c r="M934" i="4" s="1"/>
  <c r="N934" i="4" s="1"/>
  <c r="L1065" i="4"/>
  <c r="K690" i="4"/>
  <c r="M690" i="4" s="1"/>
  <c r="N690" i="4" s="1"/>
  <c r="K873" i="4"/>
  <c r="M873" i="4" s="1"/>
  <c r="N873" i="4" s="1"/>
  <c r="L723" i="4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L393" i="4"/>
  <c r="K565" i="4"/>
  <c r="M565" i="4" s="1"/>
  <c r="N565" i="4" s="1"/>
  <c r="K285" i="4"/>
  <c r="M285" i="4" s="1"/>
  <c r="N285" i="4" s="1"/>
  <c r="L676" i="4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N176" i="4" s="1"/>
  <c r="L448" i="4"/>
  <c r="K790" i="4"/>
  <c r="M790" i="4" s="1"/>
  <c r="N790" i="4" s="1"/>
  <c r="K850" i="4"/>
  <c r="M850" i="4" s="1"/>
  <c r="N850" i="4" s="1"/>
  <c r="L962" i="4"/>
  <c r="K1196" i="4"/>
  <c r="M1196" i="4" s="1"/>
  <c r="N1196" i="4" s="1"/>
  <c r="K382" i="4"/>
  <c r="M382" i="4" s="1"/>
  <c r="N382" i="4" s="1"/>
  <c r="L787" i="4"/>
  <c r="K406" i="4"/>
  <c r="M406" i="4" s="1"/>
  <c r="N406" i="4" s="1"/>
  <c r="K569" i="4"/>
  <c r="M569" i="4" s="1"/>
  <c r="N569" i="4" s="1"/>
  <c r="K1289" i="4"/>
  <c r="M1289" i="4" s="1"/>
  <c r="N1289" i="4" s="1"/>
  <c r="L310" i="4"/>
  <c r="K131" i="4"/>
  <c r="M131" i="4" s="1"/>
  <c r="N131" i="4" s="1"/>
  <c r="L296" i="4"/>
  <c r="N296" i="4" s="1"/>
  <c r="L384" i="4"/>
  <c r="L711" i="4"/>
  <c r="K44" i="4"/>
  <c r="M44" i="4" s="1"/>
  <c r="N44" i="4" s="1"/>
  <c r="L1081" i="4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N23" i="4" s="1"/>
  <c r="L1147" i="4"/>
  <c r="K368" i="4"/>
  <c r="M368" i="4" s="1"/>
  <c r="N368" i="4" s="1"/>
  <c r="L315" i="4"/>
  <c r="K232" i="4"/>
  <c r="M232" i="4" s="1"/>
  <c r="K1039" i="4"/>
  <c r="M1039" i="4" s="1"/>
  <c r="N1039" i="4" s="1"/>
  <c r="L956" i="4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K1254" i="4"/>
  <c r="M1254" i="4" s="1"/>
  <c r="N1254" i="4" s="1"/>
  <c r="K615" i="4"/>
  <c r="M615" i="4" s="1"/>
  <c r="N615" i="4" s="1"/>
  <c r="K216" i="4"/>
  <c r="M216" i="4" s="1"/>
  <c r="N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N62" i="4" s="1"/>
  <c r="L919" i="4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L837" i="4"/>
  <c r="L247" i="4"/>
  <c r="N247" i="4" s="1"/>
  <c r="K288" i="4"/>
  <c r="M288" i="4" s="1"/>
  <c r="N288" i="4" s="1"/>
  <c r="L816" i="4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K759" i="4"/>
  <c r="M759" i="4" s="1"/>
  <c r="N759" i="4" s="1"/>
  <c r="K576" i="4"/>
  <c r="M576" i="4" s="1"/>
  <c r="N576" i="4" s="1"/>
  <c r="L533" i="4"/>
  <c r="K944" i="4"/>
  <c r="M944" i="4" s="1"/>
  <c r="N944" i="4" s="1"/>
  <c r="K830" i="4"/>
  <c r="M830" i="4" s="1"/>
  <c r="N830" i="4" s="1"/>
  <c r="K179" i="4"/>
  <c r="M179" i="4" s="1"/>
  <c r="N179" i="4" s="1"/>
  <c r="L299" i="4"/>
  <c r="N299" i="4" s="1"/>
  <c r="K779" i="4"/>
  <c r="M779" i="4" s="1"/>
  <c r="N779" i="4" s="1"/>
  <c r="K722" i="4"/>
  <c r="M722" i="4" s="1"/>
  <c r="N722" i="4" s="1"/>
  <c r="L1165" i="4"/>
  <c r="K1073" i="4"/>
  <c r="M1073" i="4" s="1"/>
  <c r="N1073" i="4" s="1"/>
  <c r="L432" i="4"/>
  <c r="K104" i="4"/>
  <c r="M104" i="4" s="1"/>
  <c r="N104" i="4" s="1"/>
  <c r="K721" i="4"/>
  <c r="M721" i="4" s="1"/>
  <c r="N721" i="4" s="1"/>
  <c r="K80" i="4"/>
  <c r="M80" i="4" s="1"/>
  <c r="N80" i="4" s="1"/>
  <c r="K200" i="4"/>
  <c r="M200" i="4" s="1"/>
  <c r="N200" i="4" s="1"/>
  <c r="K297" i="4"/>
  <c r="M297" i="4" s="1"/>
  <c r="N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N868" i="4" s="1"/>
  <c r="L1078" i="4"/>
  <c r="K1078" i="4"/>
  <c r="M1078" i="4" s="1"/>
  <c r="N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N1210" i="4" s="1"/>
  <c r="L1210" i="4"/>
  <c r="L249" i="4"/>
  <c r="K249" i="4"/>
  <c r="M249" i="4" s="1"/>
  <c r="L1017" i="4"/>
  <c r="K1017" i="4"/>
  <c r="M1017" i="4" s="1"/>
  <c r="N1017" i="4" s="1"/>
  <c r="K1148" i="4"/>
  <c r="M1148" i="4" s="1"/>
  <c r="N1148" i="4" s="1"/>
  <c r="L1148" i="4"/>
  <c r="L1076" i="4"/>
  <c r="K1076" i="4"/>
  <c r="M1076" i="4" s="1"/>
  <c r="N1076" i="4" s="1"/>
  <c r="L195" i="4"/>
  <c r="N195" i="4" s="1"/>
  <c r="K152" i="4"/>
  <c r="M152" i="4" s="1"/>
  <c r="N152" i="4" s="1"/>
  <c r="K24" i="4"/>
  <c r="M24" i="4" s="1"/>
  <c r="N24" i="4" s="1"/>
  <c r="L651" i="4"/>
  <c r="K483" i="4"/>
  <c r="M483" i="4" s="1"/>
  <c r="N483" i="4" s="1"/>
  <c r="L846" i="4"/>
  <c r="K846" i="4"/>
  <c r="M846" i="4" s="1"/>
  <c r="N846" i="4" s="1"/>
  <c r="L560" i="4"/>
  <c r="K560" i="4"/>
  <c r="M560" i="4" s="1"/>
  <c r="N560" i="4" s="1"/>
  <c r="K1258" i="4"/>
  <c r="M1258" i="4" s="1"/>
  <c r="N1258" i="4" s="1"/>
  <c r="L112" i="4"/>
  <c r="N112" i="4" s="1"/>
  <c r="K39" i="4"/>
  <c r="M39" i="4" s="1"/>
  <c r="N39" i="4" s="1"/>
  <c r="K32" i="4"/>
  <c r="M32" i="4" s="1"/>
  <c r="N32" i="4" s="1"/>
  <c r="K427" i="4"/>
  <c r="M427" i="4" s="1"/>
  <c r="N427" i="4" s="1"/>
  <c r="K741" i="4"/>
  <c r="M741" i="4" s="1"/>
  <c r="N741" i="4" s="1"/>
  <c r="L373" i="4"/>
  <c r="L155" i="4"/>
  <c r="N155" i="4" s="1"/>
  <c r="K1197" i="4"/>
  <c r="M1197" i="4" s="1"/>
  <c r="N1197" i="4" s="1"/>
  <c r="K848" i="4"/>
  <c r="M848" i="4" s="1"/>
  <c r="N848" i="4" s="1"/>
  <c r="L1236" i="4"/>
  <c r="L863" i="4"/>
  <c r="L528" i="4"/>
  <c r="L955" i="4"/>
  <c r="L635" i="4"/>
  <c r="K75" i="4"/>
  <c r="M75" i="4" s="1"/>
  <c r="N75" i="4" s="1"/>
  <c r="L782" i="4"/>
  <c r="K782" i="4"/>
  <c r="M782" i="4" s="1"/>
  <c r="N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N486" i="4" s="1"/>
  <c r="L708" i="4"/>
  <c r="K708" i="4"/>
  <c r="M708" i="4" s="1"/>
  <c r="N708" i="4" s="1"/>
  <c r="L563" i="4"/>
  <c r="K563" i="4"/>
  <c r="M563" i="4" s="1"/>
  <c r="N563" i="4" s="1"/>
  <c r="L102" i="4"/>
  <c r="K102" i="4"/>
  <c r="M102" i="4" s="1"/>
  <c r="L886" i="4"/>
  <c r="K886" i="4"/>
  <c r="M886" i="4" s="1"/>
  <c r="N886" i="4" s="1"/>
  <c r="L175" i="4"/>
  <c r="K175" i="4"/>
  <c r="M175" i="4" s="1"/>
  <c r="L22" i="4"/>
  <c r="K22" i="4"/>
  <c r="M22" i="4" s="1"/>
  <c r="L1040" i="4"/>
  <c r="K1040" i="4"/>
  <c r="M1040" i="4" s="1"/>
  <c r="N1040" i="4" s="1"/>
  <c r="K548" i="4"/>
  <c r="M548" i="4" s="1"/>
  <c r="N548" i="4" s="1"/>
  <c r="L548" i="4"/>
  <c r="L970" i="4"/>
  <c r="K970" i="4"/>
  <c r="M970" i="4" s="1"/>
  <c r="N970" i="4" s="1"/>
  <c r="L920" i="4"/>
  <c r="K920" i="4"/>
  <c r="M920" i="4" s="1"/>
  <c r="N920" i="4" s="1"/>
  <c r="L471" i="4"/>
  <c r="K471" i="4"/>
  <c r="M471" i="4" s="1"/>
  <c r="N471" i="4" s="1"/>
  <c r="L322" i="4"/>
  <c r="K322" i="4"/>
  <c r="M322" i="4" s="1"/>
  <c r="N322" i="4" s="1"/>
  <c r="L551" i="4"/>
  <c r="K551" i="4"/>
  <c r="M551" i="4" s="1"/>
  <c r="N551" i="4" s="1"/>
  <c r="L414" i="4"/>
  <c r="K414" i="4"/>
  <c r="M414" i="4" s="1"/>
  <c r="N414" i="4" s="1"/>
  <c r="L1054" i="4"/>
  <c r="K1054" i="4"/>
  <c r="M1054" i="4" s="1"/>
  <c r="N1054" i="4" s="1"/>
  <c r="L13" i="4"/>
  <c r="K13" i="4"/>
  <c r="M13" i="4" s="1"/>
  <c r="L1016" i="4"/>
  <c r="K1016" i="4"/>
  <c r="M1016" i="4" s="1"/>
  <c r="N1016" i="4" s="1"/>
  <c r="L174" i="4"/>
  <c r="K174" i="4"/>
  <c r="M174" i="4" s="1"/>
  <c r="L237" i="4"/>
  <c r="K237" i="4"/>
  <c r="M237" i="4" s="1"/>
  <c r="K1290" i="4"/>
  <c r="M1290" i="4" s="1"/>
  <c r="N1290" i="4" s="1"/>
  <c r="L655" i="4"/>
  <c r="K352" i="4"/>
  <c r="M352" i="4" s="1"/>
  <c r="N352" i="4" s="1"/>
  <c r="K699" i="4"/>
  <c r="M699" i="4" s="1"/>
  <c r="N699" i="4" s="1"/>
  <c r="K443" i="4"/>
  <c r="M443" i="4" s="1"/>
  <c r="N443" i="4" s="1"/>
  <c r="L338" i="4"/>
  <c r="L1187" i="4"/>
  <c r="K1187" i="4"/>
  <c r="M1187" i="4" s="1"/>
  <c r="N1187" i="4" s="1"/>
  <c r="L1137" i="4"/>
  <c r="K1137" i="4"/>
  <c r="M1137" i="4" s="1"/>
  <c r="N1137" i="4" s="1"/>
  <c r="L403" i="4"/>
  <c r="K403" i="4"/>
  <c r="M403" i="4" s="1"/>
  <c r="N403" i="4" s="1"/>
  <c r="L621" i="4"/>
  <c r="K621" i="4"/>
  <c r="M621" i="4" s="1"/>
  <c r="N621" i="4" s="1"/>
  <c r="L1091" i="4"/>
  <c r="K1091" i="4"/>
  <c r="M1091" i="4" s="1"/>
  <c r="N1091" i="4" s="1"/>
  <c r="L207" i="4"/>
  <c r="K207" i="4"/>
  <c r="M207" i="4" s="1"/>
  <c r="K264" i="4"/>
  <c r="M264" i="4" s="1"/>
  <c r="N264" i="4" s="1"/>
  <c r="L480" i="4"/>
  <c r="K1180" i="4"/>
  <c r="M1180" i="4" s="1"/>
  <c r="N1180" i="4" s="1"/>
  <c r="L732" i="4"/>
  <c r="K305" i="4"/>
  <c r="M305" i="4" s="1"/>
  <c r="N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N558" i="4" s="1"/>
  <c r="L1059" i="4"/>
  <c r="K1059" i="4"/>
  <c r="M1059" i="4" s="1"/>
  <c r="N1059" i="4" s="1"/>
  <c r="L777" i="4"/>
  <c r="K777" i="4"/>
  <c r="M777" i="4" s="1"/>
  <c r="N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N313" i="4" s="1"/>
  <c r="K318" i="4"/>
  <c r="M318" i="4" s="1"/>
  <c r="N318" i="4" s="1"/>
  <c r="K1129" i="4"/>
  <c r="M1129" i="4" s="1"/>
  <c r="N1129" i="4" s="1"/>
  <c r="L864" i="4"/>
  <c r="K656" i="4"/>
  <c r="M656" i="4" s="1"/>
  <c r="N656" i="4" s="1"/>
  <c r="L751" i="4"/>
  <c r="K720" i="4"/>
  <c r="M720" i="4" s="1"/>
  <c r="N720" i="4" s="1"/>
  <c r="L67" i="4"/>
  <c r="N67" i="4" s="1"/>
  <c r="K963" i="4"/>
  <c r="M963" i="4" s="1"/>
  <c r="N963" i="4" s="1"/>
  <c r="L707" i="4"/>
  <c r="L259" i="4"/>
  <c r="N259" i="4" s="1"/>
  <c r="L493" i="4"/>
  <c r="L405" i="4"/>
  <c r="L979" i="4"/>
  <c r="K979" i="4"/>
  <c r="M979" i="4" s="1"/>
  <c r="N979" i="4" s="1"/>
  <c r="L154" i="4"/>
  <c r="K154" i="4"/>
  <c r="M154" i="4" s="1"/>
  <c r="L211" i="4"/>
  <c r="K211" i="4"/>
  <c r="M211" i="4" s="1"/>
  <c r="L1179" i="4"/>
  <c r="K1179" i="4"/>
  <c r="M1179" i="4" s="1"/>
  <c r="N1179" i="4" s="1"/>
  <c r="L663" i="4"/>
  <c r="K663" i="4"/>
  <c r="M663" i="4" s="1"/>
  <c r="N663" i="4" s="1"/>
  <c r="L135" i="4"/>
  <c r="K135" i="4"/>
  <c r="M135" i="4" s="1"/>
  <c r="L645" i="4"/>
  <c r="K645" i="4"/>
  <c r="M645" i="4" s="1"/>
  <c r="N645" i="4" s="1"/>
  <c r="L125" i="4"/>
  <c r="K125" i="4"/>
  <c r="M125" i="4" s="1"/>
  <c r="L1062" i="4"/>
  <c r="K1062" i="4"/>
  <c r="M1062" i="4" s="1"/>
  <c r="N1062" i="4" s="1"/>
  <c r="K1301" i="4"/>
  <c r="M1301" i="4" s="1"/>
  <c r="N1301" i="4" s="1"/>
  <c r="L1301" i="4"/>
  <c r="K918" i="4"/>
  <c r="M918" i="4" s="1"/>
  <c r="N918" i="4" s="1"/>
  <c r="L918" i="4"/>
  <c r="L773" i="4"/>
  <c r="K773" i="4"/>
  <c r="M773" i="4" s="1"/>
  <c r="N773" i="4" s="1"/>
  <c r="L1176" i="4"/>
  <c r="K1176" i="4"/>
  <c r="M1176" i="4" s="1"/>
  <c r="N1176" i="4" s="1"/>
  <c r="L967" i="4"/>
  <c r="K967" i="4"/>
  <c r="M967" i="4" s="1"/>
  <c r="N967" i="4" s="1"/>
  <c r="L343" i="4"/>
  <c r="K343" i="4"/>
  <c r="M343" i="4" s="1"/>
  <c r="N343" i="4" s="1"/>
  <c r="L1038" i="4"/>
  <c r="K1038" i="4"/>
  <c r="M1038" i="4" s="1"/>
  <c r="N1038" i="4" s="1"/>
  <c r="L319" i="4"/>
  <c r="K319" i="4"/>
  <c r="M319" i="4" s="1"/>
  <c r="N319" i="4" s="1"/>
  <c r="L1178" i="4"/>
  <c r="K1178" i="4"/>
  <c r="M1178" i="4" s="1"/>
  <c r="N1178" i="4" s="1"/>
  <c r="L180" i="4"/>
  <c r="K180" i="4"/>
  <c r="M180" i="4" s="1"/>
  <c r="L1215" i="4"/>
  <c r="K1215" i="4"/>
  <c r="M1215" i="4" s="1"/>
  <c r="N1215" i="4" s="1"/>
  <c r="L822" i="4"/>
  <c r="K822" i="4"/>
  <c r="M822" i="4" s="1"/>
  <c r="N822" i="4" s="1"/>
  <c r="L1291" i="4"/>
  <c r="K1291" i="4"/>
  <c r="M1291" i="4" s="1"/>
  <c r="N1291" i="4" s="1"/>
  <c r="L666" i="4"/>
  <c r="K666" i="4"/>
  <c r="M666" i="4" s="1"/>
  <c r="N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N743" i="4" s="1"/>
  <c r="L1153" i="4"/>
  <c r="K1153" i="4"/>
  <c r="M1153" i="4" s="1"/>
  <c r="N1153" i="4" s="1"/>
  <c r="L689" i="4"/>
  <c r="K689" i="4"/>
  <c r="M689" i="4" s="1"/>
  <c r="N689" i="4" s="1"/>
  <c r="L573" i="4"/>
  <c r="K573" i="4"/>
  <c r="M573" i="4" s="1"/>
  <c r="N573" i="4" s="1"/>
  <c r="L961" i="4"/>
  <c r="K961" i="4"/>
  <c r="M961" i="4" s="1"/>
  <c r="N961" i="4" s="1"/>
  <c r="L349" i="4"/>
  <c r="K349" i="4"/>
  <c r="M349" i="4" s="1"/>
  <c r="N349" i="4" s="1"/>
  <c r="L710" i="4"/>
  <c r="K710" i="4"/>
  <c r="M710" i="4" s="1"/>
  <c r="N710" i="4" s="1"/>
  <c r="L670" i="4"/>
  <c r="K670" i="4"/>
  <c r="M670" i="4" s="1"/>
  <c r="N670" i="4" s="1"/>
  <c r="L455" i="4"/>
  <c r="K455" i="4"/>
  <c r="M455" i="4" s="1"/>
  <c r="N455" i="4" s="1"/>
  <c r="K145" i="4"/>
  <c r="M145" i="4" s="1"/>
  <c r="L145" i="4"/>
  <c r="L1302" i="4"/>
  <c r="K1302" i="4"/>
  <c r="M1302" i="4" s="1"/>
  <c r="N1302" i="4" s="1"/>
  <c r="L540" i="4"/>
  <c r="K540" i="4"/>
  <c r="M540" i="4" s="1"/>
  <c r="N540" i="4" s="1"/>
  <c r="L1203" i="4"/>
  <c r="K1203" i="4"/>
  <c r="M1203" i="4" s="1"/>
  <c r="N1203" i="4" s="1"/>
  <c r="K383" i="4"/>
  <c r="M383" i="4" s="1"/>
  <c r="N383" i="4" s="1"/>
  <c r="L383" i="4"/>
  <c r="K375" i="4"/>
  <c r="M375" i="4" s="1"/>
  <c r="N375" i="4" s="1"/>
  <c r="L375" i="4"/>
  <c r="L1143" i="4"/>
  <c r="K1143" i="4"/>
  <c r="M1143" i="4" s="1"/>
  <c r="N1143" i="4" s="1"/>
  <c r="L532" i="4"/>
  <c r="K532" i="4"/>
  <c r="M532" i="4" s="1"/>
  <c r="N532" i="4" s="1"/>
  <c r="L391" i="4"/>
  <c r="K391" i="4"/>
  <c r="M391" i="4" s="1"/>
  <c r="N391" i="4" s="1"/>
  <c r="L665" i="4"/>
  <c r="K665" i="4"/>
  <c r="M665" i="4" s="1"/>
  <c r="N665" i="4" s="1"/>
  <c r="L1172" i="4"/>
  <c r="K1172" i="4"/>
  <c r="M1172" i="4" s="1"/>
  <c r="N1172" i="4" s="1"/>
  <c r="L1011" i="4"/>
  <c r="K1011" i="4"/>
  <c r="M1011" i="4" s="1"/>
  <c r="N1011" i="4" s="1"/>
  <c r="L194" i="4"/>
  <c r="K194" i="4"/>
  <c r="M194" i="4" s="1"/>
  <c r="L6" i="4"/>
  <c r="K6" i="4"/>
  <c r="M6" i="4" s="1"/>
  <c r="L807" i="4"/>
  <c r="K807" i="4"/>
  <c r="M807" i="4" s="1"/>
  <c r="N807" i="4" s="1"/>
  <c r="L1199" i="4"/>
  <c r="K1199" i="4"/>
  <c r="M1199" i="4" s="1"/>
  <c r="N1199" i="4" s="1"/>
  <c r="L839" i="4"/>
  <c r="K839" i="4"/>
  <c r="M839" i="4" s="1"/>
  <c r="N839" i="4" s="1"/>
  <c r="L566" i="4"/>
  <c r="K566" i="4"/>
  <c r="M566" i="4" s="1"/>
  <c r="N566" i="4" s="1"/>
  <c r="L990" i="4"/>
  <c r="K990" i="4"/>
  <c r="M990" i="4" s="1"/>
  <c r="N990" i="4" s="1"/>
  <c r="L799" i="4"/>
  <c r="K799" i="4"/>
  <c r="M799" i="4" s="1"/>
  <c r="N799" i="4" s="1"/>
  <c r="L28" i="4"/>
  <c r="K28" i="4"/>
  <c r="M28" i="4" s="1"/>
  <c r="L286" i="4"/>
  <c r="K286" i="4"/>
  <c r="M286" i="4" s="1"/>
  <c r="L671" i="4"/>
  <c r="K671" i="4"/>
  <c r="M671" i="4" s="1"/>
  <c r="N671" i="4" s="1"/>
  <c r="L862" i="4"/>
  <c r="K862" i="4"/>
  <c r="M862" i="4" s="1"/>
  <c r="N862" i="4" s="1"/>
  <c r="L1134" i="4"/>
  <c r="K1134" i="4"/>
  <c r="M1134" i="4" s="1"/>
  <c r="N1134" i="4" s="1"/>
  <c r="L1070" i="4"/>
  <c r="K1070" i="4"/>
  <c r="M1070" i="4" s="1"/>
  <c r="N1070" i="4" s="1"/>
  <c r="L230" i="4"/>
  <c r="K230" i="4"/>
  <c r="M230" i="4" s="1"/>
  <c r="K88" i="4"/>
  <c r="M88" i="4" s="1"/>
  <c r="L88" i="4"/>
  <c r="L901" i="4"/>
  <c r="K901" i="4"/>
  <c r="M901" i="4" s="1"/>
  <c r="N901" i="4" s="1"/>
  <c r="L842" i="4"/>
  <c r="K842" i="4"/>
  <c r="M842" i="4" s="1"/>
  <c r="N842" i="4" s="1"/>
  <c r="L170" i="4"/>
  <c r="K170" i="4"/>
  <c r="M170" i="4" s="1"/>
  <c r="L1204" i="4"/>
  <c r="K1204" i="4"/>
  <c r="M1204" i="4" s="1"/>
  <c r="N1204" i="4" s="1"/>
  <c r="K855" i="4"/>
  <c r="M855" i="4" s="1"/>
  <c r="N855" i="4" s="1"/>
  <c r="L855" i="4"/>
  <c r="K684" i="4"/>
  <c r="M684" i="4" s="1"/>
  <c r="N684" i="4" s="1"/>
  <c r="L684" i="4"/>
  <c r="L1281" i="4"/>
  <c r="K1281" i="4"/>
  <c r="M1281" i="4" s="1"/>
  <c r="N1281" i="4" s="1"/>
  <c r="L262" i="4"/>
  <c r="K262" i="4"/>
  <c r="M262" i="4" s="1"/>
  <c r="L852" i="4"/>
  <c r="K852" i="4"/>
  <c r="M852" i="4" s="1"/>
  <c r="N852" i="4" s="1"/>
  <c r="L612" i="4"/>
  <c r="K612" i="4"/>
  <c r="M612" i="4" s="1"/>
  <c r="N612" i="4" s="1"/>
  <c r="L1186" i="4"/>
  <c r="K1186" i="4"/>
  <c r="M1186" i="4" s="1"/>
  <c r="N1186" i="4" s="1"/>
  <c r="L156" i="4"/>
  <c r="K156" i="4"/>
  <c r="M156" i="4" s="1"/>
  <c r="L1014" i="4"/>
  <c r="K1014" i="4"/>
  <c r="M1014" i="4" s="1"/>
  <c r="N1014" i="4" s="1"/>
  <c r="L46" i="4"/>
  <c r="K46" i="4"/>
  <c r="M46" i="4" s="1"/>
  <c r="L1205" i="4"/>
  <c r="K1205" i="4"/>
  <c r="M1205" i="4" s="1"/>
  <c r="N1205" i="4" s="1"/>
  <c r="L1206" i="4"/>
  <c r="K1206" i="4"/>
  <c r="M1206" i="4" s="1"/>
  <c r="N1206" i="4" s="1"/>
  <c r="L70" i="4"/>
  <c r="K70" i="4"/>
  <c r="M70" i="4" s="1"/>
  <c r="L775" i="4"/>
  <c r="K775" i="4"/>
  <c r="M775" i="4" s="1"/>
  <c r="N775" i="4" s="1"/>
  <c r="L261" i="4"/>
  <c r="K261" i="4"/>
  <c r="M261" i="4" s="1"/>
  <c r="L399" i="4"/>
  <c r="K399" i="4"/>
  <c r="M399" i="4" s="1"/>
  <c r="N399" i="4" s="1"/>
  <c r="L966" i="4"/>
  <c r="K966" i="4"/>
  <c r="M966" i="4" s="1"/>
  <c r="N966" i="4" s="1"/>
  <c r="L73" i="4"/>
  <c r="K73" i="4"/>
  <c r="M73" i="4" s="1"/>
  <c r="L412" i="4"/>
  <c r="K412" i="4"/>
  <c r="M412" i="4" s="1"/>
  <c r="N412" i="4" s="1"/>
  <c r="L477" i="4"/>
  <c r="K477" i="4"/>
  <c r="M477" i="4" s="1"/>
  <c r="N477" i="4" s="1"/>
  <c r="L199" i="4"/>
  <c r="K199" i="4"/>
  <c r="M199" i="4" s="1"/>
  <c r="L327" i="4"/>
  <c r="K327" i="4"/>
  <c r="M327" i="4" s="1"/>
  <c r="N327" i="4" s="1"/>
  <c r="L899" i="4"/>
  <c r="K899" i="4"/>
  <c r="M899" i="4" s="1"/>
  <c r="N899" i="4" s="1"/>
  <c r="L235" i="4"/>
  <c r="K235" i="4"/>
  <c r="M235" i="4" s="1"/>
  <c r="L16" i="4"/>
  <c r="K16" i="4"/>
  <c r="M16" i="4" s="1"/>
  <c r="L1032" i="4"/>
  <c r="K1032" i="4"/>
  <c r="M1032" i="4" s="1"/>
  <c r="N1032" i="4" s="1"/>
  <c r="L502" i="4"/>
  <c r="K502" i="4"/>
  <c r="M502" i="4" s="1"/>
  <c r="N502" i="4" s="1"/>
  <c r="L857" i="4"/>
  <c r="K857" i="4"/>
  <c r="M857" i="4" s="1"/>
  <c r="N857" i="4" s="1"/>
  <c r="L245" i="4"/>
  <c r="K245" i="4"/>
  <c r="M245" i="4" s="1"/>
  <c r="L132" i="4"/>
  <c r="K132" i="4"/>
  <c r="M132" i="4" s="1"/>
  <c r="L515" i="4"/>
  <c r="K515" i="4"/>
  <c r="M515" i="4" s="1"/>
  <c r="N515" i="4" s="1"/>
  <c r="L332" i="4"/>
  <c r="K332" i="4"/>
  <c r="M332" i="4" s="1"/>
  <c r="N332" i="4" s="1"/>
  <c r="K929" i="4"/>
  <c r="M929" i="4" s="1"/>
  <c r="N929" i="4" s="1"/>
  <c r="L929" i="4"/>
  <c r="K980" i="4"/>
  <c r="M980" i="4" s="1"/>
  <c r="N980" i="4" s="1"/>
  <c r="L980" i="4"/>
  <c r="L423" i="4"/>
  <c r="K423" i="4"/>
  <c r="M423" i="4" s="1"/>
  <c r="N423" i="4" s="1"/>
  <c r="L971" i="4"/>
  <c r="K971" i="4"/>
  <c r="M971" i="4" s="1"/>
  <c r="N971" i="4" s="1"/>
  <c r="L523" i="4"/>
  <c r="K523" i="4"/>
  <c r="M523" i="4" s="1"/>
  <c r="N523" i="4" s="1"/>
  <c r="L492" i="4"/>
  <c r="K492" i="4"/>
  <c r="M492" i="4" s="1"/>
  <c r="N492" i="4" s="1"/>
  <c r="L1048" i="4"/>
  <c r="K1048" i="4"/>
  <c r="M1048" i="4" s="1"/>
  <c r="N1048" i="4" s="1"/>
  <c r="L279" i="4"/>
  <c r="K279" i="4"/>
  <c r="M279" i="4" s="1"/>
  <c r="L1216" i="4"/>
  <c r="K1216" i="4"/>
  <c r="M1216" i="4" s="1"/>
  <c r="N1216" i="4" s="1"/>
  <c r="L554" i="4"/>
  <c r="K554" i="4"/>
  <c r="M554" i="4" s="1"/>
  <c r="N554" i="4" s="1"/>
  <c r="L725" i="4"/>
  <c r="K725" i="4"/>
  <c r="M725" i="4" s="1"/>
  <c r="N725" i="4" s="1"/>
  <c r="L974" i="4"/>
  <c r="K974" i="4"/>
  <c r="M974" i="4" s="1"/>
  <c r="N974" i="4" s="1"/>
  <c r="L209" i="4"/>
  <c r="K209" i="4"/>
  <c r="M209" i="4" s="1"/>
  <c r="L643" i="4"/>
  <c r="K643" i="4"/>
  <c r="M643" i="4" s="1"/>
  <c r="N643" i="4" s="1"/>
  <c r="L957" i="4"/>
  <c r="K957" i="4"/>
  <c r="M957" i="4" s="1"/>
  <c r="N957" i="4" s="1"/>
  <c r="L757" i="4"/>
  <c r="K757" i="4"/>
  <c r="M757" i="4" s="1"/>
  <c r="N757" i="4" s="1"/>
  <c r="L1104" i="4"/>
  <c r="K1104" i="4"/>
  <c r="M1104" i="4" s="1"/>
  <c r="N1104" i="4" s="1"/>
  <c r="L1130" i="4"/>
  <c r="K1130" i="4"/>
  <c r="M1130" i="4" s="1"/>
  <c r="N1130" i="4" s="1"/>
  <c r="L677" i="4"/>
  <c r="K677" i="4"/>
  <c r="M677" i="4" s="1"/>
  <c r="N677" i="4" s="1"/>
  <c r="L685" i="4"/>
  <c r="K685" i="4"/>
  <c r="M685" i="4" s="1"/>
  <c r="N685" i="4" s="1"/>
  <c r="L828" i="4"/>
  <c r="K828" i="4"/>
  <c r="M828" i="4" s="1"/>
  <c r="N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N497" i="4" s="1"/>
  <c r="L497" i="4"/>
  <c r="K14" i="4"/>
  <c r="M14" i="4" s="1"/>
  <c r="L14" i="4"/>
  <c r="L859" i="4"/>
  <c r="K859" i="4"/>
  <c r="M859" i="4" s="1"/>
  <c r="N859" i="4" s="1"/>
  <c r="K851" i="4"/>
  <c r="M851" i="4" s="1"/>
  <c r="N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N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N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N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N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N224" i="4" s="1"/>
  <c r="L896" i="4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N835" i="4" s="1"/>
  <c r="L64" i="4"/>
  <c r="K64" i="4"/>
  <c r="M64" i="4" s="1"/>
  <c r="L595" i="4"/>
  <c r="K595" i="4"/>
  <c r="M595" i="4" s="1"/>
  <c r="N595" i="4" s="1"/>
  <c r="L94" i="4"/>
  <c r="K94" i="4"/>
  <c r="M94" i="4" s="1"/>
  <c r="L330" i="4"/>
  <c r="K330" i="4"/>
  <c r="M330" i="4" s="1"/>
  <c r="N330" i="4" s="1"/>
  <c r="L717" i="4"/>
  <c r="K717" i="4"/>
  <c r="M717" i="4" s="1"/>
  <c r="N717" i="4" s="1"/>
  <c r="L86" i="4"/>
  <c r="K86" i="4"/>
  <c r="M86" i="4" s="1"/>
  <c r="L164" i="4"/>
  <c r="K164" i="4"/>
  <c r="M164" i="4" s="1"/>
  <c r="L378" i="4"/>
  <c r="K378" i="4"/>
  <c r="M378" i="4" s="1"/>
  <c r="N378" i="4" s="1"/>
  <c r="L1080" i="4"/>
  <c r="K1080" i="4"/>
  <c r="M1080" i="4" s="1"/>
  <c r="N1080" i="4" s="1"/>
  <c r="L1108" i="4"/>
  <c r="K1108" i="4"/>
  <c r="M1108" i="4" s="1"/>
  <c r="N1108" i="4" s="1"/>
  <c r="L1279" i="4"/>
  <c r="K1279" i="4"/>
  <c r="M1279" i="4" s="1"/>
  <c r="N1279" i="4" s="1"/>
  <c r="L309" i="4"/>
  <c r="K309" i="4"/>
  <c r="M309" i="4" s="1"/>
  <c r="N309" i="4" s="1"/>
  <c r="K795" i="4"/>
  <c r="M795" i="4" s="1"/>
  <c r="N795" i="4" s="1"/>
  <c r="L795" i="4"/>
  <c r="L911" i="4"/>
  <c r="K911" i="4"/>
  <c r="M911" i="4" s="1"/>
  <c r="N911" i="4" s="1"/>
  <c r="L1109" i="4"/>
  <c r="K1109" i="4"/>
  <c r="M1109" i="4" s="1"/>
  <c r="N1109" i="4" s="1"/>
  <c r="L340" i="4"/>
  <c r="K340" i="4"/>
  <c r="M340" i="4" s="1"/>
  <c r="N340" i="4" s="1"/>
  <c r="L263" i="4"/>
  <c r="K263" i="4"/>
  <c r="M263" i="4" s="1"/>
  <c r="L148" i="4"/>
  <c r="K148" i="4"/>
  <c r="M148" i="4" s="1"/>
  <c r="L501" i="4"/>
  <c r="K501" i="4"/>
  <c r="M501" i="4" s="1"/>
  <c r="N501" i="4" s="1"/>
  <c r="L1246" i="4"/>
  <c r="K1246" i="4"/>
  <c r="M1246" i="4" s="1"/>
  <c r="N1246" i="4" s="1"/>
  <c r="L687" i="4"/>
  <c r="K687" i="4"/>
  <c r="M687" i="4" s="1"/>
  <c r="N687" i="4" s="1"/>
  <c r="L290" i="4"/>
  <c r="K290" i="4"/>
  <c r="M290" i="4" s="1"/>
  <c r="L692" i="4"/>
  <c r="K692" i="4"/>
  <c r="M692" i="4" s="1"/>
  <c r="N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N1275" i="4" s="1"/>
  <c r="L269" i="4"/>
  <c r="K269" i="4"/>
  <c r="M269" i="4" s="1"/>
  <c r="L606" i="4"/>
  <c r="K606" i="4"/>
  <c r="M606" i="4" s="1"/>
  <c r="N606" i="4" s="1"/>
  <c r="L609" i="4"/>
  <c r="K609" i="4"/>
  <c r="M609" i="4" s="1"/>
  <c r="N609" i="4" s="1"/>
  <c r="L468" i="4"/>
  <c r="K468" i="4"/>
  <c r="M468" i="4" s="1"/>
  <c r="N468" i="4" s="1"/>
  <c r="L761" i="4"/>
  <c r="K761" i="4"/>
  <c r="M761" i="4" s="1"/>
  <c r="N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N614" i="4" s="1"/>
  <c r="L614" i="4"/>
  <c r="K1097" i="4"/>
  <c r="M1097" i="4" s="1"/>
  <c r="N1097" i="4" s="1"/>
  <c r="L1097" i="4"/>
  <c r="L582" i="4"/>
  <c r="K582" i="4"/>
  <c r="M582" i="4" s="1"/>
  <c r="N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N1311" i="4" s="1"/>
  <c r="L1311" i="4"/>
  <c r="L932" i="4"/>
  <c r="K932" i="4"/>
  <c r="M932" i="4" s="1"/>
  <c r="N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N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N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N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N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N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N438" i="4" s="1"/>
  <c r="K564" i="4"/>
  <c r="M564" i="4" s="1"/>
  <c r="N564" i="4" s="1"/>
  <c r="L584" i="4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N694" i="4" s="1"/>
  <c r="L694" i="4"/>
  <c r="L1023" i="4"/>
  <c r="K1023" i="4"/>
  <c r="M1023" i="4" s="1"/>
  <c r="N1023" i="4" s="1"/>
  <c r="L166" i="4"/>
  <c r="K166" i="4"/>
  <c r="M166" i="4" s="1"/>
  <c r="L785" i="4"/>
  <c r="K785" i="4"/>
  <c r="M785" i="4" s="1"/>
  <c r="N785" i="4" s="1"/>
  <c r="L954" i="4"/>
  <c r="K954" i="4"/>
  <c r="M954" i="4" s="1"/>
  <c r="N954" i="4" s="1"/>
  <c r="L591" i="4"/>
  <c r="K591" i="4"/>
  <c r="M591" i="4" s="1"/>
  <c r="N591" i="4" s="1"/>
  <c r="K1265" i="4"/>
  <c r="M1265" i="4" s="1"/>
  <c r="N1265" i="4" s="1"/>
  <c r="L1265" i="4"/>
  <c r="L890" i="4"/>
  <c r="K890" i="4"/>
  <c r="M890" i="4" s="1"/>
  <c r="N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N1193" i="4" s="1"/>
  <c r="L935" i="4"/>
  <c r="K935" i="4"/>
  <c r="M935" i="4" s="1"/>
  <c r="N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N1271" i="4" s="1"/>
  <c r="L1239" i="4"/>
  <c r="K1239" i="4"/>
  <c r="M1239" i="4" s="1"/>
  <c r="N1239" i="4" s="1"/>
  <c r="L882" i="4"/>
  <c r="K882" i="4"/>
  <c r="M882" i="4" s="1"/>
  <c r="N882" i="4" s="1"/>
  <c r="L845" i="4"/>
  <c r="K845" i="4"/>
  <c r="M845" i="4" s="1"/>
  <c r="N845" i="4" s="1"/>
  <c r="L401" i="4"/>
  <c r="K401" i="4"/>
  <c r="M401" i="4" s="1"/>
  <c r="N401" i="4" s="1"/>
  <c r="L538" i="4"/>
  <c r="K538" i="4"/>
  <c r="M538" i="4" s="1"/>
  <c r="N538" i="4" s="1"/>
  <c r="L933" i="4"/>
  <c r="K933" i="4"/>
  <c r="M933" i="4" s="1"/>
  <c r="N933" i="4" s="1"/>
  <c r="L793" i="4"/>
  <c r="K793" i="4"/>
  <c r="M793" i="4" s="1"/>
  <c r="N793" i="4" s="1"/>
  <c r="L346" i="4"/>
  <c r="K346" i="4"/>
  <c r="M346" i="4" s="1"/>
  <c r="N346" i="4" s="1"/>
  <c r="L110" i="4"/>
  <c r="K110" i="4"/>
  <c r="M110" i="4" s="1"/>
  <c r="L15" i="4"/>
  <c r="K15" i="4"/>
  <c r="M15" i="4" s="1"/>
  <c r="L1127" i="4"/>
  <c r="K1127" i="4"/>
  <c r="M1127" i="4" s="1"/>
  <c r="N1127" i="4" s="1"/>
  <c r="L753" i="4"/>
  <c r="K753" i="4"/>
  <c r="M753" i="4" s="1"/>
  <c r="N753" i="4" s="1"/>
  <c r="L781" i="4"/>
  <c r="K781" i="4"/>
  <c r="M781" i="4" s="1"/>
  <c r="N781" i="4" s="1"/>
  <c r="K768" i="4"/>
  <c r="M768" i="4" s="1"/>
  <c r="N768" i="4" s="1"/>
  <c r="K304" i="4"/>
  <c r="M304" i="4" s="1"/>
  <c r="N304" i="4" s="1"/>
  <c r="L688" i="4"/>
  <c r="L544" i="4"/>
  <c r="L880" i="4"/>
  <c r="K880" i="4"/>
  <c r="M880" i="4" s="1"/>
  <c r="N880" i="4" s="1"/>
  <c r="L784" i="4"/>
  <c r="K784" i="4"/>
  <c r="M784" i="4" s="1"/>
  <c r="N784" i="4" s="1"/>
  <c r="L640" i="4"/>
  <c r="K640" i="4"/>
  <c r="M640" i="4" s="1"/>
  <c r="N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N1029" i="4" s="1"/>
  <c r="L738" i="4"/>
  <c r="K738" i="4"/>
  <c r="M738" i="4" s="1"/>
  <c r="N738" i="4" s="1"/>
  <c r="L1294" i="4"/>
  <c r="K1294" i="4"/>
  <c r="M1294" i="4" s="1"/>
  <c r="N1294" i="4" s="1"/>
  <c r="K347" i="4"/>
  <c r="M347" i="4" s="1"/>
  <c r="N347" i="4" s="1"/>
  <c r="L347" i="4"/>
  <c r="L637" i="4"/>
  <c r="K637" i="4"/>
  <c r="M637" i="4" s="1"/>
  <c r="N637" i="4" s="1"/>
  <c r="L370" i="4"/>
  <c r="K370" i="4"/>
  <c r="M370" i="4" s="1"/>
  <c r="N370" i="4" s="1"/>
  <c r="L1067" i="4"/>
  <c r="K1067" i="4"/>
  <c r="M1067" i="4" s="1"/>
  <c r="N1067" i="4" s="1"/>
  <c r="L1124" i="4"/>
  <c r="K1124" i="4"/>
  <c r="M1124" i="4" s="1"/>
  <c r="N1124" i="4" s="1"/>
  <c r="L1142" i="4"/>
  <c r="K1142" i="4"/>
  <c r="M1142" i="4" s="1"/>
  <c r="N1142" i="4" s="1"/>
  <c r="L1267" i="4"/>
  <c r="K1267" i="4"/>
  <c r="M1267" i="4" s="1"/>
  <c r="N1267" i="4" s="1"/>
  <c r="L142" i="4"/>
  <c r="K142" i="4"/>
  <c r="M142" i="4" s="1"/>
  <c r="L1015" i="4"/>
  <c r="K1015" i="4"/>
  <c r="M1015" i="4" s="1"/>
  <c r="N1015" i="4" s="1"/>
  <c r="L1313" i="4"/>
  <c r="K1313" i="4"/>
  <c r="M1313" i="4" s="1"/>
  <c r="N1313" i="4" s="1"/>
  <c r="L421" i="4"/>
  <c r="K421" i="4"/>
  <c r="M421" i="4" s="1"/>
  <c r="N421" i="4" s="1"/>
  <c r="L425" i="4"/>
  <c r="K425" i="4"/>
  <c r="M425" i="4" s="1"/>
  <c r="N425" i="4" s="1"/>
  <c r="L1194" i="4"/>
  <c r="K1194" i="4"/>
  <c r="M1194" i="4" s="1"/>
  <c r="N1194" i="4" s="1"/>
  <c r="L470" i="4"/>
  <c r="K470" i="4"/>
  <c r="M470" i="4" s="1"/>
  <c r="N470" i="4" s="1"/>
  <c r="L140" i="4"/>
  <c r="K140" i="4"/>
  <c r="M140" i="4" s="1"/>
  <c r="L925" i="4"/>
  <c r="K925" i="4"/>
  <c r="M925" i="4" s="1"/>
  <c r="N925" i="4" s="1"/>
  <c r="K127" i="4"/>
  <c r="M127" i="4" s="1"/>
  <c r="L127" i="4"/>
  <c r="K1144" i="4"/>
  <c r="M1144" i="4" s="1"/>
  <c r="N1144" i="4" s="1"/>
  <c r="L1144" i="4"/>
  <c r="L326" i="4"/>
  <c r="K326" i="4"/>
  <c r="M326" i="4" s="1"/>
  <c r="N326" i="4" s="1"/>
  <c r="K733" i="4"/>
  <c r="M733" i="4" s="1"/>
  <c r="N733" i="4" s="1"/>
  <c r="L733" i="4"/>
  <c r="L380" i="4"/>
  <c r="K380" i="4"/>
  <c r="M380" i="4" s="1"/>
  <c r="N380" i="4" s="1"/>
  <c r="L121" i="4"/>
  <c r="K121" i="4"/>
  <c r="M121" i="4" s="1"/>
  <c r="L133" i="4"/>
  <c r="K133" i="4"/>
  <c r="M133" i="4" s="1"/>
  <c r="L1141" i="4"/>
  <c r="K1141" i="4"/>
  <c r="M1141" i="4" s="1"/>
  <c r="N1141" i="4" s="1"/>
  <c r="L662" i="4"/>
  <c r="K662" i="4"/>
  <c r="M662" i="4" s="1"/>
  <c r="N662" i="4" s="1"/>
  <c r="L1041" i="4"/>
  <c r="K1041" i="4"/>
  <c r="M1041" i="4" s="1"/>
  <c r="N1041" i="4" s="1"/>
  <c r="L1027" i="4"/>
  <c r="K1027" i="4"/>
  <c r="M1027" i="4" s="1"/>
  <c r="N1027" i="4" s="1"/>
  <c r="L217" i="4"/>
  <c r="K217" i="4"/>
  <c r="M217" i="4" s="1"/>
  <c r="L892" i="4"/>
  <c r="K892" i="4"/>
  <c r="M892" i="4" s="1"/>
  <c r="N892" i="4" s="1"/>
  <c r="L769" i="4"/>
  <c r="K769" i="4"/>
  <c r="M769" i="4" s="1"/>
  <c r="N769" i="4" s="1"/>
  <c r="L1117" i="4"/>
  <c r="K1117" i="4"/>
  <c r="M1117" i="4" s="1"/>
  <c r="N1117" i="4" s="1"/>
  <c r="K875" i="4"/>
  <c r="M875" i="4" s="1"/>
  <c r="N875" i="4" s="1"/>
  <c r="L875" i="4"/>
  <c r="L922" i="4"/>
  <c r="K922" i="4"/>
  <c r="M922" i="4" s="1"/>
  <c r="N922" i="4" s="1"/>
  <c r="L434" i="4"/>
  <c r="K434" i="4"/>
  <c r="M434" i="4" s="1"/>
  <c r="N434" i="4" s="1"/>
  <c r="L1098" i="4"/>
  <c r="K1098" i="4"/>
  <c r="M1098" i="4" s="1"/>
  <c r="N1098" i="4" s="1"/>
  <c r="L697" i="4"/>
  <c r="K697" i="4"/>
  <c r="M697" i="4" s="1"/>
  <c r="N697" i="4" s="1"/>
  <c r="L1227" i="4"/>
  <c r="K1227" i="4"/>
  <c r="M1227" i="4" s="1"/>
  <c r="N1227" i="4" s="1"/>
  <c r="L700" i="4"/>
  <c r="K700" i="4"/>
  <c r="M700" i="4" s="1"/>
  <c r="N700" i="4" s="1"/>
  <c r="L968" i="4"/>
  <c r="K968" i="4"/>
  <c r="M968" i="4" s="1"/>
  <c r="N968" i="4" s="1"/>
  <c r="L463" i="4"/>
  <c r="K463" i="4"/>
  <c r="M463" i="4" s="1"/>
  <c r="N463" i="4" s="1"/>
  <c r="L26" i="4"/>
  <c r="K26" i="4"/>
  <c r="M26" i="4" s="1"/>
  <c r="L960" i="4"/>
  <c r="K960" i="4"/>
  <c r="M960" i="4" s="1"/>
  <c r="N960" i="4" s="1"/>
  <c r="L704" i="4"/>
  <c r="K704" i="4"/>
  <c r="M704" i="4" s="1"/>
  <c r="N704" i="4" s="1"/>
  <c r="L151" i="4"/>
  <c r="K151" i="4"/>
  <c r="M151" i="4" s="1"/>
  <c r="L1122" i="4"/>
  <c r="K1122" i="4"/>
  <c r="M1122" i="4" s="1"/>
  <c r="N1122" i="4" s="1"/>
  <c r="L177" i="4"/>
  <c r="K177" i="4"/>
  <c r="M177" i="4" s="1"/>
  <c r="L602" i="4"/>
  <c r="K602" i="4"/>
  <c r="M602" i="4" s="1"/>
  <c r="N602" i="4" s="1"/>
  <c r="L567" i="4"/>
  <c r="K567" i="4"/>
  <c r="M567" i="4" s="1"/>
  <c r="N567" i="4" s="1"/>
  <c r="L316" i="4"/>
  <c r="K316" i="4"/>
  <c r="M316" i="4" s="1"/>
  <c r="N316" i="4" s="1"/>
  <c r="L1307" i="4"/>
  <c r="K1307" i="4"/>
  <c r="M1307" i="4" s="1"/>
  <c r="N1307" i="4" s="1"/>
  <c r="L630" i="4"/>
  <c r="K630" i="4"/>
  <c r="M630" i="4" s="1"/>
  <c r="N630" i="4" s="1"/>
  <c r="L508" i="4"/>
  <c r="K508" i="4"/>
  <c r="M508" i="4" s="1"/>
  <c r="N508" i="4" s="1"/>
  <c r="L550" i="4"/>
  <c r="K550" i="4"/>
  <c r="M550" i="4" s="1"/>
  <c r="N550" i="4" s="1"/>
  <c r="L905" i="4"/>
  <c r="K905" i="4"/>
  <c r="M905" i="4" s="1"/>
  <c r="N905" i="4" s="1"/>
  <c r="L772" i="4"/>
  <c r="K772" i="4"/>
  <c r="M772" i="4" s="1"/>
  <c r="N772" i="4" s="1"/>
  <c r="K417" i="4"/>
  <c r="M417" i="4" s="1"/>
  <c r="N417" i="4" s="1"/>
  <c r="L417" i="4"/>
  <c r="L682" i="4"/>
  <c r="K682" i="4"/>
  <c r="M682" i="4" s="1"/>
  <c r="N682" i="4" s="1"/>
  <c r="L1013" i="4"/>
  <c r="K1013" i="4"/>
  <c r="M1013" i="4" s="1"/>
  <c r="N1013" i="4" s="1"/>
  <c r="K411" i="4"/>
  <c r="M411" i="4" s="1"/>
  <c r="N411" i="4" s="1"/>
  <c r="L411" i="4"/>
  <c r="L1157" i="4"/>
  <c r="K1157" i="4"/>
  <c r="M1157" i="4" s="1"/>
  <c r="N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N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N999" i="4" s="1"/>
  <c r="L1019" i="4"/>
  <c r="K1019" i="4"/>
  <c r="M1019" i="4" s="1"/>
  <c r="N1019" i="4" s="1"/>
  <c r="L953" i="4"/>
  <c r="K953" i="4"/>
  <c r="M953" i="4" s="1"/>
  <c r="N953" i="4" s="1"/>
  <c r="K526" i="4"/>
  <c r="M526" i="4" s="1"/>
  <c r="N526" i="4" s="1"/>
  <c r="L526" i="4"/>
  <c r="L395" i="4"/>
  <c r="K395" i="4"/>
  <c r="M395" i="4" s="1"/>
  <c r="N395" i="4" s="1"/>
  <c r="L1252" i="4"/>
  <c r="K1252" i="4"/>
  <c r="M1252" i="4" s="1"/>
  <c r="N1252" i="4" s="1"/>
  <c r="L639" i="4"/>
  <c r="K639" i="4"/>
  <c r="M639" i="4" s="1"/>
  <c r="N639" i="4" s="1"/>
  <c r="K361" i="4"/>
  <c r="M361" i="4" s="1"/>
  <c r="N361" i="4" s="1"/>
  <c r="L361" i="4"/>
  <c r="L1223" i="4"/>
  <c r="K1223" i="4"/>
  <c r="M1223" i="4" s="1"/>
  <c r="N1223" i="4" s="1"/>
  <c r="L903" i="4"/>
  <c r="K903" i="4"/>
  <c r="M903" i="4" s="1"/>
  <c r="N903" i="4" s="1"/>
  <c r="L843" i="4"/>
  <c r="K843" i="4"/>
  <c r="M843" i="4" s="1"/>
  <c r="N843" i="4" s="1"/>
  <c r="L617" i="4"/>
  <c r="K617" i="4"/>
  <c r="M617" i="4" s="1"/>
  <c r="N617" i="4" s="1"/>
  <c r="L771" i="4"/>
  <c r="K771" i="4"/>
  <c r="M771" i="4" s="1"/>
  <c r="N771" i="4" s="1"/>
  <c r="L193" i="4"/>
  <c r="K193" i="4"/>
  <c r="M193" i="4" s="1"/>
  <c r="L37" i="4"/>
  <c r="K37" i="4"/>
  <c r="M37" i="4" s="1"/>
  <c r="L1024" i="4"/>
  <c r="K1024" i="4"/>
  <c r="M1024" i="4" s="1"/>
  <c r="N1024" i="4" s="1"/>
  <c r="L856" i="4"/>
  <c r="K856" i="4"/>
  <c r="M856" i="4" s="1"/>
  <c r="N856" i="4" s="1"/>
  <c r="L696" i="4"/>
  <c r="K696" i="4"/>
  <c r="M696" i="4" s="1"/>
  <c r="N696" i="4" s="1"/>
  <c r="L624" i="4"/>
  <c r="K624" i="4"/>
  <c r="M624" i="4" s="1"/>
  <c r="N624" i="4" s="1"/>
  <c r="L392" i="4"/>
  <c r="K392" i="4"/>
  <c r="M392" i="4" s="1"/>
  <c r="N392" i="4" s="1"/>
  <c r="L320" i="4"/>
  <c r="K320" i="4"/>
  <c r="M320" i="4" s="1"/>
  <c r="N320" i="4" s="1"/>
  <c r="L479" i="4"/>
  <c r="K479" i="4"/>
  <c r="M479" i="4" s="1"/>
  <c r="N479" i="4" s="1"/>
  <c r="L756" i="4"/>
  <c r="K756" i="4"/>
  <c r="M756" i="4" s="1"/>
  <c r="N756" i="4" s="1"/>
  <c r="L977" i="4"/>
  <c r="K977" i="4"/>
  <c r="M977" i="4" s="1"/>
  <c r="N977" i="4" s="1"/>
  <c r="K218" i="4"/>
  <c r="M218" i="4" s="1"/>
  <c r="L218" i="4"/>
  <c r="L823" i="4"/>
  <c r="K823" i="4"/>
  <c r="M823" i="4" s="1"/>
  <c r="N823" i="4" s="1"/>
  <c r="L541" i="4"/>
  <c r="K541" i="4"/>
  <c r="M541" i="4" s="1"/>
  <c r="N541" i="4" s="1"/>
  <c r="L331" i="4"/>
  <c r="K331" i="4"/>
  <c r="M331" i="4" s="1"/>
  <c r="N331" i="4" s="1"/>
  <c r="L11" i="4"/>
  <c r="K11" i="4"/>
  <c r="M11" i="4" s="1"/>
  <c r="K197" i="4"/>
  <c r="M197" i="4" s="1"/>
  <c r="L197" i="4"/>
  <c r="L907" i="4"/>
  <c r="K907" i="4"/>
  <c r="M907" i="4" s="1"/>
  <c r="N907" i="4" s="1"/>
  <c r="L815" i="4"/>
  <c r="K815" i="4"/>
  <c r="M815" i="4" s="1"/>
  <c r="N815" i="4" s="1"/>
  <c r="K276" i="4"/>
  <c r="M276" i="4" s="1"/>
  <c r="L276" i="4"/>
  <c r="L1278" i="4"/>
  <c r="K1278" i="4"/>
  <c r="M1278" i="4" s="1"/>
  <c r="N1278" i="4" s="1"/>
  <c r="L27" i="4"/>
  <c r="K27" i="4"/>
  <c r="M27" i="4" s="1"/>
  <c r="L1245" i="4"/>
  <c r="K1245" i="4"/>
  <c r="M1245" i="4" s="1"/>
  <c r="N1245" i="4" s="1"/>
  <c r="L429" i="4"/>
  <c r="K429" i="4"/>
  <c r="M429" i="4" s="1"/>
  <c r="N429" i="4" s="1"/>
  <c r="L1139" i="4"/>
  <c r="K1139" i="4"/>
  <c r="M1139" i="4" s="1"/>
  <c r="N1139" i="4" s="1"/>
  <c r="L1072" i="4"/>
  <c r="K1072" i="4"/>
  <c r="M1072" i="4" s="1"/>
  <c r="N1072" i="4" s="1"/>
  <c r="L628" i="4"/>
  <c r="K628" i="4"/>
  <c r="M628" i="4" s="1"/>
  <c r="N628" i="4" s="1"/>
  <c r="L681" i="4"/>
  <c r="K681" i="4"/>
  <c r="M681" i="4" s="1"/>
  <c r="N681" i="4" s="1"/>
  <c r="K117" i="4"/>
  <c r="M117" i="4" s="1"/>
  <c r="L117" i="4"/>
  <c r="L41" i="4"/>
  <c r="K41" i="4"/>
  <c r="M41" i="4" s="1"/>
  <c r="L404" i="4"/>
  <c r="K404" i="4"/>
  <c r="M404" i="4" s="1"/>
  <c r="N404" i="4" s="1"/>
  <c r="L487" i="4"/>
  <c r="K487" i="4"/>
  <c r="M487" i="4" s="1"/>
  <c r="N487" i="4" s="1"/>
  <c r="L994" i="4"/>
  <c r="K994" i="4"/>
  <c r="M994" i="4" s="1"/>
  <c r="N994" i="4" s="1"/>
  <c r="L969" i="4"/>
  <c r="K969" i="4"/>
  <c r="M969" i="4" s="1"/>
  <c r="N969" i="4" s="1"/>
  <c r="L549" i="4"/>
  <c r="K549" i="4"/>
  <c r="M549" i="4" s="1"/>
  <c r="N549" i="4" s="1"/>
  <c r="L202" i="4"/>
  <c r="K202" i="4"/>
  <c r="M202" i="4" s="1"/>
  <c r="K1228" i="4"/>
  <c r="M1228" i="4" s="1"/>
  <c r="N1228" i="4" s="1"/>
  <c r="L1228" i="4"/>
  <c r="L433" i="4"/>
  <c r="K433" i="4"/>
  <c r="M433" i="4" s="1"/>
  <c r="N433" i="4" s="1"/>
  <c r="L52" i="4"/>
  <c r="K52" i="4"/>
  <c r="M52" i="4" s="1"/>
  <c r="L1174" i="4"/>
  <c r="K1174" i="4"/>
  <c r="M1174" i="4" s="1"/>
  <c r="N1174" i="4" s="1"/>
  <c r="L1138" i="4"/>
  <c r="K1138" i="4"/>
  <c r="M1138" i="4" s="1"/>
  <c r="N1138" i="4" s="1"/>
  <c r="L801" i="4"/>
  <c r="K801" i="4"/>
  <c r="M801" i="4" s="1"/>
  <c r="N801" i="4" s="1"/>
  <c r="L746" i="4"/>
  <c r="K746" i="4"/>
  <c r="M746" i="4" s="1"/>
  <c r="N746" i="4" s="1"/>
  <c r="L25" i="4"/>
  <c r="K25" i="4"/>
  <c r="M25" i="4" s="1"/>
  <c r="L185" i="4"/>
  <c r="K185" i="4"/>
  <c r="M185" i="4" s="1"/>
  <c r="L752" i="4"/>
  <c r="K752" i="4"/>
  <c r="M752" i="4" s="1"/>
  <c r="N752" i="4" s="1"/>
  <c r="L608" i="4"/>
  <c r="K608" i="4"/>
  <c r="M608" i="4" s="1"/>
  <c r="N608" i="4" s="1"/>
  <c r="L456" i="4"/>
  <c r="K456" i="4"/>
  <c r="M456" i="4" s="1"/>
  <c r="N456" i="4" s="1"/>
  <c r="L377" i="4"/>
  <c r="K377" i="4"/>
  <c r="M377" i="4" s="1"/>
  <c r="N377" i="4" s="1"/>
  <c r="L162" i="4"/>
  <c r="K162" i="4"/>
  <c r="M162" i="4" s="1"/>
  <c r="L561" i="4"/>
  <c r="K561" i="4"/>
  <c r="M561" i="4" s="1"/>
  <c r="N561" i="4" s="1"/>
  <c r="L727" i="4"/>
  <c r="K727" i="4"/>
  <c r="M727" i="4" s="1"/>
  <c r="N727" i="4" s="1"/>
  <c r="L698" i="4"/>
  <c r="K698" i="4"/>
  <c r="M698" i="4" s="1"/>
  <c r="N698" i="4" s="1"/>
  <c r="L556" i="4"/>
  <c r="K556" i="4"/>
  <c r="M556" i="4" s="1"/>
  <c r="N556" i="4" s="1"/>
  <c r="L731" i="4"/>
  <c r="K731" i="4"/>
  <c r="M731" i="4" s="1"/>
  <c r="N731" i="4" s="1"/>
  <c r="K1084" i="4"/>
  <c r="M1084" i="4" s="1"/>
  <c r="N1084" i="4" s="1"/>
  <c r="L1084" i="4"/>
  <c r="L1251" i="4"/>
  <c r="K1251" i="4"/>
  <c r="M1251" i="4" s="1"/>
  <c r="N1251" i="4" s="1"/>
  <c r="L1010" i="4"/>
  <c r="K1010" i="4"/>
  <c r="M1010" i="4" s="1"/>
  <c r="N1010" i="4" s="1"/>
  <c r="K766" i="4"/>
  <c r="M766" i="4" s="1"/>
  <c r="N766" i="4" s="1"/>
  <c r="L766" i="4"/>
  <c r="L1283" i="4"/>
  <c r="K1283" i="4"/>
  <c r="M1283" i="4" s="1"/>
  <c r="N1283" i="4" s="1"/>
  <c r="L282" i="4"/>
  <c r="K282" i="4"/>
  <c r="M282" i="4" s="1"/>
  <c r="L1171" i="4"/>
  <c r="K1171" i="4"/>
  <c r="M1171" i="4" s="1"/>
  <c r="N1171" i="4" s="1"/>
  <c r="K780" i="4"/>
  <c r="M780" i="4" s="1"/>
  <c r="N780" i="4" s="1"/>
  <c r="L780" i="4"/>
  <c r="L978" i="4"/>
  <c r="K978" i="4"/>
  <c r="M978" i="4" s="1"/>
  <c r="N978" i="4" s="1"/>
  <c r="L1052" i="4"/>
  <c r="K1052" i="4"/>
  <c r="M1052" i="4" s="1"/>
  <c r="N1052" i="4" s="1"/>
  <c r="L749" i="4"/>
  <c r="K749" i="4"/>
  <c r="M749" i="4" s="1"/>
  <c r="N749" i="4" s="1"/>
  <c r="L337" i="4"/>
  <c r="K337" i="4"/>
  <c r="M337" i="4" s="1"/>
  <c r="N337" i="4" s="1"/>
  <c r="L123" i="4"/>
  <c r="K123" i="4"/>
  <c r="M123" i="4" s="1"/>
  <c r="K1235" i="4"/>
  <c r="M1235" i="4" s="1"/>
  <c r="N1235" i="4" s="1"/>
  <c r="L1235" i="4"/>
  <c r="L803" i="4"/>
  <c r="K803" i="4"/>
  <c r="M803" i="4" s="1"/>
  <c r="N803" i="4" s="1"/>
  <c r="L89" i="4"/>
  <c r="K89" i="4"/>
  <c r="M89" i="4" s="1"/>
  <c r="L1266" i="4"/>
  <c r="K1266" i="4"/>
  <c r="M1266" i="4" s="1"/>
  <c r="N1266" i="4" s="1"/>
  <c r="L1135" i="4"/>
  <c r="K1135" i="4"/>
  <c r="M1135" i="4" s="1"/>
  <c r="N1135" i="4" s="1"/>
  <c r="L611" i="4"/>
  <c r="K611" i="4"/>
  <c r="M611" i="4" s="1"/>
  <c r="N611" i="4" s="1"/>
  <c r="K629" i="4"/>
  <c r="M629" i="4" s="1"/>
  <c r="N629" i="4" s="1"/>
  <c r="L629" i="4"/>
  <c r="L588" i="4"/>
  <c r="K588" i="4"/>
  <c r="M588" i="4" s="1"/>
  <c r="N588" i="4" s="1"/>
  <c r="K1055" i="4"/>
  <c r="M1055" i="4" s="1"/>
  <c r="N1055" i="4" s="1"/>
  <c r="L1055" i="4"/>
  <c r="L791" i="4"/>
  <c r="K791" i="4"/>
  <c r="M791" i="4" s="1"/>
  <c r="N791" i="4" s="1"/>
  <c r="L1164" i="4"/>
  <c r="K1164" i="4"/>
  <c r="M1164" i="4" s="1"/>
  <c r="N1164" i="4" s="1"/>
  <c r="L295" i="4"/>
  <c r="K295" i="4"/>
  <c r="M295" i="4" s="1"/>
  <c r="L924" i="4"/>
  <c r="K924" i="4"/>
  <c r="M924" i="4" s="1"/>
  <c r="N924" i="4" s="1"/>
  <c r="L55" i="4"/>
  <c r="K55" i="4"/>
  <c r="M55" i="4" s="1"/>
  <c r="L1110" i="4"/>
  <c r="K1110" i="4"/>
  <c r="M1110" i="4" s="1"/>
  <c r="N1110" i="4" s="1"/>
  <c r="K754" i="4"/>
  <c r="M754" i="4" s="1"/>
  <c r="N754" i="4" s="1"/>
  <c r="L754" i="4"/>
  <c r="L20" i="4"/>
  <c r="K20" i="4"/>
  <c r="M20" i="4" s="1"/>
  <c r="L1268" i="4"/>
  <c r="K1268" i="4"/>
  <c r="M1268" i="4" s="1"/>
  <c r="N1268" i="4" s="1"/>
  <c r="K153" i="4"/>
  <c r="M153" i="4" s="1"/>
  <c r="L153" i="4"/>
  <c r="L840" i="4"/>
  <c r="K840" i="4"/>
  <c r="M840" i="4" s="1"/>
  <c r="N840" i="4" s="1"/>
  <c r="K600" i="4"/>
  <c r="M600" i="4" s="1"/>
  <c r="N600" i="4" s="1"/>
  <c r="L600" i="4"/>
  <c r="L376" i="4"/>
  <c r="K376" i="4"/>
  <c r="M376" i="4" s="1"/>
  <c r="N376" i="4" s="1"/>
  <c r="L1280" i="4"/>
  <c r="K1280" i="4"/>
  <c r="M1280" i="4" s="1"/>
  <c r="N1280" i="4" s="1"/>
  <c r="L53" i="4"/>
  <c r="K53" i="4"/>
  <c r="M53" i="4" s="1"/>
  <c r="L577" i="4"/>
  <c r="K577" i="4"/>
  <c r="M577" i="4" s="1"/>
  <c r="N577" i="4" s="1"/>
  <c r="L1043" i="4"/>
  <c r="K1043" i="4"/>
  <c r="M1043" i="4" s="1"/>
  <c r="N1043" i="4" s="1"/>
  <c r="L452" i="4"/>
  <c r="K452" i="4"/>
  <c r="M452" i="4" s="1"/>
  <c r="N452" i="4" s="1"/>
  <c r="L847" i="4"/>
  <c r="K847" i="4"/>
  <c r="M847" i="4" s="1"/>
  <c r="N847" i="4" s="1"/>
  <c r="L571" i="4"/>
  <c r="K571" i="4"/>
  <c r="M571" i="4" s="1"/>
  <c r="N571" i="4" s="1"/>
  <c r="L937" i="4"/>
  <c r="K937" i="4"/>
  <c r="M937" i="4" s="1"/>
  <c r="N937" i="4" s="1"/>
  <c r="L113" i="4"/>
  <c r="K113" i="4"/>
  <c r="M113" i="4" s="1"/>
  <c r="L108" i="4"/>
  <c r="K108" i="4"/>
  <c r="M108" i="4" s="1"/>
  <c r="L1146" i="4"/>
  <c r="K1146" i="4"/>
  <c r="M1146" i="4" s="1"/>
  <c r="N1146" i="4" s="1"/>
  <c r="L910" i="4"/>
  <c r="K910" i="4"/>
  <c r="M910" i="4" s="1"/>
  <c r="N910" i="4" s="1"/>
  <c r="L476" i="4"/>
  <c r="K476" i="4"/>
  <c r="M476" i="4" s="1"/>
  <c r="N476" i="4" s="1"/>
  <c r="L765" i="4"/>
  <c r="K765" i="4"/>
  <c r="M765" i="4" s="1"/>
  <c r="N765" i="4" s="1"/>
  <c r="L1160" i="4"/>
  <c r="K1160" i="4"/>
  <c r="M1160" i="4" s="1"/>
  <c r="N1160" i="4" s="1"/>
  <c r="L1012" i="4"/>
  <c r="K1012" i="4"/>
  <c r="M1012" i="4" s="1"/>
  <c r="N1012" i="4" s="1"/>
  <c r="L1121" i="4"/>
  <c r="K1121" i="4"/>
  <c r="M1121" i="4" s="1"/>
  <c r="N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N667" i="4" s="1"/>
  <c r="L447" i="4"/>
  <c r="K447" i="4"/>
  <c r="M447" i="4" s="1"/>
  <c r="N447" i="4" s="1"/>
  <c r="L1056" i="4"/>
  <c r="K1056" i="4"/>
  <c r="M1056" i="4" s="1"/>
  <c r="N1056" i="4" s="1"/>
  <c r="L499" i="4"/>
  <c r="K499" i="4"/>
  <c r="M499" i="4" s="1"/>
  <c r="N499" i="4" s="1"/>
  <c r="L906" i="4"/>
  <c r="K906" i="4"/>
  <c r="M906" i="4" s="1"/>
  <c r="N906" i="4" s="1"/>
  <c r="L818" i="4"/>
  <c r="K818" i="4"/>
  <c r="M818" i="4" s="1"/>
  <c r="N818" i="4" s="1"/>
  <c r="L1270" i="4"/>
  <c r="K1270" i="4"/>
  <c r="M1270" i="4" s="1"/>
  <c r="N1270" i="4" s="1"/>
  <c r="L546" i="4"/>
  <c r="K546" i="4"/>
  <c r="M546" i="4" s="1"/>
  <c r="N546" i="4" s="1"/>
  <c r="L813" i="4"/>
  <c r="K813" i="4"/>
  <c r="M813" i="4" s="1"/>
  <c r="N813" i="4" s="1"/>
  <c r="L204" i="4"/>
  <c r="K204" i="4"/>
  <c r="M204" i="4" s="1"/>
  <c r="K735" i="4"/>
  <c r="M735" i="4" s="1"/>
  <c r="N735" i="4" s="1"/>
  <c r="L735" i="4"/>
  <c r="L557" i="4"/>
  <c r="K557" i="4"/>
  <c r="M557" i="4" s="1"/>
  <c r="N557" i="4" s="1"/>
  <c r="L537" i="4"/>
  <c r="K537" i="4"/>
  <c r="M537" i="4" s="1"/>
  <c r="N537" i="4" s="1"/>
  <c r="L987" i="4"/>
  <c r="K987" i="4"/>
  <c r="M987" i="4" s="1"/>
  <c r="N987" i="4" s="1"/>
  <c r="L101" i="4"/>
  <c r="K101" i="4"/>
  <c r="M101" i="4" s="1"/>
  <c r="L1107" i="4"/>
  <c r="K1107" i="4"/>
  <c r="M1107" i="4" s="1"/>
  <c r="N1107" i="4" s="1"/>
  <c r="L1190" i="4"/>
  <c r="K1190" i="4"/>
  <c r="M1190" i="4" s="1"/>
  <c r="N1190" i="4" s="1"/>
  <c r="L386" i="4"/>
  <c r="K386" i="4"/>
  <c r="M386" i="4" s="1"/>
  <c r="N386" i="4" s="1"/>
  <c r="K284" i="4"/>
  <c r="M284" i="4" s="1"/>
  <c r="N284" i="4" s="1"/>
  <c r="L1102" i="4"/>
  <c r="K1102" i="4"/>
  <c r="M1102" i="4" s="1"/>
  <c r="N1102" i="4" s="1"/>
  <c r="L291" i="4"/>
  <c r="K291" i="4"/>
  <c r="M291" i="4" s="1"/>
  <c r="L820" i="4"/>
  <c r="K820" i="4"/>
  <c r="M820" i="4" s="1"/>
  <c r="N820" i="4" s="1"/>
  <c r="L35" i="4"/>
  <c r="K35" i="4"/>
  <c r="M35" i="4" s="1"/>
  <c r="K248" i="4"/>
  <c r="M248" i="4" s="1"/>
  <c r="N248" i="4" s="1"/>
  <c r="K192" i="4"/>
  <c r="M192" i="4" s="1"/>
  <c r="N192" i="4" s="1"/>
  <c r="L312" i="4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N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N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N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N1159" i="4" s="1"/>
  <c r="L1159" i="4"/>
  <c r="L10" i="4"/>
  <c r="K10" i="4"/>
  <c r="M10" i="4" s="1"/>
  <c r="K1189" i="4"/>
  <c r="M1189" i="4" s="1"/>
  <c r="N1189" i="4" s="1"/>
  <c r="L1189" i="4"/>
  <c r="K1150" i="4"/>
  <c r="M1150" i="4" s="1"/>
  <c r="N1150" i="4" s="1"/>
  <c r="L1150" i="4"/>
  <c r="L50" i="4"/>
  <c r="K50" i="4"/>
  <c r="M50" i="4" s="1"/>
  <c r="L308" i="4"/>
  <c r="M308" i="4"/>
  <c r="N308" i="4" s="1"/>
  <c r="L491" i="4"/>
  <c r="K491" i="4"/>
  <c r="M491" i="4" s="1"/>
  <c r="N491" i="4" s="1"/>
  <c r="L605" i="4"/>
  <c r="K605" i="4"/>
  <c r="M605" i="4" s="1"/>
  <c r="N605" i="4" s="1"/>
  <c r="L98" i="4"/>
  <c r="K98" i="4"/>
  <c r="M98" i="4" s="1"/>
  <c r="L30" i="4"/>
  <c r="K30" i="4"/>
  <c r="M30" i="4" s="1"/>
  <c r="L475" i="4"/>
  <c r="K475" i="4"/>
  <c r="M475" i="4" s="1"/>
  <c r="N475" i="4" s="1"/>
  <c r="L1262" i="4"/>
  <c r="K1262" i="4"/>
  <c r="M1262" i="4" s="1"/>
  <c r="N1262" i="4" s="1"/>
  <c r="L222" i="4"/>
  <c r="K222" i="4"/>
  <c r="M222" i="4" s="1"/>
  <c r="K527" i="4"/>
  <c r="M527" i="4" s="1"/>
  <c r="N527" i="4" s="1"/>
  <c r="L527" i="4"/>
  <c r="L620" i="4"/>
  <c r="K620" i="4"/>
  <c r="M620" i="4" s="1"/>
  <c r="N620" i="4" s="1"/>
  <c r="K1046" i="4"/>
  <c r="M1046" i="4" s="1"/>
  <c r="N1046" i="4" s="1"/>
  <c r="L1046" i="4"/>
  <c r="L1274" i="4"/>
  <c r="K1274" i="4"/>
  <c r="M1274" i="4" s="1"/>
  <c r="N1274" i="4" s="1"/>
  <c r="L1256" i="4"/>
  <c r="K1256" i="4"/>
  <c r="M1256" i="4" s="1"/>
  <c r="N1256" i="4" s="1"/>
  <c r="L107" i="4"/>
  <c r="K107" i="4"/>
  <c r="M107" i="4" s="1"/>
  <c r="L95" i="4"/>
  <c r="K95" i="4"/>
  <c r="M95" i="4" s="1"/>
  <c r="L674" i="4"/>
  <c r="K674" i="4"/>
  <c r="M674" i="4" s="1"/>
  <c r="N674" i="4" s="1"/>
  <c r="L1221" i="4"/>
  <c r="K1221" i="4"/>
  <c r="M1221" i="4" s="1"/>
  <c r="N1221" i="4" s="1"/>
  <c r="L1250" i="4"/>
  <c r="K1250" i="4"/>
  <c r="M1250" i="4" s="1"/>
  <c r="N1250" i="4" s="1"/>
  <c r="L744" i="4"/>
  <c r="K744" i="4"/>
  <c r="M744" i="4" s="1"/>
  <c r="N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N728" i="4" s="1"/>
  <c r="L1213" i="4"/>
  <c r="K1213" i="4"/>
  <c r="M1213" i="4" s="1"/>
  <c r="N1213" i="4" s="1"/>
  <c r="L283" i="4"/>
  <c r="K283" i="4"/>
  <c r="M283" i="4" s="1"/>
  <c r="L1309" i="4"/>
  <c r="K1309" i="4"/>
  <c r="M1309" i="4" s="1"/>
  <c r="N1309" i="4" s="1"/>
  <c r="L1173" i="4"/>
  <c r="K1173" i="4"/>
  <c r="M1173" i="4" s="1"/>
  <c r="N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N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N1217" i="4" s="1"/>
  <c r="L579" i="4"/>
  <c r="K579" i="4"/>
  <c r="M579" i="4" s="1"/>
  <c r="N579" i="4" s="1"/>
  <c r="L43" i="4"/>
  <c r="K43" i="4"/>
  <c r="M43" i="4" s="1"/>
  <c r="L997" i="4"/>
  <c r="K997" i="4"/>
  <c r="M997" i="4" s="1"/>
  <c r="N997" i="4" s="1"/>
  <c r="K985" i="4"/>
  <c r="M985" i="4" s="1"/>
  <c r="N985" i="4" s="1"/>
  <c r="L985" i="4"/>
  <c r="L1058" i="4"/>
  <c r="K1058" i="4"/>
  <c r="M1058" i="4" s="1"/>
  <c r="N1058" i="4" s="1"/>
  <c r="L607" i="4"/>
  <c r="K607" i="4"/>
  <c r="M607" i="4" s="1"/>
  <c r="N607" i="4" s="1"/>
  <c r="L1075" i="4"/>
  <c r="K1075" i="4"/>
  <c r="M1075" i="4" s="1"/>
  <c r="N1075" i="4" s="1"/>
  <c r="L187" i="4"/>
  <c r="K187" i="4"/>
  <c r="M187" i="4" s="1"/>
  <c r="L1100" i="4"/>
  <c r="K1100" i="4"/>
  <c r="M1100" i="4" s="1"/>
  <c r="N1100" i="4" s="1"/>
  <c r="L311" i="4"/>
  <c r="K311" i="4"/>
  <c r="M311" i="4" s="1"/>
  <c r="N311" i="4" s="1"/>
  <c r="L1025" i="4"/>
  <c r="K1025" i="4"/>
  <c r="M1025" i="4" s="1"/>
  <c r="N1025" i="4" s="1"/>
  <c r="L387" i="4"/>
  <c r="K387" i="4"/>
  <c r="M387" i="4" s="1"/>
  <c r="N387" i="4" s="1"/>
  <c r="L234" i="4"/>
  <c r="K234" i="4"/>
  <c r="M234" i="4" s="1"/>
  <c r="L774" i="4"/>
  <c r="K774" i="4"/>
  <c r="M774" i="4" s="1"/>
  <c r="N774" i="4" s="1"/>
  <c r="L1096" i="4"/>
  <c r="K1096" i="4"/>
  <c r="M1096" i="4" s="1"/>
  <c r="N1096" i="4" s="1"/>
  <c r="L982" i="4"/>
  <c r="K982" i="4"/>
  <c r="M982" i="4" s="1"/>
  <c r="N982" i="4" s="1"/>
  <c r="L474" i="4"/>
  <c r="K474" i="4"/>
  <c r="M474" i="4" s="1"/>
  <c r="N474" i="4" s="1"/>
  <c r="L726" i="4"/>
  <c r="K726" i="4"/>
  <c r="M726" i="4" s="1"/>
  <c r="N726" i="4" s="1"/>
  <c r="K597" i="4"/>
  <c r="M597" i="4" s="1"/>
  <c r="N597" i="4" s="1"/>
  <c r="L597" i="4"/>
  <c r="L646" i="4"/>
  <c r="K646" i="4"/>
  <c r="M646" i="4" s="1"/>
  <c r="N646" i="4" s="1"/>
  <c r="L251" i="4"/>
  <c r="K251" i="4"/>
  <c r="M251" i="4" s="1"/>
  <c r="K365" i="4"/>
  <c r="M365" i="4" s="1"/>
  <c r="N365" i="4" s="1"/>
  <c r="L365" i="4"/>
  <c r="K762" i="4"/>
  <c r="M762" i="4" s="1"/>
  <c r="N762" i="4" s="1"/>
  <c r="L762" i="4"/>
  <c r="L796" i="4"/>
  <c r="K796" i="4"/>
  <c r="M796" i="4" s="1"/>
  <c r="N796" i="4" s="1"/>
  <c r="L426" i="4"/>
  <c r="K426" i="4"/>
  <c r="M426" i="4" s="1"/>
  <c r="N426" i="4" s="1"/>
  <c r="L1053" i="4"/>
  <c r="K1053" i="4"/>
  <c r="M1053" i="4" s="1"/>
  <c r="N1053" i="4" s="1"/>
  <c r="K354" i="4"/>
  <c r="M354" i="4" s="1"/>
  <c r="N354" i="4" s="1"/>
  <c r="L354" i="4"/>
  <c r="L750" i="4"/>
  <c r="K750" i="4"/>
  <c r="M750" i="4" s="1"/>
  <c r="N750" i="4" s="1"/>
  <c r="L930" i="4"/>
  <c r="K930" i="4"/>
  <c r="M930" i="4" s="1"/>
  <c r="N930" i="4" s="1"/>
  <c r="K680" i="4"/>
  <c r="M680" i="4" s="1"/>
  <c r="N680" i="4" s="1"/>
  <c r="L680" i="4"/>
  <c r="K184" i="4"/>
  <c r="M184" i="4" s="1"/>
  <c r="N184" i="4" s="1"/>
  <c r="K256" i="4"/>
  <c r="M256" i="4" s="1"/>
  <c r="N256" i="4" s="1"/>
  <c r="L1218" i="4"/>
  <c r="K408" i="4"/>
  <c r="M408" i="4" s="1"/>
  <c r="N408" i="4" s="1"/>
  <c r="L888" i="4"/>
  <c r="K888" i="4"/>
  <c r="M888" i="4" s="1"/>
  <c r="N888" i="4" s="1"/>
  <c r="L488" i="4"/>
  <c r="K488" i="4"/>
  <c r="M488" i="4" s="1"/>
  <c r="N488" i="4" s="1"/>
  <c r="L416" i="4"/>
  <c r="K416" i="4"/>
  <c r="M416" i="4" s="1"/>
  <c r="N416" i="4" s="1"/>
  <c r="L208" i="4"/>
  <c r="K208" i="4"/>
  <c r="M208" i="4" s="1"/>
  <c r="L973" i="4"/>
  <c r="K973" i="4"/>
  <c r="M973" i="4" s="1"/>
  <c r="N973" i="4" s="1"/>
  <c r="L76" i="4"/>
  <c r="K76" i="4"/>
  <c r="M76" i="4" s="1"/>
  <c r="L1230" i="4"/>
  <c r="K1230" i="4"/>
  <c r="M1230" i="4" s="1"/>
  <c r="N1230" i="4" s="1"/>
  <c r="L958" i="4"/>
  <c r="K958" i="4"/>
  <c r="M958" i="4" s="1"/>
  <c r="N958" i="4" s="1"/>
  <c r="K1297" i="4"/>
  <c r="M1297" i="4" s="1"/>
  <c r="N1297" i="4" s="1"/>
  <c r="L1297" i="4"/>
  <c r="L988" i="4"/>
  <c r="K988" i="4"/>
  <c r="M988" i="4" s="1"/>
  <c r="N988" i="4" s="1"/>
  <c r="L1087" i="4"/>
  <c r="K1087" i="4"/>
  <c r="M1087" i="4" s="1"/>
  <c r="N1087" i="4" s="1"/>
  <c r="L302" i="4"/>
  <c r="K302" i="4"/>
  <c r="M302" i="4" s="1"/>
  <c r="L189" i="4"/>
  <c r="K189" i="4"/>
  <c r="M189" i="4" s="1"/>
  <c r="L870" i="4"/>
  <c r="K870" i="4"/>
  <c r="M870" i="4" s="1"/>
  <c r="N870" i="4" s="1"/>
  <c r="L642" i="4"/>
  <c r="K642" i="4"/>
  <c r="M642" i="4" s="1"/>
  <c r="N642" i="4" s="1"/>
  <c r="L1118" i="4"/>
  <c r="K1118" i="4"/>
  <c r="M1118" i="4" s="1"/>
  <c r="N1118" i="4" s="1"/>
  <c r="L29" i="4"/>
  <c r="K29" i="4"/>
  <c r="M29" i="4" s="1"/>
  <c r="L454" i="4"/>
  <c r="K454" i="4"/>
  <c r="M454" i="4" s="1"/>
  <c r="N454" i="4" s="1"/>
  <c r="L660" i="4"/>
  <c r="K660" i="4"/>
  <c r="M660" i="4" s="1"/>
  <c r="N660" i="4" s="1"/>
  <c r="L270" i="4"/>
  <c r="K270" i="4"/>
  <c r="M270" i="4" s="1"/>
  <c r="K616" i="4"/>
  <c r="M616" i="4" s="1"/>
  <c r="N616" i="4" s="1"/>
  <c r="L616" i="4"/>
  <c r="L520" i="4"/>
  <c r="K520" i="4"/>
  <c r="M520" i="4" s="1"/>
  <c r="N520" i="4" s="1"/>
  <c r="L713" i="4"/>
  <c r="K713" i="4"/>
  <c r="M713" i="4" s="1"/>
  <c r="N713" i="4" s="1"/>
  <c r="K1120" i="4"/>
  <c r="M1120" i="4" s="1"/>
  <c r="N1120" i="4" s="1"/>
  <c r="L1120" i="4"/>
  <c r="L747" i="4"/>
  <c r="K747" i="4"/>
  <c r="M747" i="4" s="1"/>
  <c r="N747" i="4" s="1"/>
  <c r="L466" i="4"/>
  <c r="K466" i="4"/>
  <c r="M466" i="4" s="1"/>
  <c r="N466" i="4" s="1"/>
  <c r="L514" i="4"/>
  <c r="K514" i="4"/>
  <c r="M514" i="4" s="1"/>
  <c r="N514" i="4" s="1"/>
  <c r="L581" i="4"/>
  <c r="K581" i="4"/>
  <c r="M581" i="4" s="1"/>
  <c r="N581" i="4" s="1"/>
  <c r="L1168" i="4"/>
  <c r="K1168" i="4"/>
  <c r="M1168" i="4" s="1"/>
  <c r="N1168" i="4" s="1"/>
  <c r="L333" i="4"/>
  <c r="K333" i="4"/>
  <c r="M333" i="4" s="1"/>
  <c r="N333" i="4" s="1"/>
  <c r="L585" i="4"/>
  <c r="K585" i="4"/>
  <c r="M585" i="4" s="1"/>
  <c r="N585" i="4" s="1"/>
  <c r="L301" i="4"/>
  <c r="K301" i="4"/>
  <c r="M301" i="4" s="1"/>
  <c r="L1152" i="4"/>
  <c r="K1152" i="4"/>
  <c r="M1152" i="4" s="1"/>
  <c r="N1152" i="4" s="1"/>
  <c r="L31" i="4"/>
  <c r="K31" i="4"/>
  <c r="M31" i="4" s="1"/>
  <c r="L1028" i="4"/>
  <c r="K1028" i="4"/>
  <c r="M1028" i="4" s="1"/>
  <c r="N1028" i="4" s="1"/>
  <c r="L1312" i="4"/>
  <c r="K1312" i="4"/>
  <c r="M1312" i="4" s="1"/>
  <c r="N1312" i="4" s="1"/>
  <c r="K964" i="4"/>
  <c r="M964" i="4" s="1"/>
  <c r="N964" i="4" s="1"/>
  <c r="L964" i="4"/>
  <c r="L100" i="4"/>
  <c r="K100" i="4"/>
  <c r="M100" i="4" s="1"/>
  <c r="L931" i="4"/>
  <c r="K931" i="4"/>
  <c r="M931" i="4" s="1"/>
  <c r="N931" i="4" s="1"/>
  <c r="L407" i="4"/>
  <c r="K407" i="4"/>
  <c r="M407" i="4" s="1"/>
  <c r="N407" i="4" s="1"/>
  <c r="L1288" i="4"/>
  <c r="K1288" i="4"/>
  <c r="M1288" i="4" s="1"/>
  <c r="N1288" i="4" s="1"/>
  <c r="L542" i="4"/>
  <c r="K542" i="4"/>
  <c r="M542" i="4" s="1"/>
  <c r="N542" i="4" s="1"/>
  <c r="L219" i="4"/>
  <c r="K219" i="4"/>
  <c r="M219" i="4" s="1"/>
  <c r="N302" i="4" l="1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970B15-1E53-3945-BF42-213503DFD7AA}" keepAlive="1" name="Query - ml_predictions_log_scores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<sst xmlns="http://schemas.openxmlformats.org/spreadsheetml/2006/main" count="12053" uniqueCount="280">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</sst>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0" fontId="0" fillId="0" borderId="0" xfId="0" applyNumberFormat="1"/>
    <xf numFmtId="10" fontId="0" fillId="0" borderId="0" xfId="1" applyNumberFormat="1" applyFont="1"/>
    <xf numFmtId="9" fontId="0" fillId="0" borderId="0" xfId="1" applyNumberFormat="1" applyFont="1"/>
  </cellXfs>
  <cellStyles count="2">
    <cellStyle name="Normal" xfId="0" builtinId="0"/>
    <cellStyle name="Percent" xfId="1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6B9F69E-A55F-D04B-8D44-E4061B230055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ml_predicted_winner" tableColumnId="5"/>
      <queryTableField id="6" name="ml_home_win_prob" tableColumnId="6"/>
      <queryTableField id="7" name="ml_away_win_prob" tableColumnId="7"/>
      <queryTableField id="8" name="ml_confidence" tableColumnId="8"/>
      <queryTableField id="9" name="ml_predicted_home_score" tableColumnId="9"/>
      <queryTableField id="10" name="ml_predicted_away_score" tableColumnId="10"/>
      <queryTableField id="11" name="excel_predicted_winner" tableColumnId="11"/>
      <queryTableField id="12" name="excel_confidence" tableColumnId="12"/>
      <queryTableField id="13" name="excel_homeice_diff" tableColumnId="13"/>
      <queryTableField id="14" name="actual_winner" tableColumnId="14"/>
      <queryTableField id="15" name="ml_correct" tableColumnId="15"/>
      <queryTableField id="16" name="excel_correct" tableColumnId="16"/>
      <queryTableField id="17" name="model_version" tableColumnId="17"/>
      <queryTableField id="18" name="not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8"/>
    <tableColumn id="3" xr3:uid="{2C87C5E2-BA51-8A42-89C8-535F9675CB8F}" uniqueName="3" name="Visitor" queryTableFieldId="3" dataDxfId="67"/>
    <tableColumn id="4" xr3:uid="{CE6ABB56-546F-BB46-9A09-2A1A92669C31}" uniqueName="4" name="G" queryTableFieldId="4" dataDxfId="66"/>
    <tableColumn id="5" xr3:uid="{C1234731-C200-EA4C-B756-2CA67776A39C}" uniqueName="5" name="Home" queryTableFieldId="5" dataDxfId="65"/>
    <tableColumn id="6" xr3:uid="{339325E9-BBA1-9A48-8657-C4AC5A969A45}" uniqueName="6" name="G_1" queryTableFieldId="6" dataDxfId="64"/>
    <tableColumn id="11" xr3:uid="{D5C53254-CDEF-7A46-97BA-0F3F94C9C0F8}" uniqueName="11" name="Column1" queryTableFieldId="11" dataDxfId="6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2"/>
    <tableColumn id="10" xr3:uid="{D8B4237A-01AB-6648-9F38-4F24C83C2F02}" uniqueName="10" name="Losing_G" queryTableFieldId="10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0" headerRowBorderDxfId="59" tableBorderDxfId="58">
  <autoFilter ref="D6:J1318" xr:uid="{082AB263-30A0-9143-A4CB-E8E85CF645DA}"/>
  <tableColumns count="7">
    <tableColumn id="1" xr3:uid="{A2DA1977-C625-F248-8922-D45BEAE345E6}" name="Visitor" dataDxfId="57"/>
    <tableColumn id="2" xr3:uid="{7F142366-1AE0-5D45-A506-465FBF578C3A}" name="G" dataDxfId="56"/>
    <tableColumn id="3" xr3:uid="{F73B07A5-94FF-C843-900F-F37684899EAA}" name="Home" dataDxfId="55"/>
    <tableColumn id="4" xr3:uid="{7D6FADB5-28D9-9449-ADC0-599788BF0B16}" name="G_1" dataDxfId="54"/>
    <tableColumn id="5" xr3:uid="{98CF2B62-3F88-D44B-AF59-BE4BB5C0604E}" name="HomeMargin" dataDxfId="53">
      <calculatedColumnFormula>Table3[[#This Row],[G_1]]-Table3[[#This Row],[G]]</calculatedColumnFormula>
    </tableColumn>
    <tableColumn id="6" xr3:uid="{FD0EC919-55F2-CA43-8B92-CA3E6283FCFD}" name="HomeForecast" dataDxfId="5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0" dataDxfId="49">
  <autoFilter ref="D1:R1313" xr:uid="{B940C27F-1AFD-1A45-A69A-42FED3D3591C}"/>
  <tableColumns count="15">
    <tableColumn id="1" xr3:uid="{27200A7D-FC6F-7D47-A38B-8116F873A9D8}" name="Date" dataDxfId="48"/>
    <tableColumn id="2" xr3:uid="{E6247AA5-111B-9544-9F6D-FFC524512888}" name="Time" dataDxfId="47"/>
    <tableColumn id="3" xr3:uid="{EDCD8AB3-2C72-284E-B537-7168C3C8687B}" name="Home" dataDxfId="46"/>
    <tableColumn id="4" xr3:uid="{EC6C1412-AAC2-6646-BF48-0D4526947D52}" name="Home Differential" dataDxfId="45">
      <calculatedColumnFormula>VLOOKUP(Table4[[#This Row],[Home]],'NHL Model'!$A$6:$B$38,2,FALSE)</calculatedColumnFormula>
    </tableColumn>
    <tableColumn id="5" xr3:uid="{67F5F1C4-5CC9-B648-BE7C-7E4EF3A85290}" name="Visitor" dataDxfId="44"/>
    <tableColumn id="6" xr3:uid="{84F489BE-33B4-0E4D-959D-E87A85C1D38D}" name="Away Differential" dataDxfId="43">
      <calculatedColumnFormula>VLOOKUP(Table4[[#This Row],[Visitor]],'NHL Model'!$A$6:$B$38,2,FALSE)</calculatedColumnFormula>
    </tableColumn>
    <tableColumn id="7" xr3:uid="{A6F9ABE3-1844-E54D-9016-325B538D2969}" name="HomeIce Differential" dataDxfId="20">
      <calculatedColumnFormula>($B$1+Table4[[#This Row],[Home Differential]])-Table4[[#This Row],[Away Differential]]</calculatedColumnFormula>
    </tableColumn>
    <tableColumn id="8" xr3:uid="{8FFD520F-0CF9-9D4A-93B6-B45373384612}" name="Predicted Winner" dataDxfId="42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1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0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9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8"/>
    <tableColumn id="13" xr3:uid="{F50D85A3-D772-F247-BFBE-86E765FD0BF6}" name="Locked Correct" dataDxfId="37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6">
  <autoFilter ref="A1:R33" xr:uid="{1B34B514-E1CC-0949-A7DD-8D37387465DD}"/>
  <tableColumns count="18">
    <tableColumn id="1" xr3:uid="{C9F77F0F-7B0D-CC44-9D34-395D1E3FA55B}" name="Team" dataDxfId="35"/>
    <tableColumn id="2" xr3:uid="{4080CFDD-7980-DD4D-A4DE-25DB03E50B7C}" name="GP" dataDxfId="34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3">
      <calculatedColumnFormula>COUNTIFS('NHL2025-26Results'!$H:$H,A2,'NHL2025-26Results'!$F:$F,"")</calculatedColumnFormula>
    </tableColumn>
    <tableColumn id="5" xr3:uid="{5EA2DCC3-F71A-5A40-B3F3-8F2F8CB0A7CE}" name="OTL" dataDxfId="32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1">
      <calculatedColumnFormula>(Table1[[#This Row],[W]]*2)+Table1[[#This Row],[OTL]]</calculatedColumnFormula>
    </tableColumn>
    <tableColumn id="7" xr3:uid="{40EA95E8-9958-E040-A5BE-EC17EEDC1CBD}" name="HomeWins" dataDxfId="30">
      <calculatedColumnFormula>COUNTIFS('NHL2025-26Results'!$D:$D,A2,'NHL2025-26Results'!$G:$G,A2)</calculatedColumnFormula>
    </tableColumn>
    <tableColumn id="9" xr3:uid="{F3FA5C24-502A-6446-A4B9-25DB670D2CB7}" name="HomeLoss" dataDxfId="29">
      <calculatedColumnFormula>COUNTIFS('NHL2025-26Results'!$D:$D,A2,'NHL2025-26Results'!$H:$H,A2,'NHL2025-26Results'!$F:$F,"")</calculatedColumnFormula>
    </tableColumn>
    <tableColumn id="8" xr3:uid="{999F1273-113E-7F4B-990E-AC7B23C4A496}" name="HomeOTL" dataDxfId="28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7">
      <calculatedColumnFormula>COUNTIFS('NHL2025-26Results'!$B:$B,A2,'NHL2025-26Results'!$G:$G,A2)</calculatedColumnFormula>
    </tableColumn>
    <tableColumn id="10" xr3:uid="{1A63BDD0-5CF0-0C48-B684-3675FC716427}" name="AwayLoss" dataDxfId="26">
      <calculatedColumnFormula>COUNTIFS('NHL2025-26Results'!$B:$B,A2,'NHL2025-26Results'!$H:$H,A2,'NHL2025-26Results'!$F:$F,"")</calculatedColumnFormula>
    </tableColumn>
    <tableColumn id="12" xr3:uid="{59628040-0BA7-5042-BB5A-1E9D40ABC469}" name="AwayOTL" dataDxfId="25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4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3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2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1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15" tableType="queryTable" totalsRowShown="0">
  <autoFilter ref="A1:R15" xr:uid="{5651E9DB-D3B4-CA46-997F-655733A5071C}"/>
  <tableColumns count="18">
    <tableColumn id="1" xr3:uid="{D7D2CFD4-F701-8D48-A3A2-7686526B3FE2}" uniqueName="1" name="date" queryTableFieldId="1" dataDxfId="14"/>
    <tableColumn id="2" xr3:uid="{8AB189CD-0773-F94B-BCE3-3755DA41914B}" uniqueName="2" name="game_time" queryTableFieldId="2" dataDxfId="13"/>
    <tableColumn id="3" xr3:uid="{95CCB897-F506-C84E-AA43-74357C00ABDC}" uniqueName="3" name="home_team" queryTableFieldId="3" dataDxfId="12"/>
    <tableColumn id="4" xr3:uid="{91D43264-DAB3-C648-A92A-CAD7FB4199F9}" uniqueName="4" name="away_team" queryTableFieldId="4" dataDxfId="11"/>
    <tableColumn id="5" xr3:uid="{11D5E007-B9C1-4543-914F-A699226E4708}" uniqueName="5" name="ml_predicted_winner" queryTableFieldId="5" dataDxfId="10"/>
    <tableColumn id="6" xr3:uid="{D42458AF-C5A9-7B4E-9212-B6667D0D7C34}" uniqueName="6" name="ml_home_win_prob" queryTableFieldId="6" dataDxfId="9" dataCellStyle="Percent"/>
    <tableColumn id="7" xr3:uid="{EE5F7FF6-1E8F-7046-8660-715A2A1152A9}" uniqueName="7" name="ml_away_win_prob" queryTableFieldId="7" dataDxfId="8" dataCellStyle="Percent"/>
    <tableColumn id="8" xr3:uid="{F0D6DF6B-F847-384A-A731-97006A0BCCE9}" uniqueName="8" name="ml_confidence" queryTableFieldId="8" dataDxfId="7" dataCellStyle="Percent"/>
    <tableColumn id="9" xr3:uid="{7330D29F-9DB5-C04F-96FD-952EF8197879}" uniqueName="9" name="ml_predicted_home_score" queryTableFieldId="9"/>
    <tableColumn id="10" xr3:uid="{E4AE9E7D-0CC8-804C-9834-1B8B7A310D5B}" uniqueName="10" name="ml_predicted_away_score" queryTableFieldId="10"/>
    <tableColumn id="11" xr3:uid="{BD471F4B-27CE-6742-AF7D-60595628F745}" uniqueName="11" name="excel_predicted_winner" queryTableFieldId="11" dataDxfId="6"/>
    <tableColumn id="12" xr3:uid="{1CC0C713-58CB-2641-96A9-E3244F8765EC}" uniqueName="12" name="excel_confidence" queryTableFieldId="12" dataDxfId="5" dataCellStyle="Percent"/>
    <tableColumn id="13" xr3:uid="{BB6A2994-CBA8-AF43-A93B-71560D9FE994}" uniqueName="13" name="excel_homeice_diff" queryTableFieldId="13"/>
    <tableColumn id="14" xr3:uid="{68022F89-A0E1-F941-B0CA-831E4377E07F}" uniqueName="14" name="actual_winner" queryTableFieldId="14" dataDxfId="4"/>
    <tableColumn id="15" xr3:uid="{43C328E0-2628-C646-A293-396F020532B3}" uniqueName="15" name="ml_correct" queryTableFieldId="15" dataDxfId="3"/>
    <tableColumn id="16" xr3:uid="{BF21B78A-4A3A-4445-A378-6C79106E6630}" uniqueName="16" name="excel_correct" queryTableFieldId="16" dataDxfId="2"/>
    <tableColumn id="17" xr3:uid="{83971C46-0F3E-5944-B6AB-A8F6ECD38F8B}" uniqueName="17" name="model_version" queryTableFieldId="17" dataDxfId="1"/>
    <tableColumn id="18" xr3:uid="{9833C29D-C212-D944-9B7D-2A8B6D2DA355}" uniqueName="18" name="not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90" workbookViewId="0">
      <selection activeCell="I312" sqref="I312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D308" t="s">
        <v>10</v>
      </c>
      <c r="F308" t="s">
        <v>60</v>
      </c>
    </row>
    <row r="309" spans="1:10" x14ac:dyDescent="0.2">
      <c r="A309" s="1" t="s">
        <v>217</v>
      </c>
      <c r="B309" t="s">
        <v>30</v>
      </c>
      <c r="D309" t="s">
        <v>39</v>
      </c>
      <c r="F309" t="s">
        <v>60</v>
      </c>
    </row>
    <row r="310" spans="1:10" x14ac:dyDescent="0.2">
      <c r="A310" s="1" t="s">
        <v>217</v>
      </c>
      <c r="B310" t="s">
        <v>32</v>
      </c>
      <c r="D310" t="s">
        <v>26</v>
      </c>
      <c r="F310" t="s">
        <v>60</v>
      </c>
    </row>
    <row r="311" spans="1:10" x14ac:dyDescent="0.2">
      <c r="A311" s="1" t="s">
        <v>217</v>
      </c>
      <c r="B311" t="s">
        <v>55</v>
      </c>
      <c r="D311" t="s">
        <v>33</v>
      </c>
      <c r="F311" t="s">
        <v>60</v>
      </c>
    </row>
    <row r="312" spans="1:10" x14ac:dyDescent="0.2">
      <c r="A312" s="1" t="s">
        <v>217</v>
      </c>
      <c r="B312" t="s">
        <v>24</v>
      </c>
      <c r="D312" t="s">
        <v>37</v>
      </c>
      <c r="F312" t="s">
        <v>60</v>
      </c>
    </row>
    <row r="313" spans="1:10" x14ac:dyDescent="0.2">
      <c r="A313" s="1" t="s">
        <v>217</v>
      </c>
      <c r="B313" t="s">
        <v>35</v>
      </c>
      <c r="D313" t="s">
        <v>19</v>
      </c>
      <c r="F313" t="s">
        <v>60</v>
      </c>
    </row>
    <row r="314" spans="1:10" x14ac:dyDescent="0.2">
      <c r="A314" s="1" t="s">
        <v>217</v>
      </c>
      <c r="B314" t="s">
        <v>15</v>
      </c>
      <c r="D314" t="s">
        <v>20</v>
      </c>
      <c r="F314" t="s">
        <v>60</v>
      </c>
    </row>
    <row r="315" spans="1:10" x14ac:dyDescent="0.2">
      <c r="A315" s="1" t="s">
        <v>217</v>
      </c>
      <c r="B315" t="s">
        <v>28</v>
      </c>
      <c r="D315" t="s">
        <v>40</v>
      </c>
      <c r="F315" t="s">
        <v>60</v>
      </c>
    </row>
    <row r="316" spans="1:10" x14ac:dyDescent="0.2">
      <c r="A316" s="1" t="s">
        <v>218</v>
      </c>
      <c r="B316" t="s">
        <v>21</v>
      </c>
      <c r="D316" t="s">
        <v>31</v>
      </c>
      <c r="F316" t="s">
        <v>60</v>
      </c>
    </row>
    <row r="317" spans="1:10" x14ac:dyDescent="0.2">
      <c r="A317" s="1" t="s">
        <v>218</v>
      </c>
      <c r="B317" t="s">
        <v>16</v>
      </c>
      <c r="D317" t="s">
        <v>23</v>
      </c>
      <c r="F317" t="s">
        <v>60</v>
      </c>
    </row>
    <row r="318" spans="1:10" x14ac:dyDescent="0.2">
      <c r="A318" s="1" t="s">
        <v>218</v>
      </c>
      <c r="B318" t="s">
        <v>25</v>
      </c>
      <c r="D318" t="s">
        <v>34</v>
      </c>
      <c r="F318" t="s">
        <v>60</v>
      </c>
    </row>
    <row r="319" spans="1:10" x14ac:dyDescent="0.2">
      <c r="A319" s="1" t="s">
        <v>218</v>
      </c>
      <c r="B319" t="s">
        <v>17</v>
      </c>
      <c r="D319" t="s">
        <v>22</v>
      </c>
      <c r="F319" t="s">
        <v>60</v>
      </c>
    </row>
    <row r="320" spans="1:10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0.17829819365486335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1542.268193397585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0.5301060565842276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-0.25050124492395975</v>
      </c>
      <c r="J7">
        <f>(Table3[[#This Row],[HomeMargin]]-Table3[[#This Row],[HomeForecast]])^2</f>
        <v>1.563753363556373</v>
      </c>
    </row>
    <row r="8" spans="1:10" x14ac:dyDescent="0.2">
      <c r="A8" s="4" t="s">
        <v>21</v>
      </c>
      <c r="B8">
        <v>-1.6459316139111148E-2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-1.4815925497371718</v>
      </c>
      <c r="J8">
        <f>(Table3[[#This Row],[HomeMargin]]-Table3[[#This Row],[HomeForecast]])^2</f>
        <v>2.305561185013663</v>
      </c>
    </row>
    <row r="9" spans="1:10" x14ac:dyDescent="0.2">
      <c r="A9" s="4" t="s">
        <v>23</v>
      </c>
      <c r="B9">
        <v>-0.67384018791748512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-0.40190181415893633</v>
      </c>
      <c r="J9">
        <f>(Table3[[#This Row],[HomeMargin]]-Table3[[#This Row],[HomeForecast]])^2</f>
        <v>6.7501141832706262</v>
      </c>
    </row>
    <row r="10" spans="1:10" x14ac:dyDescent="0.2">
      <c r="A10" s="4" t="s">
        <v>16</v>
      </c>
      <c r="B10">
        <v>-1.429228083243411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0.77569977933283329</v>
      </c>
      <c r="J10">
        <f>(Table3[[#This Row],[HomeMargin]]-Table3[[#This Row],[HomeForecast]])^2</f>
        <v>3.153109706322673</v>
      </c>
    </row>
    <row r="11" spans="1:10" x14ac:dyDescent="0.2">
      <c r="A11" s="4" t="s">
        <v>25</v>
      </c>
      <c r="B11">
        <v>0.73055531763635684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0.1296218561046022</v>
      </c>
      <c r="J11">
        <f>(Table3[[#This Row],[HomeMargin]]-Table3[[#This Row],[HomeForecast]])^2</f>
        <v>8.2390706889523901</v>
      </c>
    </row>
    <row r="12" spans="1:10" x14ac:dyDescent="0.2">
      <c r="A12" s="4" t="s">
        <v>10</v>
      </c>
      <c r="B12">
        <v>0.26494263732175571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0.29901769254695343</v>
      </c>
      <c r="J12">
        <f>(Table3[[#This Row],[HomeMargin]]-Table3[[#This Row],[HomeForecast]])^2</f>
        <v>1.6874469655500113</v>
      </c>
    </row>
    <row r="13" spans="1:10" x14ac:dyDescent="0.2">
      <c r="A13" s="4" t="s">
        <v>12</v>
      </c>
      <c r="B13">
        <v>1.5385519346678582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0.16875190622959765</v>
      </c>
      <c r="J13">
        <f>(Table3[[#This Row],[HomeMargin]]-Table3[[#This Row],[HomeForecast]])^2</f>
        <v>4.7034848307745127</v>
      </c>
    </row>
    <row r="14" spans="1:10" x14ac:dyDescent="0.2">
      <c r="A14" s="4" t="s">
        <v>28</v>
      </c>
      <c r="B14">
        <v>-0.4068113735564976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-0.1031037598060035</v>
      </c>
      <c r="J14">
        <f>(Table3[[#This Row],[HomeMargin]]-Table3[[#This Row],[HomeForecast]])^2</f>
        <v>1.2168379048981408</v>
      </c>
    </row>
    <row r="15" spans="1:10" x14ac:dyDescent="0.2">
      <c r="A15" s="4" t="s">
        <v>39</v>
      </c>
      <c r="B15">
        <v>0.16990542827764471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-0.16152486899447188</v>
      </c>
      <c r="J15">
        <f>(Table3[[#This Row],[HomeMargin]]-Table3[[#This Row],[HomeForecast]])^2</f>
        <v>14.733891331347905</v>
      </c>
    </row>
    <row r="16" spans="1:10" x14ac:dyDescent="0.2">
      <c r="A16" s="4" t="s">
        <v>26</v>
      </c>
      <c r="B16">
        <v>-0.51526168477192669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0.36192047709305197</v>
      </c>
      <c r="J16">
        <f>(Table3[[#This Row],[HomeMargin]]-Table3[[#This Row],[HomeForecast]])^2</f>
        <v>6.9594635691809517</v>
      </c>
    </row>
    <row r="17" spans="1:10" x14ac:dyDescent="0.2">
      <c r="A17" s="4" t="s">
        <v>17</v>
      </c>
      <c r="B17">
        <v>-0.83182649756544103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1.8576385285940769</v>
      </c>
      <c r="J17">
        <f>(Table3[[#This Row],[HomeMargin]]-Table3[[#This Row],[HomeForecast]])^2</f>
        <v>0.73554384572901321</v>
      </c>
    </row>
    <row r="18" spans="1:10" x14ac:dyDescent="0.2">
      <c r="A18" s="4" t="s">
        <v>11</v>
      </c>
      <c r="B18">
        <v>-0.16385680125706742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0.25748024721755569</v>
      </c>
      <c r="J18">
        <f>(Table3[[#This Row],[HomeMargin]]-Table3[[#This Row],[HomeForecast]])^2</f>
        <v>18.126138055447662</v>
      </c>
    </row>
    <row r="19" spans="1:10" x14ac:dyDescent="0.2">
      <c r="A19" s="4" t="s">
        <v>13</v>
      </c>
      <c r="B19">
        <v>-0.12133880872417692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0.55099285522592756</v>
      </c>
      <c r="J19">
        <f>(Table3[[#This Row],[HomeMargin]]-Table3[[#This Row],[HomeForecast]])^2</f>
        <v>0.20160741605816485</v>
      </c>
    </row>
    <row r="20" spans="1:10" x14ac:dyDescent="0.2">
      <c r="A20" s="4" t="s">
        <v>34</v>
      </c>
      <c r="B20">
        <v>-0.55929037526767655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-0.80541031998077028</v>
      </c>
      <c r="J20">
        <f>(Table3[[#This Row],[HomeMargin]]-Table3[[#This Row],[HomeForecast]])^2</f>
        <v>3.2595064234930673</v>
      </c>
    </row>
    <row r="21" spans="1:10" x14ac:dyDescent="0.2">
      <c r="A21" s="4" t="s">
        <v>18</v>
      </c>
      <c r="B21">
        <v>-0.59444373833461905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0.50740841597162456</v>
      </c>
      <c r="J21">
        <f>(Table3[[#This Row],[HomeMargin]]-Table3[[#This Row],[HomeForecast]])^2</f>
        <v>0.24264646865558406</v>
      </c>
    </row>
    <row r="22" spans="1:10" x14ac:dyDescent="0.2">
      <c r="A22" s="4" t="s">
        <v>29</v>
      </c>
      <c r="B22">
        <v>-1.3905198871921312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-0.74678006219623283</v>
      </c>
      <c r="J22">
        <f>(Table3[[#This Row],[HomeMargin]]-Table3[[#This Row],[HomeForecast]])^2</f>
        <v>7.5448007100787411</v>
      </c>
    </row>
    <row r="23" spans="1:10" x14ac:dyDescent="0.2">
      <c r="A23" s="4" t="s">
        <v>24</v>
      </c>
      <c r="B23">
        <v>0.54693303419816819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-0.22442722061083062</v>
      </c>
      <c r="J23">
        <f>(Table3[[#This Row],[HomeMargin]]-Table3[[#This Row],[HomeForecast]])^2</f>
        <v>0.60151313612944113</v>
      </c>
    </row>
    <row r="24" spans="1:10" x14ac:dyDescent="0.2">
      <c r="A24" s="4" t="s">
        <v>30</v>
      </c>
      <c r="B24">
        <v>-8.2927339771111427E-2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-0.91846951823333001</v>
      </c>
      <c r="J24">
        <f>(Table3[[#This Row],[HomeMargin]]-Table3[[#This Row],[HomeForecast]])^2</f>
        <v>16.658891073590464</v>
      </c>
    </row>
    <row r="25" spans="1:10" x14ac:dyDescent="0.2">
      <c r="A25" s="4" t="s">
        <v>15</v>
      </c>
      <c r="B25">
        <v>-0.33401712526814992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0.48532832243171475</v>
      </c>
      <c r="J25">
        <f>(Table3[[#This Row],[HomeMargin]]-Table3[[#This Row],[HomeForecast]])^2</f>
        <v>2.2062002254178115</v>
      </c>
    </row>
    <row r="26" spans="1:10" x14ac:dyDescent="0.2">
      <c r="A26" s="4" t="s">
        <v>36</v>
      </c>
      <c r="B26">
        <v>-0.4314038989751332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0.77072603801654871</v>
      </c>
      <c r="J26">
        <f>(Table3[[#This Row],[HomeMargin]]-Table3[[#This Row],[HomeForecast]])^2</f>
        <v>10.428210321544297</v>
      </c>
    </row>
    <row r="27" spans="1:10" x14ac:dyDescent="0.2">
      <c r="A27" s="4" t="s">
        <v>27</v>
      </c>
      <c r="B27">
        <v>-0.5365514628281316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8.045990134100528E-2</v>
      </c>
      <c r="J27">
        <f>(Table3[[#This Row],[HomeMargin]]-Table3[[#This Row],[HomeForecast]])^2</f>
        <v>1.1673935984058148</v>
      </c>
    </row>
    <row r="28" spans="1:10" x14ac:dyDescent="0.2">
      <c r="A28" s="4" t="s">
        <v>14</v>
      </c>
      <c r="B28">
        <v>0.24618288254564977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0.83567906543323733</v>
      </c>
      <c r="J28">
        <f>(Table3[[#This Row],[HomeMargin]]-Table3[[#This Row],[HomeForecast]])^2</f>
        <v>1.3556432386704196</v>
      </c>
    </row>
    <row r="29" spans="1:10" x14ac:dyDescent="0.2">
      <c r="A29" s="4" t="s">
        <v>33</v>
      </c>
      <c r="B29">
        <v>-0.40334472409778083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1.4454049741193518</v>
      </c>
      <c r="J29">
        <f>(Table3[[#This Row],[HomeMargin]]-Table3[[#This Row],[HomeForecast]])^2</f>
        <v>0.1983855909702604</v>
      </c>
    </row>
    <row r="30" spans="1:10" x14ac:dyDescent="0.2">
      <c r="A30" s="4" t="s">
        <v>32</v>
      </c>
      <c r="B30">
        <v>-0.39497219926686861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0.40512819756732221</v>
      </c>
      <c r="J30">
        <f>(Table3[[#This Row],[HomeMargin]]-Table3[[#This Row],[HomeForecast]])^2</f>
        <v>5.7846416467334354</v>
      </c>
    </row>
    <row r="31" spans="1:10" x14ac:dyDescent="0.2">
      <c r="A31" s="4" t="s">
        <v>35</v>
      </c>
      <c r="B31">
        <v>-1.6560580871558699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1.0376845693112382</v>
      </c>
      <c r="J31">
        <f>(Table3[[#This Row],[HomeMargin]]-Table3[[#This Row],[HomeForecast]])^2</f>
        <v>4.1521584040091266</v>
      </c>
    </row>
    <row r="32" spans="1:10" x14ac:dyDescent="0.2">
      <c r="A32" s="4" t="s">
        <v>37</v>
      </c>
      <c r="B32">
        <v>-0.12437377019828177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1.5469447000450769</v>
      </c>
      <c r="J32">
        <f>(Table3[[#This Row],[HomeMargin]]-Table3[[#This Row],[HomeForecast]])^2</f>
        <v>6.4869273050877068</v>
      </c>
    </row>
    <row r="33" spans="1:10" x14ac:dyDescent="0.2">
      <c r="A33" s="4" t="s">
        <v>19</v>
      </c>
      <c r="B33">
        <v>-0.64312007588488018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0.30615658476781682</v>
      </c>
      <c r="J33">
        <f>(Table3[[#This Row],[HomeMargin]]-Table3[[#This Row],[HomeForecast]])^2</f>
        <v>7.2567923457897923</v>
      </c>
    </row>
    <row r="34" spans="1:10" x14ac:dyDescent="0.2">
      <c r="A34" t="s">
        <v>55</v>
      </c>
      <c r="B34">
        <v>-0.14078840027135531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0.18327193497114791</v>
      </c>
      <c r="J34">
        <f>(Table3[[#This Row],[HomeMargin]]-Table3[[#This Row],[HomeForecast]])^2</f>
        <v>3.3005008622634766</v>
      </c>
    </row>
    <row r="35" spans="1:10" x14ac:dyDescent="0.2">
      <c r="A35" s="4" t="s">
        <v>38</v>
      </c>
      <c r="B35">
        <v>-0.83680023888172561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0.44584529137292916</v>
      </c>
      <c r="J35">
        <f>(Table3[[#This Row],[HomeMargin]]-Table3[[#This Row],[HomeForecast]])^2</f>
        <v>12.632015692855978</v>
      </c>
    </row>
    <row r="36" spans="1:10" x14ac:dyDescent="0.2">
      <c r="A36" s="4" t="s">
        <v>20</v>
      </c>
      <c r="B36">
        <v>-6.1930983208684394E-4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2.5819191943684372E-2</v>
      </c>
      <c r="J36">
        <f>(Table3[[#This Row],[HomeMargin]]-Table3[[#This Row],[HomeForecast]])^2</f>
        <v>9.1555817823347301</v>
      </c>
    </row>
    <row r="37" spans="1:10" x14ac:dyDescent="0.2">
      <c r="A37" s="4" t="s">
        <v>22</v>
      </c>
      <c r="B37">
        <v>-2.6005603564376825E-2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-1.0714332932659125</v>
      </c>
      <c r="J37">
        <f>(Table3[[#This Row],[HomeMargin]]-Table3[[#This Row],[HomeForecast]])^2</f>
        <v>5.1027153868138638E-3</v>
      </c>
    </row>
    <row r="38" spans="1:10" x14ac:dyDescent="0.2">
      <c r="A38" s="4" t="s">
        <v>40</v>
      </c>
      <c r="B38">
        <v>7.2067135963786652E-2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0.12137645744812875</v>
      </c>
      <c r="J38">
        <f>(Table3[[#This Row],[HomeMargin]]-Table3[[#This Row],[HomeForecast]])^2</f>
        <v>4.5002380742151731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0.75849820146866298</v>
      </c>
      <c r="J39">
        <f>(Table3[[#This Row],[HomeMargin]]-Table3[[#This Row],[HomeForecast]])^2</f>
        <v>33.160301536317832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-0.2160546957799184</v>
      </c>
      <c r="J40">
        <f>(Table3[[#This Row],[HomeMargin]]-Table3[[#This Row],[HomeForecast]])^2</f>
        <v>1.4787890231283898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-0.75515258702714505</v>
      </c>
      <c r="J41">
        <f>(Table3[[#This Row],[HomeMargin]]-Table3[[#This Row],[HomeForecast]])^2</f>
        <v>5.995025563949978E-2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-0.49300861074158664</v>
      </c>
      <c r="J42">
        <f>(Table3[[#This Row],[HomeMargin]]-Table3[[#This Row],[HomeForecast]])^2</f>
        <v>2.2710230472990025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0.3717041383428269</v>
      </c>
      <c r="J43">
        <f>(Table3[[#This Row],[HomeMargin]]-Table3[[#This Row],[HomeForecast]])^2</f>
        <v>0.39475568977552961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-0.12971332804890973</v>
      </c>
      <c r="J44">
        <f>(Table3[[#This Row],[HomeMargin]]-Table3[[#This Row],[HomeForecast]])^2</f>
        <v>0.75739889137570449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0.28621264771403399</v>
      </c>
      <c r="J45">
        <f>(Table3[[#This Row],[HomeMargin]]-Table3[[#This Row],[HomeForecast]])^2</f>
        <v>1.6543429751395453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-2.03409392893048</v>
      </c>
      <c r="J46">
        <f>(Table3[[#This Row],[HomeMargin]]-Table3[[#This Row],[HomeForecast]])^2</f>
        <v>1.1623959899166225E-3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-0.77544621409980241</v>
      </c>
      <c r="J47">
        <f>(Table3[[#This Row],[HomeMargin]]-Table3[[#This Row],[HomeForecast]])^2</f>
        <v>5.0424402762111777E-2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0.58402923124797435</v>
      </c>
      <c r="J48">
        <f>(Table3[[#This Row],[HomeMargin]]-Table3[[#This Row],[HomeForecast]])^2</f>
        <v>2.0049732179602029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-0.25965337288863632</v>
      </c>
      <c r="J49">
        <f>(Table3[[#This Row],[HomeMargin]]-Table3[[#This Row],[HomeForecast]])^2</f>
        <v>1.5867266198297179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2.3303717919965272E-2</v>
      </c>
      <c r="J50">
        <f>(Table3[[#This Row],[HomeMargin]]-Table3[[#This Row],[HomeForecast]])^2</f>
        <v>9.1403653707886843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1.1374141818718613</v>
      </c>
      <c r="J51">
        <f>(Table3[[#This Row],[HomeMargin]]-Table3[[#This Row],[HomeForecast]])^2</f>
        <v>17.118196112354404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-0.19439646791620085</v>
      </c>
      <c r="J52">
        <f>(Table3[[#This Row],[HomeMargin]]-Table3[[#This Row],[HomeForecast]])^2</f>
        <v>10.204168794235498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5.0439802541909828E-2</v>
      </c>
      <c r="J53">
        <f>(Table3[[#This Row],[HomeMargin]]-Table3[[#This Row],[HomeForecast]])^2</f>
        <v>1.1034237787642862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0.9975560419290076</v>
      </c>
      <c r="J54">
        <f>(Table3[[#This Row],[HomeMargin]]-Table3[[#This Row],[HomeForecast]])^2</f>
        <v>15.980454308363115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0.46222136769344113</v>
      </c>
      <c r="J55">
        <f>(Table3[[#This Row],[HomeMargin]]-Table3[[#This Row],[HomeForecast]])^2</f>
        <v>0.28920585736551302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-1.2503105797564609</v>
      </c>
      <c r="J56">
        <f>(Table3[[#This Row],[HomeMargin]]-Table3[[#This Row],[HomeForecast]])^2</f>
        <v>0.56203422682509385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0.90749399720018464</v>
      </c>
      <c r="J57">
        <f>(Table3[[#This Row],[HomeMargin]]-Table3[[#This Row],[HomeForecast]])^2</f>
        <v>4.3785813717532607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-2.1173345412887123E-2</v>
      </c>
      <c r="J58">
        <f>(Table3[[#This Row],[HomeMargin]]-Table3[[#This Row],[HomeForecast]])^2</f>
        <v>1.0427950013817475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0.67610756595215449</v>
      </c>
      <c r="J59">
        <f>(Table3[[#This Row],[HomeMargin]]-Table3[[#This Row],[HomeForecast]])^2</f>
        <v>7.1615517045463646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-0.95560184807927429</v>
      </c>
      <c r="J60">
        <f>(Table3[[#This Row],[HomeMargin]]-Table3[[#This Row],[HomeForecast]])^2</f>
        <v>9.2683601074183315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0.9256980049621143</v>
      </c>
      <c r="J61">
        <f>(Table3[[#This Row],[HomeMargin]]-Table3[[#This Row],[HomeForecast]])^2</f>
        <v>4.3027287666181522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0.27666636028876829</v>
      </c>
      <c r="J62">
        <f>(Table3[[#This Row],[HomeMargin]]-Table3[[#This Row],[HomeForecast]])^2</f>
        <v>0.52321155433789801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-6.4138095287488595E-2</v>
      </c>
      <c r="J63">
        <f>(Table3[[#This Row],[HomeMargin]]-Table3[[#This Row],[HomeForecast]])^2</f>
        <v>16.517218457567019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-0.17310668985999594</v>
      </c>
      <c r="J64">
        <f>(Table3[[#This Row],[HomeMargin]]-Table3[[#This Row],[HomeForecast]])^2</f>
        <v>10.068606065234261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-1.7427025308227622</v>
      </c>
      <c r="J65">
        <f>(Table3[[#This Row],[HomeMargin]]-Table3[[#This Row],[HomeForecast]])^2</f>
        <v>10.609986802708439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1.466737876626919</v>
      </c>
      <c r="J66">
        <f>(Table3[[#This Row],[HomeMargin]]-Table3[[#This Row],[HomeForecast]])^2</f>
        <v>0.28436849222436705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-2.2151067397265911E-2</v>
      </c>
      <c r="J67">
        <f>(Table3[[#This Row],[HomeMargin]]-Table3[[#This Row],[HomeForecast]])^2</f>
        <v>8.8675842654032415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-1.7670651145694924</v>
      </c>
      <c r="J68">
        <f>(Table3[[#This Row],[HomeMargin]]-Table3[[#This Row],[HomeForecast]])^2</f>
        <v>1.5201284317115389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1.1850038608142337</v>
      </c>
      <c r="J69">
        <f>(Table3[[#This Row],[HomeMargin]]-Table3[[#This Row],[HomeForecast]])^2</f>
        <v>10.144249593401575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-0.18922349761496332</v>
      </c>
      <c r="J70">
        <f>(Table3[[#This Row],[HomeMargin]]-Table3[[#This Row],[HomeForecast]])^2</f>
        <v>3.2789115415897867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0.97437434251237542</v>
      </c>
      <c r="J71">
        <f>(Table3[[#This Row],[HomeMargin]]-Table3[[#This Row],[HomeForecast]])^2</f>
        <v>6.5667432167304952E-4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0.88908802911009888</v>
      </c>
      <c r="J72">
        <f>(Table3[[#This Row],[HomeMargin]]-Table3[[#This Row],[HomeForecast]])^2</f>
        <v>1.2341254070664844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0.92719735144919291</v>
      </c>
      <c r="J73">
        <f>(Table3[[#This Row],[HomeMargin]]-Table3[[#This Row],[HomeForecast]])^2</f>
        <v>1.1509055227376266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0.14186649394659873</v>
      </c>
      <c r="J74">
        <f>(Table3[[#This Row],[HomeMargin]]-Table3[[#This Row],[HomeForecast]])^2</f>
        <v>0.73639311421150278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-0.43032040513705494</v>
      </c>
      <c r="J75">
        <f>(Table3[[#This Row],[HomeMargin]]-Table3[[#This Row],[HomeForecast]])^2</f>
        <v>6.603253220254989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-0.13080475696186694</v>
      </c>
      <c r="J76">
        <f>(Table3[[#This Row],[HomeMargin]]-Table3[[#This Row],[HomeForecast]])^2</f>
        <v>1.2787193983675869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0.19413819996188764</v>
      </c>
      <c r="J77">
        <f>(Table3[[#This Row],[HomeMargin]]-Table3[[#This Row],[HomeForecast]])^2</f>
        <v>0.64941324076066664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1.2800410698583446</v>
      </c>
      <c r="J78">
        <f>(Table3[[#This Row],[HomeMargin]]-Table3[[#This Row],[HomeForecast]])^2</f>
        <v>5.1985872802407851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-0.21258972091878159</v>
      </c>
      <c r="J79">
        <f>(Table3[[#This Row],[HomeMargin]]-Table3[[#This Row],[HomeForecast]])^2</f>
        <v>1.4703738312778885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0.4408545174812889</v>
      </c>
      <c r="J80">
        <f>(Table3[[#This Row],[HomeMargin]]-Table3[[#This Row],[HomeForecast]])^2</f>
        <v>6.5492256006959275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0.71158296535816312</v>
      </c>
      <c r="J81">
        <f>(Table3[[#This Row],[HomeMargin]]-Table3[[#This Row],[HomeForecast]])^2</f>
        <v>10.813686593722611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-0.33168519300555438</v>
      </c>
      <c r="J82">
        <f>(Table3[[#This Row],[HomeMargin]]-Table3[[#This Row],[HomeForecast]])^2</f>
        <v>11.100126225292458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-0.10413940970335248</v>
      </c>
      <c r="J83">
        <f>(Table3[[#This Row],[HomeMargin]]-Table3[[#This Row],[HomeForecast]])^2</f>
        <v>1.2191238360600678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1.7333094444618327</v>
      </c>
      <c r="J84">
        <f>(Table3[[#This Row],[HomeMargin]]-Table3[[#This Row],[HomeForecast]])^2</f>
        <v>1.6045049634895909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-0.67359593270567042</v>
      </c>
      <c r="J85">
        <f>(Table3[[#This Row],[HomeMargin]]-Table3[[#This Row],[HomeForecast]])^2</f>
        <v>0.10653961514628123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-8.2128419411605813E-2</v>
      </c>
      <c r="J86">
        <f>(Table3[[#This Row],[HomeMargin]]-Table3[[#This Row],[HomeForecast]])^2</f>
        <v>0.84248823845183696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1.5570577254184725</v>
      </c>
      <c r="J87">
        <f>(Table3[[#This Row],[HomeMargin]]-Table3[[#This Row],[HomeForecast]])^2</f>
        <v>0.19619785861145728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-0.17017836554915844</v>
      </c>
      <c r="J88">
        <f>(Table3[[#This Row],[HomeMargin]]-Table3[[#This Row],[HomeForecast]])^2</f>
        <v>0.68860394500266608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0.20103710609440828</v>
      </c>
      <c r="J89">
        <f>(Table3[[#This Row],[HomeMargin]]-Table3[[#This Row],[HomeForecast]])^2</f>
        <v>0.63834170583799776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-0.47122941298856724</v>
      </c>
      <c r="J90">
        <f>(Table3[[#This Row],[HomeMargin]]-Table3[[#This Row],[HomeForecast]])^2</f>
        <v>6.3946806817341475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-1.6476653217786512</v>
      </c>
      <c r="J91">
        <f>(Table3[[#This Row],[HomeMargin]]-Table3[[#This Row],[HomeForecast]])^2</f>
        <v>13.305462299706551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-6.9849682963148252E-2</v>
      </c>
      <c r="J92">
        <f>(Table3[[#This Row],[HomeMargin]]-Table3[[#This Row],[HomeForecast]])^2</f>
        <v>0.86517961228375573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1.6069069670661875</v>
      </c>
      <c r="J93">
        <f>(Table3[[#This Row],[HomeMargin]]-Table3[[#This Row],[HomeForecast]])^2</f>
        <v>11.513080330143978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1.6408852168107813</v>
      </c>
      <c r="J94">
        <f>(Table3[[#This Row],[HomeMargin]]-Table3[[#This Row],[HomeForecast]])^2</f>
        <v>1.847192993883477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-8.6865225607608565E-2</v>
      </c>
      <c r="J95">
        <f>(Table3[[#This Row],[HomeMargin]]-Table3[[#This Row],[HomeForecast]])^2</f>
        <v>1.1812760186350779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0.49486300644837766</v>
      </c>
      <c r="J96">
        <f>(Table3[[#This Row],[HomeMargin]]-Table3[[#This Row],[HomeForecast]])^2</f>
        <v>2.2654373693576164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5.3969109522619192E-2</v>
      </c>
      <c r="J97">
        <f>(Table3[[#This Row],[HomeMargin]]-Table3[[#This Row],[HomeForecast]])^2</f>
        <v>0.89497444573742602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0.98909282897221207</v>
      </c>
      <c r="J98">
        <f>(Table3[[#This Row],[HomeMargin]]-Table3[[#This Row],[HomeForecast]])^2</f>
        <v>3.9564902822686778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-1.3229970255523342</v>
      </c>
      <c r="J99">
        <f>(Table3[[#This Row],[HomeMargin]]-Table3[[#This Row],[HomeForecast]])^2</f>
        <v>0.10432707851565524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0.25769464323772939</v>
      </c>
      <c r="J100">
        <f>(Table3[[#This Row],[HomeMargin]]-Table3[[#This Row],[HomeForecast]])^2</f>
        <v>3.0356279562025033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0.40357144365439002</v>
      </c>
      <c r="J101">
        <f>(Table3[[#This Row],[HomeMargin]]-Table3[[#This Row],[HomeForecast]])^2</f>
        <v>5.7771556847508485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3.6718930093600333E-2</v>
      </c>
      <c r="J102">
        <f>(Table3[[#This Row],[HomeMargin]]-Table3[[#This Row],[HomeForecast]])^2</f>
        <v>8.7810346992656161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-0.55287643381358031</v>
      </c>
      <c r="J103">
        <f>(Table3[[#This Row],[HomeMargin]]-Table3[[#This Row],[HomeForecast]])^2</f>
        <v>12.622930953947902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0.32569567877281963</v>
      </c>
      <c r="J104">
        <f>(Table3[[#This Row],[HomeMargin]]-Table3[[#This Row],[HomeForecast]])^2</f>
        <v>1.7574690327169269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0.75501499548900575</v>
      </c>
      <c r="J105">
        <f>(Table3[[#This Row],[HomeMargin]]-Table3[[#This Row],[HomeForecast]])^2</f>
        <v>22.610167607325312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-1.7423277501214955</v>
      </c>
      <c r="J106">
        <f>(Table3[[#This Row],[HomeMargin]]-Table3[[#This Row],[HomeForecast]])^2</f>
        <v>1.5817394881144593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0.49871557798153276</v>
      </c>
      <c r="J107">
        <f>(Table3[[#This Row],[HomeMargin]]-Table3[[#This Row],[HomeForecast]])^2</f>
        <v>0.25128607175838874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0.57872079224517115</v>
      </c>
      <c r="J108">
        <f>(Table3[[#This Row],[HomeMargin]]-Table3[[#This Row],[HomeForecast]])^2</f>
        <v>2.492359339867221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1.2612813150822388</v>
      </c>
      <c r="J109">
        <f>(Table3[[#This Row],[HomeMargin]]-Table3[[#This Row],[HomeForecast]])^2</f>
        <v>7.5005800351176708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-1.3564210847768297</v>
      </c>
      <c r="J110">
        <f>(Table3[[#This Row],[HomeMargin]]-Table3[[#This Row],[HomeForecast]])^2</f>
        <v>0.127035989673492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-1.0117549164281852</v>
      </c>
      <c r="J111">
        <f>(Table3[[#This Row],[HomeMargin]]-Table3[[#This Row],[HomeForecast]])^2</f>
        <v>3.9531185123474928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-1.5010421412843502</v>
      </c>
      <c r="J112">
        <f>(Table3[[#This Row],[HomeMargin]]-Table3[[#This Row],[HomeForecast]])^2</f>
        <v>6.2552117924802086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0.54726478935735512</v>
      </c>
      <c r="J113">
        <f>(Table3[[#This Row],[HomeMargin]]-Table3[[#This Row],[HomeForecast]])^2</f>
        <v>6.0159100135262191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1.9719690509304888E-2</v>
      </c>
      <c r="J114">
        <f>(Table3[[#This Row],[HomeMargin]]-Table3[[#This Row],[HomeForecast]])^2</f>
        <v>3.9215101041565634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-0.65648615125392862</v>
      </c>
      <c r="J115">
        <f>(Table3[[#This Row],[HomeMargin]]-Table3[[#This Row],[HomeForecast]])^2</f>
        <v>0.1180017642803388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1.2845216031207081</v>
      </c>
      <c r="J116">
        <f>(Table3[[#This Row],[HomeMargin]]-Table3[[#This Row],[HomeForecast]])^2</f>
        <v>2.9428661301595453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-0.36826717906847539</v>
      </c>
      <c r="J117">
        <f>(Table3[[#This Row],[HomeMargin]]-Table3[[#This Row],[HomeForecast]])^2</f>
        <v>2.6625519989051507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0.98629481068636471</v>
      </c>
      <c r="J118">
        <f>(Table3[[#This Row],[HomeMargin]]-Table3[[#This Row],[HomeForecast]])^2</f>
        <v>3.9453670749595813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0.46954243065668499</v>
      </c>
      <c r="J119">
        <f>(Table3[[#This Row],[HomeMargin]]-Table3[[#This Row],[HomeForecast]])^2</f>
        <v>2.1595549555003584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-5.9084565575958647E-2</v>
      </c>
      <c r="J120">
        <f>(Table3[[#This Row],[HomeMargin]]-Table3[[#This Row],[HomeForecast]])^2</f>
        <v>1.121660117041217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-0.23174149014785383</v>
      </c>
      <c r="J121">
        <f>(Table3[[#This Row],[HomeMargin]]-Table3[[#This Row],[HomeForecast]])^2</f>
        <v>3.1267381576645326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-0.37542145465554222</v>
      </c>
      <c r="J122">
        <f>(Table3[[#This Row],[HomeMargin]]-Table3[[#This Row],[HomeForecast]])^2</f>
        <v>1.8917841779267681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0.61063253865567857</v>
      </c>
      <c r="J123">
        <f>(Table3[[#This Row],[HomeMargin]]-Table3[[#This Row],[HomeForecast]])^2</f>
        <v>19.26654671070829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0.24762579248449426</v>
      </c>
      <c r="J124">
        <f>(Table3[[#This Row],[HomeMargin]]-Table3[[#This Row],[HomeForecast]])^2</f>
        <v>1.5565701180725622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0.28344575750786172</v>
      </c>
      <c r="J125">
        <f>(Table3[[#This Row],[HomeMargin]]-Table3[[#This Row],[HomeForecast]])^2</f>
        <v>0.51344998243348217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-1.3369714932296513</v>
      </c>
      <c r="J126">
        <f>(Table3[[#This Row],[HomeMargin]]-Table3[[#This Row],[HomeForecast]])^2</f>
        <v>2.7656638143308161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-0.21101821386517414</v>
      </c>
      <c r="J127">
        <f>(Table3[[#This Row],[HomeMargin]]-Table3[[#This Row],[HomeForecast]])^2</f>
        <v>0.62249225885250004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0.64533752888551854</v>
      </c>
      <c r="J128">
        <f>(Table3[[#This Row],[HomeMargin]]-Table3[[#This Row],[HomeForecast]])^2</f>
        <v>13.288485699501178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0.14757808162225838</v>
      </c>
      <c r="J129">
        <f>(Table3[[#This Row],[HomeMargin]]-Table3[[#This Row],[HomeForecast]])^2</f>
        <v>3.431466963686272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-0.20250757633725741</v>
      </c>
      <c r="J130">
        <f>(Table3[[#This Row],[HomeMargin]]-Table3[[#This Row],[HomeForecast]])^2</f>
        <v>14.420948707775931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1.1285759519508123</v>
      </c>
      <c r="J131">
        <f>(Table3[[#This Row],[HomeMargin]]-Table3[[#This Row],[HomeForecast]])^2</f>
        <v>0.759379871518433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1.6795934128620611</v>
      </c>
      <c r="J132">
        <f>(Table3[[#This Row],[HomeMargin]]-Table3[[#This Row],[HomeForecast]])^2</f>
        <v>0.10266038108138163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-1.376713057152106</v>
      </c>
      <c r="J133">
        <f>(Table3[[#This Row],[HomeMargin]]-Table3[[#This Row],[HomeForecast]])^2</f>
        <v>5.6487649560373088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-0.38235169570384875</v>
      </c>
      <c r="J134">
        <f>(Table3[[#This Row],[HomeMargin]]-Table3[[#This Row],[HomeForecast]])^2</f>
        <v>1.9108962106153058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1.3190945960388065</v>
      </c>
      <c r="J135">
        <f>(Table3[[#This Row],[HomeMargin]]-Table3[[#This Row],[HomeForecast]])^2</f>
        <v>0.46363216914355609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1.5060702229882776E-2</v>
      </c>
      <c r="J136">
        <f>(Table3[[#This Row],[HomeMargin]]-Table3[[#This Row],[HomeForecast]])^2</f>
        <v>8.9098626113723611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-0.24020378134145792</v>
      </c>
      <c r="J137">
        <f>(Table3[[#This Row],[HomeMargin]]-Table3[[#This Row],[HomeForecast]])^2</f>
        <v>14.136067605839072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-1.0908828848130909</v>
      </c>
      <c r="J138">
        <f>(Table3[[#This Row],[HomeMargin]]-Table3[[#This Row],[HomeForecast]])^2</f>
        <v>4.3717912380043131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-0.27532592940215683</v>
      </c>
      <c r="J139">
        <f>(Table3[[#This Row],[HomeMargin]]-Table3[[#This Row],[HomeForecast]])^2</f>
        <v>1.6264562262054751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0.83129244975701067</v>
      </c>
      <c r="J140">
        <f>(Table3[[#This Row],[HomeMargin]]-Table3[[#This Row],[HomeForecast]])^2</f>
        <v>3.3536320365370336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0.6151524919534358</v>
      </c>
      <c r="J141">
        <f>(Table3[[#This Row],[HomeMargin]]-Table3[[#This Row],[HomeForecast]])^2</f>
        <v>0.14810760444965029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-0.47618163312764605</v>
      </c>
      <c r="J142">
        <f>(Table3[[#This Row],[HomeMargin]]-Table3[[#This Row],[HomeForecast]])^2</f>
        <v>2.1791122139834043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0.20901830568746826</v>
      </c>
      <c r="J143">
        <f>(Table3[[#This Row],[HomeMargin]]-Table3[[#This Row],[HomeForecast]])^2</f>
        <v>0.62565204073752345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-6.4058306892243233E-2</v>
      </c>
      <c r="J144">
        <f>(Table3[[#This Row],[HomeMargin]]-Table3[[#This Row],[HomeForecast]])^2</f>
        <v>0.8759868528974144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0.58369648906561977</v>
      </c>
      <c r="J145">
        <f>(Table3[[#This Row],[HomeMargin]]-Table3[[#This Row],[HomeForecast]])^2</f>
        <v>43.345059460134969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-0.91691276432039781</v>
      </c>
      <c r="J146">
        <f>(Table3[[#This Row],[HomeMargin]]-Table3[[#This Row],[HomeForecast]])^2</f>
        <v>24.17603113193686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0.56457963970079594</v>
      </c>
      <c r="J147">
        <f>(Table3[[#This Row],[HomeMargin]]-Table3[[#This Row],[HomeForecast]])^2</f>
        <v>6.5770687283678653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2.2352542484967597E-2</v>
      </c>
      <c r="J148">
        <f>(Table3[[#This Row],[HomeMargin]]-Table3[[#This Row],[HomeForecast]])^2</f>
        <v>1.0452047211254774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-0.81332070681482671</v>
      </c>
      <c r="J149">
        <f>(Table3[[#This Row],[HomeMargin]]-Table3[[#This Row],[HomeForecast]])^2</f>
        <v>3.2881319857634228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-1.3821271218149125</v>
      </c>
      <c r="J150">
        <f>(Table3[[#This Row],[HomeMargin]]-Table3[[#This Row],[HomeForecast]])^2</f>
        <v>0.14602113722654897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5.454373328866842E-2</v>
      </c>
      <c r="J151">
        <f>(Table3[[#This Row],[HomeMargin]]-Table3[[#This Row],[HomeForecast]])^2</f>
        <v>0.89388755226372851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0.17332445233857874</v>
      </c>
      <c r="J152">
        <f>(Table3[[#This Row],[HomeMargin]]-Table3[[#This Row],[HomeForecast]])^2</f>
        <v>0.6833924611013108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0.3911537298900053</v>
      </c>
      <c r="J153">
        <f>(Table3[[#This Row],[HomeMargin]]-Table3[[#This Row],[HomeForecast]])^2</f>
        <v>1.9353087001868741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-0.23664638918115874</v>
      </c>
      <c r="J154">
        <f>(Table3[[#This Row],[HomeMargin]]-Table3[[#This Row],[HomeForecast]])^2</f>
        <v>27.422465405324068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2.080539163356383</v>
      </c>
      <c r="J155">
        <f>(Table3[[#This Row],[HomeMargin]]-Table3[[#This Row],[HomeForecast]])^2</f>
        <v>0.84540823012138011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0.24476621728686365</v>
      </c>
      <c r="J156">
        <f>(Table3[[#This Row],[HomeMargin]]-Table3[[#This Row],[HomeForecast]])^2</f>
        <v>7.5913131974037391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-8.8730620706124197E-2</v>
      </c>
      <c r="J157">
        <f>(Table3[[#This Row],[HomeMargin]]-Table3[[#This Row],[HomeForecast]])^2</f>
        <v>0.83041188163864554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0.90947282112330696</v>
      </c>
      <c r="J158">
        <f>(Table3[[#This Row],[HomeMargin]]-Table3[[#This Row],[HomeForecast]])^2</f>
        <v>15.283977739101831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0.87464472995175224</v>
      </c>
      <c r="J159">
        <f>(Table3[[#This Row],[HomeMargin]]-Table3[[#This Row],[HomeForecast]])^2</f>
        <v>9.767845564018355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1.1699170941245534</v>
      </c>
      <c r="J160">
        <f>(Table3[[#This Row],[HomeMargin]]-Table3[[#This Row],[HomeForecast]])^2</f>
        <v>8.0093692541284121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0.3742092254968849</v>
      </c>
      <c r="J161">
        <f>(Table3[[#This Row],[HomeMargin]]-Table3[[#This Row],[HomeForecast]])^2</f>
        <v>0.39161409345320858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-0.51273990363922239</v>
      </c>
      <c r="J162">
        <f>(Table3[[#This Row],[HomeMargin]]-Table3[[#This Row],[HomeForecast]])^2</f>
        <v>12.339341630619293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-0.51566466418643164</v>
      </c>
      <c r="J163">
        <f>(Table3[[#This Row],[HomeMargin]]-Table3[[#This Row],[HomeForecast]])^2</f>
        <v>0.23458071751764203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-0.4530593175765999</v>
      </c>
      <c r="J164">
        <f>(Table3[[#This Row],[HomeMargin]]-Table3[[#This Row],[HomeForecast]])^2</f>
        <v>0.2991441100897746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-1.0878479233389862</v>
      </c>
      <c r="J165">
        <f>(Table3[[#This Row],[HomeMargin]]-Table3[[#This Row],[HomeForecast]])^2</f>
        <v>3.6563255642790278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-0.60443615171891807</v>
      </c>
      <c r="J166">
        <f>(Table3[[#This Row],[HomeMargin]]-Table3[[#This Row],[HomeForecast]])^2</f>
        <v>2.5742153649426109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0.37776973272261383</v>
      </c>
      <c r="J167">
        <f>(Table3[[#This Row],[HomeMargin]]-Table3[[#This Row],[HomeForecast]])^2</f>
        <v>1.898249436406543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-0.10370772171874056</v>
      </c>
      <c r="J168">
        <f>(Table3[[#This Row],[HomeMargin]]-Table3[[#This Row],[HomeForecast]])^2</f>
        <v>0.80333984810661063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-0.96249820872907987</v>
      </c>
      <c r="J169">
        <f>(Table3[[#This Row],[HomeMargin]]-Table3[[#This Row],[HomeForecast]])^2</f>
        <v>4.151413549432208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0.96440620101339414</v>
      </c>
      <c r="J170">
        <f>(Table3[[#This Row],[HomeMargin]]-Table3[[#This Row],[HomeForecast]])^2</f>
        <v>1.2669185262989045E-3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-0.32448491995871237</v>
      </c>
      <c r="J171">
        <f>(Table3[[#This Row],[HomeMargin]]-Table3[[#This Row],[HomeForecast]])^2</f>
        <v>2.8073507834457625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0.41460689598324596</v>
      </c>
      <c r="J172">
        <f>(Table3[[#This Row],[HomeMargin]]-Table3[[#This Row],[HomeForecast]])^2</f>
        <v>6.6842575022973874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0.83567906543323733</v>
      </c>
      <c r="J173">
        <f>(Table3[[#This Row],[HomeMargin]]-Table3[[#This Row],[HomeForecast]])^2</f>
        <v>2.7001369536894297E-2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0.9917808510623316</v>
      </c>
      <c r="J174">
        <f>(Table3[[#This Row],[HomeMargin]]-Table3[[#This Row],[HomeForecast]])^2</f>
        <v>9.0493824480352707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-0.31951117864242778</v>
      </c>
      <c r="J175">
        <f>(Table3[[#This Row],[HomeMargin]]-Table3[[#This Row],[HomeForecast]])^2</f>
        <v>0.46306503599261778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0.57222106970261311</v>
      </c>
      <c r="J176">
        <f>(Table3[[#This Row],[HomeMargin]]-Table3[[#This Row],[HomeForecast]])^2</f>
        <v>2.4718790920168292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-0.62717506415846302</v>
      </c>
      <c r="J177">
        <f>(Table3[[#This Row],[HomeMargin]]-Table3[[#This Row],[HomeForecast]])^2</f>
        <v>5.6302981761513955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1.1761223779231411</v>
      </c>
      <c r="J178">
        <f>(Table3[[#This Row],[HomeMargin]]-Table3[[#This Row],[HomeForecast]])^2</f>
        <v>3.1019092005301747E-2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1.0322666180188629</v>
      </c>
      <c r="J179">
        <f>(Table3[[#This Row],[HomeMargin]]-Table3[[#This Row],[HomeForecast]])^2</f>
        <v>3.8719746625629239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-0.77197956464108564</v>
      </c>
      <c r="J180">
        <f>(Table3[[#This Row],[HomeMargin]]-Table3[[#This Row],[HomeForecast]])^2</f>
        <v>14.227829836069956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-0.64095965461928095</v>
      </c>
      <c r="J181">
        <f>(Table3[[#This Row],[HomeMargin]]-Table3[[#This Row],[HomeForecast]])^2</f>
        <v>0.12890996961110601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-0.11598100482106313</v>
      </c>
      <c r="J182">
        <f>(Table3[[#This Row],[HomeMargin]]-Table3[[#This Row],[HomeForecast]])^2</f>
        <v>1.24541360312143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-1.4577307703105724E-2</v>
      </c>
      <c r="J183">
        <f>(Table3[[#This Row],[HomeMargin]]-Table3[[#This Row],[HomeForecast]])^2</f>
        <v>9.0876763441185062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1.2236659350110175</v>
      </c>
      <c r="J184">
        <f>(Table3[[#This Row],[HomeMargin]]-Table3[[#This Row],[HomeForecast]])^2</f>
        <v>3.1553627104402828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-1.3608730508450817</v>
      </c>
      <c r="J185">
        <f>(Table3[[#This Row],[HomeMargin]]-Table3[[#This Row],[HomeForecast]])^2</f>
        <v>0.40848325713607353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0.23521992986159795</v>
      </c>
      <c r="J186">
        <f>(Table3[[#This Row],[HomeMargin]]-Table3[[#This Row],[HomeForecast]])^2</f>
        <v>4.9962081348504865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-0.56871644012060463</v>
      </c>
      <c r="J187">
        <f>(Table3[[#This Row],[HomeMargin]]-Table3[[#This Row],[HomeForecast]])^2</f>
        <v>2.4608712695046626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-0.46953639069824499</v>
      </c>
      <c r="J188">
        <f>(Table3[[#This Row],[HomeMargin]]-Table3[[#This Row],[HomeForecast]])^2</f>
        <v>2.1595372035864253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1.4275449072542357</v>
      </c>
      <c r="J189">
        <f>(Table3[[#This Row],[HomeMargin]]-Table3[[#This Row],[HomeForecast]])^2</f>
        <v>0.18279464771903298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-0.91847094123233342</v>
      </c>
      <c r="J190">
        <f>(Table3[[#This Row],[HomeMargin]]-Table3[[#This Row],[HomeForecast]])^2</f>
        <v>3.6805307523528756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-0.15546403587984878</v>
      </c>
      <c r="J191">
        <f>(Table3[[#This Row],[HomeMargin]]-Table3[[#This Row],[HomeForecast]])^2</f>
        <v>1.3350971382117482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-0.48997364926748177</v>
      </c>
      <c r="J192">
        <f>(Table3[[#This Row],[HomeMargin]]-Table3[[#This Row],[HomeForecast]])^2</f>
        <v>6.3002322813716036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0.45580805726891238</v>
      </c>
      <c r="J193">
        <f>(Table3[[#This Row],[HomeMargin]]-Table3[[#This Row],[HomeForecast]])^2</f>
        <v>6.4729126414577856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1.5258354295377474E-2</v>
      </c>
      <c r="J194">
        <f>(Table3[[#This Row],[HomeMargin]]-Table3[[#This Row],[HomeForecast]])^2</f>
        <v>0.96971610878504833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0.21700638970614317</v>
      </c>
      <c r="J195">
        <f>(Table3[[#This Row],[HomeMargin]]-Table3[[#This Row],[HomeForecast]])^2</f>
        <v>3.1790662143487216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0.28486680671161191</v>
      </c>
      <c r="J196">
        <f>(Table3[[#This Row],[HomeMargin]]-Table3[[#This Row],[HomeForecast]])^2</f>
        <v>10.790349937835742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0.11734311965614466</v>
      </c>
      <c r="J197">
        <f>(Table3[[#This Row],[HomeMargin]]-Table3[[#This Row],[HomeForecast]])^2</f>
        <v>1.2484556470429258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-1.7635984651107757</v>
      </c>
      <c r="J198">
        <f>(Table3[[#This Row],[HomeMargin]]-Table3[[#This Row],[HomeForecast]])^2</f>
        <v>7.637476476362635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4.1824470730002228E-3</v>
      </c>
      <c r="J199">
        <f>(Table3[[#This Row],[HomeMargin]]-Table3[[#This Row],[HomeForecast]])^2</f>
        <v>8.9749228104255181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0.16147121604092274</v>
      </c>
      <c r="J200">
        <f>(Table3[[#This Row],[HomeMargin]]-Table3[[#This Row],[HomeForecast]])^2</f>
        <v>8.0572456573641986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0.50218222744024954</v>
      </c>
      <c r="J201">
        <f>(Table3[[#This Row],[HomeMargin]]-Table3[[#This Row],[HomeForecast]])^2</f>
        <v>0.24782253467635143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1.0709748140701427</v>
      </c>
      <c r="J202">
        <f>(Table3[[#This Row],[HomeMargin]]-Table3[[#This Row],[HomeForecast]])^2</f>
        <v>4.2889366805128617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0.29021515432900924</v>
      </c>
      <c r="J203">
        <f>(Table3[[#This Row],[HomeMargin]]-Table3[[#This Row],[HomeForecast]])^2</f>
        <v>1.6646551444602291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0.16188356358178982</v>
      </c>
      <c r="J204">
        <f>(Table3[[#This Row],[HomeMargin]]-Table3[[#This Row],[HomeForecast]])^2</f>
        <v>4.6737405424850982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-0.37542145465554222</v>
      </c>
      <c r="J205">
        <f>(Table3[[#This Row],[HomeMargin]]-Table3[[#This Row],[HomeForecast]])^2</f>
        <v>0.39009835930459891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-0.48161664293376094</v>
      </c>
      <c r="J206">
        <f>(Table3[[#This Row],[HomeMargin]]-Table3[[#This Row],[HomeForecast]])^2</f>
        <v>6.1584211624858307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-0.64593339593556554</v>
      </c>
      <c r="J207">
        <f>(Table3[[#This Row],[HomeMargin]]-Table3[[#This Row],[HomeForecast]])^2</f>
        <v>2.7090967438559832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-0.71100476477566665</v>
      </c>
      <c r="J208">
        <f>(Table3[[#This Row],[HomeMargin]]-Table3[[#This Row],[HomeForecast]])^2</f>
        <v>2.9275373050850346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0.8722610514961584</v>
      </c>
      <c r="J209">
        <f>(Table3[[#This Row],[HomeMargin]]-Table3[[#This Row],[HomeForecast]])^2</f>
        <v>9.7827509299879161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-0.35475359399126649</v>
      </c>
      <c r="J210">
        <f>(Table3[[#This Row],[HomeMargin]]-Table3[[#This Row],[HomeForecast]])^2</f>
        <v>0.41634292446718735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1.8412238985210032</v>
      </c>
      <c r="J211">
        <f>(Table3[[#This Row],[HomeMargin]]-Table3[[#This Row],[HomeForecast]])^2</f>
        <v>0.70765764744287507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1.1800301194979492</v>
      </c>
      <c r="J212">
        <f>(Table3[[#This Row],[HomeMargin]]-Table3[[#This Row],[HomeForecast]])^2</f>
        <v>3.241084392644588E-2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-1.510775103310022E-2</v>
      </c>
      <c r="J213">
        <f>(Table3[[#This Row],[HomeMargin]]-Table3[[#This Row],[HomeForecast]])^2</f>
        <v>9.0908747503398786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1.0095277055793179</v>
      </c>
      <c r="J214">
        <f>(Table3[[#This Row],[HomeMargin]]-Table3[[#This Row],[HomeForecast]])^2</f>
        <v>9.0777173606165903E-5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0.12040591814837587</v>
      </c>
      <c r="J215">
        <f>(Table3[[#This Row],[HomeMargin]]-Table3[[#This Row],[HomeForecast]])^2</f>
        <v>1.2553094214219052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0.11183017002286308</v>
      </c>
      <c r="J216">
        <f>(Table3[[#This Row],[HomeMargin]]-Table3[[#This Row],[HomeForecast]])^2</f>
        <v>1.2361663269730685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-0.88627424924964338</v>
      </c>
      <c r="J217">
        <f>(Table3[[#This Row],[HomeMargin]]-Table3[[#This Row],[HomeForecast]])^2</f>
        <v>4.4678365493851588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0.69294056859470321</v>
      </c>
      <c r="J218">
        <f>(Table3[[#This Row],[HomeMargin]]-Table3[[#This Row],[HomeForecast]])^2</f>
        <v>9.428549441494416E-2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-0.84411851603205013</v>
      </c>
      <c r="J219">
        <f>(Table3[[#This Row],[HomeMargin]]-Table3[[#This Row],[HomeForecast]])^2</f>
        <v>23.46548419736455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0.18667071848577557</v>
      </c>
      <c r="J220">
        <f>(Table3[[#This Row],[HomeMargin]]-Table3[[#This Row],[HomeForecast]])^2</f>
        <v>26.901553141997748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-0.32403348195866155</v>
      </c>
      <c r="J221">
        <f>(Table3[[#This Row],[HomeMargin]]-Table3[[#This Row],[HomeForecast]])^2</f>
        <v>5.4011316252648998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-0.923444682548618</v>
      </c>
      <c r="J222">
        <f>(Table3[[#This Row],[HomeMargin]]-Table3[[#This Row],[HomeForecast]])^2</f>
        <v>4.3120819864356097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1.8083506772463565</v>
      </c>
      <c r="J223">
        <f>(Table3[[#This Row],[HomeMargin]]-Table3[[#This Row],[HomeForecast]])^2</f>
        <v>10.18662539943379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0.59324277649088542</v>
      </c>
      <c r="J224">
        <f>(Table3[[#This Row],[HomeMargin]]-Table3[[#This Row],[HomeForecast]])^2</f>
        <v>0.1654514388768438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1.1605160928932481</v>
      </c>
      <c r="J225">
        <f>(Table3[[#This Row],[HomeMargin]]-Table3[[#This Row],[HomeForecast]])^2</f>
        <v>17.309894159223699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1.4681438865588967</v>
      </c>
      <c r="J226">
        <f>(Table3[[#This Row],[HomeMargin]]-Table3[[#This Row],[HomeForecast]])^2</f>
        <v>0.21915869852246916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-0.18190243465171951</v>
      </c>
      <c r="J227">
        <f>(Table3[[#This Row],[HomeMargin]]-Table3[[#This Row],[HomeForecast]])^2</f>
        <v>3.305478757125345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0.22081618618775384</v>
      </c>
      <c r="J228">
        <f>(Table3[[#This Row],[HomeMargin]]-Table3[[#This Row],[HomeForecast]])^2</f>
        <v>10.373656905209028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1.3196749661876506</v>
      </c>
      <c r="J229">
        <f>(Table3[[#This Row],[HomeMargin]]-Table3[[#This Row],[HomeForecast]])^2</f>
        <v>0.10219208400707554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-0.67567023070913623</v>
      </c>
      <c r="J230">
        <f>(Table3[[#This Row],[HomeMargin]]-Table3[[#This Row],[HomeForecast]])^2</f>
        <v>1.7538493378299924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0.45048667976488993</v>
      </c>
      <c r="J231">
        <f>(Table3[[#This Row],[HomeMargin]]-Table3[[#This Row],[HomeForecast]])^2</f>
        <v>2.4009915295860349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0.3020526540210583</v>
      </c>
      <c r="J232">
        <f>(Table3[[#This Row],[HomeMargin]]-Table3[[#This Row],[HomeForecast]])^2</f>
        <v>10.903551729927516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-1.5158725269103033</v>
      </c>
      <c r="J233">
        <f>(Table3[[#This Row],[HomeMargin]]-Table3[[#This Row],[HomeForecast]])^2</f>
        <v>6.1708893025590017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-2.9463658489134459E-3</v>
      </c>
      <c r="J234">
        <f>(Table3[[#This Row],[HomeMargin]]-Table3[[#This Row],[HomeForecast]])^2</f>
        <v>8.9823304859782347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0.65466122915142844</v>
      </c>
      <c r="J235">
        <f>(Table3[[#This Row],[HomeMargin]]-Table3[[#This Row],[HomeForecast]])^2</f>
        <v>13.35654869986263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-0.29711366640670411</v>
      </c>
      <c r="J236">
        <f>(Table3[[#This Row],[HomeMargin]]-Table3[[#This Row],[HomeForecast]])^2</f>
        <v>1.6825038635790421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1.5826936992087053</v>
      </c>
      <c r="J237">
        <f>(Table3[[#This Row],[HomeMargin]]-Table3[[#This Row],[HomeForecast]])^2</f>
        <v>2.0087571502627042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-2.1920802385784359</v>
      </c>
      <c r="J238">
        <f>(Table3[[#This Row],[HomeMargin]]-Table3[[#This Row],[HomeForecast]])^2</f>
        <v>33.731931955111115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-0.27535714440840042</v>
      </c>
      <c r="J239">
        <f>(Table3[[#This Row],[HomeMargin]]-Table3[[#This Row],[HomeForecast]])^2</f>
        <v>18.278678712243952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0.47904834530738172</v>
      </c>
      <c r="J240">
        <f>(Table3[[#This Row],[HomeMargin]]-Table3[[#This Row],[HomeForecast]])^2</f>
        <v>0.27139062652697699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-1.3821271218149125</v>
      </c>
      <c r="J241">
        <f>(Table3[[#This Row],[HomeMargin]]-Table3[[#This Row],[HomeForecast]])^2</f>
        <v>0.14602113722654897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-7.2791591842175138E-2</v>
      </c>
      <c r="J242">
        <f>(Table3[[#This Row],[HomeMargin]]-Table3[[#This Row],[HomeForecast]])^2</f>
        <v>24.277382697421167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7.315062980186493E-2</v>
      </c>
      <c r="J243">
        <f>(Table3[[#This Row],[HomeMargin]]-Table3[[#This Row],[HomeForecast]])^2</f>
        <v>1.1516522742441393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-6.1189729185850056E-2</v>
      </c>
      <c r="J244">
        <f>(Table3[[#This Row],[HomeMargin]]-Table3[[#This Row],[HomeForecast]])^2</f>
        <v>4.2485030997012379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-1.0827876942341379</v>
      </c>
      <c r="J245">
        <f>(Table3[[#This Row],[HomeMargin]]-Table3[[#This Row],[HomeForecast]])^2</f>
        <v>6.8538023166051093E-3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7.9930027020958402E-2</v>
      </c>
      <c r="J246">
        <f>(Table3[[#This Row],[HomeMargin]]-Table3[[#This Row],[HomeForecast]])^2</f>
        <v>0.84652875517765436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-0.44836256609090569</v>
      </c>
      <c r="J247">
        <f>(Table3[[#This Row],[HomeMargin]]-Table3[[#This Row],[HomeForecast]])^2</f>
        <v>2.4075787263079991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-0.25169067167036469</v>
      </c>
      <c r="J248">
        <f>(Table3[[#This Row],[HomeMargin]]-Table3[[#This Row],[HomeForecast]])^2</f>
        <v>1.5667295375466086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-0.35242717276145108</v>
      </c>
      <c r="J249">
        <f>(Table3[[#This Row],[HomeMargin]]-Table3[[#This Row],[HomeForecast]])^2</f>
        <v>0.41935056657772751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0.63633711427530426</v>
      </c>
      <c r="J250">
        <f>(Table3[[#This Row],[HomeMargin]]-Table3[[#This Row],[HomeForecast]])^2</f>
        <v>5.5869022373523975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0.74317582119937664</v>
      </c>
      <c r="J251">
        <f>(Table3[[#This Row],[HomeMargin]]-Table3[[#This Row],[HomeForecast]])^2</f>
        <v>6.5958658816614557E-2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-0.60190612843881908</v>
      </c>
      <c r="J252">
        <f>(Table3[[#This Row],[HomeMargin]]-Table3[[#This Row],[HomeForecast]])^2</f>
        <v>11.547041959941655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1.0482359016305978</v>
      </c>
      <c r="J253">
        <f>(Table3[[#This Row],[HomeMargin]]-Table3[[#This Row],[HomeForecast]])^2</f>
        <v>0.90585489894492122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-0.11231730504891457</v>
      </c>
      <c r="J254">
        <f>(Table3[[#This Row],[HomeMargin]]-Table3[[#This Row],[HomeForecast]])^2</f>
        <v>4.4618843972091096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0.54581988492469002</v>
      </c>
      <c r="J255">
        <f>(Table3[[#This Row],[HomeMargin]]-Table3[[#This Row],[HomeForecast]])^2</f>
        <v>2.3895591166285821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-1.1953771998663738</v>
      </c>
      <c r="J256">
        <f>(Table3[[#This Row],[HomeMargin]]-Table3[[#This Row],[HomeForecast]])^2</f>
        <v>3.8172250227624979E-2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-2.1970539798947204</v>
      </c>
      <c r="J257">
        <f>(Table3[[#This Row],[HomeMargin]]-Table3[[#This Row],[HomeForecast]])^2</f>
        <v>1.4329382307817897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-0.2467169303540801</v>
      </c>
      <c r="J258">
        <f>(Table3[[#This Row],[HomeMargin]]-Table3[[#This Row],[HomeForecast]])^2</f>
        <v>1.5543031044315003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0.80815856762414295</v>
      </c>
      <c r="J259">
        <f>(Table3[[#This Row],[HomeMargin]]-Table3[[#This Row],[HomeForecast]])^2</f>
        <v>3.2694374056725923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1.2348009555788446</v>
      </c>
      <c r="J260">
        <f>(Table3[[#This Row],[HomeMargin]]-Table3[[#This Row],[HomeForecast]])^2</f>
        <v>3.1159276664253599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0.34153568507984389</v>
      </c>
      <c r="J261">
        <f>(Table3[[#This Row],[HomeMargin]]-Table3[[#This Row],[HomeForecast]])^2</f>
        <v>1.799717994342646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0.80495895340063239</v>
      </c>
      <c r="J262">
        <f>(Table3[[#This Row],[HomeMargin]]-Table3[[#This Row],[HomeForecast]])^2</f>
        <v>1.4281231030573123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0.93485911485559703</v>
      </c>
      <c r="J263">
        <f>(Table3[[#This Row],[HomeMargin]]-Table3[[#This Row],[HomeForecast]])^2</f>
        <v>15.483116253762171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1.1867440717384938</v>
      </c>
      <c r="J264">
        <f>(Table3[[#This Row],[HomeMargin]]-Table3[[#This Row],[HomeForecast]])^2</f>
        <v>3.2878970613754963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2.2352542484967597E-2</v>
      </c>
      <c r="J265">
        <f>(Table3[[#This Row],[HomeMargin]]-Table3[[#This Row],[HomeForecast]])^2</f>
        <v>1.0452047211254774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-0.29480673595557882</v>
      </c>
      <c r="J266">
        <f>(Table3[[#This Row],[HomeMargin]]-Table3[[#This Row],[HomeForecast]])^2</f>
        <v>13.728457123920153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-0.42301113359791459</v>
      </c>
      <c r="J267">
        <f>(Table3[[#This Row],[HomeMargin]]-Table3[[#This Row],[HomeForecast]])^2</f>
        <v>0.33291615195196361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0.19013736794449235</v>
      </c>
      <c r="J268">
        <f>(Table3[[#This Row],[HomeMargin]]-Table3[[#This Row],[HomeForecast]])^2</f>
        <v>1.4164269545778441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-4.8531810257595565E-2</v>
      </c>
      <c r="J269">
        <f>(Table3[[#This Row],[HomeMargin]]-Table3[[#This Row],[HomeForecast]])^2</f>
        <v>1.0994189571220705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-0.73056918119064895</v>
      </c>
      <c r="J270">
        <f>(Table3[[#This Row],[HomeMargin]]-Table3[[#This Row],[HomeForecast]])^2</f>
        <v>1.6114546037429796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-0.10369220322154915</v>
      </c>
      <c r="J271">
        <f>(Table3[[#This Row],[HomeMargin]]-Table3[[#This Row],[HomeForecast]])^2</f>
        <v>0.8033676665658408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0.47357322839217275</v>
      </c>
      <c r="J272">
        <f>(Table3[[#This Row],[HomeMargin]]-Table3[[#This Row],[HomeForecast]])^2</f>
        <v>2.1714180594341306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0.38794154872473152</v>
      </c>
      <c r="J273">
        <f>(Table3[[#This Row],[HomeMargin]]-Table3[[#This Row],[HomeForecast]])^2</f>
        <v>19.254031035024791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0.71134998130099314</v>
      </c>
      <c r="J274">
        <f>(Table3[[#This Row],[HomeMargin]]-Table3[[#This Row],[HomeForecast]])^2</f>
        <v>5.2379189080909647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0.6033133176638068</v>
      </c>
      <c r="J275">
        <f>(Table3[[#This Row],[HomeMargin]]-Table3[[#This Row],[HomeForecast]])^2</f>
        <v>0.15736032394289584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-0.8475851654907669</v>
      </c>
      <c r="J276">
        <f>(Table3[[#This Row],[HomeMargin]]-Table3[[#This Row],[HomeForecast]])^2</f>
        <v>8.1087412747230783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2.3906903162402067</v>
      </c>
      <c r="J277">
        <f>(Table3[[#This Row],[HomeMargin]]-Table3[[#This Row],[HomeForecast]])^2</f>
        <v>0.37125829072345934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-0.86706954770129097</v>
      </c>
      <c r="J278">
        <f>(Table3[[#This Row],[HomeMargin]]-Table3[[#This Row],[HomeForecast]])^2</f>
        <v>14.954226886758667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4.0446995962172758E-2</v>
      </c>
      <c r="J279">
        <f>(Table3[[#This Row],[HomeMargin]]-Table3[[#This Row],[HomeForecast]])^2</f>
        <v>8.7589539837093255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-0.58605097295740038</v>
      </c>
      <c r="J280">
        <f>(Table3[[#This Row],[HomeMargin]]-Table3[[#This Row],[HomeForecast]])^2</f>
        <v>41.138742121500712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-0.23664638918115874</v>
      </c>
      <c r="J281">
        <f>(Table3[[#This Row],[HomeMargin]]-Table3[[#This Row],[HomeForecast]])^2</f>
        <v>5.0025870702371158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-0.28874114157579189</v>
      </c>
      <c r="J282">
        <f>(Table3[[#This Row],[HomeMargin]]-Table3[[#This Row],[HomeForecast]])^2</f>
        <v>5.2383360131416588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-0.34348307350583995</v>
      </c>
      <c r="J283">
        <f>(Table3[[#This Row],[HomeMargin]]-Table3[[#This Row],[HomeForecast]])^2</f>
        <v>0.43101447477333832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0.26060622359388791</v>
      </c>
      <c r="J284">
        <f>(Table3[[#This Row],[HomeMargin]]-Table3[[#This Row],[HomeForecast]])^2</f>
        <v>1.5891280509636434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1.7456537501729459</v>
      </c>
      <c r="J285">
        <f>(Table3[[#This Row],[HomeMargin]]-Table3[[#This Row],[HomeForecast]])^2</f>
        <v>0.55599951514697799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-1.4584045760829176</v>
      </c>
      <c r="J286">
        <f>(Table3[[#This Row],[HomeMargin]]-Table3[[#This Row],[HomeForecast]])^2</f>
        <v>6.0437530597054296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-0.94120843067287496</v>
      </c>
      <c r="J287">
        <f>(Table3[[#This Row],[HomeMargin]]-Table3[[#This Row],[HomeForecast]])^2</f>
        <v>3.4564486239461495E-3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0.12043713315461947</v>
      </c>
      <c r="J288">
        <f>(Table3[[#This Row],[HomeMargin]]-Table3[[#This Row],[HomeForecast]])^2</f>
        <v>1.2553793693517425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1.7406800088566612</v>
      </c>
      <c r="J289">
        <f>(Table3[[#This Row],[HomeMargin]]-Table3[[#This Row],[HomeForecast]])^2</f>
        <v>7.5113269109465497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0.10550394536651567</v>
      </c>
      <c r="J290">
        <f>(Table3[[#This Row],[HomeMargin]]-Table3[[#This Row],[HomeForecast]])^2</f>
        <v>1.222138973220932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-1.3229970255523342</v>
      </c>
      <c r="J291">
        <f>(Table3[[#This Row],[HomeMargin]]-Table3[[#This Row],[HomeForecast]])^2</f>
        <v>0.10432707851565524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1.0863609068614992</v>
      </c>
      <c r="J292">
        <f>(Table3[[#This Row],[HomeMargin]]-Table3[[#This Row],[HomeForecast]])^2</f>
        <v>7.4582062339405434E-3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0.88475508476063969</v>
      </c>
      <c r="J293">
        <f>(Table3[[#This Row],[HomeMargin]]-Table3[[#This Row],[HomeForecast]])^2</f>
        <v>9.7047508819246904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0.33687669680042176</v>
      </c>
      <c r="J294">
        <f>(Table3[[#This Row],[HomeMargin]]-Table3[[#This Row],[HomeForecast]])^2</f>
        <v>1.7872393024480069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0.13881516259607771</v>
      </c>
      <c r="J295">
        <f>(Table3[[#This Row],[HomeMargin]]-Table3[[#This Row],[HomeForecast]])^2</f>
        <v>4.5745302997508857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-0.91109823819704083</v>
      </c>
      <c r="J296">
        <f>(Table3[[#This Row],[HomeMargin]]-Table3[[#This Row],[HomeForecast]])^2</f>
        <v>8.4744929524339145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-0.39968622854064456</v>
      </c>
      <c r="J297">
        <f>(Table3[[#This Row],[HomeMargin]]-Table3[[#This Row],[HomeForecast]])^2</f>
        <v>0.36037662420375516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-0.13176689659609298</v>
      </c>
      <c r="J298">
        <f>(Table3[[#This Row],[HomeMargin]]-Table3[[#This Row],[HomeForecast]])^2</f>
        <v>0.7538287218463795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0.18667071848577557</v>
      </c>
      <c r="J299">
        <f>(Table3[[#This Row],[HomeMargin]]-Table3[[#This Row],[HomeForecast]])^2</f>
        <v>7.9148216462253416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-1.4771405836689198</v>
      </c>
      <c r="J300">
        <f>(Table3[[#This Row],[HomeMargin]]-Table3[[#This Row],[HomeForecast]])^2</f>
        <v>2.3191008019082382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-0.39464044410768168</v>
      </c>
      <c r="J301">
        <f>(Table3[[#This Row],[HomeMargin]]-Table3[[#This Row],[HomeForecast]])^2</f>
        <v>0.36646019191014495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1.799777468093833</v>
      </c>
      <c r="J302">
        <f>(Table3[[#This Row],[HomeMargin]]-Table3[[#This Row],[HomeForecast]])^2</f>
        <v>1.44053412609525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-0.38037287178072637</v>
      </c>
      <c r="J303">
        <f>(Table3[[#This Row],[HomeMargin]]-Table3[[#This Row],[HomeForecast]])^2</f>
        <v>1.9054292651481699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0.35954275315864015</v>
      </c>
      <c r="J304">
        <f>(Table3[[#This Row],[HomeMargin]]-Table3[[#This Row],[HomeForecast]])^2</f>
        <v>1.848356497666175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1.8150009633926443</v>
      </c>
      <c r="J305">
        <f>(Table3[[#This Row],[HomeMargin]]-Table3[[#This Row],[HomeForecast]])^2</f>
        <v>4.7742207899750726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0.89072466233830716</v>
      </c>
      <c r="J306">
        <f>(Table3[[#This Row],[HomeMargin]]-Table3[[#This Row],[HomeForecast]])^2</f>
        <v>23.91918772280415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0.84919265051044623</v>
      </c>
      <c r="J307">
        <f>(Table3[[#This Row],[HomeMargin]]-Table3[[#This Row],[HomeForecast]])^2</f>
        <v>2.2742856660064412E-2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-0.56871644012060463</v>
      </c>
      <c r="J308">
        <f>(Table3[[#This Row],[HomeMargin]]-Table3[[#This Row],[HomeForecast]])^2</f>
        <v>2.0485726287810349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0.33628450330281923</v>
      </c>
      <c r="J309">
        <f>(Table3[[#This Row],[HomeMargin]]-Table3[[#This Row],[HomeForecast]])^2</f>
        <v>13.422811240739073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0.36593055843298483</v>
      </c>
      <c r="J310">
        <f>(Table3[[#This Row],[HomeMargin]]-Table3[[#This Row],[HomeForecast]])^2</f>
        <v>0.40204405672910648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0.85124163127952157</v>
      </c>
      <c r="J311">
        <f>(Table3[[#This Row],[HomeMargin]]-Table3[[#This Row],[HomeForecast]])^2</f>
        <v>4.6171625271462924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0.27363139881466342</v>
      </c>
      <c r="J312">
        <f>(Table3[[#This Row],[HomeMargin]]-Table3[[#This Row],[HomeForecast]])^2</f>
        <v>0.52761134478794247</v>
      </c>
    </row>
    <row r="313" spans="4:10" x14ac:dyDescent="0.2">
      <c r="D313" t="s">
        <v>16</v>
      </c>
      <c r="F313" t="s">
        <v>10</v>
      </c>
    </row>
    <row r="314" spans="4:10" x14ac:dyDescent="0.2">
      <c r="D314" t="s">
        <v>30</v>
      </c>
      <c r="F314" t="s">
        <v>39</v>
      </c>
    </row>
    <row r="315" spans="4:10" x14ac:dyDescent="0.2">
      <c r="D315" t="s">
        <v>32</v>
      </c>
      <c r="F315" t="s">
        <v>26</v>
      </c>
    </row>
    <row r="316" spans="4:10" x14ac:dyDescent="0.2">
      <c r="D316" t="s">
        <v>55</v>
      </c>
      <c r="F316" t="s">
        <v>33</v>
      </c>
    </row>
    <row r="317" spans="4:10" x14ac:dyDescent="0.2">
      <c r="D317" t="s">
        <v>24</v>
      </c>
      <c r="F317" t="s">
        <v>37</v>
      </c>
    </row>
    <row r="318" spans="4:10" x14ac:dyDescent="0.2">
      <c r="D318" t="s">
        <v>35</v>
      </c>
      <c r="F318" t="s">
        <v>19</v>
      </c>
    </row>
    <row r="319" spans="4:10" x14ac:dyDescent="0.2">
      <c r="D319" t="s">
        <v>15</v>
      </c>
      <c r="F319" t="s">
        <v>20</v>
      </c>
    </row>
    <row r="320" spans="4:10" x14ac:dyDescent="0.2">
      <c r="D320" t="s">
        <v>28</v>
      </c>
      <c r="F320" t="s">
        <v>40</v>
      </c>
    </row>
    <row r="321" spans="4:6" x14ac:dyDescent="0.2">
      <c r="D321" t="s">
        <v>21</v>
      </c>
      <c r="F321" t="s">
        <v>31</v>
      </c>
    </row>
    <row r="322" spans="4:6" x14ac:dyDescent="0.2">
      <c r="D322" t="s">
        <v>16</v>
      </c>
      <c r="F322" t="s">
        <v>23</v>
      </c>
    </row>
    <row r="323" spans="4:6" x14ac:dyDescent="0.2">
      <c r="D323" t="s">
        <v>25</v>
      </c>
      <c r="F323" t="s">
        <v>34</v>
      </c>
    </row>
    <row r="324" spans="4:6" x14ac:dyDescent="0.2">
      <c r="D324" t="s">
        <v>17</v>
      </c>
      <c r="F324" t="s">
        <v>22</v>
      </c>
    </row>
    <row r="325" spans="4:6" x14ac:dyDescent="0.2">
      <c r="D325" t="s">
        <v>36</v>
      </c>
      <c r="F325" t="s">
        <v>31</v>
      </c>
    </row>
    <row r="326" spans="4:6" x14ac:dyDescent="0.2">
      <c r="D326" t="s">
        <v>32</v>
      </c>
      <c r="F326" t="s">
        <v>10</v>
      </c>
    </row>
    <row r="327" spans="4:6" x14ac:dyDescent="0.2">
      <c r="D327" t="s">
        <v>15</v>
      </c>
      <c r="F327" t="s">
        <v>12</v>
      </c>
    </row>
    <row r="328" spans="4:6" x14ac:dyDescent="0.2">
      <c r="D328" t="s">
        <v>30</v>
      </c>
      <c r="F328" t="s">
        <v>26</v>
      </c>
    </row>
    <row r="329" spans="4:6" x14ac:dyDescent="0.2">
      <c r="D329" t="s">
        <v>24</v>
      </c>
      <c r="F329" t="s">
        <v>11</v>
      </c>
    </row>
    <row r="330" spans="4:6" x14ac:dyDescent="0.2">
      <c r="D330" t="s">
        <v>22</v>
      </c>
      <c r="F330" t="s">
        <v>18</v>
      </c>
    </row>
    <row r="331" spans="4:6" x14ac:dyDescent="0.2">
      <c r="D331" t="s">
        <v>35</v>
      </c>
      <c r="F331" t="s">
        <v>27</v>
      </c>
    </row>
    <row r="332" spans="4:6" x14ac:dyDescent="0.2">
      <c r="D332" t="s">
        <v>13</v>
      </c>
      <c r="F332" t="s">
        <v>33</v>
      </c>
    </row>
    <row r="333" spans="4:6" x14ac:dyDescent="0.2">
      <c r="D333" t="s">
        <v>17</v>
      </c>
      <c r="F333" t="s">
        <v>37</v>
      </c>
    </row>
    <row r="334" spans="4:6" x14ac:dyDescent="0.2">
      <c r="D334" t="s">
        <v>28</v>
      </c>
      <c r="F334" t="s">
        <v>19</v>
      </c>
    </row>
    <row r="335" spans="4:6" x14ac:dyDescent="0.2">
      <c r="D335" t="s">
        <v>20</v>
      </c>
      <c r="F335" t="s">
        <v>55</v>
      </c>
    </row>
    <row r="336" spans="4:6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66" workbookViewId="0">
      <pane ySplit="1" topLeftCell="A288" activePane="bottomLeft" state="frozen"/>
      <selection activeCell="I1" sqref="I1"/>
      <selection pane="bottomLeft" activeCell="P317" sqref="P317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0.17829819365486335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-0.16385680125706742</v>
      </c>
      <c r="H2" t="s">
        <v>10</v>
      </c>
      <c r="I2">
        <f>VLOOKUP(Table4[[#This Row],[Visitor]],'NHL Model'!$A$6:$B$38,2,FALSE)</f>
        <v>0.26494263732175571</v>
      </c>
      <c r="J2">
        <f>($B$1+Table4[[#This Row],[Home Differential]])-Table4[[#This Row],[Away Differential]]</f>
        <v>-0.25050124492395975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0.45257107086135373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0.20482057418059246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-0.12133880872417692</v>
      </c>
      <c r="H3" t="s">
        <v>12</v>
      </c>
      <c r="I3">
        <f>VLOOKUP(Table4[[#This Row],[Visitor]],'NHL Model'!$A$6:$B$38,2,FALSE)</f>
        <v>1.5385519346678582</v>
      </c>
      <c r="J3">
        <f>($B$1+Table4[[#This Row],[Home Differential]])-Table4[[#This Row],[Away Differential]]</f>
        <v>-1.4815925497371718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0.73867280899168342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6.8291900760297175E-2</v>
      </c>
      <c r="O3">
        <v>-7.4443026939693735E-2</v>
      </c>
      <c r="P3" s="11"/>
      <c r="Q3" t="s">
        <v>12</v>
      </c>
      <c r="R3" t="s">
        <v>248</v>
      </c>
      <c r="T3">
        <f ca="1">COUNTIF(Table4[Adjusted Correct],"YES")</f>
        <v>181</v>
      </c>
      <c r="V3">
        <f>COUNTIF(Table4[Locked Correct],"YES")</f>
        <v>193</v>
      </c>
    </row>
    <row r="4" spans="1:22" x14ac:dyDescent="0.2">
      <c r="A4" s="4" t="s">
        <v>31</v>
      </c>
      <c r="B4" s="17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-0.33401712526814992</v>
      </c>
      <c r="H4" t="s">
        <v>14</v>
      </c>
      <c r="I4">
        <f>VLOOKUP(Table4[[#This Row],[Visitor]],'NHL Model'!$A$6:$B$38,2,FALSE)</f>
        <v>0.24618288254564977</v>
      </c>
      <c r="J4">
        <f>($B$1+Table4[[#This Row],[Home Differential]])-Table4[[#This Row],[Away Differential]]</f>
        <v>-0.40190181415893633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0.5176046845057426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0.23270524041080415</v>
      </c>
      <c r="O4">
        <v>-7.3597467237512884E-2</v>
      </c>
      <c r="P4" s="11"/>
      <c r="Q4" t="s">
        <v>14</v>
      </c>
      <c r="R4" t="s">
        <v>248</v>
      </c>
      <c r="T4">
        <f ca="1">COUNTIF(Table4[Adjusted Correct],"NO")</f>
        <v>125</v>
      </c>
      <c r="V4">
        <f>COUNTIF(Table4[Locked Correct],"NO")</f>
        <v>113</v>
      </c>
    </row>
    <row r="5" spans="1:22" x14ac:dyDescent="0.2">
      <c r="A5" s="4" t="s">
        <v>21</v>
      </c>
      <c r="B5" s="17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-0.83182649756544103</v>
      </c>
      <c r="H5" t="s">
        <v>16</v>
      </c>
      <c r="I5">
        <f>VLOOKUP(Table4[[#This Row],[Visitor]],'NHL Model'!$A$6:$B$38,2,FALSE)</f>
        <v>-1.429228083243411</v>
      </c>
      <c r="J5">
        <f>($B$1+Table4[[#This Row],[Home Differential]])-Table4[[#This Row],[Away Differential]]</f>
        <v>0.77569977933283329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0.68721810387924409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0.47226872229938355</v>
      </c>
      <c r="O5">
        <v>-4.1674767740132361E-3</v>
      </c>
      <c r="P5" s="11"/>
      <c r="Q5" t="s">
        <v>16</v>
      </c>
      <c r="R5" t="s">
        <v>248</v>
      </c>
      <c r="T5">
        <f ca="1">SUM(T3:T4)</f>
        <v>306</v>
      </c>
      <c r="V5">
        <f>SUM(V3:V4)</f>
        <v>306</v>
      </c>
    </row>
    <row r="6" spans="1:22" x14ac:dyDescent="0.2">
      <c r="A6" s="4" t="s">
        <v>23</v>
      </c>
      <c r="B6" s="17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-0.64312007588488018</v>
      </c>
      <c r="H6" t="s">
        <v>18</v>
      </c>
      <c r="I6">
        <f>VLOOKUP(Table4[[#This Row],[Visitor]],'NHL Model'!$A$6:$B$38,2,FALSE)</f>
        <v>-0.59444373833461905</v>
      </c>
      <c r="J6">
        <f>($B$1+Table4[[#This Row],[Home Differential]])-Table4[[#This Row],[Away Differential]]</f>
        <v>0.1296218561046022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0.51147934059486455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0.23865243466562835</v>
      </c>
      <c r="O6">
        <v>-4.4363714293103977E-3</v>
      </c>
      <c r="P6" s="11"/>
      <c r="Q6" t="s">
        <v>18</v>
      </c>
      <c r="R6" t="s">
        <v>249</v>
      </c>
      <c r="T6" s="13">
        <f ca="1">T3/T5</f>
        <v>0.59150326797385622</v>
      </c>
      <c r="V6" s="13">
        <f>V3/V5</f>
        <v>0.63071895424836599</v>
      </c>
    </row>
    <row r="7" spans="1:22" x14ac:dyDescent="0.2">
      <c r="A7" s="4" t="s">
        <v>16</v>
      </c>
      <c r="B7" s="1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-6.1930983208684394E-4</v>
      </c>
      <c r="H7" t="s">
        <v>13</v>
      </c>
      <c r="I7">
        <f>VLOOKUP(Table4[[#This Row],[Visitor]],'NHL Model'!$A$6:$B$38,2,FALSE)</f>
        <v>-0.12133880872417692</v>
      </c>
      <c r="J7">
        <f>($B$1+Table4[[#This Row],[Home Differential]])-Table4[[#This Row],[Away Differential]]</f>
        <v>0.29901769254695343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0.48106052559129397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0.23141922928217201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7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-2.6005603564376825E-2</v>
      </c>
      <c r="H8" t="s">
        <v>21</v>
      </c>
      <c r="I8">
        <f>VLOOKUP(Table4[[#This Row],[Visitor]],'NHL Model'!$A$6:$B$38,2,FALSE)</f>
        <v>-1.6459316139111148E-2</v>
      </c>
      <c r="J8">
        <f>($B$1+Table4[[#This Row],[Home Differential]])-Table4[[#This Row],[Away Differential]]</f>
        <v>0.16875190622959765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0.56418725165110706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0.31830725492562961</v>
      </c>
      <c r="O8">
        <v>-4.9858230986448791E-3</v>
      </c>
      <c r="P8" s="11"/>
      <c r="Q8" t="s">
        <v>21</v>
      </c>
      <c r="R8" t="s">
        <v>248</v>
      </c>
      <c r="T8">
        <f ca="1">SUM(Table4[Error])</f>
        <v>67.070507332258799</v>
      </c>
      <c r="V8">
        <f>COUNTIF(Table4[Locked Correct],"")</f>
        <v>1006</v>
      </c>
    </row>
    <row r="9" spans="1:22" x14ac:dyDescent="0.2">
      <c r="A9" s="4" t="s">
        <v>10</v>
      </c>
      <c r="B9" s="17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-1.6459316139111148E-2</v>
      </c>
      <c r="H9" t="s">
        <v>10</v>
      </c>
      <c r="I9">
        <f>VLOOKUP(Table4[[#This Row],[Visitor]],'NHL Model'!$A$6:$B$38,2,FALSE)</f>
        <v>0.26494263732175571</v>
      </c>
      <c r="J9">
        <f>($B$1+Table4[[#This Row],[Home Differential]])-Table4[[#This Row],[Away Differential]]</f>
        <v>-0.1031037598060035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0.44334931547251122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0.19655861552994427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7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-0.67384018791748512</v>
      </c>
      <c r="H10" t="s">
        <v>15</v>
      </c>
      <c r="I10">
        <f>VLOOKUP(Table4[[#This Row],[Visitor]],'NHL Model'!$A$6:$B$38,2,FALSE)</f>
        <v>-0.33401712526814992</v>
      </c>
      <c r="J10">
        <f>($B$1+Table4[[#This Row],[Home Differential]])-Table4[[#This Row],[Away Differential]]</f>
        <v>-0.16152486899447188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0.62315139865125946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0.14201486833850197</v>
      </c>
      <c r="O10">
        <v>2.893763878885032E-2</v>
      </c>
      <c r="P10" s="11"/>
      <c r="Q10" t="s">
        <v>23</v>
      </c>
      <c r="R10" t="s">
        <v>249</v>
      </c>
      <c r="T10">
        <v>0.14333024255263055</v>
      </c>
    </row>
    <row r="11" spans="1:22" x14ac:dyDescent="0.2">
      <c r="A11" s="4" t="s">
        <v>28</v>
      </c>
      <c r="B11" s="17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0.73055531763635684</v>
      </c>
      <c r="H11" t="s">
        <v>24</v>
      </c>
      <c r="I11">
        <f>VLOOKUP(Table4[[#This Row],[Visitor]],'NHL Model'!$A$6:$B$38,2,FALSE)</f>
        <v>0.54693303419816819</v>
      </c>
      <c r="J11">
        <f>($B$1+Table4[[#This Row],[Home Differential]])-Table4[[#This Row],[Away Differential]]</f>
        <v>0.36192047709305197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0.57818993924019513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0.17792372735819029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7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1.5385519346678582</v>
      </c>
      <c r="H12" t="s">
        <v>55</v>
      </c>
      <c r="I12">
        <f>VLOOKUP(Table4[[#This Row],[Visitor]],'NHL Model'!$A$6:$B$38,2,FALSE)</f>
        <v>-0.14078840027135531</v>
      </c>
      <c r="J12">
        <f>($B$1+Table4[[#This Row],[Home Differential]])-Table4[[#This Row],[Away Differential]]</f>
        <v>1.8576385285940769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0.8946220286343356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1.1104516849142787E-2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7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-0.51526168477192669</v>
      </c>
      <c r="H13" t="s">
        <v>18</v>
      </c>
      <c r="I13">
        <f>VLOOKUP(Table4[[#This Row],[Visitor]],'NHL Model'!$A$6:$B$38,2,FALSE)</f>
        <v>-0.59444373833461905</v>
      </c>
      <c r="J13">
        <f>($B$1+Table4[[#This Row],[Home Differential]])-Table4[[#This Row],[Away Differential]]</f>
        <v>0.25748024721755569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0.55613547551697284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0.30928666712848951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7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-0.16385680125706742</v>
      </c>
      <c r="H14" t="s">
        <v>27</v>
      </c>
      <c r="I14">
        <f>VLOOKUP(Table4[[#This Row],[Visitor]],'NHL Model'!$A$6:$B$38,2,FALSE)</f>
        <v>-0.5365514628281316</v>
      </c>
      <c r="J14">
        <f>($B$1+Table4[[#This Row],[Home Differential]])-Table4[[#This Row],[Away Differential]]</f>
        <v>0.55099285522592756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0.68242221544636761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0.10085564924199335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7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-1.3905198871921312</v>
      </c>
      <c r="H15" t="s">
        <v>28</v>
      </c>
      <c r="I15">
        <f>VLOOKUP(Table4[[#This Row],[Visitor]],'NHL Model'!$A$6:$B$38,2,FALSE)</f>
        <v>-0.4068113735564976</v>
      </c>
      <c r="J15">
        <f>($B$1+Table4[[#This Row],[Home Differential]])-Table4[[#This Row],[Away Differential]]</f>
        <v>-0.80541031998077028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0.59620888728646637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0.35546503727936635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7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0.24618288254564977</v>
      </c>
      <c r="H16" t="s">
        <v>30</v>
      </c>
      <c r="I16">
        <f>VLOOKUP(Table4[[#This Row],[Visitor]],'NHL Model'!$A$6:$B$38,2,FALSE)</f>
        <v>-8.2927339771111427E-2</v>
      </c>
      <c r="J16">
        <f>($B$1+Table4[[#This Row],[Home Differential]])-Table4[[#This Row],[Away Differential]]</f>
        <v>0.50740841597162456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0.60670755385873087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0.15467894819178307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-0.39497219926686861</v>
      </c>
      <c r="H17" t="s">
        <v>31</v>
      </c>
      <c r="I17">
        <f>VLOOKUP(Table4[[#This Row],[Visitor]],'NHL Model'!$A$6:$B$38,2,FALSE)</f>
        <v>0.5301060565842276</v>
      </c>
      <c r="J17">
        <f>($B$1+Table4[[#This Row],[Home Differential]])-Table4[[#This Row],[Away Differential]]</f>
        <v>-0.74678006219623283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0.56158162199350914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0.31537391816086058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7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-0.40334472409778083</v>
      </c>
      <c r="H18" t="s">
        <v>20</v>
      </c>
      <c r="I18">
        <f>VLOOKUP(Table4[[#This Row],[Visitor]],'NHL Model'!$A$6:$B$38,2,FALSE)</f>
        <v>-6.1930983208684394E-4</v>
      </c>
      <c r="J18">
        <f>($B$1+Table4[[#This Row],[Home Differential]])-Table4[[#This Row],[Away Differential]]</f>
        <v>-0.22442722061083062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0.51293643873479378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0.23723091271234531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7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-1.6560580871558699</v>
      </c>
      <c r="H19" t="s">
        <v>34</v>
      </c>
      <c r="I19">
        <f>VLOOKUP(Table4[[#This Row],[Visitor]],'NHL Model'!$A$6:$B$38,2,FALSE)</f>
        <v>-0.55929037526767655</v>
      </c>
      <c r="J19">
        <f>($B$1+Table4[[#This Row],[Home Differential]])-Table4[[#This Row],[Away Differential]]</f>
        <v>-0.91846951823333001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0.59164445882558092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0.16675424800785268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7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-0.12437377019828177</v>
      </c>
      <c r="H20" t="s">
        <v>36</v>
      </c>
      <c r="I20">
        <f>VLOOKUP(Table4[[#This Row],[Visitor]],'NHL Model'!$A$6:$B$38,2,FALSE)</f>
        <v>-0.4314038989751332</v>
      </c>
      <c r="J20">
        <f>($B$1+Table4[[#This Row],[Home Differential]])-Table4[[#This Row],[Away Differential]]</f>
        <v>0.48532832243171475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0.609562226171799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0.37156610757551944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7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-0.83680023888172561</v>
      </c>
      <c r="H21" t="s">
        <v>16</v>
      </c>
      <c r="I21">
        <f>VLOOKUP(Table4[[#This Row],[Visitor]],'NHL Model'!$A$6:$B$38,2,FALSE)</f>
        <v>-1.429228083243411</v>
      </c>
      <c r="J21">
        <f>($B$1+Table4[[#This Row],[Home Differential]])-Table4[[#This Row],[Away Differential]]</f>
        <v>0.77072603801654871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0.65046834997053993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0.12217237437231696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7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7.2067135963786652E-2</v>
      </c>
      <c r="H22" t="s">
        <v>39</v>
      </c>
      <c r="I22">
        <f>VLOOKUP(Table4[[#This Row],[Visitor]],'NHL Model'!$A$6:$B$38,2,FALSE)</f>
        <v>0.16990542827764471</v>
      </c>
      <c r="J22">
        <f>($B$1+Table4[[#This Row],[Home Differential]])-Table4[[#This Row],[Away Differential]]</f>
        <v>8.045990134100528E-2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0.49540330491690254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0.24542443452258952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7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-1.6459316139111148E-2</v>
      </c>
      <c r="H23" t="s">
        <v>23</v>
      </c>
      <c r="I23">
        <f>VLOOKUP(Table4[[#This Row],[Visitor]],'NHL Model'!$A$6:$B$38,2,FALSE)</f>
        <v>-0.67384018791748512</v>
      </c>
      <c r="J23">
        <f>($B$1+Table4[[#This Row],[Home Differential]])-Table4[[#This Row],[Away Differential]]</f>
        <v>0.83567906543323733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0.71149405947606237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8.3235677717601833E-2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7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0.73055531763635684</v>
      </c>
      <c r="H24" t="s">
        <v>27</v>
      </c>
      <c r="I24">
        <f>VLOOKUP(Table4[[#This Row],[Visitor]],'NHL Model'!$A$6:$B$38,2,FALSE)</f>
        <v>-0.5365514628281316</v>
      </c>
      <c r="J24">
        <f>($B$1+Table4[[#This Row],[Home Differential]])-Table4[[#This Row],[Away Differential]]</f>
        <v>1.4454049741193518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0.7988862218586662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4.0446751758281635E-2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7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-1.429228083243411</v>
      </c>
      <c r="H25" t="s">
        <v>35</v>
      </c>
      <c r="I25">
        <f>VLOOKUP(Table4[[#This Row],[Visitor]],'NHL Model'!$A$6:$B$38,2,FALSE)</f>
        <v>-1.6560580871558699</v>
      </c>
      <c r="J25">
        <f>($B$1+Table4[[#This Row],[Home Differential]])-Table4[[#This Row],[Away Differential]]</f>
        <v>0.40512819756732221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0.5980671228222344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0.35768428340086561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7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0.26494263732175571</v>
      </c>
      <c r="H26" t="s">
        <v>18</v>
      </c>
      <c r="I26">
        <f>VLOOKUP(Table4[[#This Row],[Visitor]],'NHL Model'!$A$6:$B$38,2,FALSE)</f>
        <v>-0.59444373833461905</v>
      </c>
      <c r="J26">
        <f>($B$1+Table4[[#This Row],[Home Differential]])-Table4[[#This Row],[Away Differential]]</f>
        <v>1.0376845693112382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0.64163218953177148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0.41169186664333512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1.5385519346678582</v>
      </c>
      <c r="H27" t="s">
        <v>39</v>
      </c>
      <c r="I27">
        <f>VLOOKUP(Table4[[#This Row],[Visitor]],'NHL Model'!$A$6:$B$38,2,FALSE)</f>
        <v>0.16990542827764471</v>
      </c>
      <c r="J27">
        <f>($B$1+Table4[[#This Row],[Home Differential]])-Table4[[#This Row],[Away Differential]]</f>
        <v>1.5469447000450769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0.76018549753450559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0.57788199066178381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7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-0.51526168477192669</v>
      </c>
      <c r="H28" t="s">
        <v>19</v>
      </c>
      <c r="I28">
        <f>VLOOKUP(Table4[[#This Row],[Visitor]],'NHL Model'!$A$6:$B$38,2,FALSE)</f>
        <v>-0.64312007588488018</v>
      </c>
      <c r="J28">
        <f>($B$1+Table4[[#This Row],[Home Differential]])-Table4[[#This Row],[Away Differential]]</f>
        <v>0.30615658476781682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0.60991923340291276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0.15216300446897124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7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-0.83182649756544103</v>
      </c>
      <c r="H29" t="s">
        <v>38</v>
      </c>
      <c r="I29">
        <f>VLOOKUP(Table4[[#This Row],[Visitor]],'NHL Model'!$A$6:$B$38,2,FALSE)</f>
        <v>-0.83680023888172561</v>
      </c>
      <c r="J29">
        <f>($B$1+Table4[[#This Row],[Home Differential]])-Table4[[#This Row],[Away Differential]]</f>
        <v>0.18327193497114791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0.58182396644806011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0.17487119503723314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7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-0.16385680125706742</v>
      </c>
      <c r="H30" t="s">
        <v>36</v>
      </c>
      <c r="I30">
        <f>VLOOKUP(Table4[[#This Row],[Visitor]],'NHL Model'!$A$6:$B$38,2,FALSE)</f>
        <v>-0.4314038989751332</v>
      </c>
      <c r="J30">
        <f>($B$1+Table4[[#This Row],[Home Differential]])-Table4[[#This Row],[Away Differential]]</f>
        <v>0.44584529137292916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0.66735138961549911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0.11065509799073947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7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-0.55929037526767655</v>
      </c>
      <c r="H31" t="s">
        <v>28</v>
      </c>
      <c r="I31">
        <f>VLOOKUP(Table4[[#This Row],[Visitor]],'NHL Model'!$A$6:$B$38,2,FALSE)</f>
        <v>-0.4068113735564976</v>
      </c>
      <c r="J31">
        <f>($B$1+Table4[[#This Row],[Home Differential]])-Table4[[#This Row],[Away Differential]]</f>
        <v>2.5819191943684372E-2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0.5229314402745705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0.27345729122763668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7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-1.3905198871921312</v>
      </c>
      <c r="H32" t="s">
        <v>55</v>
      </c>
      <c r="I32">
        <f>VLOOKUP(Table4[[#This Row],[Visitor]],'NHL Model'!$A$6:$B$38,2,FALSE)</f>
        <v>-0.14078840027135531</v>
      </c>
      <c r="J32">
        <f>($B$1+Table4[[#This Row],[Home Differential]])-Table4[[#This Row],[Away Differential]]</f>
        <v>-1.0714332932659125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0.61356879380276697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0.14932907712304844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7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-8.2927339771111427E-2</v>
      </c>
      <c r="H33" t="s">
        <v>22</v>
      </c>
      <c r="I33">
        <f>VLOOKUP(Table4[[#This Row],[Visitor]],'NHL Model'!$A$6:$B$38,2,FALSE)</f>
        <v>-2.6005603564376825E-2</v>
      </c>
      <c r="J33">
        <f>($B$1+Table4[[#This Row],[Home Differential]])-Table4[[#This Row],[Away Differential]]</f>
        <v>0.12137645744812875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0.55739691708621941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0.31069132317722176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7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0.24618288254564977</v>
      </c>
      <c r="H34" t="s">
        <v>15</v>
      </c>
      <c r="I34">
        <f>VLOOKUP(Table4[[#This Row],[Visitor]],'NHL Model'!$A$6:$B$38,2,FALSE)</f>
        <v>-0.33401712526814992</v>
      </c>
      <c r="J34">
        <f>($B$1+Table4[[#This Row],[Home Differential]])-Table4[[#This Row],[Away Differential]]</f>
        <v>0.75849820146866298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0.54178659733396972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0.29353271705072104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7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-0.39497219926686861</v>
      </c>
      <c r="H35" t="s">
        <v>20</v>
      </c>
      <c r="I35">
        <f>VLOOKUP(Table4[[#This Row],[Visitor]],'NHL Model'!$A$6:$B$38,2,FALSE)</f>
        <v>-6.1930983208684394E-4</v>
      </c>
      <c r="J35">
        <f>($B$1+Table4[[#This Row],[Home Differential]])-Table4[[#This Row],[Away Differential]]</f>
        <v>-0.2160546957799184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0.48551262649622506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0.23572251048726295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7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-0.40334472409778083</v>
      </c>
      <c r="H36" t="s">
        <v>31</v>
      </c>
      <c r="I36">
        <f>VLOOKUP(Table4[[#This Row],[Visitor]],'NHL Model'!$A$6:$B$38,2,FALSE)</f>
        <v>0.5301060565842276</v>
      </c>
      <c r="J36">
        <f>($B$1+Table4[[#This Row],[Home Differential]])-Table4[[#This Row],[Away Differential]]</f>
        <v>-0.75515258702714505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0.58900543423207785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0.16891653309076288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-0.12437377019828177</v>
      </c>
      <c r="H37" t="s">
        <v>24</v>
      </c>
      <c r="I37">
        <f>VLOOKUP(Table4[[#This Row],[Visitor]],'NHL Model'!$A$6:$B$38,2,FALSE)</f>
        <v>0.54693303419816819</v>
      </c>
      <c r="J37">
        <f>($B$1+Table4[[#This Row],[Home Differential]])-Table4[[#This Row],[Away Differential]]</f>
        <v>-0.49300861074158664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0.59697883323181122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0.16242606086319222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7.2067135963786652E-2</v>
      </c>
      <c r="H38" t="s">
        <v>13</v>
      </c>
      <c r="I38">
        <f>VLOOKUP(Table4[[#This Row],[Visitor]],'NHL Model'!$A$6:$B$38,2,FALSE)</f>
        <v>-0.12133880872417692</v>
      </c>
      <c r="J38">
        <f>($B$1+Table4[[#This Row],[Home Differential]])-Table4[[#This Row],[Away Differential]]</f>
        <v>0.3717041383428269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0.52772899905101944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0.22303989833735199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-0.33401712526814992</v>
      </c>
      <c r="H39" t="s">
        <v>22</v>
      </c>
      <c r="I39">
        <f>VLOOKUP(Table4[[#This Row],[Visitor]],'NHL Model'!$A$6:$B$38,2,FALSE)</f>
        <v>-2.6005603564376825E-2</v>
      </c>
      <c r="J39">
        <f>($B$1+Table4[[#This Row],[Home Differential]])-Table4[[#This Row],[Away Differential]]</f>
        <v>-0.12971332804890973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0.47859184277155919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0.27186646642435847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-1.6459316139111148E-2</v>
      </c>
      <c r="H40" t="s">
        <v>37</v>
      </c>
      <c r="I40">
        <f>VLOOKUP(Table4[[#This Row],[Visitor]],'NHL Model'!$A$6:$B$38,2,FALSE)</f>
        <v>-0.12437377019828177</v>
      </c>
      <c r="J40">
        <f>($B$1+Table4[[#This Row],[Home Differential]])-Table4[[#This Row],[Away Differential]]</f>
        <v>0.28621264771403399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0.58647747367302849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0.34395582712589784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-0.67384018791748512</v>
      </c>
      <c r="H41" t="s">
        <v>12</v>
      </c>
      <c r="I41">
        <f>VLOOKUP(Table4[[#This Row],[Visitor]],'NHL Model'!$A$6:$B$38,2,FALSE)</f>
        <v>1.5385519346678582</v>
      </c>
      <c r="J41">
        <f>($B$1+Table4[[#This Row],[Home Differential]])-Table4[[#This Row],[Away Differential]]</f>
        <v>-2.03409392893048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0.81535670001796268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3.4093148228256626E-2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-0.4068113735564976</v>
      </c>
      <c r="H42" t="s">
        <v>24</v>
      </c>
      <c r="I42">
        <f>VLOOKUP(Table4[[#This Row],[Visitor]],'NHL Model'!$A$6:$B$38,2,FALSE)</f>
        <v>0.54693303419816819</v>
      </c>
      <c r="J42">
        <f>($B$1+Table4[[#This Row],[Home Differential]])-Table4[[#This Row],[Away Differential]]</f>
        <v>-0.77544621409980241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0.63037566318421301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0.13662215036651035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0.26494263732175571</v>
      </c>
      <c r="H43" t="s">
        <v>55</v>
      </c>
      <c r="I43">
        <f>VLOOKUP(Table4[[#This Row],[Visitor]],'NHL Model'!$A$6:$B$38,2,FALSE)</f>
        <v>-0.14078840027135531</v>
      </c>
      <c r="J43">
        <f>($B$1+Table4[[#This Row],[Home Differential]])-Table4[[#This Row],[Away Differential]]</f>
        <v>0.58402923124797435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0.62370905137259858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0.14159487801890966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-0.55929037526767655</v>
      </c>
      <c r="H44" t="s">
        <v>13</v>
      </c>
      <c r="I44">
        <f>VLOOKUP(Table4[[#This Row],[Visitor]],'NHL Model'!$A$6:$B$38,2,FALSE)</f>
        <v>-0.12133880872417692</v>
      </c>
      <c r="J44">
        <f>($B$1+Table4[[#This Row],[Home Differential]])-Table4[[#This Row],[Away Differential]]</f>
        <v>-0.25965337288863632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0.59901393372472556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0.35881769279636988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-8.2927339771111427E-2</v>
      </c>
      <c r="H45" t="s">
        <v>40</v>
      </c>
      <c r="I45">
        <f>VLOOKUP(Table4[[#This Row],[Visitor]],'NHL Model'!$A$6:$B$38,2,FALSE)</f>
        <v>7.2067135963786652E-2</v>
      </c>
      <c r="J45">
        <f>($B$1+Table4[[#This Row],[Home Differential]])-Table4[[#This Row],[Away Differential]]</f>
        <v>2.3303717919965272E-2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0.47702433806816247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0.22755221910936857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-0.4314038989751332</v>
      </c>
      <c r="H46" t="s">
        <v>29</v>
      </c>
      <c r="I46">
        <f>VLOOKUP(Table4[[#This Row],[Visitor]],'NHL Model'!$A$6:$B$38,2,FALSE)</f>
        <v>-1.3905198871921312</v>
      </c>
      <c r="J46">
        <f>($B$1+Table4[[#This Row],[Home Differential]])-Table4[[#This Row],[Away Differential]]</f>
        <v>1.1374141818718613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0.70552132977483561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0.49776034676725234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-0.5365514628281316</v>
      </c>
      <c r="H47" t="s">
        <v>11</v>
      </c>
      <c r="I47">
        <f>VLOOKUP(Table4[[#This Row],[Visitor]],'NHL Model'!$A$6:$B$38,2,FALSE)</f>
        <v>-0.16385680125706742</v>
      </c>
      <c r="J47">
        <f>($B$1+Table4[[#This Row],[Home Differential]])-Table4[[#This Row],[Away Differential]]</f>
        <v>-0.19439646791620085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0.48536741369346381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0.23558152627548204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-0.64312007588488018</v>
      </c>
      <c r="H48" t="s">
        <v>26</v>
      </c>
      <c r="I48">
        <f>VLOOKUP(Table4[[#This Row],[Visitor]],'NHL Model'!$A$6:$B$38,2,FALSE)</f>
        <v>-0.51526168477192669</v>
      </c>
      <c r="J48">
        <f>($B$1+Table4[[#This Row],[Home Differential]])-Table4[[#This Row],[Away Differential]]</f>
        <v>5.0439802541909828E-2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0.50013015765190849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0.25013017459292286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-0.83680023888172561</v>
      </c>
      <c r="H49" t="s">
        <v>35</v>
      </c>
      <c r="I49">
        <f>VLOOKUP(Table4[[#This Row],[Visitor]],'NHL Model'!$A$6:$B$38,2,FALSE)</f>
        <v>-1.6560580871558699</v>
      </c>
      <c r="J49">
        <f>($B$1+Table4[[#This Row],[Home Differential]])-Table4[[#This Row],[Away Differential]]</f>
        <v>0.9975560419290076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0.68297994944952678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0.46646161135007813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0.5301060565842276</v>
      </c>
      <c r="H50" t="s">
        <v>14</v>
      </c>
      <c r="I50">
        <f>VLOOKUP(Table4[[#This Row],[Visitor]],'NHL Model'!$A$6:$B$38,2,FALSE)</f>
        <v>0.24618288254564977</v>
      </c>
      <c r="J50">
        <f>($B$1+Table4[[#This Row],[Home Differential]])-Table4[[#This Row],[Away Differential]]</f>
        <v>0.46222136769344113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0.71700951983344663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8.0083611864896431E-2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-1.429228083243411</v>
      </c>
      <c r="H51" t="s">
        <v>20</v>
      </c>
      <c r="I51">
        <f>VLOOKUP(Table4[[#This Row],[Visitor]],'NHL Model'!$A$6:$B$38,2,FALSE)</f>
        <v>-6.1930983208684394E-4</v>
      </c>
      <c r="J51">
        <f>($B$1+Table4[[#This Row],[Home Differential]])-Table4[[#This Row],[Away Differential]]</f>
        <v>-1.2503105797564609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0.65997654943184436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0.11561594693627499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0.16990542827764471</v>
      </c>
      <c r="H52" t="s">
        <v>34</v>
      </c>
      <c r="I52">
        <f>VLOOKUP(Table4[[#This Row],[Visitor]],'NHL Model'!$A$6:$B$38,2,FALSE)</f>
        <v>-0.55929037526767655</v>
      </c>
      <c r="J52">
        <f>($B$1+Table4[[#This Row],[Home Differential]])-Table4[[#This Row],[Away Differential]]</f>
        <v>0.90749399720018464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0.69610907058281524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9.2349696982040375E-2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-0.59444373833461905</v>
      </c>
      <c r="H53" t="s">
        <v>32</v>
      </c>
      <c r="I53">
        <f>VLOOKUP(Table4[[#This Row],[Visitor]],'NHL Model'!$A$6:$B$38,2,FALSE)</f>
        <v>-0.39497219926686861</v>
      </c>
      <c r="J53">
        <f>($B$1+Table4[[#This Row],[Home Differential]])-Table4[[#This Row],[Away Differential]]</f>
        <v>-2.1173345412887123E-2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0.46303478073367976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0.21440120816908689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-0.33401712526814992</v>
      </c>
      <c r="H54" t="s">
        <v>17</v>
      </c>
      <c r="I54">
        <f>VLOOKUP(Table4[[#This Row],[Visitor]],'NHL Model'!$A$6:$B$38,2,FALSE)</f>
        <v>-0.83182649756544103</v>
      </c>
      <c r="J54">
        <f>($B$1+Table4[[#This Row],[Home Differential]])-Table4[[#This Row],[Away Differential]]</f>
        <v>0.67610756595215449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0.63690666141959096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0.4056500953606495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-0.40334472409778083</v>
      </c>
      <c r="H55" t="s">
        <v>25</v>
      </c>
      <c r="I55">
        <f>VLOOKUP(Table4[[#This Row],[Visitor]],'NHL Model'!$A$6:$B$38,2,FALSE)</f>
        <v>0.73055531763635684</v>
      </c>
      <c r="J55">
        <f>($B$1+Table4[[#This Row],[Home Differential]])-Table4[[#This Row],[Away Differential]]</f>
        <v>-0.95560184807927429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0.70148277370120238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8.9112534397127546E-2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-0.64312007588488018</v>
      </c>
      <c r="H56" t="s">
        <v>29</v>
      </c>
      <c r="I56">
        <f>VLOOKUP(Table4[[#This Row],[Visitor]],'NHL Model'!$A$6:$B$38,2,FALSE)</f>
        <v>-1.3905198871921312</v>
      </c>
      <c r="J56">
        <f>($B$1+Table4[[#This Row],[Home Differential]])-Table4[[#This Row],[Away Differential]]</f>
        <v>0.9256980049621143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0.67268051958170605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0.10713804226130191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-2.6005603564376825E-2</v>
      </c>
      <c r="H57" t="s">
        <v>37</v>
      </c>
      <c r="I57">
        <f>VLOOKUP(Table4[[#This Row],[Visitor]],'NHL Model'!$A$6:$B$38,2,FALSE)</f>
        <v>-0.12437377019828177</v>
      </c>
      <c r="J57">
        <f>($B$1+Table4[[#This Row],[Home Differential]])-Table4[[#This Row],[Away Differential]]</f>
        <v>0.27666636028876829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0.53255526504561235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0.21850458023657773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-0.67384018791748512</v>
      </c>
      <c r="H58" t="s">
        <v>36</v>
      </c>
      <c r="I58">
        <f>VLOOKUP(Table4[[#This Row],[Visitor]],'NHL Model'!$A$6:$B$38,2,FALSE)</f>
        <v>-0.4314038989751332</v>
      </c>
      <c r="J58">
        <f>($B$1+Table4[[#This Row],[Home Differential]])-Table4[[#This Row],[Away Differential]]</f>
        <v>-6.4138095287488595E-2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0.46669744955007952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0.21780650941654903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-0.51526168477192669</v>
      </c>
      <c r="H59" t="s">
        <v>11</v>
      </c>
      <c r="I59">
        <f>VLOOKUP(Table4[[#This Row],[Visitor]],'NHL Model'!$A$6:$B$38,2,FALSE)</f>
        <v>-0.16385680125706742</v>
      </c>
      <c r="J59">
        <f>($B$1+Table4[[#This Row],[Home Differential]])-Table4[[#This Row],[Away Differential]]</f>
        <v>-0.17310668985999594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0.45877368799605961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0.21047329679750584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-1.6560580871558699</v>
      </c>
      <c r="H60" t="s">
        <v>10</v>
      </c>
      <c r="I60">
        <f>VLOOKUP(Table4[[#This Row],[Visitor]],'NHL Model'!$A$6:$B$38,2,FALSE)</f>
        <v>0.26494263732175571</v>
      </c>
      <c r="J60">
        <f>($B$1+Table4[[#This Row],[Home Differential]])-Table4[[#This Row],[Away Differential]]</f>
        <v>-1.7427025308227622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0.73055120720914035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7.2602651936451615E-2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-0.14078840027135531</v>
      </c>
      <c r="H61" t="s">
        <v>16</v>
      </c>
      <c r="I61">
        <f>VLOOKUP(Table4[[#This Row],[Visitor]],'NHL Model'!$A$6:$B$38,2,FALSE)</f>
        <v>-1.429228083243411</v>
      </c>
      <c r="J61">
        <f>($B$1+Table4[[#This Row],[Home Differential]])-Table4[[#This Row],[Away Differential]]</f>
        <v>1.466737876626919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0.81850040170079152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3.2942104182774039E-2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0.5301060565842276</v>
      </c>
      <c r="H62" t="s">
        <v>25</v>
      </c>
      <c r="I62">
        <f>VLOOKUP(Table4[[#This Row],[Visitor]],'NHL Model'!$A$6:$B$38,2,FALSE)</f>
        <v>0.73055531763635684</v>
      </c>
      <c r="J62">
        <f>($B$1+Table4[[#This Row],[Home Differential]])-Table4[[#This Row],[Away Differential]]</f>
        <v>-2.2151067397265911E-2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0.45271620226651954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0.29951955526158114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-0.4068113735564976</v>
      </c>
      <c r="H63" t="s">
        <v>12</v>
      </c>
      <c r="I63">
        <f>VLOOKUP(Table4[[#This Row],[Visitor]],'NHL Model'!$A$6:$B$38,2,FALSE)</f>
        <v>1.5385519346678582</v>
      </c>
      <c r="J63">
        <f>($B$1+Table4[[#This Row],[Home Differential]])-Table4[[#This Row],[Away Differential]]</f>
        <v>-1.7670651145694924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0.77250464070830649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5.1754138499256724E-2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0.16990542827764471</v>
      </c>
      <c r="H64" t="s">
        <v>38</v>
      </c>
      <c r="I64">
        <f>VLOOKUP(Table4[[#This Row],[Visitor]],'NHL Model'!$A$6:$B$38,2,FALSE)</f>
        <v>-0.83680023888172561</v>
      </c>
      <c r="J64">
        <f>($B$1+Table4[[#This Row],[Home Differential]])-Table4[[#This Row],[Away Differential]]</f>
        <v>1.1850038608142337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0.71530143625085318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0.5116561447025334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-0.12133880872417692</v>
      </c>
      <c r="H65" t="s">
        <v>14</v>
      </c>
      <c r="I65">
        <f>VLOOKUP(Table4[[#This Row],[Visitor]],'NHL Model'!$A$6:$B$38,2,FALSE)</f>
        <v>0.24618288254564977</v>
      </c>
      <c r="J65">
        <f>($B$1+Table4[[#This Row],[Home Differential]])-Table4[[#This Row],[Away Differential]]</f>
        <v>-0.18922349761496332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0.48712144980980981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0.26304440724519151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-0.59444373833461905</v>
      </c>
      <c r="H66" t="s">
        <v>29</v>
      </c>
      <c r="I66">
        <f>VLOOKUP(Table4[[#This Row],[Visitor]],'NHL Model'!$A$6:$B$38,2,FALSE)</f>
        <v>-1.3905198871921312</v>
      </c>
      <c r="J66">
        <f>($B$1+Table4[[#This Row],[Home Differential]])-Table4[[#This Row],[Away Differential]]</f>
        <v>0.97437434251237542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0.67965731084935865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0.10261943849226443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0.54693303419816819</v>
      </c>
      <c r="H67" t="s">
        <v>11</v>
      </c>
      <c r="I67">
        <f>VLOOKUP(Table4[[#This Row],[Visitor]],'NHL Model'!$A$6:$B$38,2,FALSE)</f>
        <v>-0.16385680125706742</v>
      </c>
      <c r="J67">
        <f>($B$1+Table4[[#This Row],[Home Differential]])-Table4[[#This Row],[Away Differential]]</f>
        <v>0.88908802911009888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0.7828639144734777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4.7148079637781212E-2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-8.2927339771111427E-2</v>
      </c>
      <c r="H68" t="s">
        <v>17</v>
      </c>
      <c r="I68">
        <f>VLOOKUP(Table4[[#This Row],[Visitor]],'NHL Model'!$A$6:$B$38,2,FALSE)</f>
        <v>-0.83182649756544103</v>
      </c>
      <c r="J68">
        <f>($B$1+Table4[[#This Row],[Home Differential]])-Table4[[#This Row],[Away Differential]]</f>
        <v>0.92719735144919291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0.67289542127736945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0.1069974054213096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-0.4314038989751332</v>
      </c>
      <c r="H69" t="s">
        <v>32</v>
      </c>
      <c r="I69">
        <f>VLOOKUP(Table4[[#This Row],[Visitor]],'NHL Model'!$A$6:$B$38,2,FALSE)</f>
        <v>-0.39497219926686861</v>
      </c>
      <c r="J69">
        <f>($B$1+Table4[[#This Row],[Home Differential]])-Table4[[#This Row],[Away Differential]]</f>
        <v>0.14186649394659873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0.5628292381917972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0.19111827497996439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-0.5365514628281316</v>
      </c>
      <c r="H70" t="s">
        <v>40</v>
      </c>
      <c r="I70">
        <f>VLOOKUP(Table4[[#This Row],[Visitor]],'NHL Model'!$A$6:$B$38,2,FALSE)</f>
        <v>7.2067135963786652E-2</v>
      </c>
      <c r="J70">
        <f>($B$1+Table4[[#This Row],[Home Differential]])-Table4[[#This Row],[Away Differential]]</f>
        <v>-0.43032040513705494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0.58548745185316409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0.17182065257118295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-0.64312007588488018</v>
      </c>
      <c r="H71" t="s">
        <v>15</v>
      </c>
      <c r="I71">
        <f>VLOOKUP(Table4[[#This Row],[Visitor]],'NHL Model'!$A$6:$B$38,2,FALSE)</f>
        <v>-0.33401712526814992</v>
      </c>
      <c r="J71">
        <f>($B$1+Table4[[#This Row],[Home Differential]])-Table4[[#This Row],[Away Differential]]</f>
        <v>-0.13080475696186694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0.62115791609659909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0.38583715672946967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-6.1930983208684394E-4</v>
      </c>
      <c r="H72" t="s">
        <v>21</v>
      </c>
      <c r="I72">
        <f>VLOOKUP(Table4[[#This Row],[Visitor]],'NHL Model'!$A$6:$B$38,2,FALSE)</f>
        <v>-1.6459316139111148E-2</v>
      </c>
      <c r="J72">
        <f>($B$1+Table4[[#This Row],[Home Differential]])-Table4[[#This Row],[Away Differential]]</f>
        <v>0.19413819996188764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0.56782587528926853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0.18677447406948688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0.26494263732175571</v>
      </c>
      <c r="H73" t="s">
        <v>38</v>
      </c>
      <c r="I73">
        <f>VLOOKUP(Table4[[#This Row],[Visitor]],'NHL Model'!$A$6:$B$38,2,FALSE)</f>
        <v>-0.83680023888172561</v>
      </c>
      <c r="J73">
        <f>($B$1+Table4[[#This Row],[Home Differential]])-Table4[[#This Row],[Away Differential]]</f>
        <v>1.2800410698583446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0.70269936625089446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0.49378639932940871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-0.51526168477192669</v>
      </c>
      <c r="H74" t="s">
        <v>37</v>
      </c>
      <c r="I74">
        <f>VLOOKUP(Table4[[#This Row],[Visitor]],'NHL Model'!$A$6:$B$38,2,FALSE)</f>
        <v>-0.12437377019828177</v>
      </c>
      <c r="J74">
        <f>($B$1+Table4[[#This Row],[Home Differential]])-Table4[[#This Row],[Away Differential]]</f>
        <v>-0.21258972091878159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0.51123976703271579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0.26136609939566552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-0.14078840027135531</v>
      </c>
      <c r="H75" t="s">
        <v>33</v>
      </c>
      <c r="I75">
        <f>VLOOKUP(Table4[[#This Row],[Visitor]],'NHL Model'!$A$6:$B$38,2,FALSE)</f>
        <v>-0.40334472409778083</v>
      </c>
      <c r="J75">
        <f>($B$1+Table4[[#This Row],[Home Differential]])-Table4[[#This Row],[Away Differential]]</f>
        <v>0.4408545174812889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0.67146029100374105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0.10793834038734651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-2.6005603564376825E-2</v>
      </c>
      <c r="H76" t="s">
        <v>34</v>
      </c>
      <c r="I76">
        <f>VLOOKUP(Table4[[#This Row],[Visitor]],'NHL Model'!$A$6:$B$38,2,FALSE)</f>
        <v>-0.55929037526767655</v>
      </c>
      <c r="J76">
        <f>($B$1+Table4[[#This Row],[Home Differential]])-Table4[[#This Row],[Away Differential]]</f>
        <v>0.71158296535816312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0.64199135902110571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0.12817018701555483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-0.67384018791748512</v>
      </c>
      <c r="H77" t="s">
        <v>11</v>
      </c>
      <c r="I77">
        <f>VLOOKUP(Table4[[#This Row],[Visitor]],'NHL Model'!$A$6:$B$38,2,FALSE)</f>
        <v>-0.16385680125706742</v>
      </c>
      <c r="J77">
        <f>($B$1+Table4[[#This Row],[Home Differential]])-Table4[[#This Row],[Away Differential]]</f>
        <v>-0.33168519300555438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0.50504503996026229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0.25507049238846291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-0.4068113735564976</v>
      </c>
      <c r="H78" t="s">
        <v>37</v>
      </c>
      <c r="I78">
        <f>VLOOKUP(Table4[[#This Row],[Visitor]],'NHL Model'!$A$6:$B$38,2,FALSE)</f>
        <v>-0.12437377019828177</v>
      </c>
      <c r="J78">
        <f>($B$1+Table4[[#This Row],[Home Differential]])-Table4[[#This Row],[Away Differential]]</f>
        <v>-0.10413940970335248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0.51492632685206929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0.26514912208536412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1.5385519346678582</v>
      </c>
      <c r="H79" t="s">
        <v>21</v>
      </c>
      <c r="I79">
        <f>VLOOKUP(Table4[[#This Row],[Visitor]],'NHL Model'!$A$6:$B$38,2,FALSE)</f>
        <v>-1.6459316139111148E-2</v>
      </c>
      <c r="J79">
        <f>($B$1+Table4[[#This Row],[Home Differential]])-Table4[[#This Row],[Away Differential]]</f>
        <v>1.7333094444618327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0.87680191084931458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1.5177769170380233E-2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-0.12133880872417692</v>
      </c>
      <c r="H80" t="s">
        <v>25</v>
      </c>
      <c r="I80">
        <f>VLOOKUP(Table4[[#This Row],[Visitor]],'NHL Model'!$A$6:$B$38,2,FALSE)</f>
        <v>0.73055531763635684</v>
      </c>
      <c r="J80">
        <f>($B$1+Table4[[#This Row],[Home Differential]])-Table4[[#This Row],[Away Differential]]</f>
        <v>-0.67359593270567042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0.6610627974494272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0.11487842727280802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-0.59444373833461905</v>
      </c>
      <c r="H81" t="s">
        <v>15</v>
      </c>
      <c r="I81">
        <f>VLOOKUP(Table4[[#This Row],[Visitor]],'NHL Model'!$A$6:$B$38,2,FALSE)</f>
        <v>-0.33401712526814992</v>
      </c>
      <c r="J81">
        <f>($B$1+Table4[[#This Row],[Home Differential]])-Table4[[#This Row],[Away Differential]]</f>
        <v>-8.2128419411605813E-2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0.61418112482894649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0.14885620443825698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0.54693303419816819</v>
      </c>
      <c r="H82" t="s">
        <v>17</v>
      </c>
      <c r="I82">
        <f>VLOOKUP(Table4[[#This Row],[Visitor]],'NHL Model'!$A$6:$B$38,2,FALSE)</f>
        <v>-0.83182649756544103</v>
      </c>
      <c r="J82">
        <f>($B$1+Table4[[#This Row],[Home Differential]])-Table4[[#This Row],[Away Differential]]</f>
        <v>1.5570577254184725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0.87860417306316385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1.4736946797678273E-2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-0.4314038989751332</v>
      </c>
      <c r="H83" t="s">
        <v>30</v>
      </c>
      <c r="I83">
        <f>VLOOKUP(Table4[[#This Row],[Visitor]],'NHL Model'!$A$6:$B$38,2,FALSE)</f>
        <v>-8.2927339771111427E-2</v>
      </c>
      <c r="J83">
        <f>($B$1+Table4[[#This Row],[Home Differential]])-Table4[[#This Row],[Away Differential]]</f>
        <v>-0.17017836554915844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0.52439170641137112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0.2262032489302874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-0.5365514628281316</v>
      </c>
      <c r="H84" t="s">
        <v>34</v>
      </c>
      <c r="I84">
        <f>VLOOKUP(Table4[[#This Row],[Visitor]],'NHL Model'!$A$6:$B$38,2,FALSE)</f>
        <v>-0.55929037526767655</v>
      </c>
      <c r="J84">
        <f>($B$1+Table4[[#This Row],[Home Differential]])-Table4[[#This Row],[Away Differential]]</f>
        <v>0.20103710609440828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0.57131017638293036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0.18377496487283429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-0.40334472409778083</v>
      </c>
      <c r="H85" t="s">
        <v>14</v>
      </c>
      <c r="I85">
        <f>VLOOKUP(Table4[[#This Row],[Visitor]],'NHL Model'!$A$6:$B$38,2,FALSE)</f>
        <v>0.24618288254564977</v>
      </c>
      <c r="J85">
        <f>($B$1+Table4[[#This Row],[Home Differential]])-Table4[[#This Row],[Away Differential]]</f>
        <v>-0.47122941298856724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0.52754142606158505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0.2232171040879207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-1.6560580871558699</v>
      </c>
      <c r="H86" t="s">
        <v>39</v>
      </c>
      <c r="I86">
        <f>VLOOKUP(Table4[[#This Row],[Visitor]],'NHL Model'!$A$6:$B$38,2,FALSE)</f>
        <v>0.16990542827764471</v>
      </c>
      <c r="J86">
        <f>($B$1+Table4[[#This Row],[Home Differential]])-Table4[[#This Row],[Away Differential]]</f>
        <v>-1.6476653217786512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0.78864645806139611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0.62196323581278545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-0.64312007588488018</v>
      </c>
      <c r="H87" t="s">
        <v>32</v>
      </c>
      <c r="I87">
        <f>VLOOKUP(Table4[[#This Row],[Visitor]],'NHL Model'!$A$6:$B$38,2,FALSE)</f>
        <v>-0.39497219926686861</v>
      </c>
      <c r="J87">
        <f>($B$1+Table4[[#This Row],[Home Differential]])-Table4[[#This Row],[Away Differential]]</f>
        <v>-6.9849682963148252E-2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0.47001157200133242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0.28088773381249876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-6.1930983208684394E-4</v>
      </c>
      <c r="H88" t="s">
        <v>16</v>
      </c>
      <c r="I88">
        <f>VLOOKUP(Table4[[#This Row],[Visitor]],'NHL Model'!$A$6:$B$38,2,FALSE)</f>
        <v>-1.429228083243411</v>
      </c>
      <c r="J88">
        <f>($B$1+Table4[[#This Row],[Home Differential]])-Table4[[#This Row],[Away Differential]]</f>
        <v>1.6069069670661875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0.77031836534910858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5.2753653295905568E-2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7.2067135963786652E-2</v>
      </c>
      <c r="H89" t="s">
        <v>29</v>
      </c>
      <c r="I89">
        <f>VLOOKUP(Table4[[#This Row],[Visitor]],'NHL Model'!$A$6:$B$38,2,FALSE)</f>
        <v>-1.3905198871921312</v>
      </c>
      <c r="J89">
        <f>($B$1+Table4[[#This Row],[Home Differential]])-Table4[[#This Row],[Away Differential]]</f>
        <v>1.6408852168107813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0.81122534248596212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3.5635871319542295E-2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0.26494263732175571</v>
      </c>
      <c r="H90" t="s">
        <v>31</v>
      </c>
      <c r="I90">
        <f>VLOOKUP(Table4[[#This Row],[Visitor]],'NHL Model'!$A$6:$B$38,2,FALSE)</f>
        <v>0.5301060565842276</v>
      </c>
      <c r="J90">
        <f>($B$1+Table4[[#This Row],[Home Differential]])-Table4[[#This Row],[Away Differential]]</f>
        <v>-8.6865225607608565E-2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0.49321964462495826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0.24326561784397013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-0.51526168477192669</v>
      </c>
      <c r="H91" t="s">
        <v>17</v>
      </c>
      <c r="I91">
        <f>VLOOKUP(Table4[[#This Row],[Visitor]],'NHL Model'!$A$6:$B$38,2,FALSE)</f>
        <v>-0.83182649756544103</v>
      </c>
      <c r="J91">
        <f>($B$1+Table4[[#This Row],[Home Differential]])-Table4[[#This Row],[Away Differential]]</f>
        <v>0.49486300644837766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0.63696657059362649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0.13179327086655238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-0.14078840027135531</v>
      </c>
      <c r="H92" t="s">
        <v>21</v>
      </c>
      <c r="I92">
        <f>VLOOKUP(Table4[[#This Row],[Visitor]],'NHL Model'!$A$6:$B$38,2,FALSE)</f>
        <v>-1.6459316139111148E-2</v>
      </c>
      <c r="J92">
        <f>($B$1+Table4[[#This Row],[Home Differential]])-Table4[[#This Row],[Away Differential]]</f>
        <v>5.3969109522619192E-2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0.61600791164095148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0.14744992392234332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-2.6005603564376825E-2</v>
      </c>
      <c r="H93" t="s">
        <v>38</v>
      </c>
      <c r="I93">
        <f>VLOOKUP(Table4[[#This Row],[Visitor]],'NHL Model'!$A$6:$B$38,2,FALSE)</f>
        <v>-0.83680023888172561</v>
      </c>
      <c r="J93">
        <f>($B$1+Table4[[#This Row],[Home Differential]])-Table4[[#This Row],[Away Differential]]</f>
        <v>0.98909282897221207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0.66099768431442396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0.43691793866903089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-1.429228083243411</v>
      </c>
      <c r="H94" t="s">
        <v>40</v>
      </c>
      <c r="I94">
        <f>VLOOKUP(Table4[[#This Row],[Visitor]],'NHL Model'!$A$6:$B$38,2,FALSE)</f>
        <v>7.2067135963786652E-2</v>
      </c>
      <c r="J94">
        <f>($B$1+Table4[[#This Row],[Home Differential]])-Table4[[#This Row],[Away Differential]]</f>
        <v>-1.3229970255523342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0.71594127404250907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8.0689359792592938E-2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-0.59444373833461905</v>
      </c>
      <c r="H95" t="s">
        <v>23</v>
      </c>
      <c r="I95">
        <f>VLOOKUP(Table4[[#This Row],[Visitor]],'NHL Model'!$A$6:$B$38,2,FALSE)</f>
        <v>-0.67384018791748512</v>
      </c>
      <c r="J95">
        <f>($B$1+Table4[[#This Row],[Home Differential]])-Table4[[#This Row],[Away Differential]]</f>
        <v>0.25769464323772939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0.57693543571977735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0.17898362554961464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-0.33401712526814992</v>
      </c>
      <c r="H96" t="s">
        <v>34</v>
      </c>
      <c r="I96">
        <f>VLOOKUP(Table4[[#This Row],[Visitor]],'NHL Model'!$A$6:$B$38,2,FALSE)</f>
        <v>-0.55929037526767655</v>
      </c>
      <c r="J96">
        <f>($B$1+Table4[[#This Row],[Home Differential]])-Table4[[#This Row],[Away Differential]]</f>
        <v>0.40357144365439002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0.59784399290629908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0.35741743985414698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-0.5365514628281316</v>
      </c>
      <c r="H97" t="s">
        <v>32</v>
      </c>
      <c r="I97">
        <f>VLOOKUP(Table4[[#This Row],[Visitor]],'NHL Model'!$A$6:$B$38,2,FALSE)</f>
        <v>-0.39497219926686861</v>
      </c>
      <c r="J97">
        <f>($B$1+Table4[[#This Row],[Home Differential]])-Table4[[#This Row],[Away Differential]]</f>
        <v>3.6718930093600333E-2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0.5477584123609287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0.2045224535903078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-6.1930983208684394E-4</v>
      </c>
      <c r="H98" t="s">
        <v>25</v>
      </c>
      <c r="I98">
        <f>VLOOKUP(Table4[[#This Row],[Visitor]],'NHL Model'!$A$6:$B$38,2,FALSE)</f>
        <v>0.73055531763635684</v>
      </c>
      <c r="J98">
        <f>($B$1+Table4[[#This Row],[Home Differential]])-Table4[[#This Row],[Away Differential]]</f>
        <v>-0.55287643381358031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0.64376004239239182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0.41442699218105411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-1.6459316139111148E-2</v>
      </c>
      <c r="H99" t="s">
        <v>11</v>
      </c>
      <c r="I99">
        <f>VLOOKUP(Table4[[#This Row],[Visitor]],'NHL Model'!$A$6:$B$38,2,FALSE)</f>
        <v>-0.16385680125706742</v>
      </c>
      <c r="J99">
        <f>($B$1+Table4[[#This Row],[Home Differential]])-Table4[[#This Row],[Away Differential]]</f>
        <v>0.32569567877281963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0.63839801696821274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0.40755202806894647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0.16990542827764471</v>
      </c>
      <c r="H100" t="s">
        <v>28</v>
      </c>
      <c r="I100">
        <f>VLOOKUP(Table4[[#This Row],[Visitor]],'NHL Model'!$A$6:$B$38,2,FALSE)</f>
        <v>-0.4068113735564976</v>
      </c>
      <c r="J100">
        <f>($B$1+Table4[[#This Row],[Home Differential]])-Table4[[#This Row],[Away Differential]]</f>
        <v>0.75501499548900575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0.65367102788885789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0.42728581270127602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-1.3905198871921312</v>
      </c>
      <c r="H101" t="s">
        <v>31</v>
      </c>
      <c r="I101">
        <f>VLOOKUP(Table4[[#This Row],[Visitor]],'NHL Model'!$A$6:$B$38,2,FALSE)</f>
        <v>0.5301060565842276</v>
      </c>
      <c r="J101">
        <f>($B$1+Table4[[#This Row],[Home Differential]])-Table4[[#This Row],[Away Differential]]</f>
        <v>-1.7423277501214955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0.73049748980032381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7.263160300392657E-2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-8.2927339771111427E-2</v>
      </c>
      <c r="H102" t="s">
        <v>33</v>
      </c>
      <c r="I102">
        <f>VLOOKUP(Table4[[#This Row],[Visitor]],'NHL Model'!$A$6:$B$38,2,FALSE)</f>
        <v>-0.40334472409778083</v>
      </c>
      <c r="J102">
        <f>($B$1+Table4[[#This Row],[Home Differential]])-Table4[[#This Row],[Away Differential]]</f>
        <v>0.49871557798153276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0.6114810247568685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0.15094699412397303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-0.4314038989751332</v>
      </c>
      <c r="H103" t="s">
        <v>17</v>
      </c>
      <c r="I103">
        <f>VLOOKUP(Table4[[#This Row],[Visitor]],'NHL Model'!$A$6:$B$38,2,FALSE)</f>
        <v>-0.83182649756544103</v>
      </c>
      <c r="J103">
        <f>($B$1+Table4[[#This Row],[Home Differential]])-Table4[[#This Row],[Away Differential]]</f>
        <v>0.57872079224517115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0.62544367072709084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0.39117978525257763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0.24618288254564977</v>
      </c>
      <c r="H104" t="s">
        <v>38</v>
      </c>
      <c r="I104">
        <f>VLOOKUP(Table4[[#This Row],[Visitor]],'NHL Model'!$A$6:$B$38,2,FALSE)</f>
        <v>-0.83680023888172561</v>
      </c>
      <c r="J104">
        <f>($B$1+Table4[[#This Row],[Home Differential]])-Table4[[#This Row],[Away Differential]]</f>
        <v>1.2612813150822388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0.73633531237339367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6.951906750123589E-2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-1.6560580871558699</v>
      </c>
      <c r="H105" t="s">
        <v>13</v>
      </c>
      <c r="I105">
        <f>VLOOKUP(Table4[[#This Row],[Visitor]],'NHL Model'!$A$6:$B$38,2,FALSE)</f>
        <v>-0.12133880872417692</v>
      </c>
      <c r="J105">
        <f>($B$1+Table4[[#This Row],[Home Differential]])-Table4[[#This Row],[Away Differential]]</f>
        <v>-1.3564210847768297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0.75621391589355391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5.9431654803955208E-2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-0.64312007588488018</v>
      </c>
      <c r="H106" t="s">
        <v>24</v>
      </c>
      <c r="I106">
        <f>VLOOKUP(Table4[[#This Row],[Visitor]],'NHL Model'!$A$6:$B$38,2,FALSE)</f>
        <v>0.54693303419816819</v>
      </c>
      <c r="J106">
        <f>($B$1+Table4[[#This Row],[Home Differential]])-Table4[[#This Row],[Away Differential]]</f>
        <v>-1.0117549164281852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0.67133086704915246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0.1080233989546619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-0.14078840027135531</v>
      </c>
      <c r="H107" t="s">
        <v>12</v>
      </c>
      <c r="I107">
        <f>VLOOKUP(Table4[[#This Row],[Visitor]],'NHL Model'!$A$6:$B$38,2,FALSE)</f>
        <v>1.5385519346678582</v>
      </c>
      <c r="J107">
        <f>($B$1+Table4[[#This Row],[Home Differential]])-Table4[[#This Row],[Away Differential]]</f>
        <v>-1.5010421412843502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0.67166647332244067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0.45113585138540491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-2.6005603564376825E-2</v>
      </c>
      <c r="H108" t="s">
        <v>32</v>
      </c>
      <c r="I108">
        <f>VLOOKUP(Table4[[#This Row],[Visitor]],'NHL Model'!$A$6:$B$38,2,FALSE)</f>
        <v>-0.39497219926686861</v>
      </c>
      <c r="J108">
        <f>($B$1+Table4[[#This Row],[Home Differential]])-Table4[[#This Row],[Away Differential]]</f>
        <v>0.54726478935735512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0.61843959499910406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0.14558834266444773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-0.67384018791748512</v>
      </c>
      <c r="H109" t="s">
        <v>26</v>
      </c>
      <c r="I109">
        <f>VLOOKUP(Table4[[#This Row],[Visitor]],'NHL Model'!$A$6:$B$38,2,FALSE)</f>
        <v>-0.51526168477192669</v>
      </c>
      <c r="J109">
        <f>($B$1+Table4[[#This Row],[Home Differential]])-Table4[[#This Row],[Away Differential]]</f>
        <v>1.9719690509304888E-2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0.4982392720604587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0.25176382810241837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-1.429228083243411</v>
      </c>
      <c r="H110" t="s">
        <v>18</v>
      </c>
      <c r="I110">
        <f>VLOOKUP(Table4[[#This Row],[Visitor]],'NHL Model'!$A$6:$B$38,2,FALSE)</f>
        <v>-0.59444373833461905</v>
      </c>
      <c r="J110">
        <f>($B$1+Table4[[#This Row],[Home Differential]])-Table4[[#This Row],[Away Differential]]</f>
        <v>-0.65648615125392862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0.60119371077239869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0.15904645632748918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0.54693303419816819</v>
      </c>
      <c r="H111" t="s">
        <v>34</v>
      </c>
      <c r="I111">
        <f>VLOOKUP(Table4[[#This Row],[Visitor]],'NHL Model'!$A$6:$B$38,2,FALSE)</f>
        <v>-0.55929037526767655</v>
      </c>
      <c r="J111">
        <f>($B$1+Table4[[#This Row],[Home Differential]])-Table4[[#This Row],[Away Differential]]</f>
        <v>1.2845216031207081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0.83954150454987186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2.574692876211879E-2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-1.6459316139111148E-2</v>
      </c>
      <c r="H112" t="s">
        <v>31</v>
      </c>
      <c r="I112">
        <f>VLOOKUP(Table4[[#This Row],[Visitor]],'NHL Model'!$A$6:$B$38,2,FALSE)</f>
        <v>0.5301060565842276</v>
      </c>
      <c r="J112">
        <f>($B$1+Table4[[#This Row],[Home Differential]])-Table4[[#This Row],[Away Differential]]</f>
        <v>-0.36826717906847539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0.48135525267148621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0.26899237393145797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1.5385519346678582</v>
      </c>
      <c r="H113" t="s">
        <v>25</v>
      </c>
      <c r="I113">
        <f>VLOOKUP(Table4[[#This Row],[Visitor]],'NHL Model'!$A$6:$B$38,2,FALSE)</f>
        <v>0.73055531763635684</v>
      </c>
      <c r="J113">
        <f>($B$1+Table4[[#This Row],[Home Differential]])-Table4[[#This Row],[Away Differential]]</f>
        <v>0.98629481068636471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0.66768166391776163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0.44579880433199076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0.16990542827764471</v>
      </c>
      <c r="H114" t="s">
        <v>13</v>
      </c>
      <c r="I114">
        <f>VLOOKUP(Table4[[#This Row],[Visitor]],'NHL Model'!$A$6:$B$38,2,FALSE)</f>
        <v>-0.12133880872417692</v>
      </c>
      <c r="J114">
        <f>($B$1+Table4[[#This Row],[Home Differential]])-Table4[[#This Row],[Away Differential]]</f>
        <v>0.46954243065668499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0.53158534476048869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0.28258297876412763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-0.83182649756544103</v>
      </c>
      <c r="H115" t="s">
        <v>18</v>
      </c>
      <c r="I115">
        <f>VLOOKUP(Table4[[#This Row],[Visitor]],'NHL Model'!$A$6:$B$38,2,FALSE)</f>
        <v>-0.59444373833461905</v>
      </c>
      <c r="J115">
        <f>($B$1+Table4[[#This Row],[Home Differential]])-Table4[[#This Row],[Away Differential]]</f>
        <v>-5.9084565575958647E-2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0.47905684040923657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0.22949545634288077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-0.16385680125706742</v>
      </c>
      <c r="H116" t="s">
        <v>14</v>
      </c>
      <c r="I116">
        <f>VLOOKUP(Table4[[#This Row],[Visitor]],'NHL Model'!$A$6:$B$38,2,FALSE)</f>
        <v>0.24618288254564977</v>
      </c>
      <c r="J116">
        <f>($B$1+Table4[[#This Row],[Home Differential]])-Table4[[#This Row],[Away Differential]]</f>
        <v>-0.23174149014785383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0.42976728813033105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0.3251653456862369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-1.3905198871921312</v>
      </c>
      <c r="H117" t="s">
        <v>38</v>
      </c>
      <c r="I117">
        <f>VLOOKUP(Table4[[#This Row],[Visitor]],'NHL Model'!$A$6:$B$38,2,FALSE)</f>
        <v>-0.83680023888172561</v>
      </c>
      <c r="J117">
        <f>($B$1+Table4[[#This Row],[Home Differential]])-Table4[[#This Row],[Away Differential]]</f>
        <v>-0.37542145465554222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0.53457847892447097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0.28577415012920104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-8.2927339771111427E-2</v>
      </c>
      <c r="H118" t="s">
        <v>26</v>
      </c>
      <c r="I118">
        <f>VLOOKUP(Table4[[#This Row],[Visitor]],'NHL Model'!$A$6:$B$38,2,FALSE)</f>
        <v>-0.51526168477192669</v>
      </c>
      <c r="J118">
        <f>($B$1+Table4[[#This Row],[Home Differential]])-Table4[[#This Row],[Away Differential]]</f>
        <v>0.61063253865567857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0.58042271839531667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0.17604509523877573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-0.33401712526814992</v>
      </c>
      <c r="H119" t="s">
        <v>33</v>
      </c>
      <c r="I119">
        <f>VLOOKUP(Table4[[#This Row],[Visitor]],'NHL Model'!$A$6:$B$38,2,FALSE)</f>
        <v>-0.40334472409778083</v>
      </c>
      <c r="J119">
        <f>($B$1+Table4[[#This Row],[Home Differential]])-Table4[[#This Row],[Away Differential]]</f>
        <v>0.24762579248449426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0.57549226489909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0.33119134695868435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-0.4314038989751332</v>
      </c>
      <c r="H120" t="s">
        <v>27</v>
      </c>
      <c r="I120">
        <f>VLOOKUP(Table4[[#This Row],[Visitor]],'NHL Model'!$A$6:$B$38,2,FALSE)</f>
        <v>-0.5365514628281316</v>
      </c>
      <c r="J120">
        <f>($B$1+Table4[[#This Row],[Home Differential]])-Table4[[#This Row],[Away Differential]]</f>
        <v>0.28344575750786172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0.58312182837845583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0.17378740997452163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-1.6560580871558699</v>
      </c>
      <c r="H121" t="s">
        <v>55</v>
      </c>
      <c r="I121">
        <f>VLOOKUP(Table4[[#This Row],[Visitor]],'NHL Model'!$A$6:$B$38,2,FALSE)</f>
        <v>-0.14078840027135531</v>
      </c>
      <c r="J121">
        <f>($B$1+Table4[[#This Row],[Home Differential]])-Table4[[#This Row],[Away Differential]]</f>
        <v>-1.3369714932296513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0.65162844841055856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0.12136273795683486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-0.12437377019828177</v>
      </c>
      <c r="H122" t="s">
        <v>10</v>
      </c>
      <c r="I122">
        <f>VLOOKUP(Table4[[#This Row],[Visitor]],'NHL Model'!$A$6:$B$38,2,FALSE)</f>
        <v>0.26494263732175571</v>
      </c>
      <c r="J122">
        <f>($B$1+Table4[[#This Row],[Home Differential]])-Table4[[#This Row],[Away Differential]]</f>
        <v>-0.21101821386517414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0.51101452254554902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0.23910679716135738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7.2067135963786652E-2</v>
      </c>
      <c r="H123" t="s">
        <v>32</v>
      </c>
      <c r="I123">
        <f>VLOOKUP(Table4[[#This Row],[Visitor]],'NHL Model'!$A$6:$B$38,2,FALSE)</f>
        <v>-0.39497219926686861</v>
      </c>
      <c r="J123">
        <f>($B$1+Table4[[#This Row],[Home Differential]])-Table4[[#This Row],[Away Differential]]</f>
        <v>0.64533752888551854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0.6685332509029237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0.44693670756283155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-0.67384018791748512</v>
      </c>
      <c r="H124" t="s">
        <v>19</v>
      </c>
      <c r="I124">
        <f>VLOOKUP(Table4[[#This Row],[Visitor]],'NHL Model'!$A$6:$B$38,2,FALSE)</f>
        <v>-0.64312007588488018</v>
      </c>
      <c r="J124">
        <f>($B$1+Table4[[#This Row],[Home Differential]])-Table4[[#This Row],[Away Differential]]</f>
        <v>0.14757808162225838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0.56364788143871014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0.19040317137292595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-0.4068113735564976</v>
      </c>
      <c r="H125" t="s">
        <v>22</v>
      </c>
      <c r="I125">
        <f>VLOOKUP(Table4[[#This Row],[Visitor]],'NHL Model'!$A$6:$B$38,2,FALSE)</f>
        <v>-2.6005603564376825E-2</v>
      </c>
      <c r="J125">
        <f>($B$1+Table4[[#This Row],[Home Differential]])-Table4[[#This Row],[Away Differential]]</f>
        <v>-0.20250757633725741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0.48197950817520824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0.26834522995039911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0.54693303419816819</v>
      </c>
      <c r="H126" t="s">
        <v>33</v>
      </c>
      <c r="I126">
        <f>VLOOKUP(Table4[[#This Row],[Visitor]],'NHL Model'!$A$6:$B$38,2,FALSE)</f>
        <v>-0.40334472409778083</v>
      </c>
      <c r="J126">
        <f>($B$1+Table4[[#This Row],[Home Differential]])-Table4[[#This Row],[Away Differential]]</f>
        <v>1.1285759519508123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0.81718977654266278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3.3419577800521565E-2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7.2067135963786652E-2</v>
      </c>
      <c r="H127" t="s">
        <v>16</v>
      </c>
      <c r="I127">
        <f>VLOOKUP(Table4[[#This Row],[Visitor]],'NHL Model'!$A$6:$B$38,2,FALSE)</f>
        <v>-1.429228083243411</v>
      </c>
      <c r="J127">
        <f>($B$1+Table4[[#This Row],[Home Differential]])-Table4[[#This Row],[Away Differential]]</f>
        <v>1.6795934128620611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0.81677339761476686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3.3571987821636319E-2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-1.6459316139111148E-2</v>
      </c>
      <c r="H128" t="s">
        <v>12</v>
      </c>
      <c r="I128">
        <f>VLOOKUP(Table4[[#This Row],[Visitor]],'NHL Model'!$A$6:$B$38,2,FALSE)</f>
        <v>1.5385519346678582</v>
      </c>
      <c r="J128">
        <f>($B$1+Table4[[#This Row],[Home Differential]])-Table4[[#This Row],[Away Differential]]</f>
        <v>-1.376713057152106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0.67100882693330066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0.45025284582240421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0.16990542827764471</v>
      </c>
      <c r="H129" t="s">
        <v>25</v>
      </c>
      <c r="I129">
        <f>VLOOKUP(Table4[[#This Row],[Visitor]],'NHL Model'!$A$6:$B$38,2,FALSE)</f>
        <v>0.73055531763635684</v>
      </c>
      <c r="J129">
        <f>($B$1+Table4[[#This Row],[Home Differential]])-Table4[[#This Row],[Away Differential]]</f>
        <v>-0.38235169570384875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0.59326409974718075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0.35196229204883284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-0.51526168477192669</v>
      </c>
      <c r="H130" t="s">
        <v>35</v>
      </c>
      <c r="I130">
        <f>VLOOKUP(Table4[[#This Row],[Visitor]],'NHL Model'!$A$6:$B$38,2,FALSE)</f>
        <v>-1.6560580871558699</v>
      </c>
      <c r="J130">
        <f>($B$1+Table4[[#This Row],[Home Differential]])-Table4[[#This Row],[Away Differential]]</f>
        <v>1.3190945960388065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0.75510388424916297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5.9974107509847371E-2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-0.16385680125706742</v>
      </c>
      <c r="H131" t="s">
        <v>20</v>
      </c>
      <c r="I131">
        <f>VLOOKUP(Table4[[#This Row],[Visitor]],'NHL Model'!$A$6:$B$38,2,FALSE)</f>
        <v>-6.1930983208684394E-4</v>
      </c>
      <c r="J131">
        <f>($B$1+Table4[[#This Row],[Home Differential]])-Table4[[#This Row],[Away Differential]]</f>
        <v>1.5060702229882776E-2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0.58549198743695541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0.17181689247896514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-0.55929037526767655</v>
      </c>
      <c r="H132" t="s">
        <v>55</v>
      </c>
      <c r="I132">
        <f>VLOOKUP(Table4[[#This Row],[Visitor]],'NHL Model'!$A$6:$B$38,2,FALSE)</f>
        <v>-0.14078840027135531</v>
      </c>
      <c r="J132">
        <f>($B$1+Table4[[#This Row],[Home Differential]])-Table4[[#This Row],[Away Differential]]</f>
        <v>-0.24020378134145792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0.4944284662417302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0.25560257574668932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-1.3905198871921312</v>
      </c>
      <c r="H133" t="s">
        <v>13</v>
      </c>
      <c r="I133">
        <f>VLOOKUP(Table4[[#This Row],[Visitor]],'NHL Model'!$A$6:$B$38,2,FALSE)</f>
        <v>-0.12133880872417692</v>
      </c>
      <c r="J133">
        <f>($B$1+Table4[[#This Row],[Home Differential]])-Table4[[#This Row],[Away Differential]]</f>
        <v>-1.0908828848130909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0.71815426128576232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0.51574554300289899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-0.5365514628281316</v>
      </c>
      <c r="H134" t="s">
        <v>30</v>
      </c>
      <c r="I134">
        <f>VLOOKUP(Table4[[#This Row],[Visitor]],'NHL Model'!$A$6:$B$38,2,FALSE)</f>
        <v>-8.2927339771111427E-2</v>
      </c>
      <c r="J134">
        <f>($B$1+Table4[[#This Row],[Home Differential]])-Table4[[#This Row],[Away Differential]]</f>
        <v>-0.27532592940215683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0.53946253224223961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0.29101982369320939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0.24618288254564977</v>
      </c>
      <c r="H135" t="s">
        <v>28</v>
      </c>
      <c r="I135">
        <f>VLOOKUP(Table4[[#This Row],[Visitor]],'NHL Model'!$A$6:$B$38,2,FALSE)</f>
        <v>-0.4068113735564976</v>
      </c>
      <c r="J135">
        <f>($B$1+Table4[[#This Row],[Home Differential]])-Table4[[#This Row],[Away Differential]]</f>
        <v>0.83129244975701067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0.67470490401139838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0.45522670749703031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-0.39497219926686861</v>
      </c>
      <c r="H136" t="s">
        <v>17</v>
      </c>
      <c r="I136">
        <f>VLOOKUP(Table4[[#This Row],[Visitor]],'NHL Model'!$A$6:$B$38,2,FALSE)</f>
        <v>-0.83182649756544103</v>
      </c>
      <c r="J136">
        <f>($B$1+Table4[[#This Row],[Home Differential]])-Table4[[#This Row],[Away Differential]]</f>
        <v>0.6151524919534358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0.65420769172759763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0.11957232046035615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-0.12437377019828177</v>
      </c>
      <c r="H137" t="s">
        <v>31</v>
      </c>
      <c r="I137">
        <f>VLOOKUP(Table4[[#This Row],[Visitor]],'NHL Model'!$A$6:$B$38,2,FALSE)</f>
        <v>0.5301060565842276</v>
      </c>
      <c r="J137">
        <f>($B$1+Table4[[#This Row],[Home Differential]])-Table4[[#This Row],[Away Differential]]</f>
        <v>-0.47618163312764605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0.54902045974452396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0.30142346521808844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-0.64312007588488018</v>
      </c>
      <c r="H138" t="s">
        <v>23</v>
      </c>
      <c r="I138">
        <f>VLOOKUP(Table4[[#This Row],[Visitor]],'NHL Model'!$A$6:$B$38,2,FALSE)</f>
        <v>-0.67384018791748512</v>
      </c>
      <c r="J138">
        <f>($B$1+Table4[[#This Row],[Home Differential]])-Table4[[#This Row],[Away Differential]]</f>
        <v>0.20901830568746826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0.56995864445212474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0.18493556748145407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-0.83680023888172561</v>
      </c>
      <c r="H139" t="s">
        <v>18</v>
      </c>
      <c r="I139">
        <f>VLOOKUP(Table4[[#This Row],[Visitor]],'NHL Model'!$A$6:$B$38,2,FALSE)</f>
        <v>-0.59444373833461905</v>
      </c>
      <c r="J139">
        <f>($B$1+Table4[[#This Row],[Home Differential]])-Table4[[#This Row],[Away Differential]]</f>
        <v>-6.4058306892243233E-2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0.51628088414510631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0.23398418304344007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-2.6005603564376825E-2</v>
      </c>
      <c r="H140" t="s">
        <v>36</v>
      </c>
      <c r="I140">
        <f>VLOOKUP(Table4[[#This Row],[Visitor]],'NHL Model'!$A$6:$B$38,2,FALSE)</f>
        <v>-0.4314038989751332</v>
      </c>
      <c r="J140">
        <f>($B$1+Table4[[#This Row],[Home Differential]])-Table4[[#This Row],[Away Differential]]</f>
        <v>0.58369648906561977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0.6236613593548942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0.38895349115239447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-1.429228083243411</v>
      </c>
      <c r="H141" t="s">
        <v>15</v>
      </c>
      <c r="I141">
        <f>VLOOKUP(Table4[[#This Row],[Visitor]],'NHL Model'!$A$6:$B$38,2,FALSE)</f>
        <v>-0.33401712526814992</v>
      </c>
      <c r="J141">
        <f>($B$1+Table4[[#This Row],[Home Differential]])-Table4[[#This Row],[Away Differential]]</f>
        <v>-0.91691276432039781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0.73383096746386234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0.53850788880894818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0.26494263732175571</v>
      </c>
      <c r="H142" t="s">
        <v>13</v>
      </c>
      <c r="I142">
        <f>VLOOKUP(Table4[[#This Row],[Visitor]],'NHL Model'!$A$6:$B$38,2,FALSE)</f>
        <v>-0.12133880872417692</v>
      </c>
      <c r="J142">
        <f>($B$1+Table4[[#This Row],[Home Differential]])-Table4[[#This Row],[Away Differential]]</f>
        <v>0.56457963970079594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0.51912358388960311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0.26948929535038579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-0.55929037526767655</v>
      </c>
      <c r="H143" t="s">
        <v>33</v>
      </c>
      <c r="I143">
        <f>VLOOKUP(Table4[[#This Row],[Visitor]],'NHL Model'!$A$6:$B$38,2,FALSE)</f>
        <v>-0.40334472409778083</v>
      </c>
      <c r="J143">
        <f>($B$1+Table4[[#This Row],[Home Differential]])-Table4[[#This Row],[Away Differential]]</f>
        <v>2.2352542484967597E-2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0.54320379533603846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0.29507036326747677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0.54693303419816819</v>
      </c>
      <c r="H144" t="s">
        <v>12</v>
      </c>
      <c r="I144">
        <f>VLOOKUP(Table4[[#This Row],[Visitor]],'NHL Model'!$A$6:$B$38,2,FALSE)</f>
        <v>1.5385519346678582</v>
      </c>
      <c r="J144">
        <f>($B$1+Table4[[#This Row],[Home Differential]])-Table4[[#This Row],[Away Differential]]</f>
        <v>-0.81332070681482671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0.52335311519779515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0.27389848318723664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-1.3905198871921312</v>
      </c>
      <c r="H145" t="s">
        <v>39</v>
      </c>
      <c r="I145">
        <f>VLOOKUP(Table4[[#This Row],[Visitor]],'NHL Model'!$A$6:$B$38,2,FALSE)</f>
        <v>0.16990542827764471</v>
      </c>
      <c r="J145">
        <f>($B$1+Table4[[#This Row],[Home Differential]])-Table4[[#This Row],[Away Differential]]</f>
        <v>-1.3821271218149125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0.75058680345360451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6.2206942611490908E-2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-0.12437377019828177</v>
      </c>
      <c r="H146" t="s">
        <v>20</v>
      </c>
      <c r="I146">
        <f>VLOOKUP(Table4[[#This Row],[Visitor]],'NHL Model'!$A$6:$B$38,2,FALSE)</f>
        <v>-6.1930983208684394E-4</v>
      </c>
      <c r="J146">
        <f>($B$1+Table4[[#This Row],[Home Differential]])-Table4[[#This Row],[Away Differential]]</f>
        <v>5.454373328866842E-2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0.52704853575276012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0.22368308753360822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-0.83680023888172561</v>
      </c>
      <c r="H147" t="s">
        <v>17</v>
      </c>
      <c r="I147">
        <f>VLOOKUP(Table4[[#This Row],[Visitor]],'NHL Model'!$A$6:$B$38,2,FALSE)</f>
        <v>-0.83182649756544103</v>
      </c>
      <c r="J147">
        <f>($B$1+Table4[[#This Row],[Home Differential]])-Table4[[#This Row],[Away Differential]]</f>
        <v>0.17332445233857874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0.56484263579399041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0.18936193162272166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7.2067135963786652E-2</v>
      </c>
      <c r="H148" t="s">
        <v>55</v>
      </c>
      <c r="I148">
        <f>VLOOKUP(Table4[[#This Row],[Visitor]],'NHL Model'!$A$6:$B$38,2,FALSE)</f>
        <v>-0.14078840027135531</v>
      </c>
      <c r="J148">
        <f>($B$1+Table4[[#This Row],[Home Differential]])-Table4[[#This Row],[Away Differential]]</f>
        <v>0.3911537298900053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0.63210102533994761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0.3995517062358131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-0.4314038989751332</v>
      </c>
      <c r="H149" t="s">
        <v>21</v>
      </c>
      <c r="I149">
        <f>VLOOKUP(Table4[[#This Row],[Visitor]],'NHL Model'!$A$6:$B$38,2,FALSE)</f>
        <v>-1.6459316139111148E-2</v>
      </c>
      <c r="J149">
        <f>($B$1+Table4[[#This Row],[Home Differential]])-Table4[[#This Row],[Away Differential]]</f>
        <v>-0.23664638918115874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0.49142310515619975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0.24149666828136135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0.24618288254564977</v>
      </c>
      <c r="H150" t="s">
        <v>35</v>
      </c>
      <c r="I150">
        <f>VLOOKUP(Table4[[#This Row],[Visitor]],'NHL Model'!$A$6:$B$38,2,FALSE)</f>
        <v>-1.6560580871558699</v>
      </c>
      <c r="J150">
        <f>($B$1+Table4[[#This Row],[Home Differential]])-Table4[[#This Row],[Away Differential]]</f>
        <v>2.080539163356383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0.8742410492835645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1.5815313685298853E-2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-1.6459316139111148E-2</v>
      </c>
      <c r="H151" t="s">
        <v>30</v>
      </c>
      <c r="I151">
        <f>VLOOKUP(Table4[[#This Row],[Visitor]],'NHL Model'!$A$6:$B$38,2,FALSE)</f>
        <v>-8.2927339771111427E-2</v>
      </c>
      <c r="J151">
        <f>($B$1+Table4[[#This Row],[Home Differential]])-Table4[[#This Row],[Away Differential]]</f>
        <v>0.24476621728686365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0.58508240129241607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0.17215661371726765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-0.67384018791748512</v>
      </c>
      <c r="H152" t="s">
        <v>28</v>
      </c>
      <c r="I152">
        <f>VLOOKUP(Table4[[#This Row],[Visitor]],'NHL Model'!$A$6:$B$38,2,FALSE)</f>
        <v>-0.4068113735564976</v>
      </c>
      <c r="J152">
        <f>($B$1+Table4[[#This Row],[Home Differential]])-Table4[[#This Row],[Away Differential]]</f>
        <v>-8.8730620706124197E-2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0.49097865095287163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0.25910273378575849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0.73055531763635684</v>
      </c>
      <c r="H153" t="s">
        <v>20</v>
      </c>
      <c r="I153">
        <f>VLOOKUP(Table4[[#This Row],[Visitor]],'NHL Model'!$A$6:$B$38,2,FALSE)</f>
        <v>-6.1930983208684394E-4</v>
      </c>
      <c r="J153">
        <f>($B$1+Table4[[#This Row],[Home Differential]])-Table4[[#This Row],[Away Differential]]</f>
        <v>0.90947282112330696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0.70178353147520034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0.49250012504980351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0.26494263732175571</v>
      </c>
      <c r="H154" t="s">
        <v>36</v>
      </c>
      <c r="I154">
        <f>VLOOKUP(Table4[[#This Row],[Visitor]],'NHL Model'!$A$6:$B$38,2,FALSE)</f>
        <v>-0.4314038989751332</v>
      </c>
      <c r="J154">
        <f>($B$1+Table4[[#This Row],[Home Differential]])-Table4[[#This Row],[Away Differential]]</f>
        <v>0.87464472995175224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0.6653630412913647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0.11198189413376489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1.5385519346678582</v>
      </c>
      <c r="H155" t="s">
        <v>24</v>
      </c>
      <c r="I155">
        <f>VLOOKUP(Table4[[#This Row],[Visitor]],'NHL Model'!$A$6:$B$38,2,FALSE)</f>
        <v>0.54693303419816819</v>
      </c>
      <c r="J155">
        <f>($B$1+Table4[[#This Row],[Home Differential]])-Table4[[#This Row],[Away Differential]]</f>
        <v>1.1699170941245534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0.73220062989959911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7.1716502626171491E-2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0.16990542827764471</v>
      </c>
      <c r="H156" t="s">
        <v>22</v>
      </c>
      <c r="I156">
        <f>VLOOKUP(Table4[[#This Row],[Visitor]],'NHL Model'!$A$6:$B$38,2,FALSE)</f>
        <v>-2.6005603564376825E-2</v>
      </c>
      <c r="J156">
        <f>($B$1+Table4[[#This Row],[Home Differential]])-Table4[[#This Row],[Away Differential]]</f>
        <v>0.3742092254968849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0.61967323490495707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0.14464844824765996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-0.83182649756544103</v>
      </c>
      <c r="H157" t="s">
        <v>55</v>
      </c>
      <c r="I157">
        <f>VLOOKUP(Table4[[#This Row],[Visitor]],'NHL Model'!$A$6:$B$38,2,FALSE)</f>
        <v>-0.14078840027135531</v>
      </c>
      <c r="J157">
        <f>($B$1+Table4[[#This Row],[Home Differential]])-Table4[[#This Row],[Away Differential]]</f>
        <v>-0.51273990363922239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0.49745426839557522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0.24746074914497698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-0.16385680125706742</v>
      </c>
      <c r="H158" t="s">
        <v>31</v>
      </c>
      <c r="I158">
        <f>VLOOKUP(Table4[[#This Row],[Visitor]],'NHL Model'!$A$6:$B$38,2,FALSE)</f>
        <v>0.5301060565842276</v>
      </c>
      <c r="J158">
        <f>($B$1+Table4[[#This Row],[Home Differential]])-Table4[[#This Row],[Away Differential]]</f>
        <v>-0.51566466418643164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0.49057700806032872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0.25951178471676645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-0.55929037526767655</v>
      </c>
      <c r="H159" t="s">
        <v>40</v>
      </c>
      <c r="I159">
        <f>VLOOKUP(Table4[[#This Row],[Visitor]],'NHL Model'!$A$6:$B$38,2,FALSE)</f>
        <v>7.2067135963786652E-2</v>
      </c>
      <c r="J159">
        <f>($B$1+Table4[[#This Row],[Home Differential]])-Table4[[#This Row],[Away Differential]]</f>
        <v>-0.4530593175765999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0.59125289135266756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0.1670741988275542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-1.3905198871921312</v>
      </c>
      <c r="H160" t="s">
        <v>37</v>
      </c>
      <c r="I160">
        <f>VLOOKUP(Table4[[#This Row],[Visitor]],'NHL Model'!$A$6:$B$38,2,FALSE)</f>
        <v>-0.12437377019828177</v>
      </c>
      <c r="J160">
        <f>($B$1+Table4[[#This Row],[Home Differential]])-Table4[[#This Row],[Away Differential]]</f>
        <v>-1.0878479233389862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0.66302089819328258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0.11355491505446202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-0.5365514628281316</v>
      </c>
      <c r="H161" t="s">
        <v>14</v>
      </c>
      <c r="I161">
        <f>VLOOKUP(Table4[[#This Row],[Visitor]],'NHL Model'!$A$6:$B$38,2,FALSE)</f>
        <v>0.24618288254564977</v>
      </c>
      <c r="J161">
        <f>($B$1+Table4[[#This Row],[Home Differential]])-Table4[[#This Row],[Away Differential]]</f>
        <v>-0.60443615171891807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0.54413850102911121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0.29608670830220807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-0.39497219926686861</v>
      </c>
      <c r="H162" t="s">
        <v>18</v>
      </c>
      <c r="I162">
        <f>VLOOKUP(Table4[[#This Row],[Visitor]],'NHL Model'!$A$6:$B$38,2,FALSE)</f>
        <v>-0.59444373833461905</v>
      </c>
      <c r="J162">
        <f>($B$1+Table4[[#This Row],[Home Differential]])-Table4[[#This Row],[Away Differential]]</f>
        <v>0.37776973272261383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0.57337659665094387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0.32876072158701919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-0.40334472409778083</v>
      </c>
      <c r="H163" t="s">
        <v>13</v>
      </c>
      <c r="I163">
        <f>VLOOKUP(Table4[[#This Row],[Visitor]],'NHL Model'!$A$6:$B$38,2,FALSE)</f>
        <v>-0.12133880872417692</v>
      </c>
      <c r="J163">
        <f>($B$1+Table4[[#This Row],[Home Differential]])-Table4[[#This Row],[Away Differential]]</f>
        <v>-0.10370772171874056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0.57666220571751647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0.17921488806795835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-1.6560580871558699</v>
      </c>
      <c r="H164" t="s">
        <v>26</v>
      </c>
      <c r="I164">
        <f>VLOOKUP(Table4[[#This Row],[Visitor]],'NHL Model'!$A$6:$B$38,2,FALSE)</f>
        <v>-0.51526168477192669</v>
      </c>
      <c r="J164">
        <f>($B$1+Table4[[#This Row],[Home Differential]])-Table4[[#This Row],[Away Differential]]</f>
        <v>-0.96249820872907987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0.64505449319434172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0.12598631280152561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-0.64312007588488018</v>
      </c>
      <c r="H165" t="s">
        <v>16</v>
      </c>
      <c r="I165">
        <f>VLOOKUP(Table4[[#This Row],[Visitor]],'NHL Model'!$A$6:$B$38,2,FALSE)</f>
        <v>-1.429228083243411</v>
      </c>
      <c r="J165">
        <f>($B$1+Table4[[#This Row],[Home Differential]])-Table4[[#This Row],[Away Differential]]</f>
        <v>0.96440620101339414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0.67822857471051079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0.10353685013282933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-0.83680023888172561</v>
      </c>
      <c r="H166" t="s">
        <v>15</v>
      </c>
      <c r="I166">
        <f>VLOOKUP(Table4[[#This Row],[Visitor]],'NHL Model'!$A$6:$B$38,2,FALSE)</f>
        <v>-0.33401712526814992</v>
      </c>
      <c r="J166">
        <f>($B$1+Table4[[#This Row],[Home Differential]])-Table4[[#This Row],[Away Differential]]</f>
        <v>-0.32448491995871237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0.64891814083656996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0.12325847183365053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-0.4068113735564976</v>
      </c>
      <c r="H167" t="s">
        <v>19</v>
      </c>
      <c r="I167">
        <f>VLOOKUP(Table4[[#This Row],[Visitor]],'NHL Model'!$A$6:$B$38,2,FALSE)</f>
        <v>-0.64312007588488018</v>
      </c>
      <c r="J167">
        <f>($B$1+Table4[[#This Row],[Home Differential]])-Table4[[#This Row],[Away Differential]]</f>
        <v>0.41460689598324596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0.60647165882522824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0.15486455530776755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-1.6459316139111148E-2</v>
      </c>
      <c r="H168" t="s">
        <v>23</v>
      </c>
      <c r="I168">
        <f>VLOOKUP(Table4[[#This Row],[Visitor]],'NHL Model'!$A$6:$B$38,2,FALSE)</f>
        <v>-0.67384018791748512</v>
      </c>
      <c r="J168">
        <f>($B$1+Table4[[#This Row],[Home Differential]])-Table4[[#This Row],[Away Differential]]</f>
        <v>0.83567906543323733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0.71149405947606237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8.3235677717601833E-2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0.73055531763635684</v>
      </c>
      <c r="H169" t="s">
        <v>30</v>
      </c>
      <c r="I169">
        <f>VLOOKUP(Table4[[#This Row],[Visitor]],'NHL Model'!$A$6:$B$38,2,FALSE)</f>
        <v>-8.2927339771111427E-2</v>
      </c>
      <c r="J169">
        <f>($B$1+Table4[[#This Row],[Home Differential]])-Table4[[#This Row],[Away Differential]]</f>
        <v>0.9917808510623316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0.69215218994181837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9.4770274157618267E-2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-0.83182649756544103</v>
      </c>
      <c r="H170" t="s">
        <v>15</v>
      </c>
      <c r="I170">
        <f>VLOOKUP(Table4[[#This Row],[Visitor]],'NHL Model'!$A$6:$B$38,2,FALSE)</f>
        <v>-0.33401712526814992</v>
      </c>
      <c r="J170">
        <f>($B$1+Table4[[#This Row],[Home Differential]])-Table4[[#This Row],[Away Differential]]</f>
        <v>-0.31951117864242778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0.61272474859136372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0.14998212035362243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-0.12133880872417692</v>
      </c>
      <c r="H171" t="s">
        <v>26</v>
      </c>
      <c r="I171">
        <f>VLOOKUP(Table4[[#This Row],[Visitor]],'NHL Model'!$A$6:$B$38,2,FALSE)</f>
        <v>-0.51526168477192669</v>
      </c>
      <c r="J171">
        <f>($B$1+Table4[[#This Row],[Home Differential]])-Table4[[#This Row],[Away Differential]]</f>
        <v>0.57222106970261311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0.57491719323347101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0.33052977907545222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-0.55929037526767655</v>
      </c>
      <c r="H172" t="s">
        <v>14</v>
      </c>
      <c r="I172">
        <f>VLOOKUP(Table4[[#This Row],[Visitor]],'NHL Model'!$A$6:$B$38,2,FALSE)</f>
        <v>0.24618288254564977</v>
      </c>
      <c r="J172">
        <f>($B$1+Table4[[#This Row],[Home Differential]])-Table4[[#This Row],[Away Differential]]</f>
        <v>-0.62717506415846302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0.54989315406879413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0.2025961727541383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-0.4314038989751332</v>
      </c>
      <c r="H173" t="s">
        <v>16</v>
      </c>
      <c r="I173">
        <f>VLOOKUP(Table4[[#This Row],[Visitor]],'NHL Model'!$A$6:$B$38,2,FALSE)</f>
        <v>-1.429228083243411</v>
      </c>
      <c r="J173">
        <f>($B$1+Table4[[#This Row],[Home Differential]])-Table4[[#This Row],[Away Differential]]</f>
        <v>1.1761223779231411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0.71106938490364036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8.3480900339960723E-2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-0.5365514628281316</v>
      </c>
      <c r="H174" t="s">
        <v>29</v>
      </c>
      <c r="I174">
        <f>VLOOKUP(Table4[[#This Row],[Visitor]],'NHL Model'!$A$6:$B$38,2,FALSE)</f>
        <v>-1.3905198871921312</v>
      </c>
      <c r="J174">
        <f>($B$1+Table4[[#This Row],[Home Differential]])-Table4[[#This Row],[Away Differential]]</f>
        <v>1.0322666180188629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0.69045050394396723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9.5820890508543852E-2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-0.40334472409778083</v>
      </c>
      <c r="H175" t="s">
        <v>24</v>
      </c>
      <c r="I175">
        <f>VLOOKUP(Table4[[#This Row],[Visitor]],'NHL Model'!$A$6:$B$38,2,FALSE)</f>
        <v>0.54693303419816819</v>
      </c>
      <c r="J175">
        <f>($B$1+Table4[[#This Row],[Home Differential]])-Table4[[#This Row],[Away Differential]]</f>
        <v>-0.77197956464108564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0.63696380771936512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0.40572289234435233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-1.6560580871558699</v>
      </c>
      <c r="H176" t="s">
        <v>38</v>
      </c>
      <c r="I176">
        <f>VLOOKUP(Table4[[#This Row],[Visitor]],'NHL Model'!$A$6:$B$38,2,FALSE)</f>
        <v>-0.83680023888172561</v>
      </c>
      <c r="J176">
        <f>($B$1+Table4[[#This Row],[Home Differential]])-Table4[[#This Row],[Away Differential]]</f>
        <v>-0.64095965461928095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0.57263813353226256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0.18263816491078824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-0.12437377019828177</v>
      </c>
      <c r="H177" t="s">
        <v>39</v>
      </c>
      <c r="I177">
        <f>VLOOKUP(Table4[[#This Row],[Visitor]],'NHL Model'!$A$6:$B$38,2,FALSE)</f>
        <v>0.16990542827764471</v>
      </c>
      <c r="J177">
        <f>($B$1+Table4[[#This Row],[Home Differential]])-Table4[[#This Row],[Away Differential]]</f>
        <v>-0.11598100482106313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0.56910977339780466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0.32388593417690059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7.2067135963786652E-2</v>
      </c>
      <c r="H178" t="s">
        <v>10</v>
      </c>
      <c r="I178">
        <f>VLOOKUP(Table4[[#This Row],[Visitor]],'NHL Model'!$A$6:$B$38,2,FALSE)</f>
        <v>0.26494263732175571</v>
      </c>
      <c r="J178">
        <f>($B$1+Table4[[#This Row],[Home Differential]])-Table4[[#This Row],[Away Differential]]</f>
        <v>-1.4577307703105724E-2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0.44653381349329491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0.19939244659286467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0.5301060565842276</v>
      </c>
      <c r="H179" t="s">
        <v>26</v>
      </c>
      <c r="I179">
        <f>VLOOKUP(Table4[[#This Row],[Visitor]],'NHL Model'!$A$6:$B$38,2,FALSE)</f>
        <v>-0.51526168477192669</v>
      </c>
      <c r="J179">
        <f>($B$1+Table4[[#This Row],[Home Differential]])-Table4[[#This Row],[Away Differential]]</f>
        <v>1.2236659350110175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0.7821299083022285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4.7467376856395363E-2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-6.1930983208684394E-4</v>
      </c>
      <c r="H180" t="s">
        <v>12</v>
      </c>
      <c r="I180">
        <f>VLOOKUP(Table4[[#This Row],[Visitor]],'NHL Model'!$A$6:$B$38,2,FALSE)</f>
        <v>1.5385519346678582</v>
      </c>
      <c r="J180">
        <f>($B$1+Table4[[#This Row],[Home Differential]])-Table4[[#This Row],[Away Differential]]</f>
        <v>-1.3608730508450817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0.72137005393464804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7.7634646844380942E-2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-2.6005603564376825E-2</v>
      </c>
      <c r="H181" t="s">
        <v>30</v>
      </c>
      <c r="I181">
        <f>VLOOKUP(Table4[[#This Row],[Visitor]],'NHL Model'!$A$6:$B$38,2,FALSE)</f>
        <v>-8.2927339771111427E-2</v>
      </c>
      <c r="J181">
        <f>($B$1+Table4[[#This Row],[Home Differential]])-Table4[[#This Row],[Away Differential]]</f>
        <v>0.23521992986159795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0.53120156678620523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0.28217510455611927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-1.6459316139111148E-2</v>
      </c>
      <c r="H182" t="s">
        <v>25</v>
      </c>
      <c r="I182">
        <f>VLOOKUP(Table4[[#This Row],[Visitor]],'NHL Model'!$A$6:$B$38,2,FALSE)</f>
        <v>0.73055531763635684</v>
      </c>
      <c r="J182">
        <f>($B$1+Table4[[#This Row],[Home Differential]])-Table4[[#This Row],[Away Differential]]</f>
        <v>-0.56871644012060463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0.59370938725737443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0.352490836517527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-0.67384018791748512</v>
      </c>
      <c r="H183" t="s">
        <v>22</v>
      </c>
      <c r="I183">
        <f>VLOOKUP(Table4[[#This Row],[Visitor]],'NHL Model'!$A$6:$B$38,2,FALSE)</f>
        <v>-2.6005603564376825E-2</v>
      </c>
      <c r="J183">
        <f>($B$1+Table4[[#This Row],[Home Differential]])-Table4[[#This Row],[Away Differential]]</f>
        <v>-0.46953639069824499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0.52480328556172617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0.27541848853638273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-0.4068113735564976</v>
      </c>
      <c r="H184" t="s">
        <v>35</v>
      </c>
      <c r="I184">
        <f>VLOOKUP(Table4[[#This Row],[Visitor]],'NHL Model'!$A$6:$B$38,2,FALSE)</f>
        <v>-1.6560580871558699</v>
      </c>
      <c r="J184">
        <f>($B$1+Table4[[#This Row],[Home Differential]])-Table4[[#This Row],[Away Differential]]</f>
        <v>1.4275449072542357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0.75165630967147834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6.1674588525988665E-2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-0.83182649756544103</v>
      </c>
      <c r="H185" t="s">
        <v>10</v>
      </c>
      <c r="I185">
        <f>VLOOKUP(Table4[[#This Row],[Visitor]],'NHL Model'!$A$6:$B$38,2,FALSE)</f>
        <v>0.26494263732175571</v>
      </c>
      <c r="J185">
        <f>($B$1+Table4[[#This Row],[Home Differential]])-Table4[[#This Row],[Away Differential]]</f>
        <v>-0.91847094123233342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0.57608910722881768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0.33187865946769618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-0.16385680125706742</v>
      </c>
      <c r="H186" t="s">
        <v>39</v>
      </c>
      <c r="I186">
        <f>VLOOKUP(Table4[[#This Row],[Visitor]],'NHL Model'!$A$6:$B$38,2,FALSE)</f>
        <v>0.16990542827764471</v>
      </c>
      <c r="J186">
        <f>($B$1+Table4[[#This Row],[Home Differential]])-Table4[[#This Row],[Away Differential]]</f>
        <v>-0.15546403587984878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0.51008757601965005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0.26018933520960225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-0.12133880872417692</v>
      </c>
      <c r="H187" t="s">
        <v>24</v>
      </c>
      <c r="I187">
        <f>VLOOKUP(Table4[[#This Row],[Visitor]],'NHL Model'!$A$6:$B$38,2,FALSE)</f>
        <v>0.54693303419816819</v>
      </c>
      <c r="J187">
        <f>($B$1+Table4[[#This Row],[Home Differential]])-Table4[[#This Row],[Away Differential]]</f>
        <v>-0.48997364926748177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0.59654383146758982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0.16277687992685255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-0.55929037526767655</v>
      </c>
      <c r="H188" t="s">
        <v>38</v>
      </c>
      <c r="I188">
        <f>VLOOKUP(Table4[[#This Row],[Visitor]],'NHL Model'!$A$6:$B$38,2,FALSE)</f>
        <v>-0.83680023888172561</v>
      </c>
      <c r="J188">
        <f>($B$1+Table4[[#This Row],[Home Differential]])-Table4[[#This Row],[Away Differential]]</f>
        <v>0.45580805726891238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0.5845618486365658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0.17258885760826767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-0.59444373833461905</v>
      </c>
      <c r="H189" t="s">
        <v>36</v>
      </c>
      <c r="I189">
        <f>VLOOKUP(Table4[[#This Row],[Visitor]],'NHL Model'!$A$6:$B$38,2,FALSE)</f>
        <v>-0.4314038989751332</v>
      </c>
      <c r="J189">
        <f>($B$1+Table4[[#This Row],[Home Differential]])-Table4[[#This Row],[Away Differential]]</f>
        <v>1.5258354295377474E-2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0.54218698362211049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0.20959275796502172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-1.3905198871921312</v>
      </c>
      <c r="H190" t="s">
        <v>16</v>
      </c>
      <c r="I190">
        <f>VLOOKUP(Table4[[#This Row],[Visitor]],'NHL Model'!$A$6:$B$38,2,FALSE)</f>
        <v>-1.429228083243411</v>
      </c>
      <c r="J190">
        <f>($B$1+Table4[[#This Row],[Home Differential]])-Table4[[#This Row],[Away Differential]]</f>
        <v>0.21700638970614317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0.57110357847205218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0.1839521403994791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-0.5365514628281316</v>
      </c>
      <c r="H191" t="s">
        <v>19</v>
      </c>
      <c r="I191">
        <f>VLOOKUP(Table4[[#This Row],[Visitor]],'NHL Model'!$A$6:$B$38,2,FALSE)</f>
        <v>-0.64312007588488018</v>
      </c>
      <c r="J191">
        <f>($B$1+Table4[[#This Row],[Home Differential]])-Table4[[#This Row],[Away Differential]]</f>
        <v>0.28486680671161191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0.58332550770550862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0.34026864793988937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-0.39497219926686861</v>
      </c>
      <c r="H192" t="s">
        <v>15</v>
      </c>
      <c r="I192">
        <f>VLOOKUP(Table4[[#This Row],[Visitor]],'NHL Model'!$A$6:$B$38,2,FALSE)</f>
        <v>-0.33401712526814992</v>
      </c>
      <c r="J192">
        <f>($B$1+Table4[[#This Row],[Home Differential]])-Table4[[#This Row],[Away Differential]]</f>
        <v>0.11734311965614466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0.43989574087912064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0.19350826284359046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-0.40334472409778083</v>
      </c>
      <c r="H193" t="s">
        <v>12</v>
      </c>
      <c r="I193">
        <f>VLOOKUP(Table4[[#This Row],[Visitor]],'NHL Model'!$A$6:$B$38,2,FALSE)</f>
        <v>1.5385519346678582</v>
      </c>
      <c r="J193">
        <f>($B$1+Table4[[#This Row],[Home Differential]])-Table4[[#This Row],[Away Differential]]</f>
        <v>-1.7635984651107757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0.7790927852434586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0.60698556801840986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7.2067135963786652E-2</v>
      </c>
      <c r="H194" t="s">
        <v>14</v>
      </c>
      <c r="I194">
        <f>VLOOKUP(Table4[[#This Row],[Visitor]],'NHL Model'!$A$6:$B$38,2,FALSE)</f>
        <v>0.24618288254564977</v>
      </c>
      <c r="J194">
        <f>($B$1+Table4[[#This Row],[Home Differential]])-Table4[[#This Row],[Away Differential]]</f>
        <v>4.1824470730002228E-3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0.57663633751288368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0.17923679071450493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0.5301060565842276</v>
      </c>
      <c r="H195" t="s">
        <v>24</v>
      </c>
      <c r="I195">
        <f>VLOOKUP(Table4[[#This Row],[Visitor]],'NHL Model'!$A$6:$B$38,2,FALSE)</f>
        <v>0.54693303419816819</v>
      </c>
      <c r="J195">
        <f>($B$1+Table4[[#This Row],[Home Differential]])-Table4[[#This Row],[Away Differential]]</f>
        <v>0.16147121604092274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0.61137900267806078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0.15102627955949868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-8.2927339771111427E-2</v>
      </c>
      <c r="H196" t="s">
        <v>28</v>
      </c>
      <c r="I196">
        <f>VLOOKUP(Table4[[#This Row],[Visitor]],'NHL Model'!$A$6:$B$38,2,FALSE)</f>
        <v>-0.4068113735564976</v>
      </c>
      <c r="J196">
        <f>($B$1+Table4[[#This Row],[Home Differential]])-Table4[[#This Row],[Away Differential]]</f>
        <v>0.50218222744024954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0.59120866969540053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0.16711035173220415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-0.5365514628281316</v>
      </c>
      <c r="H197" t="s">
        <v>16</v>
      </c>
      <c r="I197">
        <f>VLOOKUP(Table4[[#This Row],[Visitor]],'NHL Model'!$A$6:$B$38,2,FALSE)</f>
        <v>-1.429228083243411</v>
      </c>
      <c r="J197">
        <f>($B$1+Table4[[#This Row],[Home Differential]])-Table4[[#This Row],[Away Differential]]</f>
        <v>1.0709748140701427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0.69599855907277186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0.48441399423137471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-0.40334472409778083</v>
      </c>
      <c r="H198" t="s">
        <v>26</v>
      </c>
      <c r="I198">
        <f>VLOOKUP(Table4[[#This Row],[Visitor]],'NHL Model'!$A$6:$B$38,2,FALSE)</f>
        <v>-0.51526168477192669</v>
      </c>
      <c r="J198">
        <f>($B$1+Table4[[#This Row],[Home Differential]])-Table4[[#This Row],[Away Differential]]</f>
        <v>0.29021515432900924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0.53449721698169572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0.28568727496117791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-0.14078840027135531</v>
      </c>
      <c r="H199" t="s">
        <v>37</v>
      </c>
      <c r="I199">
        <f>VLOOKUP(Table4[[#This Row],[Visitor]],'NHL Model'!$A$6:$B$38,2,FALSE)</f>
        <v>-0.12437377019828177</v>
      </c>
      <c r="J199">
        <f>($B$1+Table4[[#This Row],[Home Differential]])-Table4[[#This Row],[Away Differential]]</f>
        <v>0.16188356358178982</v>
      </c>
      <c r="K199" t="str">
        <f>IF(Table4[[#This Row],[HomeIce Differential]]&gt;0,Table4[[#This Row],[Home]],Table4[[#This Row],[Visitor]])</f>
        <v>Utah Mammoth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0.58570281043346217</v>
      </c>
      <c r="M199" t="str">
        <f>IF(OR((NHL2025_26Results[[#This Row],[Winning Team]]="")),"-",IF(Table4[[#This Row],[Predicted Winner]]=NHL2025_26Results[[#This Row],[Winning Team]],"YES","NO"))</f>
        <v>NO</v>
      </c>
      <c r="N199">
        <f>IF(Table4[[#This Row],[Adjusted Correct]]="-", "",IF(Table4[[#This Row],[Adjusted Correct]]="YES",(Table4[[#This Row],[Strength of Win]]-1)^2,(Table4[[#This Row],[Strength of Win]]-0)^2))</f>
        <v>0.34304778214965614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-1.3905198871921312</v>
      </c>
      <c r="H200" t="s">
        <v>38</v>
      </c>
      <c r="I200">
        <f>VLOOKUP(Table4[[#This Row],[Visitor]],'NHL Model'!$A$6:$B$38,2,FALSE)</f>
        <v>-0.83680023888172561</v>
      </c>
      <c r="J200">
        <f>($B$1+Table4[[#This Row],[Home Differential]])-Table4[[#This Row],[Away Differential]]</f>
        <v>-0.37542145465554222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0.53457847892447097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0.21661719228025911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-0.39497219926686861</v>
      </c>
      <c r="H201" t="s">
        <v>10</v>
      </c>
      <c r="I201">
        <f>VLOOKUP(Table4[[#This Row],[Visitor]],'NHL Model'!$A$6:$B$38,2,FALSE)</f>
        <v>0.26494263732175571</v>
      </c>
      <c r="J201">
        <f>($B$1+Table4[[#This Row],[Home Differential]])-Table4[[#This Row],[Away Differential]]</f>
        <v>-0.48161664293376094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0.52357568479453409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0.27413149770806533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-1.6560580871558699</v>
      </c>
      <c r="H202" t="s">
        <v>17</v>
      </c>
      <c r="I202">
        <f>VLOOKUP(Table4[[#This Row],[Visitor]],'NHL Model'!$A$6:$B$38,2,FALSE)</f>
        <v>-0.83182649756544103</v>
      </c>
      <c r="J202">
        <f>($B$1+Table4[[#This Row],[Home Differential]])-Table4[[#This Row],[Away Differential]]</f>
        <v>-0.64593339593556554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0.55258179031228893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0.30534663498473447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-0.64312007588488018</v>
      </c>
      <c r="H203" t="s">
        <v>14</v>
      </c>
      <c r="I203">
        <f>VLOOKUP(Table4[[#This Row],[Visitor]],'NHL Model'!$A$6:$B$38,2,FALSE)</f>
        <v>0.24618288254564977</v>
      </c>
      <c r="J203">
        <f>($B$1+Table4[[#This Row],[Home Differential]])-Table4[[#This Row],[Away Differential]]</f>
        <v>-0.71100476477566665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0.56190848539137239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0.31574114595482616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0.5301060565842276</v>
      </c>
      <c r="H204" t="s">
        <v>11</v>
      </c>
      <c r="I204">
        <f>VLOOKUP(Table4[[#This Row],[Visitor]],'NHL Model'!$A$6:$B$38,2,FALSE)</f>
        <v>-0.16385680125706742</v>
      </c>
      <c r="J204">
        <f>($B$1+Table4[[#This Row],[Home Differential]])-Table4[[#This Row],[Away Differential]]</f>
        <v>0.8722610514961584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0.77578060716909403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5.0274336121460129E-2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-0.67384018791748512</v>
      </c>
      <c r="H205" t="s">
        <v>55</v>
      </c>
      <c r="I205">
        <f>VLOOKUP(Table4[[#This Row],[Visitor]],'NHL Model'!$A$6:$B$38,2,FALSE)</f>
        <v>-0.14078840027135531</v>
      </c>
      <c r="J205">
        <f>($B$1+Table4[[#This Row],[Home Differential]])-Table4[[#This Row],[Away Differential]]</f>
        <v>-0.35475359399126649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0.50835143946884576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0.24171830707235603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1.5385519346678582</v>
      </c>
      <c r="H206" t="s">
        <v>37</v>
      </c>
      <c r="I206">
        <f>VLOOKUP(Table4[[#This Row],[Visitor]],'NHL Model'!$A$6:$B$38,2,FALSE)</f>
        <v>-0.12437377019828177</v>
      </c>
      <c r="J206">
        <f>($B$1+Table4[[#This Row],[Home Differential]])-Table4[[#This Row],[Away Differential]]</f>
        <v>1.8412238985210032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0.84723640130204869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2.3336717087148712E-2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0.16990542827764471</v>
      </c>
      <c r="H207" t="s">
        <v>17</v>
      </c>
      <c r="I207">
        <f>VLOOKUP(Table4[[#This Row],[Visitor]],'NHL Model'!$A$6:$B$38,2,FALSE)</f>
        <v>-0.83182649756544103</v>
      </c>
      <c r="J207">
        <f>($B$1+Table4[[#This Row],[Home Differential]])-Table4[[#This Row],[Away Differential]]</f>
        <v>1.1800301194979492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0.73517173909610722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7.0134007773380302E-2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-0.12133880872417692</v>
      </c>
      <c r="H208" t="s">
        <v>40</v>
      </c>
      <c r="I208">
        <f>VLOOKUP(Table4[[#This Row],[Visitor]],'NHL Model'!$A$6:$B$38,2,FALSE)</f>
        <v>7.2067135963786652E-2</v>
      </c>
      <c r="J208">
        <f>($B$1+Table4[[#This Row],[Home Differential]])-Table4[[#This Row],[Away Differential]]</f>
        <v>-1.510775103310022E-2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0.52848118709368319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0.2792923651119486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-0.55929037526767655</v>
      </c>
      <c r="H209" t="s">
        <v>29</v>
      </c>
      <c r="I209">
        <f>VLOOKUP(Table4[[#This Row],[Visitor]],'NHL Model'!$A$6:$B$38,2,FALSE)</f>
        <v>-1.3905198871921312</v>
      </c>
      <c r="J209">
        <f>($B$1+Table4[[#This Row],[Home Differential]])-Table4[[#This Row],[Away Differential]]</f>
        <v>1.0095277055793179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0.68469585090428431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9.9416706436973312E-2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-0.59444373833461905</v>
      </c>
      <c r="H210" t="s">
        <v>27</v>
      </c>
      <c r="I210">
        <f>VLOOKUP(Table4[[#This Row],[Visitor]],'NHL Model'!$A$6:$B$38,2,FALSE)</f>
        <v>-0.5365514628281316</v>
      </c>
      <c r="J210">
        <f>($B$1+Table4[[#This Row],[Home Differential]])-Table4[[#This Row],[Away Differential]]</f>
        <v>0.12040591814837587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0.55725780945297898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0.31053626619633262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-8.2927339771111427E-2</v>
      </c>
      <c r="H211" t="s">
        <v>21</v>
      </c>
      <c r="I211">
        <f>VLOOKUP(Table4[[#This Row],[Visitor]],'NHL Model'!$A$6:$B$38,2,FALSE)</f>
        <v>-1.6459316139111148E-2</v>
      </c>
      <c r="J211">
        <f>($B$1+Table4[[#This Row],[Home Differential]])-Table4[[#This Row],[Away Differential]]</f>
        <v>0.11183017002286308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0.55602864539407892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0.30916785449877437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-0.33401712526814992</v>
      </c>
      <c r="H212" t="s">
        <v>25</v>
      </c>
      <c r="I212">
        <f>VLOOKUP(Table4[[#This Row],[Visitor]],'NHL Model'!$A$6:$B$38,2,FALSE)</f>
        <v>0.73055531763635684</v>
      </c>
      <c r="J212">
        <f>($B$1+Table4[[#This Row],[Home Differential]])-Table4[[#This Row],[Away Differential]]</f>
        <v>-0.88627424924964338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0.69154603214535992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9.5143850285271336E-2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-6.1930983208684394E-4</v>
      </c>
      <c r="H213" t="s">
        <v>26</v>
      </c>
      <c r="I213">
        <f>VLOOKUP(Table4[[#This Row],[Visitor]],'NHL Model'!$A$6:$B$38,2,FALSE)</f>
        <v>-0.51526168477192669</v>
      </c>
      <c r="J213">
        <f>($B$1+Table4[[#This Row],[Home Differential]])-Table4[[#This Row],[Away Differential]]</f>
        <v>0.69294056859470321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0.59221994829050628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0.16628457057219737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-1.429228083243411</v>
      </c>
      <c r="H214" t="s">
        <v>28</v>
      </c>
      <c r="I214">
        <f>VLOOKUP(Table4[[#This Row],[Visitor]],'NHL Model'!$A$6:$B$38,2,FALSE)</f>
        <v>-0.4068113735564976</v>
      </c>
      <c r="J214">
        <f>($B$1+Table4[[#This Row],[Home Differential]])-Table4[[#This Row],[Away Differential]]</f>
        <v>-0.84411851603205013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0.601756942415271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0.36211141774497579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-0.39497219926686861</v>
      </c>
      <c r="H215" t="s">
        <v>33</v>
      </c>
      <c r="I215">
        <f>VLOOKUP(Table4[[#This Row],[Visitor]],'NHL Model'!$A$6:$B$38,2,FALSE)</f>
        <v>-0.40334472409778083</v>
      </c>
      <c r="J215">
        <f>($B$1+Table4[[#This Row],[Home Differential]])-Table4[[#This Row],[Away Differential]]</f>
        <v>0.18667071848577557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0.59279329520709667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0.35140389084248808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-0.64312007588488018</v>
      </c>
      <c r="H216" t="s">
        <v>55</v>
      </c>
      <c r="I216">
        <f>VLOOKUP(Table4[[#This Row],[Visitor]],'NHL Model'!$A$6:$B$38,2,FALSE)</f>
        <v>-0.14078840027135531</v>
      </c>
      <c r="J216">
        <f>($B$1+Table4[[#This Row],[Home Differential]])-Table4[[#This Row],[Away Differential]]</f>
        <v>-0.32403348195866155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0.50644379756430846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0.25648532009135827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-0.83680023888172561</v>
      </c>
      <c r="H217" t="s">
        <v>10</v>
      </c>
      <c r="I217">
        <f>VLOOKUP(Table4[[#This Row],[Visitor]],'NHL Model'!$A$6:$B$38,2,FALSE)</f>
        <v>0.26494263732175571</v>
      </c>
      <c r="J217">
        <f>($B$1+Table4[[#This Row],[Home Differential]])-Table4[[#This Row],[Away Differential]]</f>
        <v>-0.923444682548618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0.61312678110286112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0.14967088749983354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-2.6005603564376825E-2</v>
      </c>
      <c r="H218" t="s">
        <v>35</v>
      </c>
      <c r="I218">
        <f>VLOOKUP(Table4[[#This Row],[Visitor]],'NHL Model'!$A$6:$B$38,2,FALSE)</f>
        <v>-1.6560580871558699</v>
      </c>
      <c r="J218">
        <f>($B$1+Table4[[#This Row],[Home Differential]])-Table4[[#This Row],[Away Differential]]</f>
        <v>1.8083506772463565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0.79919134118993407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4.0324117453097469E-2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-1.6459316139111148E-2</v>
      </c>
      <c r="H219" t="s">
        <v>36</v>
      </c>
      <c r="I219">
        <f>VLOOKUP(Table4[[#This Row],[Visitor]],'NHL Model'!$A$6:$B$38,2,FALSE)</f>
        <v>-0.4314038989751332</v>
      </c>
      <c r="J219">
        <f>($B$1+Table4[[#This Row],[Home Differential]])-Table4[[#This Row],[Away Differential]]</f>
        <v>0.59324277649088542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0.67674560737839551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0.10449340234916243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-0.67384018791748512</v>
      </c>
      <c r="H220" t="s">
        <v>35</v>
      </c>
      <c r="I220">
        <f>VLOOKUP(Table4[[#This Row],[Visitor]],'NHL Model'!$A$6:$B$38,2,FALSE)</f>
        <v>-1.6560580871558699</v>
      </c>
      <c r="J220">
        <f>($B$1+Table4[[#This Row],[Home Differential]])-Table4[[#This Row],[Away Differential]]</f>
        <v>1.1605160928932481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0.70883253228496035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0.5024435588255094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0.73055531763635684</v>
      </c>
      <c r="H221" t="s">
        <v>34</v>
      </c>
      <c r="I221">
        <f>VLOOKUP(Table4[[#This Row],[Visitor]],'NHL Model'!$A$6:$B$38,2,FALSE)</f>
        <v>-0.55929037526767655</v>
      </c>
      <c r="J221">
        <f>($B$1+Table4[[#This Row],[Home Differential]])-Table4[[#This Row],[Away Differential]]</f>
        <v>1.4681438865588967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0.80214539569400922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3.9146444445080184E-2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0.16990542827764471</v>
      </c>
      <c r="H222" t="s">
        <v>31</v>
      </c>
      <c r="I222">
        <f>VLOOKUP(Table4[[#This Row],[Visitor]],'NHL Model'!$A$6:$B$38,2,FALSE)</f>
        <v>0.5301060565842276</v>
      </c>
      <c r="J222">
        <f>($B$1+Table4[[#This Row],[Home Differential]])-Table4[[#This Row],[Away Differential]]</f>
        <v>-0.18190243465171951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0.48061757462499954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0.26975810378841791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-0.12133880872417692</v>
      </c>
      <c r="H223" t="s">
        <v>11</v>
      </c>
      <c r="I223">
        <f>VLOOKUP(Table4[[#This Row],[Visitor]],'NHL Model'!$A$6:$B$38,2,FALSE)</f>
        <v>-0.16385680125706742</v>
      </c>
      <c r="J223">
        <f>($B$1+Table4[[#This Row],[Home Differential]])-Table4[[#This Row],[Away Differential]]</f>
        <v>0.22081618618775384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0.57164963752583764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0.32678330808342154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0.54693303419816819</v>
      </c>
      <c r="H224" t="s">
        <v>18</v>
      </c>
      <c r="I224">
        <f>VLOOKUP(Table4[[#This Row],[Visitor]],'NHL Model'!$A$6:$B$38,2,FALSE)</f>
        <v>-0.59444373833461905</v>
      </c>
      <c r="J224">
        <f>($B$1+Table4[[#This Row],[Home Differential]])-Table4[[#This Row],[Away Differential]]</f>
        <v>1.3196749661876506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0.80079981843120362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3.9680712337041443E-2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-1.3905198871921312</v>
      </c>
      <c r="H225" t="s">
        <v>27</v>
      </c>
      <c r="I225">
        <f>VLOOKUP(Table4[[#This Row],[Visitor]],'NHL Model'!$A$6:$B$38,2,FALSE)</f>
        <v>-0.5365514628281316</v>
      </c>
      <c r="J225">
        <f>($B$1+Table4[[#This Row],[Home Differential]])-Table4[[#This Row],[Away Differential]]</f>
        <v>-0.67567023070913623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0.55684397805313235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0.19638725978777263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0.24618288254564977</v>
      </c>
      <c r="H226" t="s">
        <v>22</v>
      </c>
      <c r="I226">
        <f>VLOOKUP(Table4[[#This Row],[Visitor]],'NHL Model'!$A$6:$B$38,2,FALSE)</f>
        <v>-2.6005603564376825E-2</v>
      </c>
      <c r="J226">
        <f>($B$1+Table4[[#This Row],[Home Differential]])-Table4[[#This Row],[Away Differential]]</f>
        <v>0.45048667976488993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0.64060523143687798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0.12916459967054003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-6.1930983208684394E-4</v>
      </c>
      <c r="H227" t="s">
        <v>37</v>
      </c>
      <c r="I227">
        <f>VLOOKUP(Table4[[#This Row],[Visitor]],'NHL Model'!$A$6:$B$38,2,FALSE)</f>
        <v>-0.12437377019828177</v>
      </c>
      <c r="J227">
        <f>($B$1+Table4[[#This Row],[Home Differential]])-Table4[[#This Row],[Away Differential]]</f>
        <v>0.3020526540210583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0.53619388868377382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0.28750388626182721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-1.429228083243411</v>
      </c>
      <c r="H228" t="s">
        <v>10</v>
      </c>
      <c r="I228">
        <f>VLOOKUP(Table4[[#This Row],[Visitor]],'NHL Model'!$A$6:$B$38,2,FALSE)</f>
        <v>0.26494263732175571</v>
      </c>
      <c r="J228">
        <f>($B$1+Table4[[#This Row],[Home Differential]])-Table4[[#This Row],[Away Differential]]</f>
        <v>-1.5158725269103033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0.6980396077301535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9.1180078499759579E-2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-0.51526168477192669</v>
      </c>
      <c r="H229" t="s">
        <v>15</v>
      </c>
      <c r="I229">
        <f>VLOOKUP(Table4[[#This Row],[Visitor]],'NHL Model'!$A$6:$B$38,2,FALSE)</f>
        <v>-0.33401712526814992</v>
      </c>
      <c r="J229">
        <f>($B$1+Table4[[#This Row],[Home Differential]])-Table4[[#This Row],[Away Differential]]</f>
        <v>-2.9463658489134459E-3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0.57734538025485049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0.17863692759191693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-8.2927339771111427E-2</v>
      </c>
      <c r="H230" t="s">
        <v>34</v>
      </c>
      <c r="I230">
        <f>VLOOKUP(Table4[[#This Row],[Visitor]],'NHL Model'!$A$6:$B$38,2,FALSE)</f>
        <v>-0.55929037526767655</v>
      </c>
      <c r="J230">
        <f>($B$1+Table4[[#This Row],[Home Differential]])-Table4[[#This Row],[Away Differential]]</f>
        <v>0.65466122915142844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0.63383275276407747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0.40174395847648814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-0.40334472409778083</v>
      </c>
      <c r="H231" t="s">
        <v>40</v>
      </c>
      <c r="I231">
        <f>VLOOKUP(Table4[[#This Row],[Visitor]],'NHL Model'!$A$6:$B$38,2,FALSE)</f>
        <v>7.2067135963786652E-2</v>
      </c>
      <c r="J231">
        <f>($B$1+Table4[[#This Row],[Home Differential]])-Table4[[#This Row],[Away Differential]]</f>
        <v>-0.29711366640670411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0.56890116334545848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0.32364853365581603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0.73055531763635684</v>
      </c>
      <c r="H232" t="s">
        <v>23</v>
      </c>
      <c r="I232">
        <f>VLOOKUP(Table4[[#This Row],[Visitor]],'NHL Model'!$A$6:$B$38,2,FALSE)</f>
        <v>-0.67384018791748512</v>
      </c>
      <c r="J232">
        <f>($B$1+Table4[[#This Row],[Home Differential]])-Table4[[#This Row],[Away Differential]]</f>
        <v>1.5826936992087053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0.81856384812546468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3.2919077207039446E-2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-0.83182649756544103</v>
      </c>
      <c r="H233" t="s">
        <v>12</v>
      </c>
      <c r="I233">
        <f>VLOOKUP(Table4[[#This Row],[Visitor]],'NHL Model'!$A$6:$B$38,2,FALSE)</f>
        <v>1.5385519346678582</v>
      </c>
      <c r="J233">
        <f>($B$1+Table4[[#This Row],[Home Differential]])-Table4[[#This Row],[Away Differential]]</f>
        <v>-2.1920802385784359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0.8039873106576223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3.8420974383231471E-2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-0.59444373833461905</v>
      </c>
      <c r="H234" t="s">
        <v>55</v>
      </c>
      <c r="I234">
        <f>VLOOKUP(Table4[[#This Row],[Visitor]],'NHL Model'!$A$6:$B$38,2,FALSE)</f>
        <v>-0.14078840027135531</v>
      </c>
      <c r="J234">
        <f>($B$1+Table4[[#This Row],[Home Differential]])-Table4[[#This Row],[Away Differential]]</f>
        <v>-0.27535714440840042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0.49946700629665575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0.24946729037894355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0.54693303419816819</v>
      </c>
      <c r="H235" t="s">
        <v>14</v>
      </c>
      <c r="I235">
        <f>VLOOKUP(Table4[[#This Row],[Visitor]],'NHL Model'!$A$6:$B$38,2,FALSE)</f>
        <v>0.24618288254564977</v>
      </c>
      <c r="J235">
        <f>($B$1+Table4[[#This Row],[Home Differential]])-Table4[[#This Row],[Away Differential]]</f>
        <v>0.47904834530738172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0.7240928271378303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7.6124768036795187E-2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-1.3905198871921312</v>
      </c>
      <c r="H236" t="s">
        <v>39</v>
      </c>
      <c r="I236">
        <f>VLOOKUP(Table4[[#This Row],[Visitor]],'NHL Model'!$A$6:$B$38,2,FALSE)</f>
        <v>0.16990542827764471</v>
      </c>
      <c r="J236">
        <f>($B$1+Table4[[#This Row],[Home Differential]])-Table4[[#This Row],[Away Differential]]</f>
        <v>-1.3821271218149125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0.75058680345360451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6.2206942611490908E-2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-0.33401712526814992</v>
      </c>
      <c r="H237" t="s">
        <v>30</v>
      </c>
      <c r="I237">
        <f>VLOOKUP(Table4[[#This Row],[Visitor]],'NHL Model'!$A$6:$B$38,2,FALSE)</f>
        <v>-8.2927339771111427E-2</v>
      </c>
      <c r="J237">
        <f>($B$1+Table4[[#This Row],[Home Differential]])-Table4[[#This Row],[Away Differential]]</f>
        <v>-7.2791591842175138E-2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0.5129457993286014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0.237221794391655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-0.5365514628281316</v>
      </c>
      <c r="H238" t="s">
        <v>36</v>
      </c>
      <c r="I238">
        <f>VLOOKUP(Table4[[#This Row],[Visitor]],'NHL Model'!$A$6:$B$38,2,FALSE)</f>
        <v>-0.4314038989751332</v>
      </c>
      <c r="J238">
        <f>($B$1+Table4[[#This Row],[Home Differential]])-Table4[[#This Row],[Away Differential]]</f>
        <v>7.315062980186493E-2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0.55298017671671895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0.30578707584165371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-0.40334472409778083</v>
      </c>
      <c r="H239" t="s">
        <v>11</v>
      </c>
      <c r="I239">
        <f>VLOOKUP(Table4[[#This Row],[Visitor]],'NHL Model'!$A$6:$B$38,2,FALSE)</f>
        <v>-0.16385680125706742</v>
      </c>
      <c r="J239">
        <f>($B$1+Table4[[#This Row],[Home Differential]])-Table4[[#This Row],[Away Differential]]</f>
        <v>-6.1189729185850056E-2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0.46877033872593771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0.21974563046923037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-1.6560580871558699</v>
      </c>
      <c r="H240" t="s">
        <v>32</v>
      </c>
      <c r="I240">
        <f>VLOOKUP(Table4[[#This Row],[Visitor]],'NHL Model'!$A$6:$B$38,2,FALSE)</f>
        <v>-0.39497219926686861</v>
      </c>
      <c r="J240">
        <f>($B$1+Table4[[#This Row],[Home Differential]])-Table4[[#This Row],[Away Differential]]</f>
        <v>-1.0827876942341379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0.61519622284758257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0.14807394691076733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-0.12437377019828177</v>
      </c>
      <c r="H241" t="s">
        <v>22</v>
      </c>
      <c r="I241">
        <f>VLOOKUP(Table4[[#This Row],[Visitor]],'NHL Model'!$A$6:$B$38,2,FALSE)</f>
        <v>-2.6005603564376825E-2</v>
      </c>
      <c r="J241">
        <f>($B$1+Table4[[#This Row],[Home Differential]])-Table4[[#This Row],[Away Differential]]</f>
        <v>7.9930027020958402E-2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0.55145639016015235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0.20119136992816147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-0.64312007588488018</v>
      </c>
      <c r="H242" t="s">
        <v>21</v>
      </c>
      <c r="I242">
        <f>VLOOKUP(Table4[[#This Row],[Visitor]],'NHL Model'!$A$6:$B$38,2,FALSE)</f>
        <v>-1.6459316139111148E-2</v>
      </c>
      <c r="J242">
        <f>($B$1+Table4[[#This Row],[Home Differential]])-Table4[[#This Row],[Away Differential]]</f>
        <v>-0.44836256609090569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0.52426391534932937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0.22632482223875006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-0.83680023888172561</v>
      </c>
      <c r="H243" t="s">
        <v>28</v>
      </c>
      <c r="I243">
        <f>VLOOKUP(Table4[[#This Row],[Visitor]],'NHL Model'!$A$6:$B$38,2,FALSE)</f>
        <v>-0.4068113735564976</v>
      </c>
      <c r="J243">
        <f>($B$1+Table4[[#This Row],[Home Differential]])-Table4[[#This Row],[Away Differential]]</f>
        <v>-0.25169067167036469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0.51684411578797862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0.26712784002465745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-6.1930983208684394E-4</v>
      </c>
      <c r="H244" t="s">
        <v>31</v>
      </c>
      <c r="I244">
        <f>VLOOKUP(Table4[[#This Row],[Visitor]],'NHL Model'!$A$6:$B$38,2,FALSE)</f>
        <v>0.5301060565842276</v>
      </c>
      <c r="J244">
        <f>($B$1+Table4[[#This Row],[Home Differential]])-Table4[[#This Row],[Away Differential]]</f>
        <v>-0.35242717276145108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0.53128270292326729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0.21969590457891811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0.5301060565842276</v>
      </c>
      <c r="H245" t="s">
        <v>40</v>
      </c>
      <c r="I245">
        <f>VLOOKUP(Table4[[#This Row],[Visitor]],'NHL Model'!$A$6:$B$38,2,FALSE)</f>
        <v>7.2067135963786652E-2</v>
      </c>
      <c r="J245">
        <f>($B$1+Table4[[#This Row],[Home Differential]])-Table4[[#This Row],[Away Differential]]</f>
        <v>0.63633711427530426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0.67944164705196741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0.10275765764475543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0.16990542827764471</v>
      </c>
      <c r="H246" t="s">
        <v>32</v>
      </c>
      <c r="I246">
        <f>VLOOKUP(Table4[[#This Row],[Visitor]],'NHL Model'!$A$6:$B$38,2,FALSE)</f>
        <v>-0.39497219926686861</v>
      </c>
      <c r="J246">
        <f>($B$1+Table4[[#This Row],[Home Differential]])-Table4[[#This Row],[Away Differential]]</f>
        <v>0.74317582119937664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0.67255730656081369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0.10721871748670894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-0.51526168477192669</v>
      </c>
      <c r="H247" t="s">
        <v>10</v>
      </c>
      <c r="I247">
        <f>VLOOKUP(Table4[[#This Row],[Visitor]],'NHL Model'!$A$6:$B$38,2,FALSE)</f>
        <v>0.26494263732175571</v>
      </c>
      <c r="J247">
        <f>($B$1+Table4[[#This Row],[Home Differential]])-Table4[[#This Row],[Away Differential]]</f>
        <v>-0.60190612843881908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0.54081680592850523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0.21084920571770002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-0.55929037526767655</v>
      </c>
      <c r="H248" t="s">
        <v>16</v>
      </c>
      <c r="I248">
        <f>VLOOKUP(Table4[[#This Row],[Visitor]],'NHL Model'!$A$6:$B$38,2,FALSE)</f>
        <v>-1.429228083243411</v>
      </c>
      <c r="J248">
        <f>($B$1+Table4[[#This Row],[Home Differential]])-Table4[[#This Row],[Away Differential]]</f>
        <v>1.0482359016305978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0.69024390603308894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9.5948837749637833E-2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-0.4314038989751332</v>
      </c>
      <c r="H249" t="s">
        <v>55</v>
      </c>
      <c r="I249">
        <f>VLOOKUP(Table4[[#This Row],[Visitor]],'NHL Model'!$A$6:$B$38,2,FALSE)</f>
        <v>-0.14078840027135531</v>
      </c>
      <c r="J249">
        <f>($B$1+Table4[[#This Row],[Home Differential]])-Table4[[#This Row],[Away Differential]]</f>
        <v>-0.11231730504891457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0.47360298737117879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0.22429978964690495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0.24618288254564977</v>
      </c>
      <c r="H250" t="s">
        <v>13</v>
      </c>
      <c r="I250">
        <f>VLOOKUP(Table4[[#This Row],[Visitor]],'NHL Model'!$A$6:$B$38,2,FALSE)</f>
        <v>-0.12133880872417692</v>
      </c>
      <c r="J250">
        <f>($B$1+Table4[[#This Row],[Home Differential]])-Table4[[#This Row],[Away Differential]]</f>
        <v>0.54581988492469002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0.55268505124083034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0.30546076586507925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-0.64312007588488018</v>
      </c>
      <c r="H251" t="s">
        <v>25</v>
      </c>
      <c r="I251">
        <f>VLOOKUP(Table4[[#This Row],[Visitor]],'NHL Model'!$A$6:$B$38,2,FALSE)</f>
        <v>0.73055531763635684</v>
      </c>
      <c r="J251">
        <f>($B$1+Table4[[#This Row],[Home Differential]])-Table4[[#This Row],[Away Differential]]</f>
        <v>-1.1953771998663738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0.73584983303098972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6.9775310709756011E-2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-0.83680023888172561</v>
      </c>
      <c r="H252" t="s">
        <v>12</v>
      </c>
      <c r="I252">
        <f>VLOOKUP(Table4[[#This Row],[Visitor]],'NHL Model'!$A$6:$B$38,2,FALSE)</f>
        <v>1.5385519346678582</v>
      </c>
      <c r="J252">
        <f>($B$1+Table4[[#This Row],[Home Differential]])-Table4[[#This Row],[Away Differential]]</f>
        <v>-2.1970539798947204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0.8412200693132168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2.5211066388899677E-2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-0.83182649756544103</v>
      </c>
      <c r="H253" t="s">
        <v>28</v>
      </c>
      <c r="I253">
        <f>VLOOKUP(Table4[[#This Row],[Visitor]],'NHL Model'!$A$6:$B$38,2,FALSE)</f>
        <v>-0.4068113735564976</v>
      </c>
      <c r="J253">
        <f>($B$1+Table4[[#This Row],[Home Differential]])-Table4[[#This Row],[Away Differential]]</f>
        <v>-0.2467169303540801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0.47980644191393518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0.23021422170211045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0.54693303419816819</v>
      </c>
      <c r="H254" t="s">
        <v>30</v>
      </c>
      <c r="I254">
        <f>VLOOKUP(Table4[[#This Row],[Visitor]],'NHL Model'!$A$6:$B$38,2,FALSE)</f>
        <v>-8.2927339771111427E-2</v>
      </c>
      <c r="J254">
        <f>($B$1+Table4[[#This Row],[Home Differential]])-Table4[[#This Row],[Away Differential]]</f>
        <v>0.80815856762414295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0.73183356351855489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0.53558036469226666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-0.33401712526814992</v>
      </c>
      <c r="H255" t="s">
        <v>29</v>
      </c>
      <c r="I255">
        <f>VLOOKUP(Table4[[#This Row],[Visitor]],'NHL Model'!$A$6:$B$38,2,FALSE)</f>
        <v>-1.3905198871921312</v>
      </c>
      <c r="J255">
        <f>($B$1+Table4[[#This Row],[Home Differential]])-Table4[[#This Row],[Away Differential]]</f>
        <v>1.2348009555788446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0.71698432046733584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8.0097874861335655E-2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-6.1930983208684394E-4</v>
      </c>
      <c r="H256" t="s">
        <v>11</v>
      </c>
      <c r="I256">
        <f>VLOOKUP(Table4[[#This Row],[Visitor]],'NHL Model'!$A$6:$B$38,2,FALSE)</f>
        <v>-0.16385680125706742</v>
      </c>
      <c r="J256">
        <f>($B$1+Table4[[#This Row],[Home Differential]])-Table4[[#This Row],[Away Differential]]</f>
        <v>0.34153568507984389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0.58895239258287291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0.34686492072909048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-1.6459316139111148E-2</v>
      </c>
      <c r="H257" t="s">
        <v>19</v>
      </c>
      <c r="I257">
        <f>VLOOKUP(Table4[[#This Row],[Visitor]],'NHL Model'!$A$6:$B$38,2,FALSE)</f>
        <v>-0.64312007588488018</v>
      </c>
      <c r="J257">
        <f>($B$1+Table4[[#This Row],[Home Differential]])-Table4[[#This Row],[Away Differential]]</f>
        <v>0.80495895340063239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0.70709093836718517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8.5795718386616121E-2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0.73055531763635684</v>
      </c>
      <c r="H258" t="s">
        <v>22</v>
      </c>
      <c r="I258">
        <f>VLOOKUP(Table4[[#This Row],[Visitor]],'NHL Model'!$A$6:$B$38,2,FALSE)</f>
        <v>-2.6005603564376825E-2</v>
      </c>
      <c r="J258">
        <f>($B$1+Table4[[#This Row],[Home Differential]])-Table4[[#This Row],[Away Differential]]</f>
        <v>0.93485911485559703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0.72570956001615106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0.5266543654988356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1.5385519346678582</v>
      </c>
      <c r="H259" t="s">
        <v>31</v>
      </c>
      <c r="I259">
        <f>VLOOKUP(Table4[[#This Row],[Visitor]],'NHL Model'!$A$6:$B$38,2,FALSE)</f>
        <v>0.5301060565842276</v>
      </c>
      <c r="J259">
        <f>($B$1+Table4[[#This Row],[Home Differential]])-Table4[[#This Row],[Away Differential]]</f>
        <v>1.1867440717384938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0.77879196782408777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4.8932993499139418E-2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-0.55929037526767655</v>
      </c>
      <c r="H260" t="s">
        <v>33</v>
      </c>
      <c r="I260">
        <f>VLOOKUP(Table4[[#This Row],[Visitor]],'NHL Model'!$A$6:$B$38,2,FALSE)</f>
        <v>-0.40334472409778083</v>
      </c>
      <c r="J260">
        <f>($B$1+Table4[[#This Row],[Home Differential]])-Table4[[#This Row],[Away Differential]]</f>
        <v>2.2352542484967597E-2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0.54320379533603846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0.29507036326747677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-0.59444373833461905</v>
      </c>
      <c r="H261" t="s">
        <v>13</v>
      </c>
      <c r="I261">
        <f>VLOOKUP(Table4[[#This Row],[Visitor]],'NHL Model'!$A$6:$B$38,2,FALSE)</f>
        <v>-0.12133880872417692</v>
      </c>
      <c r="J261">
        <f>($B$1+Table4[[#This Row],[Home Differential]])-Table4[[#This Row],[Away Differential]]</f>
        <v>-0.29480673595557882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0.6040524737796511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0.15677444352001388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-0.4314038989751332</v>
      </c>
      <c r="H262" t="s">
        <v>39</v>
      </c>
      <c r="I262">
        <f>VLOOKUP(Table4[[#This Row],[Visitor]],'NHL Model'!$A$6:$B$38,2,FALSE)</f>
        <v>0.16990542827764471</v>
      </c>
      <c r="J262">
        <f>($B$1+Table4[[#This Row],[Home Differential]])-Table4[[#This Row],[Away Differential]]</f>
        <v>-0.42301113359791459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0.61063028838105238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0.15160877232622244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-0.39497219926686861</v>
      </c>
      <c r="H263" t="s">
        <v>28</v>
      </c>
      <c r="I263">
        <f>VLOOKUP(Table4[[#This Row],[Visitor]],'NHL Model'!$A$6:$B$38,2,FALSE)</f>
        <v>-0.4068113735564976</v>
      </c>
      <c r="J263">
        <f>($B$1+Table4[[#This Row],[Home Differential]])-Table4[[#This Row],[Away Differential]]</f>
        <v>0.19013736794449235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0.5727069805203483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0.32799328553673462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-1.6560580871558699</v>
      </c>
      <c r="H264" t="s">
        <v>16</v>
      </c>
      <c r="I264">
        <f>VLOOKUP(Table4[[#This Row],[Visitor]],'NHL Model'!$A$6:$B$38,2,FALSE)</f>
        <v>-1.429228083243411</v>
      </c>
      <c r="J264">
        <f>($B$1+Table4[[#This Row],[Home Differential]])-Table4[[#This Row],[Away Differential]]</f>
        <v>-4.8531810257595565E-2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0.46695607613573942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0.21804797704008647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-0.83680023888172561</v>
      </c>
      <c r="H265" t="s">
        <v>40</v>
      </c>
      <c r="I265">
        <f>VLOOKUP(Table4[[#This Row],[Visitor]],'NHL Model'!$A$6:$B$38,2,FALSE)</f>
        <v>7.2067135963786652E-2</v>
      </c>
      <c r="J265">
        <f>($B$1+Table4[[#This Row],[Home Differential]])-Table4[[#This Row],[Away Differential]]</f>
        <v>-0.73056918119064895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0.63102844741521658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0.1361400066168256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0.26494263732175571</v>
      </c>
      <c r="H266" t="s">
        <v>24</v>
      </c>
      <c r="I266">
        <f>VLOOKUP(Table4[[#This Row],[Visitor]],'NHL Model'!$A$6:$B$38,2,FALSE)</f>
        <v>0.54693303419816819</v>
      </c>
      <c r="J266">
        <f>($B$1+Table4[[#This Row],[Home Differential]])-Table4[[#This Row],[Away Differential]]</f>
        <v>-0.10369220322154915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0.54117801811224553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0.21051761106340688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-0.5365514628281316</v>
      </c>
      <c r="H267" t="s">
        <v>17</v>
      </c>
      <c r="I267">
        <f>VLOOKUP(Table4[[#This Row],[Visitor]],'NHL Model'!$A$6:$B$38,2,FALSE)</f>
        <v>-0.83182649756544103</v>
      </c>
      <c r="J267">
        <f>($B$1+Table4[[#This Row],[Home Differential]])-Table4[[#This Row],[Away Differential]]</f>
        <v>0.47357322839217275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0.61037284489622234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0.37255500978670791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-0.12437377019828177</v>
      </c>
      <c r="H268" t="s">
        <v>15</v>
      </c>
      <c r="I268">
        <f>VLOOKUP(Table4[[#This Row],[Visitor]],'NHL Model'!$A$6:$B$38,2,FALSE)</f>
        <v>-0.33401712526814992</v>
      </c>
      <c r="J268">
        <f>($B$1+Table4[[#This Row],[Home Differential]])-Table4[[#This Row],[Away Differential]]</f>
        <v>0.38794154872473152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0.45319411772074197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0.20538490833668174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-0.14078840027135531</v>
      </c>
      <c r="H269" t="s">
        <v>23</v>
      </c>
      <c r="I269">
        <f>VLOOKUP(Table4[[#This Row],[Visitor]],'NHL Model'!$A$6:$B$38,2,FALSE)</f>
        <v>-0.67384018791748512</v>
      </c>
      <c r="J269">
        <f>($B$1+Table4[[#This Row],[Home Differential]])-Table4[[#This Row],[Away Differential]]</f>
        <v>0.71134998130099314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0.71023047144240548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8.3966379680490588E-2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-0.4068113735564976</v>
      </c>
      <c r="H270" t="s">
        <v>17</v>
      </c>
      <c r="I270">
        <f>VLOOKUP(Table4[[#This Row],[Visitor]],'NHL Model'!$A$6:$B$38,2,FALSE)</f>
        <v>-0.83182649756544103</v>
      </c>
      <c r="J270">
        <f>($B$1+Table4[[#This Row],[Home Differential]])-Table4[[#This Row],[Away Differential]]</f>
        <v>0.6033133176638068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0.63351899601594197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0.13430832628116315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-1.429228083243411</v>
      </c>
      <c r="H271" t="s">
        <v>33</v>
      </c>
      <c r="I271">
        <f>VLOOKUP(Table4[[#This Row],[Visitor]],'NHL Model'!$A$6:$B$38,2,FALSE)</f>
        <v>-0.40334472409778083</v>
      </c>
      <c r="J271">
        <f>($B$1+Table4[[#This Row],[Home Differential]])-Table4[[#This Row],[Away Differential]]</f>
        <v>-0.8475851654907669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0.58148458735380315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0.33812432533002273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1.5385519346678582</v>
      </c>
      <c r="H272" t="s">
        <v>23</v>
      </c>
      <c r="I272">
        <f>VLOOKUP(Table4[[#This Row],[Visitor]],'NHL Model'!$A$6:$B$38,2,FALSE)</f>
        <v>-0.67384018791748512</v>
      </c>
      <c r="J272">
        <f>($B$1+Table4[[#This Row],[Home Differential]])-Table4[[#This Row],[Away Differential]]</f>
        <v>2.3906903162402067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0.97102447065076869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8.3958130106816502E-4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-0.51526168477192669</v>
      </c>
      <c r="H273" t="s">
        <v>31</v>
      </c>
      <c r="I273">
        <f>VLOOKUP(Table4[[#This Row],[Visitor]],'NHL Model'!$A$6:$B$38,2,FALSE)</f>
        <v>0.5301060565842276</v>
      </c>
      <c r="J273">
        <f>($B$1+Table4[[#This Row],[Home Differential]])-Table4[[#This Row],[Away Differential]]</f>
        <v>-0.86706954770129097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0.57882274312748017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0.33503576796162088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-0.16385680125706742</v>
      </c>
      <c r="H274" t="s">
        <v>22</v>
      </c>
      <c r="I274">
        <f>VLOOKUP(Table4[[#This Row],[Visitor]],'NHL Model'!$A$6:$B$38,2,FALSE)</f>
        <v>-2.6005603564376825E-2</v>
      </c>
      <c r="J274">
        <f>($B$1+Table4[[#This Row],[Home Differential]])-Table4[[#This Row],[Away Differential]]</f>
        <v>4.0446995962172758E-2</v>
      </c>
      <c r="K274" t="str">
        <f>IF(Table4[[#This Row],[HomeIce Differential]]&gt;0,Table4[[#This Row],[Home]],Table4[[#This Row],[Visitor]])</f>
        <v>Florida Panthers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0.60924555360385246</v>
      </c>
      <c r="M274" t="str">
        <f>IF(OR((NHL2025_26Results[[#This Row],[Winning Team]]="")),"-",IF(Table4[[#This Row],[Predicted Winner]]=NHL2025_26Results[[#This Row],[Winning Team]],"YES","NO"))</f>
        <v>YES</v>
      </c>
      <c r="N274">
        <f>IF(Table4[[#This Row],[Adjusted Correct]]="-", "",IF(Table4[[#This Row],[Adjusted Correct]]="YES",(Table4[[#This Row],[Strength of Win]]-1)^2,(Table4[[#This Row],[Strength of Win]]-0)^2))</f>
        <v>0.15268903737835973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-0.59444373833461905</v>
      </c>
      <c r="H275" t="s">
        <v>39</v>
      </c>
      <c r="I275">
        <f>VLOOKUP(Table4[[#This Row],[Visitor]],'NHL Model'!$A$6:$B$38,2,FALSE)</f>
        <v>0.16990542827764471</v>
      </c>
      <c r="J275">
        <f>($B$1+Table4[[#This Row],[Home Differential]])-Table4[[#This Row],[Away Differential]]</f>
        <v>-0.58605097295740038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0.63648501594749318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0.13214314363069429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-0.4314038989751332</v>
      </c>
      <c r="H276" t="s">
        <v>21</v>
      </c>
      <c r="I276">
        <f>VLOOKUP(Table4[[#This Row],[Visitor]],'NHL Model'!$A$6:$B$38,2,FALSE)</f>
        <v>-1.6459316139111148E-2</v>
      </c>
      <c r="J276">
        <f>($B$1+Table4[[#This Row],[Home Differential]])-Table4[[#This Row],[Away Differential]]</f>
        <v>-0.23664638918115874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0.49142310515619975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0.24149666828136135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-0.39497219926686861</v>
      </c>
      <c r="H277" t="s">
        <v>40</v>
      </c>
      <c r="I277">
        <f>VLOOKUP(Table4[[#This Row],[Visitor]],'NHL Model'!$A$6:$B$38,2,FALSE)</f>
        <v>7.2067135963786652E-2</v>
      </c>
      <c r="J277">
        <f>($B$1+Table4[[#This Row],[Home Differential]])-Table4[[#This Row],[Away Differential]]</f>
        <v>-0.28874114157579189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0.54138533785698173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0.29309808404651827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-0.64312007588488018</v>
      </c>
      <c r="H278" t="s">
        <v>13</v>
      </c>
      <c r="I278">
        <f>VLOOKUP(Table4[[#This Row],[Visitor]],'NHL Model'!$A$6:$B$38,2,FALSE)</f>
        <v>-0.12133880872417692</v>
      </c>
      <c r="J278">
        <f>($B$1+Table4[[#This Row],[Home Differential]])-Table4[[#This Row],[Away Differential]]</f>
        <v>-0.34348307350583995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0.6110292650473037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0.15129823264964071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-6.1930983208684394E-4</v>
      </c>
      <c r="H279" t="s">
        <v>30</v>
      </c>
      <c r="I279">
        <f>VLOOKUP(Table4[[#This Row],[Visitor]],'NHL Model'!$A$6:$B$38,2,FALSE)</f>
        <v>-8.2927339771111427E-2</v>
      </c>
      <c r="J279">
        <f>($B$1+Table4[[#This Row],[Home Differential]])-Table4[[#This Row],[Away Differential]]</f>
        <v>0.26060622359388791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0.5348401904243667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0.28605402929317286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0.73055531763635684</v>
      </c>
      <c r="H280" t="s">
        <v>38</v>
      </c>
      <c r="I280">
        <f>VLOOKUP(Table4[[#This Row],[Visitor]],'NHL Model'!$A$6:$B$38,2,FALSE)</f>
        <v>-0.83680023888172561</v>
      </c>
      <c r="J280">
        <f>($B$1+Table4[[#This Row],[Home Differential]])-Table4[[#This Row],[Away Differential]]</f>
        <v>1.7456537501729459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0.82163354685376899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3.1814591607966625E-2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-1.3905198871921312</v>
      </c>
      <c r="H281" t="s">
        <v>14</v>
      </c>
      <c r="I281">
        <f>VLOOKUP(Table4[[#This Row],[Visitor]],'NHL Model'!$A$6:$B$38,2,FALSE)</f>
        <v>0.24618288254564977</v>
      </c>
      <c r="J281">
        <f>($B$1+Table4[[#This Row],[Home Differential]])-Table4[[#This Row],[Away Differential]]</f>
        <v>-1.4584045760829176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0.6690334816298309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0.4476057995417333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-1.6560580871558699</v>
      </c>
      <c r="H282" t="s">
        <v>27</v>
      </c>
      <c r="I282">
        <f>VLOOKUP(Table4[[#This Row],[Visitor]],'NHL Model'!$A$6:$B$38,2,FALSE)</f>
        <v>-0.5365514628281316</v>
      </c>
      <c r="J282">
        <f>($B$1+Table4[[#This Row],[Home Differential]])-Table4[[#This Row],[Away Differential]]</f>
        <v>-0.94120843067287496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0.59490363266092394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0.16410306683131565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-0.14078840027135531</v>
      </c>
      <c r="H283" t="s">
        <v>30</v>
      </c>
      <c r="I283">
        <f>VLOOKUP(Table4[[#This Row],[Visitor]],'NHL Model'!$A$6:$B$38,2,FALSE)</f>
        <v>-8.2927339771111427E-2</v>
      </c>
      <c r="J283">
        <f>($B$1+Table4[[#This Row],[Home Differential]])-Table4[[#This Row],[Away Differential]]</f>
        <v>0.12043713315461947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0.58427259278574561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0.34137446268057769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0.73055531763635684</v>
      </c>
      <c r="H284" t="s">
        <v>17</v>
      </c>
      <c r="I284">
        <f>VLOOKUP(Table4[[#This Row],[Visitor]],'NHL Model'!$A$6:$B$38,2,FALSE)</f>
        <v>-0.83182649756544103</v>
      </c>
      <c r="J284">
        <f>($B$1+Table4[[#This Row],[Home Differential]])-Table4[[#This Row],[Away Differential]]</f>
        <v>1.7406800088566612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0.84120806420730121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0.70763100728739503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-0.4068113735564976</v>
      </c>
      <c r="H285" t="s">
        <v>15</v>
      </c>
      <c r="I285">
        <f>VLOOKUP(Table4[[#This Row],[Visitor]],'NHL Model'!$A$6:$B$38,2,FALSE)</f>
        <v>-0.33401712526814992</v>
      </c>
      <c r="J285">
        <f>($B$1+Table4[[#This Row],[Home Differential]])-Table4[[#This Row],[Away Differential]]</f>
        <v>0.10550394536651567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0.4195336707855245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0.17600850092277687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-1.429228083243411</v>
      </c>
      <c r="H286" t="s">
        <v>40</v>
      </c>
      <c r="I286">
        <f>VLOOKUP(Table4[[#This Row],[Visitor]],'NHL Model'!$A$6:$B$38,2,FALSE)</f>
        <v>7.2067135963786652E-2</v>
      </c>
      <c r="J286">
        <f>($B$1+Table4[[#This Row],[Home Differential]])-Table4[[#This Row],[Away Differential]]</f>
        <v>-1.3229970255523342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0.71594127404250907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8.0689359792592938E-2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0.26494263732175571</v>
      </c>
      <c r="H287" t="s">
        <v>19</v>
      </c>
      <c r="I287">
        <f>VLOOKUP(Table4[[#This Row],[Visitor]],'NHL Model'!$A$6:$B$38,2,FALSE)</f>
        <v>-0.64312007588488018</v>
      </c>
      <c r="J287">
        <f>($B$1+Table4[[#This Row],[Home Differential]])-Table4[[#This Row],[Away Differential]]</f>
        <v>1.0863609068614992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0.69570837228015436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9.2593394700393128E-2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0.16990542827764471</v>
      </c>
      <c r="H288" t="s">
        <v>27</v>
      </c>
      <c r="I288">
        <f>VLOOKUP(Table4[[#This Row],[Visitor]],'NHL Model'!$A$6:$B$38,2,FALSE)</f>
        <v>-0.5365514628281316</v>
      </c>
      <c r="J288">
        <f>($B$1+Table4[[#This Row],[Home Differential]])-Table4[[#This Row],[Away Differential]]</f>
        <v>0.88475508476063969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0.69284989674747233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9.4341185928038404E-2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-0.51526168477192669</v>
      </c>
      <c r="H289" t="s">
        <v>23</v>
      </c>
      <c r="I289">
        <f>VLOOKUP(Table4[[#This Row],[Visitor]],'NHL Model'!$A$6:$B$38,2,FALSE)</f>
        <v>-0.67384018791748512</v>
      </c>
      <c r="J289">
        <f>($B$1+Table4[[#This Row],[Home Differential]])-Table4[[#This Row],[Away Differential]]</f>
        <v>0.33687669680042176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0.61432235451179007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0.37739195525290947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-0.16385680125706742</v>
      </c>
      <c r="H290" t="s">
        <v>37</v>
      </c>
      <c r="I290">
        <f>VLOOKUP(Table4[[#This Row],[Visitor]],'NHL Model'!$A$6:$B$38,2,FALSE)</f>
        <v>-0.12437377019828177</v>
      </c>
      <c r="J290">
        <f>($B$1+Table4[[#This Row],[Home Differential]])-Table4[[#This Row],[Away Differential]]</f>
        <v>0.13881516259607771</v>
      </c>
      <c r="K290" t="str">
        <f>IF(Table4[[#This Row],[HomeIce Differential]]&gt;0,Table4[[#This Row],[Home]],Table4[[#This Row],[Visitor]])</f>
        <v>Florida Panthers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0.57741853481868399</v>
      </c>
      <c r="M290" t="str">
        <f>IF(OR((NHL2025_26Results[[#This Row],[Winning Team]]="")),"-",IF(Table4[[#This Row],[Predicted Winner]]=NHL2025_26Results[[#This Row],[Winning Team]],"YES","NO"))</f>
        <v>NO</v>
      </c>
      <c r="N290">
        <f>IF(Table4[[#This Row],[Adjusted Correct]]="-", "",IF(Table4[[#This Row],[Adjusted Correct]]="YES",(Table4[[#This Row],[Strength of Win]]-1)^2,(Table4[[#This Row],[Strength of Win]]-0)^2))</f>
        <v>0.33341216435215576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-0.55929037526767655</v>
      </c>
      <c r="H291" t="s">
        <v>31</v>
      </c>
      <c r="I291">
        <f>VLOOKUP(Table4[[#This Row],[Visitor]],'NHL Model'!$A$6:$B$38,2,FALSE)</f>
        <v>0.5301060565842276</v>
      </c>
      <c r="J291">
        <f>($B$1+Table4[[#This Row],[Home Differential]])-Table4[[#This Row],[Away Differential]]</f>
        <v>-0.91109823819704083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0.61135716223928693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0.37375757982127378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-0.59444373833461905</v>
      </c>
      <c r="H292" t="s">
        <v>21</v>
      </c>
      <c r="I292">
        <f>VLOOKUP(Table4[[#This Row],[Visitor]],'NHL Model'!$A$6:$B$38,2,FALSE)</f>
        <v>-1.6459316139111148E-2</v>
      </c>
      <c r="J292">
        <f>($B$1+Table4[[#This Row],[Home Differential]])-Table4[[#This Row],[Away Differential]]</f>
        <v>-0.39968622854064456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0.51728712408167676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0.23301172057733852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-0.4314038989751332</v>
      </c>
      <c r="H293" t="s">
        <v>13</v>
      </c>
      <c r="I293">
        <f>VLOOKUP(Table4[[#This Row],[Visitor]],'NHL Model'!$A$6:$B$38,2,FALSE)</f>
        <v>-0.12133880872417692</v>
      </c>
      <c r="J293">
        <f>($B$1+Table4[[#This Row],[Home Differential]])-Table4[[#This Row],[Away Differential]]</f>
        <v>-0.13176689659609298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0.5782082151478305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0.17790830976877886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-0.39497219926686861</v>
      </c>
      <c r="H294" t="s">
        <v>33</v>
      </c>
      <c r="I294">
        <f>VLOOKUP(Table4[[#This Row],[Visitor]],'NHL Model'!$A$6:$B$38,2,FALSE)</f>
        <v>-0.40334472409778083</v>
      </c>
      <c r="J294">
        <f>($B$1+Table4[[#This Row],[Home Differential]])-Table4[[#This Row],[Away Differential]]</f>
        <v>0.18667071848577557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0.59279329520709667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0.16581730042829471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-1.6560580871558699</v>
      </c>
      <c r="H295" t="s">
        <v>20</v>
      </c>
      <c r="I295">
        <f>VLOOKUP(Table4[[#This Row],[Visitor]],'NHL Model'!$A$6:$B$38,2,FALSE)</f>
        <v>-6.1930983208684394E-4</v>
      </c>
      <c r="J295">
        <f>($B$1+Table4[[#This Row],[Home Differential]])-Table4[[#This Row],[Away Differential]]</f>
        <v>-1.4771405836689198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0.69248814891083121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9.4563538560287125E-2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-2.6005603564376825E-2</v>
      </c>
      <c r="H296" t="s">
        <v>24</v>
      </c>
      <c r="I296">
        <f>VLOOKUP(Table4[[#This Row],[Visitor]],'NHL Model'!$A$6:$B$38,2,FALSE)</f>
        <v>0.54693303419816819</v>
      </c>
      <c r="J296">
        <f>($B$1+Table4[[#This Row],[Home Differential]])-Table4[[#This Row],[Away Differential]]</f>
        <v>-0.39464044410768168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0.58287970004871603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0.17398934463144911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1.5385519346678582</v>
      </c>
      <c r="H297" t="s">
        <v>30</v>
      </c>
      <c r="I297">
        <f>VLOOKUP(Table4[[#This Row],[Visitor]],'NHL Model'!$A$6:$B$38,2,FALSE)</f>
        <v>-8.2927339771111427E-2</v>
      </c>
      <c r="J297">
        <f>($B$1+Table4[[#This Row],[Home Differential]])-Table4[[#This Row],[Away Differential]]</f>
        <v>1.799777468093833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0.8457488005846332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2.3793432521079256E-2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-0.55929037526767655</v>
      </c>
      <c r="H298" t="s">
        <v>20</v>
      </c>
      <c r="I298">
        <f>VLOOKUP(Table4[[#This Row],[Visitor]],'NHL Model'!$A$6:$B$38,2,FALSE)</f>
        <v>-6.1930983208684394E-4</v>
      </c>
      <c r="J298">
        <f>($B$1+Table4[[#This Row],[Home Differential]])-Table4[[#This Row],[Away Differential]]</f>
        <v>-0.38037287178072637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0.53528816674200286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0.28653342145401428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-0.33401712526814992</v>
      </c>
      <c r="H299" t="s">
        <v>26</v>
      </c>
      <c r="I299">
        <f>VLOOKUP(Table4[[#This Row],[Visitor]],'NHL Model'!$A$6:$B$38,2,FALSE)</f>
        <v>-0.51526168477192669</v>
      </c>
      <c r="J299">
        <f>($B$1+Table4[[#This Row],[Home Differential]])-Table4[[#This Row],[Away Differential]]</f>
        <v>0.35954275315864015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0.54443395853753818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0.29640833520885385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0.24618288254564977</v>
      </c>
      <c r="H300" t="s">
        <v>29</v>
      </c>
      <c r="I300">
        <f>VLOOKUP(Table4[[#This Row],[Visitor]],'NHL Model'!$A$6:$B$38,2,FALSE)</f>
        <v>-1.3905198871921312</v>
      </c>
      <c r="J300">
        <f>($B$1+Table4[[#This Row],[Home Differential]])-Table4[[#This Row],[Away Differential]]</f>
        <v>1.8150009633926443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0.8361813946757729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2.6836535450374885E-2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-0.12437377019828177</v>
      </c>
      <c r="H301" t="s">
        <v>38</v>
      </c>
      <c r="I301">
        <f>VLOOKUP(Table4[[#This Row],[Visitor]],'NHL Model'!$A$6:$B$38,2,FALSE)</f>
        <v>-0.83680023888172561</v>
      </c>
      <c r="J301">
        <f>($B$1+Table4[[#This Row],[Home Differential]])-Table4[[#This Row],[Away Differential]]</f>
        <v>0.89072466233830716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0.64689855113132877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0.41847773545581241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0.5301060565842276</v>
      </c>
      <c r="H302" t="s">
        <v>55</v>
      </c>
      <c r="I302">
        <f>VLOOKUP(Table4[[#This Row],[Visitor]],'NHL Model'!$A$6:$B$38,2,FALSE)</f>
        <v>-0.14078840027135531</v>
      </c>
      <c r="J302">
        <f>($B$1+Table4[[#This Row],[Home Differential]])-Table4[[#This Row],[Away Differential]]</f>
        <v>0.84919265051044623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0.77247420766051056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5.1767986179712469E-2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-1.6459316139111148E-2</v>
      </c>
      <c r="H303" t="s">
        <v>25</v>
      </c>
      <c r="I303">
        <f>VLOOKUP(Table4[[#This Row],[Visitor]],'NHL Model'!$A$6:$B$38,2,FALSE)</f>
        <v>0.73055531763635684</v>
      </c>
      <c r="J303">
        <f>($B$1+Table4[[#This Row],[Home Differential]])-Table4[[#This Row],[Away Differential]]</f>
        <v>-0.56871644012060463</v>
      </c>
      <c r="K303" t="str">
        <f>IF(Table4[[#This Row],[HomeIce Differential]]&gt;0,Table4[[#This Row],[Home]],Table4[[#This Row],[Visitor]])</f>
        <v>Carolina Hurricanes</v>
      </c>
      <c r="L303" s="19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0.59370938725737443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0.16507206200277813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-0.67384018791748512</v>
      </c>
      <c r="H304" t="s">
        <v>17</v>
      </c>
      <c r="I304">
        <f>VLOOKUP(Table4[[#This Row],[Visitor]],'NHL Model'!$A$6:$B$38,2,FALSE)</f>
        <v>-0.83182649756544103</v>
      </c>
      <c r="J304">
        <f>($B$1+Table4[[#This Row],[Home Differential]])-Table4[[#This Row],[Away Differential]]</f>
        <v>0.33628450330281923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0.59069521862942387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0.16753040405281514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-0.4068113735564976</v>
      </c>
      <c r="H305" t="s">
        <v>18</v>
      </c>
      <c r="I305">
        <f>VLOOKUP(Table4[[#This Row],[Visitor]],'NHL Model'!$A$6:$B$38,2,FALSE)</f>
        <v>-0.59444373833461905</v>
      </c>
      <c r="J305">
        <f>($B$1+Table4[[#This Row],[Home Differential]])-Table4[[#This Row],[Away Differential]]</f>
        <v>0.36593055843298483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0.55244891569761923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0.20030197306023675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-0.16385680125706742</v>
      </c>
      <c r="H306" t="s">
        <v>38</v>
      </c>
      <c r="I306">
        <f>VLOOKUP(Table4[[#This Row],[Visitor]],'NHL Model'!$A$6:$B$38,2,FALSE)</f>
        <v>-0.83680023888172561</v>
      </c>
      <c r="J306">
        <f>($B$1+Table4[[#This Row],[Home Differential]])-Table4[[#This Row],[Away Differential]]</f>
        <v>0.85124163127952157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0.70534200281552406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8.682333530476663E-2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-2.6005603564376825E-2</v>
      </c>
      <c r="H307" t="s">
        <v>13</v>
      </c>
      <c r="I307">
        <f>VLOOKUP(Table4[[#This Row],[Visitor]],'NHL Model'!$A$6:$B$38,2,FALSE)</f>
        <v>-0.12133880872417692</v>
      </c>
      <c r="J307">
        <f>($B$1+Table4[[#This Row],[Home Differential]])-Table4[[#This Row],[Away Differential]]</f>
        <v>0.27363139881466342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0.47742190195313255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0.27308786855828149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0.26494263732175571</v>
      </c>
      <c r="H308" t="s">
        <v>16</v>
      </c>
      <c r="I308">
        <f>VLOOKUP(Table4[[#This Row],[Visitor]],'NHL Model'!$A$6:$B$38,2,FALSE)</f>
        <v>-1.429228083243411</v>
      </c>
      <c r="J308">
        <f ca="1">($B$1+Table4[[#This Row],[Home Differential]])-Table4[[#This Row],[Away Differential]]</f>
        <v>1.8724689142200299</v>
      </c>
      <c r="K308" t="str">
        <f ca="1">IF(Table4[[#This Row],[HomeIce Differential]]&gt;0,Table4[[#This Row],[Home]],Table4[[#This Row],[Visitor]])</f>
        <v>Chicago Blackhawks</v>
      </c>
      <c r="L308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0.80838142364741761</v>
      </c>
      <c r="M308" t="str">
        <f ca="1">IF(OR((NHL2025_26Results[[#This Row],[Winning Team]]="")),"-",IF(Table4[[#This Row],[Predicted Winner]]=NHL2025_26Results[[#This Row],[Winning Team]],"YES","NO"))</f>
        <v>-</v>
      </c>
      <c r="N308" t="str">
        <f ca="1">IF(Table4[[#This Row],[Adjusted Correct]]="-", "",IF(Table4[[#This Row],[Adjusted Correct]]="YES",(Table4[[#This Row],[Strength of Win]]-1)^2,(Table4[[#This Row],[Strength of Win]]-0)^2))</f>
        <v/>
      </c>
      <c r="O308">
        <v>1.8724689142200299</v>
      </c>
      <c r="P308" s="11">
        <v>0.80838142364741761</v>
      </c>
      <c r="Q308" t="s">
        <v>10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0.16990542827764471</v>
      </c>
      <c r="H309" t="s">
        <v>30</v>
      </c>
      <c r="I309">
        <f>VLOOKUP(Table4[[#This Row],[Visitor]],'NHL Model'!$A$6:$B$38,2,FALSE)</f>
        <v>-8.2927339771111427E-2</v>
      </c>
      <c r="J309">
        <f ca="1">($B$1+Table4[[#This Row],[Home Differential]])-Table4[[#This Row],[Away Differential]]</f>
        <v>0.43113096170361953</v>
      </c>
      <c r="K309" t="str">
        <f ca="1">IF(Table4[[#This Row],[HomeIce Differential]]&gt;0,Table4[[#This Row],[Home]],Table4[[#This Row],[Visitor]])</f>
        <v>Dallas Stars</v>
      </c>
      <c r="L309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0.58560362912245234</v>
      </c>
      <c r="M309" t="str">
        <f ca="1">IF(OR((NHL2025_26Results[[#This Row],[Winning Team]]="")),"-",IF(Table4[[#This Row],[Predicted Winner]]=NHL2025_26Results[[#This Row],[Winning Team]],"YES","NO"))</f>
        <v>-</v>
      </c>
      <c r="N309" t="str">
        <f ca="1">IF(Table4[[#This Row],[Adjusted Correct]]="-", "",IF(Table4[[#This Row],[Adjusted Correct]]="YES",(Table4[[#This Row],[Strength of Win]]-1)^2,(Table4[[#This Row],[Strength of Win]]-0)^2))</f>
        <v/>
      </c>
      <c r="O309">
        <v>0.43113096170361953</v>
      </c>
      <c r="P309" s="11">
        <v>0.58560362912245234</v>
      </c>
      <c r="Q309" t="s">
        <v>39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-0.51526168477192669</v>
      </c>
      <c r="H310" t="s">
        <v>32</v>
      </c>
      <c r="I310">
        <f>VLOOKUP(Table4[[#This Row],[Visitor]],'NHL Model'!$A$6:$B$38,2,FALSE)</f>
        <v>-0.39497219926686861</v>
      </c>
      <c r="J310">
        <f ca="1">($B$1+Table4[[#This Row],[Home Differential]])-Table4[[#This Row],[Away Differential]]</f>
        <v>5.8008708149805244E-2</v>
      </c>
      <c r="K310" t="str">
        <f ca="1">IF(Table4[[#This Row],[HomeIce Differential]]&gt;0,Table4[[#This Row],[Home]],Table4[[#This Row],[Visitor]])</f>
        <v>Detroit Red Wings</v>
      </c>
      <c r="L310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0.57435213805833296</v>
      </c>
      <c r="M310" t="str">
        <f ca="1">IF(OR((NHL2025_26Results[[#This Row],[Winning Team]]="")),"-",IF(Table4[[#This Row],[Predicted Winner]]=NHL2025_26Results[[#This Row],[Winning Team]],"YES","NO"))</f>
        <v>-</v>
      </c>
      <c r="N310" t="str">
        <f ca="1">IF(Table4[[#This Row],[Adjusted Correct]]="-", "",IF(Table4[[#This Row],[Adjusted Correct]]="YES",(Table4[[#This Row],[Strength of Win]]-1)^2,(Table4[[#This Row],[Strength of Win]]-0)^2))</f>
        <v/>
      </c>
      <c r="O310">
        <v>5.8008708149805244E-2</v>
      </c>
      <c r="P310" s="11">
        <v>0.57435213805833296</v>
      </c>
      <c r="Q310" t="s">
        <v>26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-0.40334472409778083</v>
      </c>
      <c r="H311" t="s">
        <v>55</v>
      </c>
      <c r="I311">
        <f>VLOOKUP(Table4[[#This Row],[Visitor]],'NHL Model'!$A$6:$B$38,2,FALSE)</f>
        <v>-0.14078840027135531</v>
      </c>
      <c r="J311">
        <f ca="1">($B$1+Table4[[#This Row],[Home Differential]])-Table4[[#This Row],[Away Differential]]</f>
        <v>-8.4258130171562168E-2</v>
      </c>
      <c r="K311" t="str">
        <f ca="1">IF(Table4[[#This Row],[HomeIce Differential]]&gt;0,Table4[[#This Row],[Home]],Table4[[#This Row],[Visitor]])</f>
        <v>Utah Mammoth</v>
      </c>
      <c r="L311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0.47207673823452112</v>
      </c>
      <c r="M311" t="str">
        <f ca="1">IF(OR((NHL2025_26Results[[#This Row],[Winning Team]]="")),"-",IF(Table4[[#This Row],[Predicted Winner]]=NHL2025_26Results[[#This Row],[Winning Team]],"YES","NO"))</f>
        <v>-</v>
      </c>
      <c r="N311" t="str">
        <f ca="1">IF(Table4[[#This Row],[Adjusted Correct]]="-", "",IF(Table4[[#This Row],[Adjusted Correct]]="YES",(Table4[[#This Row],[Strength of Win]]-1)^2,(Table4[[#This Row],[Strength of Win]]-0)^2))</f>
        <v/>
      </c>
      <c r="O311">
        <v>-8.4258130171562168E-2</v>
      </c>
      <c r="P311" s="11">
        <v>0.47207673823452112</v>
      </c>
      <c r="Q311" t="s">
        <v>55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-0.12437377019828177</v>
      </c>
      <c r="H312" t="s">
        <v>24</v>
      </c>
      <c r="I312">
        <f>VLOOKUP(Table4[[#This Row],[Visitor]],'NHL Model'!$A$6:$B$38,2,FALSE)</f>
        <v>0.54693303419816819</v>
      </c>
      <c r="J312">
        <f ca="1">($B$1+Table4[[#This Row],[Home Differential]])-Table4[[#This Row],[Away Differential]]</f>
        <v>-0.49300861074158664</v>
      </c>
      <c r="K312" t="str">
        <f ca="1">IF(Table4[[#This Row],[HomeIce Differential]]&gt;0,Table4[[#This Row],[Home]],Table4[[#This Row],[Visitor]])</f>
        <v>New Jersey Devils</v>
      </c>
      <c r="L312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0.59697883323181122</v>
      </c>
      <c r="M312" t="str">
        <f ca="1">IF(OR((NHL2025_26Results[[#This Row],[Winning Team]]="")),"-",IF(Table4[[#This Row],[Predicted Winner]]=NHL2025_26Results[[#This Row],[Winning Team]],"YES","NO"))</f>
        <v>-</v>
      </c>
      <c r="N312" t="str">
        <f ca="1">IF(Table4[[#This Row],[Adjusted Correct]]="-", "",IF(Table4[[#This Row],[Adjusted Correct]]="YES",(Table4[[#This Row],[Strength of Win]]-1)^2,(Table4[[#This Row],[Strength of Win]]-0)^2))</f>
        <v/>
      </c>
      <c r="O312">
        <v>-0.49300861074158664</v>
      </c>
      <c r="P312" s="11">
        <v>0.59697883323181122</v>
      </c>
      <c r="Q312" t="s">
        <v>24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-0.64312007588488018</v>
      </c>
      <c r="H313" t="s">
        <v>35</v>
      </c>
      <c r="I313">
        <f>VLOOKUP(Table4[[#This Row],[Visitor]],'NHL Model'!$A$6:$B$38,2,FALSE)</f>
        <v>-1.6560580871558699</v>
      </c>
      <c r="J313">
        <f ca="1">($B$1+Table4[[#This Row],[Home Differential]])-Table4[[#This Row],[Away Differential]]</f>
        <v>1.1912362049258531</v>
      </c>
      <c r="K313" t="str">
        <f ca="1">IF(Table4[[#This Row],[HomeIce Differential]]&gt;0,Table4[[#This Row],[Home]],Table4[[#This Row],[Visitor]])</f>
        <v>Toronto Maple Leafs</v>
      </c>
      <c r="L313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0.71074017418949764</v>
      </c>
      <c r="M313" t="str">
        <f ca="1">IF(OR((NHL2025_26Results[[#This Row],[Winning Team]]="")),"-",IF(Table4[[#This Row],[Predicted Winner]]=NHL2025_26Results[[#This Row],[Winning Team]],"YES","NO"))</f>
        <v>-</v>
      </c>
      <c r="N313" t="str">
        <f ca="1">IF(Table4[[#This Row],[Adjusted Correct]]="-", "",IF(Table4[[#This Row],[Adjusted Correct]]="YES",(Table4[[#This Row],[Strength of Win]]-1)^2,(Table4[[#This Row],[Strength of Win]]-0)^2))</f>
        <v/>
      </c>
      <c r="O313">
        <v>1.1912362049258531</v>
      </c>
      <c r="P313" s="11">
        <v>0.71074017418949764</v>
      </c>
      <c r="Q313" t="s">
        <v>19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-6.1930983208684394E-4</v>
      </c>
      <c r="H314" t="s">
        <v>15</v>
      </c>
      <c r="I314">
        <f>VLOOKUP(Table4[[#This Row],[Visitor]],'NHL Model'!$A$6:$B$38,2,FALSE)</f>
        <v>-0.33401712526814992</v>
      </c>
      <c r="J314">
        <f ca="1">($B$1+Table4[[#This Row],[Home Differential]])-Table4[[#This Row],[Away Differential]]</f>
        <v>0.51169600909092638</v>
      </c>
      <c r="K314" t="str">
        <f ca="1">IF(Table4[[#This Row],[HomeIce Differential]]&gt;0,Table4[[#This Row],[Home]],Table4[[#This Row],[Visitor]])</f>
        <v>Vegas Golden Knights</v>
      </c>
      <c r="L314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0.47093187454199859</v>
      </c>
      <c r="M314" t="str">
        <f ca="1">IF(OR((NHL2025_26Results[[#This Row],[Winning Team]]="")),"-",IF(Table4[[#This Row],[Predicted Winner]]=NHL2025_26Results[[#This Row],[Winning Team]],"YES","NO"))</f>
        <v>-</v>
      </c>
      <c r="N314" t="str">
        <f ca="1">IF(Table4[[#This Row],[Adjusted Correct]]="-", "",IF(Table4[[#This Row],[Adjusted Correct]]="YES",(Table4[[#This Row],[Strength of Win]]-1)^2,(Table4[[#This Row],[Strength of Win]]-0)^2))</f>
        <v/>
      </c>
      <c r="O314">
        <v>0.51169600909092638</v>
      </c>
      <c r="P314" s="11">
        <v>0.47093187454199859</v>
      </c>
      <c r="Q314" t="s">
        <v>20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7.2067135963786652E-2</v>
      </c>
      <c r="H315" t="s">
        <v>28</v>
      </c>
      <c r="I315">
        <f>VLOOKUP(Table4[[#This Row],[Visitor]],'NHL Model'!$A$6:$B$38,2,FALSE)</f>
        <v>-0.4068113735564976</v>
      </c>
      <c r="J315">
        <f ca="1">($B$1+Table4[[#This Row],[Home Differential]])-Table4[[#This Row],[Away Differential]]</f>
        <v>0.65717670317514765</v>
      </c>
      <c r="K315" t="str">
        <f ca="1">IF(Table4[[#This Row],[HomeIce Differential]]&gt;0,Table4[[#This Row],[Home]],Table4[[#This Row],[Visitor]])</f>
        <v>Winnipeg Jets</v>
      </c>
      <c r="L315" s="11">
        <f ca="1"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0.64974885182158759</v>
      </c>
      <c r="M315" t="str">
        <f ca="1">IF(OR((NHL2025_26Results[[#This Row],[Winning Team]]="")),"-",IF(Table4[[#This Row],[Predicted Winner]]=NHL2025_26Results[[#This Row],[Winning Team]],"YES","NO"))</f>
        <v>-</v>
      </c>
      <c r="N315" t="str">
        <f ca="1">IF(Table4[[#This Row],[Adjusted Correct]]="-", "",IF(Table4[[#This Row],[Adjusted Correct]]="YES",(Table4[[#This Row],[Strength of Win]]-1)^2,(Table4[[#This Row],[Strength of Win]]-0)^2))</f>
        <v/>
      </c>
      <c r="O315">
        <v>0.65717670317514765</v>
      </c>
      <c r="P315" s="11">
        <v>0.64974885182158759</v>
      </c>
      <c r="Q315" t="s">
        <v>40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0.5301060565842276</v>
      </c>
      <c r="H316" t="s">
        <v>21</v>
      </c>
      <c r="I316">
        <f>VLOOKUP(Table4[[#This Row],[Visitor]],'NHL Model'!$A$6:$B$38,2,FALSE)</f>
        <v>-1.6459316139111148E-2</v>
      </c>
      <c r="J316">
        <f>($B$1+Table4[[#This Row],[Home Differential]])-Table4[[#This Row],[Away Differential]]</f>
        <v>0.72486356637820204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0.75465408987548965</v>
      </c>
      <c r="M316" t="str">
        <f>IF(OR((NHL2025_26Results[[#This Row],[Winning Team]]="")),"-",IF(Table4[[#This Row],[Predicted Winner]]=NHL2025_26Results[[#This Row],[Winning Team]],"YES","NO"))</f>
        <v>-</v>
      </c>
      <c r="N316" t="str">
        <f>IF(Table4[[#This Row],[Adjusted Correct]]="-", "",IF(Table4[[#This Row],[Adjusted Correct]]="YES",(Table4[[#This Row],[Strength of Win]]-1)^2,(Table4[[#This Row],[Strength of Win]]-0)^2))</f>
        <v/>
      </c>
      <c r="P316" s="11"/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-0.67384018791748512</v>
      </c>
      <c r="H317" t="s">
        <v>16</v>
      </c>
      <c r="I317">
        <f>VLOOKUP(Table4[[#This Row],[Visitor]],'NHL Model'!$A$6:$B$38,2,FALSE)</f>
        <v>-1.429228083243411</v>
      </c>
      <c r="J317">
        <f>($B$1+Table4[[#This Row],[Home Differential]])-Table4[[#This Row],[Away Differential]]</f>
        <v>0.9336860889807892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0.67632093280597338</v>
      </c>
      <c r="M317" t="str">
        <f>IF(OR((NHL2025_26Results[[#This Row],[Winning Team]]="")),"-",IF(Table4[[#This Row],[Predicted Winner]]=NHL2025_26Results[[#This Row],[Winning Team]],"YES","NO"))</f>
        <v>-</v>
      </c>
      <c r="N317" t="str">
        <f>IF(Table4[[#This Row],[Adjusted Correct]]="-", "",IF(Table4[[#This Row],[Adjusted Correct]]="YES",(Table4[[#This Row],[Strength of Win]]-1)^2,(Table4[[#This Row],[Strength of Win]]-0)^2))</f>
        <v/>
      </c>
      <c r="P317" s="11"/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-0.55929037526767655</v>
      </c>
      <c r="H318" t="s">
        <v>25</v>
      </c>
      <c r="I318">
        <f>VLOOKUP(Table4[[#This Row],[Visitor]],'NHL Model'!$A$6:$B$38,2,FALSE)</f>
        <v>0.73055531763635684</v>
      </c>
      <c r="J318">
        <f>($B$1+Table4[[#This Row],[Home Differential]])-Table4[[#This Row],[Away Differential]]</f>
        <v>-1.1115474992491701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0.72383450170841146</v>
      </c>
      <c r="M318" t="str">
        <f>IF(OR((NHL2025_26Results[[#This Row],[Winning Team]]="")),"-",IF(Table4[[#This Row],[Predicted Winner]]=NHL2025_26Results[[#This Row],[Winning Team]],"YES","NO"))</f>
        <v>-</v>
      </c>
      <c r="N318" t="str">
        <f>IF(Table4[[#This Row],[Adjusted Correct]]="-", "",IF(Table4[[#This Row],[Adjusted Correct]]="YES",(Table4[[#This Row],[Strength of Win]]-1)^2,(Table4[[#This Row],[Strength of Win]]-0)^2))</f>
        <v/>
      </c>
      <c r="P318" s="11"/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-2.6005603564376825E-2</v>
      </c>
      <c r="H319" t="s">
        <v>17</v>
      </c>
      <c r="I319">
        <f>VLOOKUP(Table4[[#This Row],[Visitor]],'NHL Model'!$A$6:$B$38,2,FALSE)</f>
        <v>-0.83182649756544103</v>
      </c>
      <c r="J319">
        <f>($B$1+Table4[[#This Row],[Home Differential]])-Table4[[#This Row],[Away Differential]]</f>
        <v>0.98411908765592759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0.68105402753439759</v>
      </c>
      <c r="M319" t="str">
        <f>IF(OR((NHL2025_26Results[[#This Row],[Winning Team]]="")),"-",IF(Table4[[#This Row],[Predicted Winner]]=NHL2025_26Results[[#This Row],[Winning Team]],"YES","NO"))</f>
        <v>-</v>
      </c>
      <c r="N319" t="str">
        <f>IF(Table4[[#This Row],[Adjusted Correct]]="-", "",IF(Table4[[#This Row],[Adjusted Correct]]="YES",(Table4[[#This Row],[Strength of Win]]-1)^2,(Table4[[#This Row],[Strength of Win]]-0)^2))</f>
        <v/>
      </c>
      <c r="P319" s="11"/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0.5301060565842276</v>
      </c>
      <c r="H320" t="s">
        <v>36</v>
      </c>
      <c r="I320">
        <f>VLOOKUP(Table4[[#This Row],[Visitor]],'NHL Model'!$A$6:$B$38,2,FALSE)</f>
        <v>-0.4314038989751332</v>
      </c>
      <c r="J320">
        <f>($B$1+Table4[[#This Row],[Home Differential]])-Table4[[#This Row],[Away Differential]]</f>
        <v>1.139808149214224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0.81412819757927668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P320" s="11"/>
    </row>
    <row r="321" spans="4:16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0.26494263732175571</v>
      </c>
      <c r="H321" t="s">
        <v>32</v>
      </c>
      <c r="I321">
        <f>VLOOKUP(Table4[[#This Row],[Visitor]],'NHL Model'!$A$6:$B$38,2,FALSE)</f>
        <v>-0.39497219926686861</v>
      </c>
      <c r="J321">
        <f>($B$1+Table4[[#This Row],[Home Differential]])-Table4[[#This Row],[Away Differential]]</f>
        <v>0.83821303024348759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0.66014127693557456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P321" s="11"/>
    </row>
    <row r="322" spans="4:16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1.5385519346678582</v>
      </c>
      <c r="H322" t="s">
        <v>15</v>
      </c>
      <c r="I322">
        <f>VLOOKUP(Table4[[#This Row],[Visitor]],'NHL Model'!$A$6:$B$38,2,FALSE)</f>
        <v>-0.33401712526814992</v>
      </c>
      <c r="J322">
        <f>($B$1+Table4[[#This Row],[Home Differential]])-Table4[[#This Row],[Away Differential]]</f>
        <v>2.0508672535908716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0.78129307305232554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P322" s="11"/>
    </row>
    <row r="323" spans="4:16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-0.51526168477192669</v>
      </c>
      <c r="H323" t="s">
        <v>30</v>
      </c>
      <c r="I323">
        <f>VLOOKUP(Table4[[#This Row],[Visitor]],'NHL Model'!$A$6:$B$38,2,FALSE)</f>
        <v>-8.2927339771111427E-2</v>
      </c>
      <c r="J323">
        <f>($B$1+Table4[[#This Row],[Home Differential]])-Table4[[#This Row],[Away Differential]]</f>
        <v>-0.25403615134595192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0.51260153938002817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P323" s="11"/>
    </row>
    <row r="324" spans="4:16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-0.16385680125706742</v>
      </c>
      <c r="H324" t="s">
        <v>24</v>
      </c>
      <c r="I324">
        <f>VLOOKUP(Table4[[#This Row],[Visitor]],'NHL Model'!$A$6:$B$38,2,FALSE)</f>
        <v>0.54693303419816819</v>
      </c>
      <c r="J324">
        <f>($B$1+Table4[[#This Row],[Home Differential]])-Table4[[#This Row],[Away Differential]]</f>
        <v>-0.53249164180037223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0.53786061771495741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P324" s="11"/>
    </row>
    <row r="325" spans="4:16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-0.59444373833461905</v>
      </c>
      <c r="H325" t="s">
        <v>22</v>
      </c>
      <c r="I325">
        <f>VLOOKUP(Table4[[#This Row],[Visitor]],'NHL Model'!$A$6:$B$38,2,FALSE)</f>
        <v>-2.6005603564376825E-2</v>
      </c>
      <c r="J325">
        <f>($B$1+Table4[[#This Row],[Home Differential]])-Table4[[#This Row],[Away Differential]]</f>
        <v>-0.39013994111537892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0.51591885238953628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P325" s="11"/>
    </row>
    <row r="326" spans="4:16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-0.5365514628281316</v>
      </c>
      <c r="H326" t="s">
        <v>35</v>
      </c>
      <c r="I326">
        <f>VLOOKUP(Table4[[#This Row],[Visitor]],'NHL Model'!$A$6:$B$38,2,FALSE)</f>
        <v>-1.6560580871558699</v>
      </c>
      <c r="J326">
        <f>($B$1+Table4[[#This Row],[Home Differential]])-Table4[[#This Row],[Away Differential]]</f>
        <v>1.2978048179826016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0.72851015855175882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P326" s="11"/>
    </row>
    <row r="327" spans="4:16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-0.40334472409778083</v>
      </c>
      <c r="H327" t="s">
        <v>13</v>
      </c>
      <c r="I327">
        <f>VLOOKUP(Table4[[#This Row],[Visitor]],'NHL Model'!$A$6:$B$38,2,FALSE)</f>
        <v>-0.12133880872417692</v>
      </c>
      <c r="J327">
        <f>($B$1+Table4[[#This Row],[Home Differential]])-Table4[[#This Row],[Away Differential]]</f>
        <v>-0.10370772171874056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0.57666220571751647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P327" s="11"/>
    </row>
    <row r="328" spans="4:16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-0.12437377019828177</v>
      </c>
      <c r="H328" t="s">
        <v>17</v>
      </c>
      <c r="I328">
        <f>VLOOKUP(Table4[[#This Row],[Visitor]],'NHL Model'!$A$6:$B$38,2,FALSE)</f>
        <v>-0.83182649756544103</v>
      </c>
      <c r="J328">
        <f>($B$1+Table4[[#This Row],[Home Differential]])-Table4[[#This Row],[Away Differential]]</f>
        <v>0.88575092102202257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0.6669548943513024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P328" s="11"/>
    </row>
    <row r="329" spans="4:16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-0.64312007588488018</v>
      </c>
      <c r="H329" t="s">
        <v>28</v>
      </c>
      <c r="I329">
        <f>VLOOKUP(Table4[[#This Row],[Visitor]],'NHL Model'!$A$6:$B$38,2,FALSE)</f>
        <v>-0.4068113735564976</v>
      </c>
      <c r="J329">
        <f>($B$1+Table4[[#This Row],[Home Differential]])-Table4[[#This Row],[Away Differential]]</f>
        <v>-5.8010508673519257E-2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0.4890838910480077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P329" s="11"/>
    </row>
    <row r="330" spans="4:16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-0.14078840027135531</v>
      </c>
      <c r="H330" t="s">
        <v>20</v>
      </c>
      <c r="I330">
        <f>VLOOKUP(Table4[[#This Row],[Visitor]],'NHL Model'!$A$6:$B$38,2,FALSE)</f>
        <v>-6.1930983208684394E-4</v>
      </c>
      <c r="J330">
        <f>($B$1+Table4[[#This Row],[Home Differential]])-Table4[[#This Row],[Away Differential]]</f>
        <v>3.8129103215594887E-2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0.59370034772985247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P330" s="11"/>
    </row>
    <row r="331" spans="4:16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-0.83680023888172561</v>
      </c>
      <c r="H331" t="s">
        <v>39</v>
      </c>
      <c r="I331">
        <f>VLOOKUP(Table4[[#This Row],[Visitor]],'NHL Model'!$A$6:$B$38,2,FALSE)</f>
        <v>0.16990542827764471</v>
      </c>
      <c r="J331">
        <f>($B$1+Table4[[#This Row],[Home Differential]])-Table4[[#This Row],[Away Differential]]</f>
        <v>-0.82840747350450705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0.67122203195511676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P331" s="11"/>
    </row>
    <row r="332" spans="4:16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-0.67384018791748512</v>
      </c>
      <c r="H332" t="s">
        <v>10</v>
      </c>
      <c r="I332">
        <f>VLOOKUP(Table4[[#This Row],[Visitor]],'NHL Model'!$A$6:$B$38,2,FALSE)</f>
        <v>0.26494263732175571</v>
      </c>
      <c r="J332">
        <f>($B$1+Table4[[#This Row],[Home Differential]])-Table4[[#This Row],[Away Differential]]</f>
        <v>-0.76048463158437751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0.58726131626775413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6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-0.12133880872417692</v>
      </c>
      <c r="H333" t="s">
        <v>21</v>
      </c>
      <c r="I333">
        <f>VLOOKUP(Table4[[#This Row],[Visitor]],'NHL Model'!$A$6:$B$38,2,FALSE)</f>
        <v>-1.6459316139111148E-2</v>
      </c>
      <c r="J333">
        <f>($B$1+Table4[[#This Row],[Home Differential]])-Table4[[#This Row],[Away Differential]]</f>
        <v>7.3418701069797587E-2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0.55052312023223315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6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0.24618288254564977</v>
      </c>
      <c r="H334" t="s">
        <v>34</v>
      </c>
      <c r="I334">
        <f>VLOOKUP(Table4[[#This Row],[Visitor]],'NHL Model'!$A$6:$B$38,2,FALSE)</f>
        <v>-0.55929037526767655</v>
      </c>
      <c r="J334">
        <f>($B$1+Table4[[#This Row],[Home Differential]])-Table4[[#This Row],[Away Differential]]</f>
        <v>0.98377145146818967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0.71704106711473614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6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7.2067135963786652E-2</v>
      </c>
      <c r="H335" t="s">
        <v>25</v>
      </c>
      <c r="I335">
        <f>VLOOKUP(Table4[[#This Row],[Visitor]],'NHL Model'!$A$6:$B$38,2,FALSE)</f>
        <v>0.73055531763635684</v>
      </c>
      <c r="J335">
        <f>($B$1+Table4[[#This Row],[Home Differential]])-Table4[[#This Row],[Away Differential]]</f>
        <v>-0.48018998801770685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0.59712763424637549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6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0.5301060565842276</v>
      </c>
      <c r="H336" t="s">
        <v>20</v>
      </c>
      <c r="I336">
        <f>VLOOKUP(Table4[[#This Row],[Visitor]],'NHL Model'!$A$6:$B$38,2,FALSE)</f>
        <v>-6.1930983208684394E-4</v>
      </c>
      <c r="J336">
        <f>($B$1+Table4[[#This Row],[Home Differential]])-Table4[[#This Row],[Away Differential]]</f>
        <v>0.70902356007117773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0.73320346620895249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-1.429228083243411</v>
      </c>
      <c r="H337" t="s">
        <v>39</v>
      </c>
      <c r="I337">
        <f>VLOOKUP(Table4[[#This Row],[Visitor]],'NHL Model'!$A$6:$B$38,2,FALSE)</f>
        <v>0.16990542827764471</v>
      </c>
      <c r="J337">
        <f>($B$1+Table4[[#This Row],[Home Differential]])-Table4[[#This Row],[Away Differential]]</f>
        <v>-1.4208353178661923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0.75613485858240914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-0.51526168477192669</v>
      </c>
      <c r="H338" t="s">
        <v>28</v>
      </c>
      <c r="I338">
        <f>VLOOKUP(Table4[[#This Row],[Visitor]],'NHL Model'!$A$6:$B$38,2,FALSE)</f>
        <v>-0.4068113735564976</v>
      </c>
      <c r="J338">
        <f>($B$1+Table4[[#This Row],[Home Differential]])-Table4[[#This Row],[Away Differential]]</f>
        <v>6.9847882439434239E-2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0.55546585938637716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-0.16385680125706742</v>
      </c>
      <c r="H339" t="s">
        <v>17</v>
      </c>
      <c r="I339">
        <f>VLOOKUP(Table4[[#This Row],[Visitor]],'NHL Model'!$A$6:$B$38,2,FALSE)</f>
        <v>-0.83182649756544103</v>
      </c>
      <c r="J339">
        <f>($B$1+Table4[[#This Row],[Home Differential]])-Table4[[#This Row],[Away Differential]]</f>
        <v>0.84626788996323699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0.72474405779500262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-0.59444373833461905</v>
      </c>
      <c r="H340" t="s">
        <v>19</v>
      </c>
      <c r="I340">
        <f>VLOOKUP(Table4[[#This Row],[Visitor]],'NHL Model'!$A$6:$B$38,2,FALSE)</f>
        <v>-0.64312007588488018</v>
      </c>
      <c r="J340">
        <f>($B$1+Table4[[#This Row],[Home Differential]])-Table4[[#This Row],[Away Differential]]</f>
        <v>0.22697453120512445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0.57253231461090015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-1.3905198871921312</v>
      </c>
      <c r="H341" t="s">
        <v>12</v>
      </c>
      <c r="I341">
        <f>VLOOKUP(Table4[[#This Row],[Visitor]],'NHL Model'!$A$6:$B$38,2,FALSE)</f>
        <v>1.5385519346678582</v>
      </c>
      <c r="J341">
        <f>($B$1+Table4[[#This Row],[Home Differential]])-Table4[[#This Row],[Away Differential]]</f>
        <v>-2.7507736282051258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0.92058484081170444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-8.2927339771111427E-2</v>
      </c>
      <c r="H342" t="s">
        <v>35</v>
      </c>
      <c r="I342">
        <f>VLOOKUP(Table4[[#This Row],[Visitor]],'NHL Model'!$A$6:$B$38,2,FALSE)</f>
        <v>-1.6560580871558699</v>
      </c>
      <c r="J342">
        <f>($B$1+Table4[[#This Row],[Home Differential]])-Table4[[#This Row],[Away Differential]]</f>
        <v>1.7514289410396218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0.79103273493290582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-0.5365514628281316</v>
      </c>
      <c r="H343" t="s">
        <v>24</v>
      </c>
      <c r="I343">
        <f>VLOOKUP(Table4[[#This Row],[Visitor]],'NHL Model'!$A$6:$B$38,2,FALSE)</f>
        <v>0.54693303419816819</v>
      </c>
      <c r="J343">
        <f>($B$1+Table4[[#This Row],[Home Differential]])-Table4[[#This Row],[Away Differential]]</f>
        <v>-0.90518630337143646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0.65355009622707072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0.24618288254564977</v>
      </c>
      <c r="H344" t="s">
        <v>32</v>
      </c>
      <c r="I344">
        <f>VLOOKUP(Table4[[#This Row],[Visitor]],'NHL Model'!$A$6:$B$38,2,FALSE)</f>
        <v>-0.39497219926686861</v>
      </c>
      <c r="J344">
        <f>($B$1+Table4[[#This Row],[Home Differential]])-Table4[[#This Row],[Away Differential]]</f>
        <v>0.81945327546738178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0.69348930309273449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-0.40334472409778083</v>
      </c>
      <c r="H345" t="s">
        <v>36</v>
      </c>
      <c r="I345">
        <f>VLOOKUP(Table4[[#This Row],[Visitor]],'NHL Model'!$A$6:$B$38,2,FALSE)</f>
        <v>-0.4314038989751332</v>
      </c>
      <c r="J345">
        <f>($B$1+Table4[[#This Row],[Home Differential]])-Table4[[#This Row],[Away Differential]]</f>
        <v>0.20635736853221573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0.56957725168424511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-0.14078840027135531</v>
      </c>
      <c r="H346" t="s">
        <v>15</v>
      </c>
      <c r="I346">
        <f>VLOOKUP(Table4[[#This Row],[Visitor]],'NHL Model'!$A$6:$B$38,2,FALSE)</f>
        <v>-0.33401712526814992</v>
      </c>
      <c r="J346">
        <f>($B$1+Table4[[#This Row],[Home Differential]])-Table4[[#This Row],[Away Differential]]</f>
        <v>0.37152691865165799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0.51935273828042783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-2.6005603564376825E-2</v>
      </c>
      <c r="H347" t="s">
        <v>37</v>
      </c>
      <c r="I347">
        <f>VLOOKUP(Table4[[#This Row],[Visitor]],'NHL Model'!$A$6:$B$38,2,FALSE)</f>
        <v>-0.12437377019828177</v>
      </c>
      <c r="J347">
        <f>($B$1+Table4[[#This Row],[Home Differential]])-Table4[[#This Row],[Away Differential]]</f>
        <v>0.27666636028876829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0.53255526504561235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-0.67384018791748512</v>
      </c>
      <c r="H348" t="s">
        <v>25</v>
      </c>
      <c r="I348">
        <f>VLOOKUP(Table4[[#This Row],[Visitor]],'NHL Model'!$A$6:$B$38,2,FALSE)</f>
        <v>0.73055531763635684</v>
      </c>
      <c r="J348">
        <f>($B$1+Table4[[#This Row],[Home Differential]])-Table4[[#This Row],[Away Differential]]</f>
        <v>-1.2260973118989786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0.73778062072804684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0.26494263732175571</v>
      </c>
      <c r="H349" t="s">
        <v>12</v>
      </c>
      <c r="I349">
        <f>VLOOKUP(Table4[[#This Row],[Visitor]],'NHL Model'!$A$6:$B$38,2,FALSE)</f>
        <v>1.5385519346678582</v>
      </c>
      <c r="J349">
        <f>($B$1+Table4[[#This Row],[Home Differential]])-Table4[[#This Row],[Away Differential]]</f>
        <v>-1.0953111036912393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0.68330699563633901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-8.2927339771111427E-2</v>
      </c>
      <c r="H350" t="s">
        <v>32</v>
      </c>
      <c r="I350">
        <f>VLOOKUP(Table4[[#This Row],[Visitor]],'NHL Model'!$A$6:$B$38,2,FALSE)</f>
        <v>-0.39497219926686861</v>
      </c>
      <c r="J350">
        <f>($B$1+Table4[[#This Row],[Home Differential]])-Table4[[#This Row],[Away Differential]]</f>
        <v>0.49034305315062054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0.61028098874207592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-0.40334472409778083</v>
      </c>
      <c r="H351" t="s">
        <v>21</v>
      </c>
      <c r="I351">
        <f>VLOOKUP(Table4[[#This Row],[Visitor]],'NHL Model'!$A$6:$B$38,2,FALSE)</f>
        <v>-1.6459316139111148E-2</v>
      </c>
      <c r="J351">
        <f>($B$1+Table4[[#This Row],[Home Differential]])-Table4[[#This Row],[Away Differential]]</f>
        <v>-0.20858721430380633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0.48989685601954214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-0.83680023888172561</v>
      </c>
      <c r="H352" t="s">
        <v>16</v>
      </c>
      <c r="I352">
        <f>VLOOKUP(Table4[[#This Row],[Visitor]],'NHL Model'!$A$6:$B$38,2,FALSE)</f>
        <v>-1.429228083243411</v>
      </c>
      <c r="J352">
        <f>($B$1+Table4[[#This Row],[Home Differential]])-Table4[[#This Row],[Away Differential]]</f>
        <v>0.77072603801654871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0.65046834997053993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7.2067135963786652E-2</v>
      </c>
      <c r="H353" t="s">
        <v>34</v>
      </c>
      <c r="I353">
        <f>VLOOKUP(Table4[[#This Row],[Visitor]],'NHL Model'!$A$6:$B$38,2,FALSE)</f>
        <v>-0.55929037526767655</v>
      </c>
      <c r="J353">
        <f>($B$1+Table4[[#This Row],[Home Differential]])-Table4[[#This Row],[Away Differential]]</f>
        <v>0.80965570488632654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0.69208501492492536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-0.12133880872417692</v>
      </c>
      <c r="H354" t="s">
        <v>36</v>
      </c>
      <c r="I354">
        <f>VLOOKUP(Table4[[#This Row],[Visitor]],'NHL Model'!$A$6:$B$38,2,FALSE)</f>
        <v>-0.4314038989751332</v>
      </c>
      <c r="J354">
        <f>($B$1+Table4[[#This Row],[Home Differential]])-Table4[[#This Row],[Away Differential]]</f>
        <v>0.48836328390581962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0.60999722793602029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0.54693303419816819</v>
      </c>
      <c r="H355" t="s">
        <v>26</v>
      </c>
      <c r="I355">
        <f>VLOOKUP(Table4[[#This Row],[Visitor]],'NHL Model'!$A$6:$B$38,2,FALSE)</f>
        <v>-0.51526168477192669</v>
      </c>
      <c r="J355">
        <f>($B$1+Table4[[#This Row],[Home Differential]])-Table4[[#This Row],[Away Differential]]</f>
        <v>1.2404929126249582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0.78945063548824757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-1.3905198871921312</v>
      </c>
      <c r="H356" t="s">
        <v>11</v>
      </c>
      <c r="I356">
        <f>VLOOKUP(Table4[[#This Row],[Visitor]],'NHL Model'!$A$6:$B$38,2,FALSE)</f>
        <v>-0.16385680125706742</v>
      </c>
      <c r="J356">
        <f>($B$1+Table4[[#This Row],[Home Differential]])-Table4[[#This Row],[Away Differential]]</f>
        <v>-1.0483648922802005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0.61026239429418361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-0.33401712526814992</v>
      </c>
      <c r="H357" t="s">
        <v>35</v>
      </c>
      <c r="I357">
        <f>VLOOKUP(Table4[[#This Row],[Visitor]],'NHL Model'!$A$6:$B$38,2,FALSE)</f>
        <v>-1.6560580871558699</v>
      </c>
      <c r="J357">
        <f>($B$1+Table4[[#This Row],[Home Differential]])-Table4[[#This Row],[Away Differential]]</f>
        <v>1.5003391555425833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0.75504397507512744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-0.12437377019828177</v>
      </c>
      <c r="H358" t="s">
        <v>27</v>
      </c>
      <c r="I358">
        <f>VLOOKUP(Table4[[#This Row],[Visitor]],'NHL Model'!$A$6:$B$38,2,FALSE)</f>
        <v>-0.5365514628281316</v>
      </c>
      <c r="J358">
        <f>($B$1+Table4[[#This Row],[Home Differential]])-Table4[[#This Row],[Away Differential]]</f>
        <v>0.59047588628471315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0.6246330520026675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-0.14078840027135531</v>
      </c>
      <c r="H359" t="s">
        <v>20</v>
      </c>
      <c r="I359">
        <f>VLOOKUP(Table4[[#This Row],[Visitor]],'NHL Model'!$A$6:$B$38,2,FALSE)</f>
        <v>-6.1930983208684394E-4</v>
      </c>
      <c r="J359">
        <f>($B$1+Table4[[#This Row],[Home Differential]])-Table4[[#This Row],[Away Differential]]</f>
        <v>3.8129103215594887E-2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0.59370034772985247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-2.6005603564376825E-2</v>
      </c>
      <c r="H360" t="s">
        <v>28</v>
      </c>
      <c r="I360">
        <f>VLOOKUP(Table4[[#This Row],[Visitor]],'NHL Model'!$A$6:$B$38,2,FALSE)</f>
        <v>-0.4068113735564976</v>
      </c>
      <c r="J360">
        <f>($B$1+Table4[[#This Row],[Home Differential]])-Table4[[#This Row],[Away Differential]]</f>
        <v>0.55910396364698411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0.59936727595242867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-0.83182649756544103</v>
      </c>
      <c r="H361" t="s">
        <v>39</v>
      </c>
      <c r="I361">
        <f>VLOOKUP(Table4[[#This Row],[Visitor]],'NHL Model'!$A$6:$B$38,2,FALSE)</f>
        <v>0.16990542827764471</v>
      </c>
      <c r="J361">
        <f>($B$1+Table4[[#This Row],[Home Differential]])-Table4[[#This Row],[Away Differential]]</f>
        <v>-0.82343373218822236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0.63415198881862023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0.5301060565842276</v>
      </c>
      <c r="H362" t="s">
        <v>38</v>
      </c>
      <c r="I362">
        <f>VLOOKUP(Table4[[#This Row],[Visitor]],'NHL Model'!$A$6:$B$38,2,FALSE)</f>
        <v>-0.83680023888172561</v>
      </c>
      <c r="J362">
        <f>($B$1+Table4[[#This Row],[Home Differential]])-Table4[[#This Row],[Away Differential]]</f>
        <v>1.5452044891208165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0.85305348158752126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0.73055531763635684</v>
      </c>
      <c r="H363" t="s">
        <v>15</v>
      </c>
      <c r="I363">
        <f>VLOOKUP(Table4[[#This Row],[Visitor]],'NHL Model'!$A$6:$B$38,2,FALSE)</f>
        <v>-0.33401712526814992</v>
      </c>
      <c r="J363">
        <f>($B$1+Table4[[#This Row],[Home Differential]])-Table4[[#This Row],[Away Differential]]</f>
        <v>1.24287063655937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0.62712054163633146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-0.4068113735564976</v>
      </c>
      <c r="H364" t="s">
        <v>19</v>
      </c>
      <c r="I364">
        <f>VLOOKUP(Table4[[#This Row],[Visitor]],'NHL Model'!$A$6:$B$38,2,FALSE)</f>
        <v>-0.64312007588488018</v>
      </c>
      <c r="J364">
        <f>($B$1+Table4[[#This Row],[Home Differential]])-Table4[[#This Row],[Away Differential]]</f>
        <v>0.41460689598324596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0.60647165882522824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0.26494263732175571</v>
      </c>
      <c r="H365" t="s">
        <v>34</v>
      </c>
      <c r="I365">
        <f>VLOOKUP(Table4[[#This Row],[Visitor]],'NHL Model'!$A$6:$B$38,2,FALSE)</f>
        <v>-0.55929037526767655</v>
      </c>
      <c r="J365">
        <f>($B$1+Table4[[#This Row],[Home Differential]])-Table4[[#This Row],[Away Differential]]</f>
        <v>1.0025312062442957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0.68369304095757621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1.5385519346678582</v>
      </c>
      <c r="H366" t="s">
        <v>33</v>
      </c>
      <c r="I366">
        <f>VLOOKUP(Table4[[#This Row],[Visitor]],'NHL Model'!$A$6:$B$38,2,FALSE)</f>
        <v>-0.40334472409778083</v>
      </c>
      <c r="J366">
        <f>($B$1+Table4[[#This Row],[Home Differential]])-Table4[[#This Row],[Away Differential]]</f>
        <v>2.1201948524205023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0.93225429021210415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-0.51526168477192669</v>
      </c>
      <c r="H367" t="s">
        <v>29</v>
      </c>
      <c r="I367">
        <f>VLOOKUP(Table4[[#This Row],[Visitor]],'NHL Model'!$A$6:$B$38,2,FALSE)</f>
        <v>-1.3905198871921312</v>
      </c>
      <c r="J367">
        <f>($B$1+Table4[[#This Row],[Home Differential]])-Table4[[#This Row],[Away Differential]]</f>
        <v>1.0535563960750678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0.71704422964137138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-0.16385680125706742</v>
      </c>
      <c r="H368" t="s">
        <v>27</v>
      </c>
      <c r="I368">
        <f>VLOOKUP(Table4[[#This Row],[Visitor]],'NHL Model'!$A$6:$B$38,2,FALSE)</f>
        <v>-0.5365514628281316</v>
      </c>
      <c r="J368">
        <f>($B$1+Table4[[#This Row],[Home Differential]])-Table4[[#This Row],[Away Differential]]</f>
        <v>0.55099285522592756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0.68242221544636761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0.54693303419816819</v>
      </c>
      <c r="H369" t="s">
        <v>35</v>
      </c>
      <c r="I369">
        <f>VLOOKUP(Table4[[#This Row],[Visitor]],'NHL Model'!$A$6:$B$38,2,FALSE)</f>
        <v>-1.6560580871558699</v>
      </c>
      <c r="J369">
        <f>($B$1+Table4[[#This Row],[Home Differential]])-Table4[[#This Row],[Away Differential]]</f>
        <v>2.3812893150089014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0.99674148671870022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-8.2927339771111427E-2</v>
      </c>
      <c r="H370" t="s">
        <v>21</v>
      </c>
      <c r="I370">
        <f>VLOOKUP(Table4[[#This Row],[Visitor]],'NHL Model'!$A$6:$B$38,2,FALSE)</f>
        <v>-1.6459316139111148E-2</v>
      </c>
      <c r="J370">
        <f>($B$1+Table4[[#This Row],[Home Differential]])-Table4[[#This Row],[Away Differential]]</f>
        <v>0.11183017002286308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0.55602864539407892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0.24618288254564977</v>
      </c>
      <c r="H371" t="s">
        <v>23</v>
      </c>
      <c r="I371">
        <f>VLOOKUP(Table4[[#This Row],[Visitor]],'NHL Model'!$A$6:$B$38,2,FALSE)</f>
        <v>-0.67384018791748512</v>
      </c>
      <c r="J371">
        <f>($B$1+Table4[[#This Row],[Home Differential]])-Table4[[#This Row],[Away Differential]]</f>
        <v>1.0983212641179982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0.73345951954619149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-0.39497219926686861</v>
      </c>
      <c r="H372" t="s">
        <v>39</v>
      </c>
      <c r="I372">
        <f>VLOOKUP(Table4[[#This Row],[Visitor]],'NHL Model'!$A$6:$B$38,2,FALSE)</f>
        <v>0.16990542827764471</v>
      </c>
      <c r="J372">
        <f>($B$1+Table4[[#This Row],[Home Differential]])-Table4[[#This Row],[Away Differential]]</f>
        <v>-0.38657943388964999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0.58172431349894627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-0.12437377019828177</v>
      </c>
      <c r="H373" t="s">
        <v>16</v>
      </c>
      <c r="I373">
        <f>VLOOKUP(Table4[[#This Row],[Visitor]],'NHL Model'!$A$6:$B$38,2,FALSE)</f>
        <v>-1.429228083243411</v>
      </c>
      <c r="J373">
        <f>($B$1+Table4[[#This Row],[Home Differential]])-Table4[[#This Row],[Away Differential]]</f>
        <v>1.4831525066999927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0.75258060852785202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-0.14078840027135531</v>
      </c>
      <c r="H374" t="s">
        <v>18</v>
      </c>
      <c r="I374">
        <f>VLOOKUP(Table4[[#This Row],[Visitor]],'NHL Model'!$A$6:$B$38,2,FALSE)</f>
        <v>-0.59444373833461905</v>
      </c>
      <c r="J374">
        <f>($B$1+Table4[[#This Row],[Home Differential]])-Table4[[#This Row],[Away Differential]]</f>
        <v>0.63195353171812707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0.65307805298315069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-6.1930983208684394E-4</v>
      </c>
      <c r="H375" t="s">
        <v>36</v>
      </c>
      <c r="I375">
        <f>VLOOKUP(Table4[[#This Row],[Visitor]],'NHL Model'!$A$6:$B$38,2,FALSE)</f>
        <v>-0.4314038989751332</v>
      </c>
      <c r="J375">
        <f>($B$1+Table4[[#This Row],[Home Differential]])-Table4[[#This Row],[Away Differential]]</f>
        <v>0.60908278279790973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0.62729998299305567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-2.6005603564376825E-2</v>
      </c>
      <c r="H376" t="s">
        <v>40</v>
      </c>
      <c r="I376">
        <f>VLOOKUP(Table4[[#This Row],[Visitor]],'NHL Model'!$A$6:$B$38,2,FALSE)</f>
        <v>7.2067135963786652E-2</v>
      </c>
      <c r="J376">
        <f>($B$1+Table4[[#This Row],[Home Differential]])-Table4[[#This Row],[Away Differential]]</f>
        <v>8.0225454126699861E-2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0.4851829443251906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0.5301060565842276</v>
      </c>
      <c r="H377" t="s">
        <v>13</v>
      </c>
      <c r="I377">
        <f>VLOOKUP(Table4[[#This Row],[Visitor]],'NHL Model'!$A$6:$B$38,2,FALSE)</f>
        <v>-0.12133880872417692</v>
      </c>
      <c r="J377">
        <f>($B$1+Table4[[#This Row],[Home Differential]])-Table4[[#This Row],[Away Differential]]</f>
        <v>0.82974305896326783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0.672118763259269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-1.6459316139111148E-2</v>
      </c>
      <c r="H378" t="s">
        <v>15</v>
      </c>
      <c r="I378">
        <f>VLOOKUP(Table4[[#This Row],[Visitor]],'NHL Model'!$A$6:$B$38,2,FALSE)</f>
        <v>-0.33401712526814992</v>
      </c>
      <c r="J378">
        <f>($B$1+Table4[[#This Row],[Home Differential]])-Table4[[#This Row],[Away Differential]]</f>
        <v>0.49585600278390213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0.52005075298692915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-0.67384018791748512</v>
      </c>
      <c r="H379" t="s">
        <v>24</v>
      </c>
      <c r="I379">
        <f>VLOOKUP(Table4[[#This Row],[Visitor]],'NHL Model'!$A$6:$B$38,2,FALSE)</f>
        <v>0.54693303419816819</v>
      </c>
      <c r="J379">
        <f>($B$1+Table4[[#This Row],[Home Differential]])-Table4[[#This Row],[Away Differential]]</f>
        <v>-1.04247502846079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0.6732277224938692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0.73055531763635684</v>
      </c>
      <c r="H380" t="s">
        <v>40</v>
      </c>
      <c r="I380">
        <f>VLOOKUP(Table4[[#This Row],[Visitor]],'NHL Model'!$A$6:$B$38,2,FALSE)</f>
        <v>7.2067135963786652E-2</v>
      </c>
      <c r="J380">
        <f>($B$1+Table4[[#This Row],[Home Differential]])-Table4[[#This Row],[Away Differential]]</f>
        <v>0.8367863753274335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0.64625258361410176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-0.4068113735564976</v>
      </c>
      <c r="H381" t="s">
        <v>14</v>
      </c>
      <c r="I381">
        <f>VLOOKUP(Table4[[#This Row],[Visitor]],'NHL Model'!$A$6:$B$38,2,FALSE)</f>
        <v>0.24618288254564977</v>
      </c>
      <c r="J381">
        <f>($B$1+Table4[[#This Row],[Home Differential]])-Table4[[#This Row],[Away Differential]]</f>
        <v>-0.47469606244728402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0.52099234990939169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0.26494263732175571</v>
      </c>
      <c r="H382" t="s">
        <v>29</v>
      </c>
      <c r="I382">
        <f>VLOOKUP(Table4[[#This Row],[Visitor]],'NHL Model'!$A$6:$B$38,2,FALSE)</f>
        <v>-1.3905198871921312</v>
      </c>
      <c r="J382">
        <f>($B$1+Table4[[#This Row],[Home Differential]])-Table4[[#This Row],[Away Differential]]</f>
        <v>1.8337607181687501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0.80283336851861298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0.16990542827764471</v>
      </c>
      <c r="H383" t="s">
        <v>55</v>
      </c>
      <c r="I383">
        <f>VLOOKUP(Table4[[#This Row],[Visitor]],'NHL Model'!$A$6:$B$38,2,FALSE)</f>
        <v>-0.14078840027135531</v>
      </c>
      <c r="J383">
        <f>($B$1+Table4[[#This Row],[Home Differential]])-Table4[[#This Row],[Away Differential]]</f>
        <v>0.4889920222038634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0.6361250809978376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-0.51526168477192669</v>
      </c>
      <c r="H384" t="s">
        <v>37</v>
      </c>
      <c r="I384">
        <f>VLOOKUP(Table4[[#This Row],[Visitor]],'NHL Model'!$A$6:$B$38,2,FALSE)</f>
        <v>-0.12437377019828177</v>
      </c>
      <c r="J384">
        <f>($B$1+Table4[[#This Row],[Home Differential]])-Table4[[#This Row],[Away Differential]]</f>
        <v>-0.21258972091878159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0.51123976703271579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-0.16385680125706742</v>
      </c>
      <c r="H385" t="s">
        <v>16</v>
      </c>
      <c r="I385">
        <f>VLOOKUP(Table4[[#This Row],[Visitor]],'NHL Model'!$A$6:$B$38,2,FALSE)</f>
        <v>-1.429228083243411</v>
      </c>
      <c r="J385">
        <f>($B$1+Table4[[#This Row],[Home Differential]])-Table4[[#This Row],[Away Differential]]</f>
        <v>1.443669475641207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0.81036977197155213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-0.55929037526767655</v>
      </c>
      <c r="H386" t="s">
        <v>12</v>
      </c>
      <c r="I386">
        <f>VLOOKUP(Table4[[#This Row],[Visitor]],'NHL Model'!$A$6:$B$38,2,FALSE)</f>
        <v>1.5385519346678582</v>
      </c>
      <c r="J386">
        <f>($B$1+Table4[[#This Row],[Home Differential]])-Table4[[#This Row],[Away Differential]]</f>
        <v>-1.9195441162806715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0.80144451325066768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-8.2927339771111427E-2</v>
      </c>
      <c r="H387" t="s">
        <v>27</v>
      </c>
      <c r="I387">
        <f>VLOOKUP(Table4[[#This Row],[Visitor]],'NHL Model'!$A$6:$B$38,2,FALSE)</f>
        <v>-0.5365514628281316</v>
      </c>
      <c r="J387">
        <f>($B$1+Table4[[#This Row],[Home Differential]])-Table4[[#This Row],[Away Differential]]</f>
        <v>0.63192231671188348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0.63057357892873456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-0.40334472409778083</v>
      </c>
      <c r="H388" t="s">
        <v>38</v>
      </c>
      <c r="I388">
        <f>VLOOKUP(Table4[[#This Row],[Visitor]],'NHL Model'!$A$6:$B$38,2,FALSE)</f>
        <v>-0.83680023888172561</v>
      </c>
      <c r="J388">
        <f>($B$1+Table4[[#This Row],[Home Differential]])-Table4[[#This Row],[Away Differential]]</f>
        <v>0.61175370843880816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0.60691357664377488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-1.6560580871558699</v>
      </c>
      <c r="H389" t="s">
        <v>36</v>
      </c>
      <c r="I389">
        <f>VLOOKUP(Table4[[#This Row],[Visitor]],'NHL Model'!$A$6:$B$38,2,FALSE)</f>
        <v>-0.4314038989751332</v>
      </c>
      <c r="J389">
        <f>($B$1+Table4[[#This Row],[Home Differential]])-Table4[[#This Row],[Away Differential]]</f>
        <v>-1.0463559945258734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0.60997445849179244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-6.1930983208684394E-4</v>
      </c>
      <c r="H390" t="s">
        <v>18</v>
      </c>
      <c r="I390">
        <f>VLOOKUP(Table4[[#This Row],[Visitor]],'NHL Model'!$A$6:$B$38,2,FALSE)</f>
        <v>-0.59444373833461905</v>
      </c>
      <c r="J390">
        <f>($B$1+Table4[[#This Row],[Home Differential]])-Table4[[#This Row],[Away Differential]]</f>
        <v>0.77212262215739558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0.60356913123346234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-2.6005603564376825E-2</v>
      </c>
      <c r="H391" t="s">
        <v>19</v>
      </c>
      <c r="I391">
        <f>VLOOKUP(Table4[[#This Row],[Visitor]],'NHL Model'!$A$6:$B$38,2,FALSE)</f>
        <v>-0.64312007588488018</v>
      </c>
      <c r="J391">
        <f>($B$1+Table4[[#This Row],[Home Differential]])-Table4[[#This Row],[Away Differential]]</f>
        <v>0.79541266597536664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0.65400669034368386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-1.6459316139111148E-2</v>
      </c>
      <c r="H392" t="s">
        <v>26</v>
      </c>
      <c r="I392">
        <f>VLOOKUP(Table4[[#This Row],[Visitor]],'NHL Model'!$A$6:$B$38,2,FALSE)</f>
        <v>-0.51526168477192669</v>
      </c>
      <c r="J392">
        <f>($B$1+Table4[[#This Row],[Home Differential]])-Table4[[#This Row],[Away Differential]]</f>
        <v>0.6771005622876789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0.64250353327976095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1.5385519346678582</v>
      </c>
      <c r="H393" t="s">
        <v>18</v>
      </c>
      <c r="I393">
        <f>VLOOKUP(Table4[[#This Row],[Visitor]],'NHL Model'!$A$6:$B$38,2,FALSE)</f>
        <v>-0.59444373833461905</v>
      </c>
      <c r="J393">
        <f>($B$1+Table4[[#This Row],[Home Differential]])-Table4[[#This Row],[Away Differential]]</f>
        <v>2.3112938666573406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0.91461164385173721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-0.12133880872417692</v>
      </c>
      <c r="H394" t="s">
        <v>38</v>
      </c>
      <c r="I394">
        <f>VLOOKUP(Table4[[#This Row],[Visitor]],'NHL Model'!$A$6:$B$38,2,FALSE)</f>
        <v>-0.83680023888172561</v>
      </c>
      <c r="J394">
        <f>($B$1+Table4[[#This Row],[Home Differential]])-Table4[[#This Row],[Away Differential]]</f>
        <v>0.89375962381241203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0.64733355289555017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-0.55929037526767655</v>
      </c>
      <c r="H395" t="s">
        <v>23</v>
      </c>
      <c r="I395">
        <f>VLOOKUP(Table4[[#This Row],[Visitor]],'NHL Model'!$A$6:$B$38,2,FALSE)</f>
        <v>-0.67384018791748512</v>
      </c>
      <c r="J395">
        <f>($B$1+Table4[[#This Row],[Home Differential]])-Table4[[#This Row],[Away Differential]]</f>
        <v>0.29284800630467189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0.58197397577470289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0.54693303419816819</v>
      </c>
      <c r="H396" t="s">
        <v>27</v>
      </c>
      <c r="I396">
        <f>VLOOKUP(Table4[[#This Row],[Visitor]],'NHL Model'!$A$6:$B$38,2,FALSE)</f>
        <v>-0.5365514628281316</v>
      </c>
      <c r="J396">
        <f>($B$1+Table4[[#This Row],[Home Differential]])-Table4[[#This Row],[Away Differential]]</f>
        <v>1.2617826906811631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0.83628233071452884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-1.3905198871921312</v>
      </c>
      <c r="H397" t="s">
        <v>40</v>
      </c>
      <c r="I397">
        <f>VLOOKUP(Table4[[#This Row],[Visitor]],'NHL Model'!$A$6:$B$38,2,FALSE)</f>
        <v>7.2067135963786652E-2</v>
      </c>
      <c r="J397">
        <f>($B$1+Table4[[#This Row],[Home Differential]])-Table4[[#This Row],[Away Differential]]</f>
        <v>-1.2842888295010544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0.71039321891370433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-0.33401712526814992</v>
      </c>
      <c r="H398" t="s">
        <v>37</v>
      </c>
      <c r="I398">
        <f>VLOOKUP(Table4[[#This Row],[Visitor]],'NHL Model'!$A$6:$B$38,2,FALSE)</f>
        <v>-0.12437377019828177</v>
      </c>
      <c r="J398">
        <f>($B$1+Table4[[#This Row],[Home Differential]])-Table4[[#This Row],[Away Differential]]</f>
        <v>-3.1345161415004791E-2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0.51159210106919428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0.24618288254564977</v>
      </c>
      <c r="H399" t="s">
        <v>19</v>
      </c>
      <c r="I399">
        <f>VLOOKUP(Table4[[#This Row],[Visitor]],'NHL Model'!$A$6:$B$38,2,FALSE)</f>
        <v>-0.64312007588488018</v>
      </c>
      <c r="J399">
        <f>($B$1+Table4[[#This Row],[Home Differential]])-Table4[[#This Row],[Away Differential]]</f>
        <v>1.0676011520853934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0.72905639843731429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-0.39497219926686861</v>
      </c>
      <c r="H400" t="s">
        <v>17</v>
      </c>
      <c r="I400">
        <f>VLOOKUP(Table4[[#This Row],[Visitor]],'NHL Model'!$A$6:$B$38,2,FALSE)</f>
        <v>-0.83182649756544103</v>
      </c>
      <c r="J400">
        <f>($B$1+Table4[[#This Row],[Home Differential]])-Table4[[#This Row],[Away Differential]]</f>
        <v>0.6151524919534358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0.65420769172759763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-1.6560580871558699</v>
      </c>
      <c r="H401" t="s">
        <v>55</v>
      </c>
      <c r="I401">
        <f>VLOOKUP(Table4[[#This Row],[Visitor]],'NHL Model'!$A$6:$B$38,2,FALSE)</f>
        <v>-0.14078840027135531</v>
      </c>
      <c r="J401">
        <f>($B$1+Table4[[#This Row],[Home Differential]])-Table4[[#This Row],[Away Differential]]</f>
        <v>-1.3369714932296513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0.65162844841055856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-6.1930983208684394E-4</v>
      </c>
      <c r="H402" t="s">
        <v>33</v>
      </c>
      <c r="I402">
        <f>VLOOKUP(Table4[[#This Row],[Visitor]],'NHL Model'!$A$6:$B$38,2,FALSE)</f>
        <v>-0.40334472409778083</v>
      </c>
      <c r="J402">
        <f>($B$1+Table4[[#This Row],[Home Differential]])-Table4[[#This Row],[Away Differential]]</f>
        <v>0.58102360792055729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0.62327825465205799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0.73055531763635684</v>
      </c>
      <c r="H403" t="s">
        <v>16</v>
      </c>
      <c r="I403">
        <f>VLOOKUP(Table4[[#This Row],[Visitor]],'NHL Model'!$A$6:$B$38,2,FALSE)</f>
        <v>-1.429228083243411</v>
      </c>
      <c r="J403">
        <f>($B$1+Table4[[#This Row],[Home Differential]])-Table4[[#This Row],[Away Differential]]</f>
        <v>2.3380815945346312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0.92683377838385073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0.26494263732175571</v>
      </c>
      <c r="H404" t="s">
        <v>31</v>
      </c>
      <c r="I404">
        <f>VLOOKUP(Table4[[#This Row],[Visitor]],'NHL Model'!$A$6:$B$38,2,FALSE)</f>
        <v>0.5301060565842276</v>
      </c>
      <c r="J404">
        <f>($B$1+Table4[[#This Row],[Home Differential]])-Table4[[#This Row],[Away Differential]]</f>
        <v>-8.6865225607608565E-2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0.49321964462495826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0.16990542827764471</v>
      </c>
      <c r="H405" t="s">
        <v>36</v>
      </c>
      <c r="I405">
        <f>VLOOKUP(Table4[[#This Row],[Visitor]],'NHL Model'!$A$6:$B$38,2,FALSE)</f>
        <v>-0.4314038989751332</v>
      </c>
      <c r="J405">
        <f>($B$1+Table4[[#This Row],[Home Differential]])-Table4[[#This Row],[Away Differential]]</f>
        <v>0.77960752090764129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0.67777907091660383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-8.2927339771111427E-2</v>
      </c>
      <c r="H406" t="s">
        <v>22</v>
      </c>
      <c r="I406">
        <f>VLOOKUP(Table4[[#This Row],[Visitor]],'NHL Model'!$A$6:$B$38,2,FALSE)</f>
        <v>-2.6005603564376825E-2</v>
      </c>
      <c r="J406">
        <f>($B$1+Table4[[#This Row],[Home Differential]])-Table4[[#This Row],[Away Differential]]</f>
        <v>0.12137645744812875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0.55739691708621941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-0.67384018791748512</v>
      </c>
      <c r="H407" t="s">
        <v>40</v>
      </c>
      <c r="I407">
        <f>VLOOKUP(Table4[[#This Row],[Visitor]],'NHL Model'!$A$6:$B$38,2,FALSE)</f>
        <v>7.2067135963786652E-2</v>
      </c>
      <c r="J407">
        <f>($B$1+Table4[[#This Row],[Home Differential]])-Table4[[#This Row],[Away Differential]]</f>
        <v>-0.56760913022640846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0.60516507811996245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0.54693303419816819</v>
      </c>
      <c r="H408" t="s">
        <v>28</v>
      </c>
      <c r="I408">
        <f>VLOOKUP(Table4[[#This Row],[Visitor]],'NHL Model'!$A$6:$B$38,2,FALSE)</f>
        <v>-0.4068113735564976</v>
      </c>
      <c r="J408">
        <f>($B$1+Table4[[#This Row],[Home Differential]])-Table4[[#This Row],[Away Differential]]</f>
        <v>1.1320426014095291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0.798619577003575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-0.5365514628281316</v>
      </c>
      <c r="H409" t="s">
        <v>14</v>
      </c>
      <c r="I409">
        <f>VLOOKUP(Table4[[#This Row],[Visitor]],'NHL Model'!$A$6:$B$38,2,FALSE)</f>
        <v>0.24618288254564977</v>
      </c>
      <c r="J409">
        <f>($B$1+Table4[[#This Row],[Home Differential]])-Table4[[#This Row],[Away Differential]]</f>
        <v>-0.60443615171891807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0.54413850102911121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-0.40334472409778083</v>
      </c>
      <c r="H410" t="s">
        <v>55</v>
      </c>
      <c r="I410">
        <f>VLOOKUP(Table4[[#This Row],[Visitor]],'NHL Model'!$A$6:$B$38,2,FALSE)</f>
        <v>-0.14078840027135531</v>
      </c>
      <c r="J410">
        <f>($B$1+Table4[[#This Row],[Home Differential]])-Table4[[#This Row],[Away Differential]]</f>
        <v>-8.4258130171562168E-2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0.47207673823452112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-1.6560580871558699</v>
      </c>
      <c r="H411" t="s">
        <v>31</v>
      </c>
      <c r="I411">
        <f>VLOOKUP(Table4[[#This Row],[Visitor]],'NHL Model'!$A$6:$B$38,2,FALSE)</f>
        <v>0.5301060565842276</v>
      </c>
      <c r="J411">
        <f>($B$1+Table4[[#This Row],[Home Differential]])-Table4[[#This Row],[Away Differential]]</f>
        <v>-2.0078659500852343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0.7685571444081154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1.5385519346678582</v>
      </c>
      <c r="H412" t="s">
        <v>38</v>
      </c>
      <c r="I412">
        <f>VLOOKUP(Table4[[#This Row],[Visitor]],'NHL Model'!$A$6:$B$38,2,FALSE)</f>
        <v>-0.83680023888172561</v>
      </c>
      <c r="J412">
        <f>($B$1+Table4[[#This Row],[Home Differential]])-Table4[[#This Row],[Away Differential]]</f>
        <v>2.553650367204447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0.97471097869994061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-0.51526168477192669</v>
      </c>
      <c r="H413" t="s">
        <v>21</v>
      </c>
      <c r="I413">
        <f>VLOOKUP(Table4[[#This Row],[Visitor]],'NHL Model'!$A$6:$B$38,2,FALSE)</f>
        <v>-1.6459316139111148E-2</v>
      </c>
      <c r="J413">
        <f>($B$1+Table4[[#This Row],[Home Differential]])-Table4[[#This Row],[Away Differential]]</f>
        <v>-0.32050417497795219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0.47990020528966404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-0.83182649756544103</v>
      </c>
      <c r="H414" t="s">
        <v>34</v>
      </c>
      <c r="I414">
        <f>VLOOKUP(Table4[[#This Row],[Visitor]],'NHL Model'!$A$6:$B$38,2,FALSE)</f>
        <v>-0.55929037526767655</v>
      </c>
      <c r="J414">
        <f>($B$1+Table4[[#This Row],[Home Differential]])-Table4[[#This Row],[Away Differential]]</f>
        <v>-9.4237928642901148E-2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0.43747027881059758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-0.16385680125706742</v>
      </c>
      <c r="H415" t="s">
        <v>19</v>
      </c>
      <c r="I415">
        <f>VLOOKUP(Table4[[#This Row],[Visitor]],'NHL Model'!$A$6:$B$38,2,FALSE)</f>
        <v>-0.64312007588488018</v>
      </c>
      <c r="J415">
        <f>($B$1+Table4[[#This Row],[Home Differential]])-Table4[[#This Row],[Away Differential]]</f>
        <v>0.65756146828267614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0.69769672060428878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-0.12133880872417692</v>
      </c>
      <c r="H416" t="s">
        <v>22</v>
      </c>
      <c r="I416">
        <f>VLOOKUP(Table4[[#This Row],[Visitor]],'NHL Model'!$A$6:$B$38,2,FALSE)</f>
        <v>-2.6005603564376825E-2</v>
      </c>
      <c r="J416">
        <f>($B$1+Table4[[#This Row],[Home Differential]])-Table4[[#This Row],[Away Differential]]</f>
        <v>8.2964988495063258E-2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0.55189139192437364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-0.59444373833461905</v>
      </c>
      <c r="H417" t="s">
        <v>36</v>
      </c>
      <c r="I417">
        <f>VLOOKUP(Table4[[#This Row],[Visitor]],'NHL Model'!$A$6:$B$38,2,FALSE)</f>
        <v>-0.4314038989751332</v>
      </c>
      <c r="J417">
        <f>($B$1+Table4[[#This Row],[Home Differential]])-Table4[[#This Row],[Away Differential]]</f>
        <v>1.5258354295377474E-2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0.54218698362211049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-1.3905198871921312</v>
      </c>
      <c r="H418" t="s">
        <v>16</v>
      </c>
      <c r="I418">
        <f>VLOOKUP(Table4[[#This Row],[Visitor]],'NHL Model'!$A$6:$B$38,2,FALSE)</f>
        <v>-1.429228083243411</v>
      </c>
      <c r="J418">
        <f>($B$1+Table4[[#This Row],[Home Differential]])-Table4[[#This Row],[Away Differential]]</f>
        <v>0.21700638970614317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0.57110357847205218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-8.2927339771111427E-2</v>
      </c>
      <c r="H419" t="s">
        <v>37</v>
      </c>
      <c r="I419">
        <f>VLOOKUP(Table4[[#This Row],[Visitor]],'NHL Model'!$A$6:$B$38,2,FALSE)</f>
        <v>-0.12437377019828177</v>
      </c>
      <c r="J419">
        <f>($B$1+Table4[[#This Row],[Home Differential]])-Table4[[#This Row],[Away Differential]]</f>
        <v>0.21974462408203371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0.52439665878858421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-0.33401712526814992</v>
      </c>
      <c r="H420" t="s">
        <v>39</v>
      </c>
      <c r="I420">
        <f>VLOOKUP(Table4[[#This Row],[Visitor]],'NHL Model'!$A$6:$B$38,2,FALSE)</f>
        <v>0.16990542827764471</v>
      </c>
      <c r="J420">
        <f>($B$1+Table4[[#This Row],[Home Differential]])-Table4[[#This Row],[Away Differential]]</f>
        <v>-0.3256243598909313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0.5991580063295161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-6.1930983208684394E-4</v>
      </c>
      <c r="H421" t="s">
        <v>10</v>
      </c>
      <c r="I421">
        <f>VLOOKUP(Table4[[#This Row],[Visitor]],'NHL Model'!$A$6:$B$38,2,FALSE)</f>
        <v>0.26494263732175571</v>
      </c>
      <c r="J421">
        <f>($B$1+Table4[[#This Row],[Home Differential]])-Table4[[#This Row],[Away Differential]]</f>
        <v>-8.7263753498979219E-2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0.49327676572429235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0.5301060565842276</v>
      </c>
      <c r="H422" t="s">
        <v>55</v>
      </c>
      <c r="I422">
        <f>VLOOKUP(Table4[[#This Row],[Visitor]],'NHL Model'!$A$6:$B$38,2,FALSE)</f>
        <v>-0.14078840027135531</v>
      </c>
      <c r="J422">
        <f>($B$1+Table4[[#This Row],[Home Differential]])-Table4[[#This Row],[Away Differential]]</f>
        <v>0.84919265051044623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0.77247420766051056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-0.59444373833461905</v>
      </c>
      <c r="H423" t="s">
        <v>40</v>
      </c>
      <c r="I423">
        <f>VLOOKUP(Table4[[#This Row],[Visitor]],'NHL Model'!$A$6:$B$38,2,FALSE)</f>
        <v>7.2067135963786652E-2</v>
      </c>
      <c r="J423">
        <f>($B$1+Table4[[#This Row],[Home Differential]])-Table4[[#This Row],[Away Differential]]</f>
        <v>-0.4882126806435424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0.59629143140759311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0.54693303419816819</v>
      </c>
      <c r="H424" t="s">
        <v>39</v>
      </c>
      <c r="I424">
        <f>VLOOKUP(Table4[[#This Row],[Visitor]],'NHL Model'!$A$6:$B$38,2,FALSE)</f>
        <v>0.16990542827764471</v>
      </c>
      <c r="J424">
        <f>($B$1+Table4[[#This Row],[Home Differential]])-Table4[[#This Row],[Away Differential]]</f>
        <v>0.55532579957538686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0.64716254911644133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-0.5365514628281316</v>
      </c>
      <c r="H425" t="s">
        <v>23</v>
      </c>
      <c r="I425">
        <f>VLOOKUP(Table4[[#This Row],[Visitor]],'NHL Model'!$A$6:$B$38,2,FALSE)</f>
        <v>-0.67384018791748512</v>
      </c>
      <c r="J425">
        <f>($B$1+Table4[[#This Row],[Home Differential]])-Table4[[#This Row],[Away Differential]]</f>
        <v>0.31558691874421685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0.58772862881438581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-0.40334472409778083</v>
      </c>
      <c r="H426" t="s">
        <v>22</v>
      </c>
      <c r="I426">
        <f>VLOOKUP(Table4[[#This Row],[Visitor]],'NHL Model'!$A$6:$B$38,2,FALSE)</f>
        <v>-2.6005603564376825E-2</v>
      </c>
      <c r="J426">
        <f>($B$1+Table4[[#This Row],[Home Differential]])-Table4[[#This Row],[Away Differential]]</f>
        <v>-0.19904092687854064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0.48852858432740165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-1.6459316139111148E-2</v>
      </c>
      <c r="H427" t="s">
        <v>35</v>
      </c>
      <c r="I427">
        <f>VLOOKUP(Table4[[#This Row],[Visitor]],'NHL Model'!$A$6:$B$38,2,FALSE)</f>
        <v>-1.6560580871558699</v>
      </c>
      <c r="J427">
        <f>($B$1+Table4[[#This Row],[Home Differential]])-Table4[[#This Row],[Away Differential]]</f>
        <v>1.8178969646716221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0.85227558921343527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0.73055531763635684</v>
      </c>
      <c r="H428" t="s">
        <v>19</v>
      </c>
      <c r="I428">
        <f>VLOOKUP(Table4[[#This Row],[Visitor]],'NHL Model'!$A$6:$B$38,2,FALSE)</f>
        <v>-0.64312007588488018</v>
      </c>
      <c r="J428">
        <f>($B$1+Table4[[#This Row],[Home Differential]])-Table4[[#This Row],[Away Differential]]</f>
        <v>1.5519735871761005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0.81416072701658748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-0.4068113735564976</v>
      </c>
      <c r="H429" t="s">
        <v>26</v>
      </c>
      <c r="I429">
        <f>VLOOKUP(Table4[[#This Row],[Visitor]],'NHL Model'!$A$6:$B$38,2,FALSE)</f>
        <v>-0.51526168477192669</v>
      </c>
      <c r="J429">
        <f>($B$1+Table4[[#This Row],[Home Differential]])-Table4[[#This Row],[Away Differential]]</f>
        <v>0.28674850487029246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0.54109973275466317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-1.429228083243411</v>
      </c>
      <c r="H430" t="s">
        <v>34</v>
      </c>
      <c r="I430">
        <f>VLOOKUP(Table4[[#This Row],[Visitor]],'NHL Model'!$A$6:$B$38,2,FALSE)</f>
        <v>-0.55929037526767655</v>
      </c>
      <c r="J430">
        <f>($B$1+Table4[[#This Row],[Home Differential]])-Table4[[#This Row],[Away Differential]]</f>
        <v>-0.69163951432087112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0.55913285934659407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-0.83182649756544103</v>
      </c>
      <c r="H431" t="s">
        <v>32</v>
      </c>
      <c r="I431">
        <f>VLOOKUP(Table4[[#This Row],[Visitor]],'NHL Model'!$A$6:$B$38,2,FALSE)</f>
        <v>-0.39497219926686861</v>
      </c>
      <c r="J431">
        <f>($B$1+Table4[[#This Row],[Home Differential]])-Table4[[#This Row],[Away Differential]]</f>
        <v>-0.25855610464370909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0.46102204283259918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-0.16385680125706742</v>
      </c>
      <c r="H432" t="s">
        <v>29</v>
      </c>
      <c r="I432">
        <f>VLOOKUP(Table4[[#This Row],[Visitor]],'NHL Model'!$A$6:$B$38,2,FALSE)</f>
        <v>-1.3905198871921312</v>
      </c>
      <c r="J432">
        <f>($B$1+Table4[[#This Row],[Home Differential]])-Table4[[#This Row],[Away Differential]]</f>
        <v>1.4049612795899271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0.80482171684274739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-0.12133880872417692</v>
      </c>
      <c r="H433" t="s">
        <v>10</v>
      </c>
      <c r="I433">
        <f>VLOOKUP(Table4[[#This Row],[Visitor]],'NHL Model'!$A$6:$B$38,2,FALSE)</f>
        <v>0.26494263732175571</v>
      </c>
      <c r="J433">
        <f>($B$1+Table4[[#This Row],[Home Differential]])-Table4[[#This Row],[Away Differential]]</f>
        <v>-0.2079832523910693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0.51057952078132762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-8.2927339771111427E-2</v>
      </c>
      <c r="H434" t="s">
        <v>12</v>
      </c>
      <c r="I434">
        <f>VLOOKUP(Table4[[#This Row],[Visitor]],'NHL Model'!$A$6:$B$38,2,FALSE)</f>
        <v>1.5385519346678582</v>
      </c>
      <c r="J434">
        <f>($B$1+Table4[[#This Row],[Home Differential]])-Table4[[#This Row],[Away Differential]]</f>
        <v>-1.4431810807841063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0.73316728382983765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-0.4314038989751332</v>
      </c>
      <c r="H435" t="s">
        <v>15</v>
      </c>
      <c r="I435">
        <f>VLOOKUP(Table4[[#This Row],[Visitor]],'NHL Model'!$A$6:$B$38,2,FALSE)</f>
        <v>-0.33401712526814992</v>
      </c>
      <c r="J435">
        <f>($B$1+Table4[[#This Row],[Home Differential]])-Table4[[#This Row],[Away Differential]]</f>
        <v>8.0911419947880037E-2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0.41159705344640729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-0.12437377019828177</v>
      </c>
      <c r="H436" t="s">
        <v>14</v>
      </c>
      <c r="I436">
        <f>VLOOKUP(Table4[[#This Row],[Visitor]],'NHL Model'!$A$6:$B$38,2,FALSE)</f>
        <v>0.24618288254564977</v>
      </c>
      <c r="J436">
        <f>($B$1+Table4[[#This Row],[Home Differential]])-Table4[[#This Row],[Away Differential]]</f>
        <v>-0.19225845908906819</v>
      </c>
      <c r="K436" t="str">
        <f>IF(Table4[[#This Row],[HomeIce Differential]]&gt;0,Table4[[#This Row],[Home]],Table4[[#This Row],[Visitor]])</f>
        <v>Pittsburgh Penguins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0.48755645157403116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0.5301060565842276</v>
      </c>
      <c r="H437" t="s">
        <v>22</v>
      </c>
      <c r="I437">
        <f>VLOOKUP(Table4[[#This Row],[Visitor]],'NHL Model'!$A$6:$B$38,2,FALSE)</f>
        <v>-2.6005603564376825E-2</v>
      </c>
      <c r="J437">
        <f>($B$1+Table4[[#This Row],[Home Differential]])-Table4[[#This Row],[Away Differential]]</f>
        <v>0.73440985380346779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0.75602236156763003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0.16990542827764471</v>
      </c>
      <c r="H438" t="s">
        <v>33</v>
      </c>
      <c r="I438">
        <f>VLOOKUP(Table4[[#This Row],[Visitor]],'NHL Model'!$A$6:$B$38,2,FALSE)</f>
        <v>-0.40334472409778083</v>
      </c>
      <c r="J438">
        <f>($B$1+Table4[[#This Row],[Home Differential]])-Table4[[#This Row],[Away Differential]]</f>
        <v>0.75154834603028897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0.67375734257560627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0.54693303419816819</v>
      </c>
      <c r="H439" t="s">
        <v>20</v>
      </c>
      <c r="I439">
        <f>VLOOKUP(Table4[[#This Row],[Visitor]],'NHL Model'!$A$6:$B$38,2,FALSE)</f>
        <v>-6.1930983208684394E-4</v>
      </c>
      <c r="J439">
        <f>($B$1+Table4[[#This Row],[Home Differential]])-Table4[[#This Row],[Away Differential]]</f>
        <v>0.72585053768511831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0.74039996998700164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-0.83680023888172561</v>
      </c>
      <c r="H440" t="s">
        <v>55</v>
      </c>
      <c r="I440">
        <f>VLOOKUP(Table4[[#This Row],[Visitor]],'NHL Model'!$A$6:$B$38,2,FALSE)</f>
        <v>-0.14078840027135531</v>
      </c>
      <c r="J440">
        <f>($B$1+Table4[[#This Row],[Home Differential]])-Table4[[#This Row],[Away Differential]]</f>
        <v>-0.51771364495550698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0.53420402230427932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7.2067135963786652E-2</v>
      </c>
      <c r="H441" t="s">
        <v>23</v>
      </c>
      <c r="I441">
        <f>VLOOKUP(Table4[[#This Row],[Visitor]],'NHL Model'!$A$6:$B$38,2,FALSE)</f>
        <v>-0.67384018791748512</v>
      </c>
      <c r="J441">
        <f>($B$1+Table4[[#This Row],[Home Differential]])-Table4[[#This Row],[Away Differential]]</f>
        <v>0.92420551753613511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0.70850346735638081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-1.6459316139111148E-2</v>
      </c>
      <c r="H442" t="s">
        <v>24</v>
      </c>
      <c r="I442">
        <f>VLOOKUP(Table4[[#This Row],[Visitor]],'NHL Model'!$A$6:$B$38,2,FALSE)</f>
        <v>0.54693303419816819</v>
      </c>
      <c r="J442">
        <f>($B$1+Table4[[#This Row],[Home Differential]])-Table4[[#This Row],[Away Differential]]</f>
        <v>-0.38509415668241598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0.52887984940920718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0.73055531763635684</v>
      </c>
      <c r="H443" t="s">
        <v>29</v>
      </c>
      <c r="I443">
        <f>VLOOKUP(Table4[[#This Row],[Visitor]],'NHL Model'!$A$6:$B$38,2,FALSE)</f>
        <v>-1.3905198871921312</v>
      </c>
      <c r="J443">
        <f>($B$1+Table4[[#This Row],[Home Differential]])-Table4[[#This Row],[Away Differential]]</f>
        <v>2.2993733984833513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0.92128572325504599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-1.429228083243411</v>
      </c>
      <c r="H444" t="s">
        <v>55</v>
      </c>
      <c r="I444">
        <f>VLOOKUP(Table4[[#This Row],[Visitor]],'NHL Model'!$A$6:$B$38,2,FALSE)</f>
        <v>-0.14078840027135531</v>
      </c>
      <c r="J444">
        <f>($B$1+Table4[[#This Row],[Home Differential]])-Table4[[#This Row],[Away Differential]]</f>
        <v>-1.1101414893171924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0.61911684893157171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-0.83182649756544103</v>
      </c>
      <c r="H445" t="s">
        <v>40</v>
      </c>
      <c r="I445">
        <f>VLOOKUP(Table4[[#This Row],[Visitor]],'NHL Model'!$A$6:$B$38,2,FALSE)</f>
        <v>7.2067135963786652E-2</v>
      </c>
      <c r="J445">
        <f>($B$1+Table4[[#This Row],[Home Differential]])-Table4[[#This Row],[Away Differential]]</f>
        <v>-0.72559543987436437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0.59379568875962219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-0.16385680125706742</v>
      </c>
      <c r="H446" t="s">
        <v>28</v>
      </c>
      <c r="I446">
        <f>VLOOKUP(Table4[[#This Row],[Visitor]],'NHL Model'!$A$6:$B$38,2,FALSE)</f>
        <v>-0.4068113735564976</v>
      </c>
      <c r="J446">
        <f>($B$1+Table4[[#This Row],[Home Differential]])-Table4[[#This Row],[Away Differential]]</f>
        <v>0.42125276595429351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0.64371159445352877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-0.12133880872417692</v>
      </c>
      <c r="H447" t="s">
        <v>10</v>
      </c>
      <c r="I447">
        <f>VLOOKUP(Table4[[#This Row],[Visitor]],'NHL Model'!$A$6:$B$38,2,FALSE)</f>
        <v>0.26494263732175571</v>
      </c>
      <c r="J447">
        <f>($B$1+Table4[[#This Row],[Home Differential]])-Table4[[#This Row],[Away Differential]]</f>
        <v>-0.2079832523910693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0.51057952078132762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-0.33401712526814992</v>
      </c>
      <c r="H448" t="s">
        <v>12</v>
      </c>
      <c r="I448">
        <f>VLOOKUP(Table4[[#This Row],[Visitor]],'NHL Model'!$A$6:$B$38,2,FALSE)</f>
        <v>1.5385519346678582</v>
      </c>
      <c r="J448">
        <f>($B$1+Table4[[#This Row],[Home Differential]])-Table4[[#This Row],[Away Differential]]</f>
        <v>-1.6942708662811448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0.76915604368761614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-0.4314038989751332</v>
      </c>
      <c r="H449" t="s">
        <v>35</v>
      </c>
      <c r="I449">
        <f>VLOOKUP(Table4[[#This Row],[Visitor]],'NHL Model'!$A$6:$B$38,2,FALSE)</f>
        <v>-1.6560580871558699</v>
      </c>
      <c r="J449">
        <f>($B$1+Table4[[#This Row],[Home Differential]])-Table4[[#This Row],[Away Differential]]</f>
        <v>1.4029523818356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0.74358098438262721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-0.39497219926686861</v>
      </c>
      <c r="H450" t="s">
        <v>26</v>
      </c>
      <c r="I450">
        <f>VLOOKUP(Table4[[#This Row],[Visitor]],'NHL Model'!$A$6:$B$38,2,FALSE)</f>
        <v>-0.51526168477192669</v>
      </c>
      <c r="J450">
        <f>($B$1+Table4[[#This Row],[Home Differential]])-Table4[[#This Row],[Away Differential]]</f>
        <v>0.29858767915992146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0.56202741370798781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-0.12437377019828177</v>
      </c>
      <c r="H451" t="s">
        <v>30</v>
      </c>
      <c r="I451">
        <f>VLOOKUP(Table4[[#This Row],[Visitor]],'NHL Model'!$A$6:$B$38,2,FALSE)</f>
        <v>-8.2927339771111427E-2</v>
      </c>
      <c r="J451">
        <f>($B$1+Table4[[#This Row],[Home Differential]])-Table4[[#This Row],[Away Differential]]</f>
        <v>0.13685176322769299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0.51710243360311015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-0.64312007588488018</v>
      </c>
      <c r="H452" t="s">
        <v>18</v>
      </c>
      <c r="I452">
        <f>VLOOKUP(Table4[[#This Row],[Visitor]],'NHL Model'!$A$6:$B$38,2,FALSE)</f>
        <v>-0.59444373833461905</v>
      </c>
      <c r="J452">
        <f>($B$1+Table4[[#This Row],[Home Differential]])-Table4[[#This Row],[Away Differential]]</f>
        <v>0.1296218561046022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0.51147934059486455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-0.83680023888172561</v>
      </c>
      <c r="H453" t="s">
        <v>34</v>
      </c>
      <c r="I453">
        <f>VLOOKUP(Table4[[#This Row],[Visitor]],'NHL Model'!$A$6:$B$38,2,FALSE)</f>
        <v>-0.55929037526767655</v>
      </c>
      <c r="J453">
        <f>($B$1+Table4[[#This Row],[Home Differential]])-Table4[[#This Row],[Away Differential]]</f>
        <v>-9.9211669959185733E-2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0.47422003271930163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0.5301060565842276</v>
      </c>
      <c r="H454" t="s">
        <v>10</v>
      </c>
      <c r="I454">
        <f>VLOOKUP(Table4[[#This Row],[Visitor]],'NHL Model'!$A$6:$B$38,2,FALSE)</f>
        <v>0.26494263732175571</v>
      </c>
      <c r="J454">
        <f>($B$1+Table4[[#This Row],[Home Differential]])-Table4[[#This Row],[Away Differential]]</f>
        <v>0.44346161291733521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0.69514040791064347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0.73055531763635684</v>
      </c>
      <c r="H455" t="s">
        <v>33</v>
      </c>
      <c r="I455">
        <f>VLOOKUP(Table4[[#This Row],[Visitor]],'NHL Model'!$A$6:$B$38,2,FALSE)</f>
        <v>-0.40334472409778083</v>
      </c>
      <c r="J455">
        <f>($B$1+Table4[[#This Row],[Home Differential]])-Table4[[#This Row],[Away Differential]]</f>
        <v>1.3121982353890009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0.77979366768680014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0.16990542827764471</v>
      </c>
      <c r="H456" t="s">
        <v>14</v>
      </c>
      <c r="I456">
        <f>VLOOKUP(Table4[[#This Row],[Visitor]],'NHL Model'!$A$6:$B$38,2,FALSE)</f>
        <v>0.24618288254564977</v>
      </c>
      <c r="J456">
        <f>($B$1+Table4[[#This Row],[Home Differential]])-Table4[[#This Row],[Away Differential]]</f>
        <v>0.10202073938685832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0.58066039317077367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-0.16385680125706742</v>
      </c>
      <c r="H457" t="s">
        <v>30</v>
      </c>
      <c r="I457">
        <f>VLOOKUP(Table4[[#This Row],[Visitor]],'NHL Model'!$A$6:$B$38,2,FALSE)</f>
        <v>-8.2927339771111427E-2</v>
      </c>
      <c r="J457">
        <f>($B$1+Table4[[#This Row],[Home Differential]])-Table4[[#This Row],[Away Differential]]</f>
        <v>9.736873216890736E-2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0.57599967961924958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-0.59444373833461905</v>
      </c>
      <c r="H458" t="s">
        <v>35</v>
      </c>
      <c r="I458">
        <f>VLOOKUP(Table4[[#This Row],[Visitor]],'NHL Model'!$A$6:$B$38,2,FALSE)</f>
        <v>-1.6560580871558699</v>
      </c>
      <c r="J458">
        <f>($B$1+Table4[[#This Row],[Home Differential]])-Table4[[#This Row],[Away Differential]]</f>
        <v>1.2399125424761142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0.71771696545715025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-0.33401712526814992</v>
      </c>
      <c r="H459" t="s">
        <v>20</v>
      </c>
      <c r="I459">
        <f>VLOOKUP(Table4[[#This Row],[Visitor]],'NHL Model'!$A$6:$B$38,2,FALSE)</f>
        <v>-6.1930983208684394E-4</v>
      </c>
      <c r="J459">
        <f>($B$1+Table4[[#This Row],[Home Differential]])-Table4[[#This Row],[Away Differential]]</f>
        <v>-0.15509962178119971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0.50299969717895132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-0.5365514628281316</v>
      </c>
      <c r="H460" t="s">
        <v>12</v>
      </c>
      <c r="I460">
        <f>VLOOKUP(Table4[[#This Row],[Visitor]],'NHL Model'!$A$6:$B$38,2,FALSE)</f>
        <v>1.5385519346678582</v>
      </c>
      <c r="J460">
        <f>($B$1+Table4[[#This Row],[Home Differential]])-Table4[[#This Row],[Away Differential]]</f>
        <v>-1.8968052038411265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0.7956790737511642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-2.6005603564376825E-2</v>
      </c>
      <c r="H461" t="s">
        <v>28</v>
      </c>
      <c r="I461">
        <f>VLOOKUP(Table4[[#This Row],[Visitor]],'NHL Model'!$A$6:$B$38,2,FALSE)</f>
        <v>-0.4068113735564976</v>
      </c>
      <c r="J461">
        <f>($B$1+Table4[[#This Row],[Home Differential]])-Table4[[#This Row],[Away Differential]]</f>
        <v>0.55910396364698411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0.59936727595242867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-1.429228083243411</v>
      </c>
      <c r="H462" t="s">
        <v>23</v>
      </c>
      <c r="I462">
        <f>VLOOKUP(Table4[[#This Row],[Visitor]],'NHL Model'!$A$6:$B$38,2,FALSE)</f>
        <v>-0.67384018791748512</v>
      </c>
      <c r="J462">
        <f>($B$1+Table4[[#This Row],[Home Differential]])-Table4[[#This Row],[Away Differential]]</f>
        <v>-0.57708970167106255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0.54271440691513861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-0.39497219926686861</v>
      </c>
      <c r="H463" t="s">
        <v>34</v>
      </c>
      <c r="I463">
        <f>VLOOKUP(Table4[[#This Row],[Visitor]],'NHL Model'!$A$6:$B$38,2,FALSE)</f>
        <v>-0.55929037526767655</v>
      </c>
      <c r="J463">
        <f>($B$1+Table4[[#This Row],[Home Differential]])-Table4[[#This Row],[Away Differential]]</f>
        <v>0.34261636965567133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0.61514502321430564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-0.64312007588488018</v>
      </c>
      <c r="H464" t="s">
        <v>37</v>
      </c>
      <c r="I464">
        <f>VLOOKUP(Table4[[#This Row],[Visitor]],'NHL Model'!$A$6:$B$38,2,FALSE)</f>
        <v>-0.12437377019828177</v>
      </c>
      <c r="J464">
        <f>($B$1+Table4[[#This Row],[Home Differential]])-Table4[[#This Row],[Away Differential]]</f>
        <v>-0.34044811203173508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0.55589590195482397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-0.14078840027135531</v>
      </c>
      <c r="H465" t="s">
        <v>13</v>
      </c>
      <c r="I465">
        <f>VLOOKUP(Table4[[#This Row],[Visitor]],'NHL Model'!$A$6:$B$38,2,FALSE)</f>
        <v>-0.12133880872417692</v>
      </c>
      <c r="J465">
        <f>($B$1+Table4[[#This Row],[Home Differential]])-Table4[[#This Row],[Away Differential]]</f>
        <v>0.15884860210768498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0.53058030866924077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-0.83680023888172561</v>
      </c>
      <c r="H466" t="s">
        <v>26</v>
      </c>
      <c r="I466">
        <f>VLOOKUP(Table4[[#This Row],[Visitor]],'NHL Model'!$A$6:$B$38,2,FALSE)</f>
        <v>-0.51526168477192669</v>
      </c>
      <c r="J466">
        <f>($B$1+Table4[[#This Row],[Home Differential]])-Table4[[#This Row],[Away Differential]]</f>
        <v>-0.1432403604549356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0.52763006708806237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0.73055531763635684</v>
      </c>
      <c r="H467" t="s">
        <v>28</v>
      </c>
      <c r="I467">
        <f>VLOOKUP(Table4[[#This Row],[Visitor]],'NHL Model'!$A$6:$B$38,2,FALSE)</f>
        <v>-0.4068113735564976</v>
      </c>
      <c r="J467">
        <f>($B$1+Table4[[#This Row],[Home Differential]])-Table4[[#This Row],[Away Differential]]</f>
        <v>1.3156648848477177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0.76000313849177359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-0.83182649756544103</v>
      </c>
      <c r="H468" t="s">
        <v>23</v>
      </c>
      <c r="I468">
        <f>VLOOKUP(Table4[[#This Row],[Visitor]],'NHL Model'!$A$6:$B$38,2,FALSE)</f>
        <v>-0.67384018791748512</v>
      </c>
      <c r="J468">
        <f>($B$1+Table4[[#This Row],[Home Differential]])-Table4[[#This Row],[Away Differential]]</f>
        <v>2.0311884006907421E-2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0.57894817362085804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-0.59444373833461905</v>
      </c>
      <c r="H469" t="s">
        <v>37</v>
      </c>
      <c r="I469">
        <f>VLOOKUP(Table4[[#This Row],[Visitor]],'NHL Model'!$A$6:$B$38,2,FALSE)</f>
        <v>-0.12437377019828177</v>
      </c>
      <c r="J469">
        <f>($B$1+Table4[[#This Row],[Home Differential]])-Table4[[#This Row],[Away Differential]]</f>
        <v>-0.29177177448147396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0.54891911068717136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-1.3905198871921312</v>
      </c>
      <c r="H470" t="s">
        <v>12</v>
      </c>
      <c r="I470">
        <f>VLOOKUP(Table4[[#This Row],[Visitor]],'NHL Model'!$A$6:$B$38,2,FALSE)</f>
        <v>1.5385519346678582</v>
      </c>
      <c r="J470">
        <f>($B$1+Table4[[#This Row],[Home Differential]])-Table4[[#This Row],[Away Differential]]</f>
        <v>-2.7507736282051258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0.92058484081170444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-8.2927339771111427E-2</v>
      </c>
      <c r="H471" t="s">
        <v>20</v>
      </c>
      <c r="I471">
        <f>VLOOKUP(Table4[[#This Row],[Visitor]],'NHL Model'!$A$6:$B$38,2,FALSE)</f>
        <v>-6.1930983208684394E-4</v>
      </c>
      <c r="J471">
        <f>($B$1+Table4[[#This Row],[Home Differential]])-Table4[[#This Row],[Away Differential]]</f>
        <v>9.5990163715838767E-2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0.53298906267882717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-0.4314038989751332</v>
      </c>
      <c r="H472" t="s">
        <v>24</v>
      </c>
      <c r="I472">
        <f>VLOOKUP(Table4[[#This Row],[Visitor]],'NHL Model'!$A$6:$B$38,2,FALSE)</f>
        <v>0.54693303419816819</v>
      </c>
      <c r="J472">
        <f>($B$1+Table4[[#This Row],[Home Differential]])-Table4[[#This Row],[Away Differential]]</f>
        <v>-0.80003873951843807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0.63847927039620223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-0.5365514628281316</v>
      </c>
      <c r="H473" t="s">
        <v>33</v>
      </c>
      <c r="I473">
        <f>VLOOKUP(Table4[[#This Row],[Visitor]],'NHL Model'!$A$6:$B$38,2,FALSE)</f>
        <v>-0.40334472409778083</v>
      </c>
      <c r="J473">
        <f>($B$1+Table4[[#This Row],[Home Differential]])-Table4[[#This Row],[Away Differential]]</f>
        <v>4.5091454924512553E-2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0.54895844837572128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0.24618288254564977</v>
      </c>
      <c r="H474" t="s">
        <v>31</v>
      </c>
      <c r="I474">
        <f>VLOOKUP(Table4[[#This Row],[Visitor]],'NHL Model'!$A$6:$B$38,2,FALSE)</f>
        <v>0.5301060565842276</v>
      </c>
      <c r="J474">
        <f>($B$1+Table4[[#This Row],[Home Differential]])-Table4[[#This Row],[Away Differential]]</f>
        <v>-0.10562498038371448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0.45958369850245906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-1.6560580871558699</v>
      </c>
      <c r="H475" t="s">
        <v>21</v>
      </c>
      <c r="I475">
        <f>VLOOKUP(Table4[[#This Row],[Visitor]],'NHL Model'!$A$6:$B$38,2,FALSE)</f>
        <v>-1.6459316139111148E-2</v>
      </c>
      <c r="J475">
        <f>($B$1+Table4[[#This Row],[Home Differential]])-Table4[[#This Row],[Away Differential]]</f>
        <v>-1.4613005773618954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0.66944856619557958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7.2067135963786652E-2</v>
      </c>
      <c r="H476" t="s">
        <v>39</v>
      </c>
      <c r="I476">
        <f>VLOOKUP(Table4[[#This Row],[Visitor]],'NHL Model'!$A$6:$B$38,2,FALSE)</f>
        <v>0.16990542827764471</v>
      </c>
      <c r="J476">
        <f>($B$1+Table4[[#This Row],[Home Differential]])-Table4[[#This Row],[Away Differential]]</f>
        <v>8.045990134100528E-2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0.49540330491690254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-1.429228083243411</v>
      </c>
      <c r="H477" t="s">
        <v>26</v>
      </c>
      <c r="I477">
        <f>VLOOKUP(Table4[[#This Row],[Visitor]],'NHL Model'!$A$6:$B$38,2,FALSE)</f>
        <v>-0.51526168477192669</v>
      </c>
      <c r="J477">
        <f>($B$1+Table4[[#This Row],[Home Differential]])-Table4[[#This Row],[Away Differential]]</f>
        <v>-0.73566820481662099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0.61254289371535486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0.26494263732175571</v>
      </c>
      <c r="H478" t="s">
        <v>15</v>
      </c>
      <c r="I478">
        <f>VLOOKUP(Table4[[#This Row],[Visitor]],'NHL Model'!$A$6:$B$38,2,FALSE)</f>
        <v>-0.33401712526814992</v>
      </c>
      <c r="J478">
        <f>($B$1+Table4[[#This Row],[Home Differential]])-Table4[[#This Row],[Away Differential]]</f>
        <v>0.77725795624476901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0.50899493284030772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-0.39497219926686861</v>
      </c>
      <c r="H479" t="s">
        <v>13</v>
      </c>
      <c r="I479">
        <f>VLOOKUP(Table4[[#This Row],[Visitor]],'NHL Model'!$A$6:$B$38,2,FALSE)</f>
        <v>-0.12133880872417692</v>
      </c>
      <c r="J479">
        <f>($B$1+Table4[[#This Row],[Home Differential]])-Table4[[#This Row],[Away Differential]]</f>
        <v>-9.5335196887828336E-2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0.54937870260802102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-0.14078840027135531</v>
      </c>
      <c r="H480" t="s">
        <v>11</v>
      </c>
      <c r="I480">
        <f>VLOOKUP(Table4[[#This Row],[Visitor]],'NHL Model'!$A$6:$B$38,2,FALSE)</f>
        <v>-0.16385680125706742</v>
      </c>
      <c r="J480">
        <f>($B$1+Table4[[#This Row],[Home Differential]])-Table4[[#This Row],[Away Differential]]</f>
        <v>0.20136659464057546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0.63713442893455585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-0.4068113735564976</v>
      </c>
      <c r="H481" t="s">
        <v>36</v>
      </c>
      <c r="I481">
        <f>VLOOKUP(Table4[[#This Row],[Visitor]],'NHL Model'!$A$6:$B$38,2,FALSE)</f>
        <v>-0.4314038989751332</v>
      </c>
      <c r="J481">
        <f>($B$1+Table4[[#This Row],[Home Differential]])-Table4[[#This Row],[Away Differential]]</f>
        <v>0.20289071907349895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0.57612632783643858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1.5385519346678582</v>
      </c>
      <c r="H482" t="s">
        <v>11</v>
      </c>
      <c r="I482">
        <f>VLOOKUP(Table4[[#This Row],[Visitor]],'NHL Model'!$A$6:$B$38,2,FALSE)</f>
        <v>-0.16385680125706742</v>
      </c>
      <c r="J482">
        <f>($B$1+Table4[[#This Row],[Home Differential]])-Table4[[#This Row],[Away Differential]]</f>
        <v>1.8807069295797889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0.89792842814291896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-0.83182649756544103</v>
      </c>
      <c r="H483" t="s">
        <v>26</v>
      </c>
      <c r="I483">
        <f>VLOOKUP(Table4[[#This Row],[Visitor]],'NHL Model'!$A$6:$B$38,2,FALSE)</f>
        <v>-0.51526168477192669</v>
      </c>
      <c r="J483">
        <f>($B$1+Table4[[#This Row],[Home Differential]])-Table4[[#This Row],[Away Differential]]</f>
        <v>-0.13826661913865101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0.49040602335219269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-0.55929037526767655</v>
      </c>
      <c r="H484" t="s">
        <v>39</v>
      </c>
      <c r="I484">
        <f>VLOOKUP(Table4[[#This Row],[Visitor]],'NHL Model'!$A$6:$B$38,2,FALSE)</f>
        <v>0.16990542827764471</v>
      </c>
      <c r="J484">
        <f>($B$1+Table4[[#This Row],[Home Differential]])-Table4[[#This Row],[Away Differential]]</f>
        <v>-0.55089760989045788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0.63144647589256764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0.54693303419816819</v>
      </c>
      <c r="H485" t="s">
        <v>37</v>
      </c>
      <c r="I485">
        <f>VLOOKUP(Table4[[#This Row],[Visitor]],'NHL Model'!$A$6:$B$38,2,FALSE)</f>
        <v>-0.12437377019828177</v>
      </c>
      <c r="J485">
        <f>($B$1+Table4[[#This Row],[Home Differential]])-Table4[[#This Row],[Away Differential]]</f>
        <v>0.84960499805131329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0.73342457588151511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-1.3905198871921312</v>
      </c>
      <c r="H486" t="s">
        <v>35</v>
      </c>
      <c r="I486">
        <f>VLOOKUP(Table4[[#This Row],[Visitor]],'NHL Model'!$A$6:$B$38,2,FALSE)</f>
        <v>-1.6560580871558699</v>
      </c>
      <c r="J486">
        <f>($B$1+Table4[[#This Row],[Home Differential]])-Table4[[#This Row],[Away Differential]]</f>
        <v>0.44383639361860205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0.60361517795103903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-8.2927339771111427E-2</v>
      </c>
      <c r="H487" t="s">
        <v>31</v>
      </c>
      <c r="I487">
        <f>VLOOKUP(Table4[[#This Row],[Visitor]],'NHL Model'!$A$6:$B$38,2,FALSE)</f>
        <v>0.5301060565842276</v>
      </c>
      <c r="J487">
        <f>($B$1+Table4[[#This Row],[Home Differential]])-Table4[[#This Row],[Away Differential]]</f>
        <v>-0.43473520270047566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0.5430799328184569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-0.5365514628281316</v>
      </c>
      <c r="H488" t="s">
        <v>20</v>
      </c>
      <c r="I488">
        <f>VLOOKUP(Table4[[#This Row],[Visitor]],'NHL Model'!$A$6:$B$38,2,FALSE)</f>
        <v>-6.1930983208684394E-4</v>
      </c>
      <c r="J488">
        <f>($B$1+Table4[[#This Row],[Home Differential]])-Table4[[#This Row],[Away Differential]]</f>
        <v>-0.35763395934118142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0.52952063170264652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0.24618288254564977</v>
      </c>
      <c r="H489" t="s">
        <v>18</v>
      </c>
      <c r="I489">
        <f>VLOOKUP(Table4[[#This Row],[Visitor]],'NHL Model'!$A$6:$B$38,2,FALSE)</f>
        <v>-0.59444373833461905</v>
      </c>
      <c r="J489">
        <f>($B$1+Table4[[#This Row],[Home Differential]])-Table4[[#This Row],[Away Differential]]</f>
        <v>1.0189248145351322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0.67545450551609698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-0.64312007588488018</v>
      </c>
      <c r="H490" t="s">
        <v>33</v>
      </c>
      <c r="I490">
        <f>VLOOKUP(Table4[[#This Row],[Visitor]],'NHL Model'!$A$6:$B$38,2,FALSE)</f>
        <v>-0.40334472409778083</v>
      </c>
      <c r="J490">
        <f>($B$1+Table4[[#This Row],[Home Differential]])-Table4[[#This Row],[Away Differential]]</f>
        <v>-6.1477158132236032E-2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0.46881153598653985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-0.83680023888172561</v>
      </c>
      <c r="H491" t="s">
        <v>23</v>
      </c>
      <c r="I491">
        <f>VLOOKUP(Table4[[#This Row],[Visitor]],'NHL Model'!$A$6:$B$38,2,FALSE)</f>
        <v>-0.67384018791748512</v>
      </c>
      <c r="J491">
        <f>($B$1+Table4[[#This Row],[Home Differential]])-Table4[[#This Row],[Away Differential]]</f>
        <v>1.5338142690622836E-2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0.54219841971215388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7.2067135963786652E-2</v>
      </c>
      <c r="H492" t="s">
        <v>21</v>
      </c>
      <c r="I492">
        <f>VLOOKUP(Table4[[#This Row],[Visitor]],'NHL Model'!$A$6:$B$38,2,FALSE)</f>
        <v>-1.6459316139111148E-2</v>
      </c>
      <c r="J492">
        <f>($B$1+Table4[[#This Row],[Home Differential]])-Table4[[#This Row],[Away Differential]]</f>
        <v>0.26682464575776116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0.6142809075549267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-2.6005603564376825E-2</v>
      </c>
      <c r="H493" t="s">
        <v>25</v>
      </c>
      <c r="I493">
        <f>VLOOKUP(Table4[[#This Row],[Visitor]],'NHL Model'!$A$6:$B$38,2,FALSE)</f>
        <v>0.73055531763635684</v>
      </c>
      <c r="J493">
        <f>($B$1+Table4[[#This Row],[Home Differential]])-Table4[[#This Row],[Away Differential]]</f>
        <v>-0.57826272754587027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0.64739866603055329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-1.6560580871558699</v>
      </c>
      <c r="H494" t="s">
        <v>10</v>
      </c>
      <c r="I494">
        <f>VLOOKUP(Table4[[#This Row],[Visitor]],'NHL Model'!$A$6:$B$38,2,FALSE)</f>
        <v>0.26494263732175571</v>
      </c>
      <c r="J494">
        <f>($B$1+Table4[[#This Row],[Home Differential]])-Table4[[#This Row],[Away Differential]]</f>
        <v>-1.7427025308227622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0.73055120720914035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-0.14078840027135531</v>
      </c>
      <c r="H495" t="s">
        <v>32</v>
      </c>
      <c r="I495">
        <f>VLOOKUP(Table4[[#This Row],[Visitor]],'NHL Model'!$A$6:$B$38,2,FALSE)</f>
        <v>-0.39497219926686861</v>
      </c>
      <c r="J495">
        <f>($B$1+Table4[[#This Row],[Home Differential]])-Table4[[#This Row],[Away Differential]]</f>
        <v>0.43248199265037668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0.67026025498894848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-0.4068113735564976</v>
      </c>
      <c r="H496" t="s">
        <v>20</v>
      </c>
      <c r="I496">
        <f>VLOOKUP(Table4[[#This Row],[Visitor]],'NHL Model'!$A$6:$B$38,2,FALSE)</f>
        <v>-6.1930983208684394E-4</v>
      </c>
      <c r="J496">
        <f>($B$1+Table4[[#This Row],[Home Differential]])-Table4[[#This Row],[Away Differential]]</f>
        <v>-0.22789387006954739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0.50634829419964167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0.26494263732175571</v>
      </c>
      <c r="H497" t="s">
        <v>26</v>
      </c>
      <c r="I497">
        <f>VLOOKUP(Table4[[#This Row],[Visitor]],'NHL Model'!$A$6:$B$38,2,FALSE)</f>
        <v>-0.51526168477192669</v>
      </c>
      <c r="J497">
        <f>($B$1+Table4[[#This Row],[Home Differential]])-Table4[[#This Row],[Away Differential]]</f>
        <v>0.95850251574854572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0.63028300658881542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1.5385519346678582</v>
      </c>
      <c r="H498" t="s">
        <v>29</v>
      </c>
      <c r="I498">
        <f>VLOOKUP(Table4[[#This Row],[Visitor]],'NHL Model'!$A$6:$B$38,2,FALSE)</f>
        <v>-1.3905198871921312</v>
      </c>
      <c r="J498">
        <f>($B$1+Table4[[#This Row],[Home Differential]])-Table4[[#This Row],[Away Differential]]</f>
        <v>3.1073700155148529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0.16990542827764471</v>
      </c>
      <c r="H499" t="s">
        <v>11</v>
      </c>
      <c r="I499">
        <f>VLOOKUP(Table4[[#This Row],[Visitor]],'NHL Model'!$A$6:$B$38,2,FALSE)</f>
        <v>-0.16385680125706742</v>
      </c>
      <c r="J499">
        <f>($B$1+Table4[[#This Row],[Home Differential]])-Table4[[#This Row],[Away Differential]]</f>
        <v>0.51206042318957556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0.63943148050642107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-0.12133880872417692</v>
      </c>
      <c r="H500" t="s">
        <v>16</v>
      </c>
      <c r="I500">
        <f>VLOOKUP(Table4[[#This Row],[Visitor]],'NHL Model'!$A$6:$B$38,2,FALSE)</f>
        <v>-1.429228083243411</v>
      </c>
      <c r="J500">
        <f>($B$1+Table4[[#This Row],[Home Differential]])-Table4[[#This Row],[Away Differential]]</f>
        <v>1.4861874681740974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0.75301561029207331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-0.55929037526767655</v>
      </c>
      <c r="H501" t="s">
        <v>36</v>
      </c>
      <c r="I501">
        <f>VLOOKUP(Table4[[#This Row],[Visitor]],'NHL Model'!$A$6:$B$38,2,FALSE)</f>
        <v>-0.4314038989751332</v>
      </c>
      <c r="J501">
        <f>($B$1+Table4[[#This Row],[Home Differential]])-Table4[[#This Row],[Away Differential]]</f>
        <v>5.0411717362319974E-2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0.54722552367703603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0.54693303419816819</v>
      </c>
      <c r="H502" t="s">
        <v>31</v>
      </c>
      <c r="I502">
        <f>VLOOKUP(Table4[[#This Row],[Visitor]],'NHL Model'!$A$6:$B$38,2,FALSE)</f>
        <v>0.5301060565842276</v>
      </c>
      <c r="J502">
        <f>($B$1+Table4[[#This Row],[Home Differential]])-Table4[[#This Row],[Away Differential]]</f>
        <v>0.19512517126880391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0.66433097448971756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-8.2927339771111427E-2</v>
      </c>
      <c r="H503" t="s">
        <v>37</v>
      </c>
      <c r="I503">
        <f>VLOOKUP(Table4[[#This Row],[Visitor]],'NHL Model'!$A$6:$B$38,2,FALSE)</f>
        <v>-0.12437377019828177</v>
      </c>
      <c r="J503">
        <f>($B$1+Table4[[#This Row],[Home Differential]])-Table4[[#This Row],[Away Differential]]</f>
        <v>0.21974462408203371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0.52439665878858421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-0.33401712526814992</v>
      </c>
      <c r="H504" t="s">
        <v>18</v>
      </c>
      <c r="I504">
        <f>VLOOKUP(Table4[[#This Row],[Visitor]],'NHL Model'!$A$6:$B$38,2,FALSE)</f>
        <v>-0.59444373833461905</v>
      </c>
      <c r="J504">
        <f>($B$1+Table4[[#This Row],[Home Differential]])-Table4[[#This Row],[Away Differential]]</f>
        <v>0.43872480672133252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0.55578314148049435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-0.5365514628281316</v>
      </c>
      <c r="H505" t="s">
        <v>25</v>
      </c>
      <c r="I505">
        <f>VLOOKUP(Table4[[#This Row],[Visitor]],'NHL Model'!$A$6:$B$38,2,FALSE)</f>
        <v>0.73055531763635684</v>
      </c>
      <c r="J505">
        <f>($B$1+Table4[[#This Row],[Home Differential]])-Table4[[#This Row],[Away Differential]]</f>
        <v>-1.0888085868096251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0.71810299446124837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0.24618288254564977</v>
      </c>
      <c r="H506" t="s">
        <v>33</v>
      </c>
      <c r="I506">
        <f>VLOOKUP(Table4[[#This Row],[Visitor]],'NHL Model'!$A$6:$B$38,2,FALSE)</f>
        <v>-0.40334472409778083</v>
      </c>
      <c r="J506">
        <f>($B$1+Table4[[#This Row],[Home Differential]])-Table4[[#This Row],[Away Differential]]</f>
        <v>0.82782580029829389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0.69468933910752706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-0.64312007588488018</v>
      </c>
      <c r="H507" t="s">
        <v>17</v>
      </c>
      <c r="I507">
        <f>VLOOKUP(Table4[[#This Row],[Visitor]],'NHL Model'!$A$6:$B$38,2,FALSE)</f>
        <v>-0.83182649756544103</v>
      </c>
      <c r="J507">
        <f>($B$1+Table4[[#This Row],[Home Differential]])-Table4[[#This Row],[Away Differential]]</f>
        <v>0.36700461533542417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0.59260286053396127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7.2067135963786652E-2</v>
      </c>
      <c r="H508" t="s">
        <v>22</v>
      </c>
      <c r="I508">
        <f>VLOOKUP(Table4[[#This Row],[Visitor]],'NHL Model'!$A$6:$B$38,2,FALSE)</f>
        <v>-2.6005603564376825E-2</v>
      </c>
      <c r="J508">
        <f>($B$1+Table4[[#This Row],[Home Differential]])-Table4[[#This Row],[Away Differential]]</f>
        <v>0.2763709331830268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0.61564917924706719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0.73055531763635684</v>
      </c>
      <c r="H509" t="s">
        <v>27</v>
      </c>
      <c r="I509">
        <f>VLOOKUP(Table4[[#This Row],[Visitor]],'NHL Model'!$A$6:$B$38,2,FALSE)</f>
        <v>-0.5365514628281316</v>
      </c>
      <c r="J509">
        <f>($B$1+Table4[[#This Row],[Home Differential]])-Table4[[#This Row],[Away Differential]]</f>
        <v>1.4454049741193518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0.7988862218586662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-0.55929037526767655</v>
      </c>
      <c r="H510" t="s">
        <v>21</v>
      </c>
      <c r="I510">
        <f>VLOOKUP(Table4[[#This Row],[Visitor]],'NHL Model'!$A$6:$B$38,2,FALSE)</f>
        <v>-1.6459316139111148E-2</v>
      </c>
      <c r="J510">
        <f>($B$1+Table4[[#This Row],[Home Differential]])-Table4[[#This Row],[Away Differential]]</f>
        <v>-0.36453286547370206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0.51224858402675122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-0.59444373833461905</v>
      </c>
      <c r="H511" t="s">
        <v>17</v>
      </c>
      <c r="I511">
        <f>VLOOKUP(Table4[[#This Row],[Visitor]],'NHL Model'!$A$6:$B$38,2,FALSE)</f>
        <v>-0.83182649756544103</v>
      </c>
      <c r="J511">
        <f>($B$1+Table4[[#This Row],[Home Differential]])-Table4[[#This Row],[Away Differential]]</f>
        <v>0.4156809528856853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0.59957965180161388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0.54693303419816819</v>
      </c>
      <c r="H512" t="s">
        <v>38</v>
      </c>
      <c r="I512">
        <f>VLOOKUP(Table4[[#This Row],[Visitor]],'NHL Model'!$A$6:$B$38,2,FALSE)</f>
        <v>-0.83680023888172561</v>
      </c>
      <c r="J512">
        <f>($B$1+Table4[[#This Row],[Home Differential]])-Table4[[#This Row],[Away Differential]]</f>
        <v>1.5620314667347572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0.8602499853655704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0.24618288254564977</v>
      </c>
      <c r="H513" t="s">
        <v>55</v>
      </c>
      <c r="I513">
        <f>VLOOKUP(Table4[[#This Row],[Visitor]],'NHL Model'!$A$6:$B$38,2,FALSE)</f>
        <v>-0.14078840027135531</v>
      </c>
      <c r="J513">
        <f>($B$1+Table4[[#This Row],[Home Differential]])-Table4[[#This Row],[Away Differential]]</f>
        <v>0.56526947647186843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0.65705707752975839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-0.39497219926686861</v>
      </c>
      <c r="H514" t="s">
        <v>23</v>
      </c>
      <c r="I514">
        <f>VLOOKUP(Table4[[#This Row],[Visitor]],'NHL Model'!$A$6:$B$38,2,FALSE)</f>
        <v>-0.67384018791748512</v>
      </c>
      <c r="J514">
        <f>($B$1+Table4[[#This Row],[Home Differential]])-Table4[[#This Row],[Away Differential]]</f>
        <v>0.4571661823054799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0.6315634756457611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0.16990542827764471</v>
      </c>
      <c r="H515" t="s">
        <v>13</v>
      </c>
      <c r="I515">
        <f>VLOOKUP(Table4[[#This Row],[Visitor]],'NHL Model'!$A$6:$B$38,2,FALSE)</f>
        <v>-0.12133880872417692</v>
      </c>
      <c r="J515">
        <f>($B$1+Table4[[#This Row],[Home Differential]])-Table4[[#This Row],[Away Differential]]</f>
        <v>0.46954243065668499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0.53158534476048869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-0.33401712526814992</v>
      </c>
      <c r="H516" t="s">
        <v>31</v>
      </c>
      <c r="I516">
        <f>VLOOKUP(Table4[[#This Row],[Visitor]],'NHL Model'!$A$6:$B$38,2,FALSE)</f>
        <v>0.5301060565842276</v>
      </c>
      <c r="J516">
        <f>($B$1+Table4[[#This Row],[Home Differential]])-Table4[[#This Row],[Away Differential]]</f>
        <v>-0.68582498819751414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0.5790686926762354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-1.6560580871558699</v>
      </c>
      <c r="H517" t="s">
        <v>29</v>
      </c>
      <c r="I517">
        <f>VLOOKUP(Table4[[#This Row],[Visitor]],'NHL Model'!$A$6:$B$38,2,FALSE)</f>
        <v>-1.3905198871921312</v>
      </c>
      <c r="J517">
        <f>($B$1+Table4[[#This Row],[Home Differential]])-Table4[[#This Row],[Away Differential]]</f>
        <v>-8.7240006308875406E-2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0.47250413126454416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-0.12437377019828177</v>
      </c>
      <c r="H518" t="s">
        <v>11</v>
      </c>
      <c r="I518">
        <f>VLOOKUP(Table4[[#This Row],[Visitor]],'NHL Model'!$A$6:$B$38,2,FALSE)</f>
        <v>-0.16385680125706742</v>
      </c>
      <c r="J518">
        <f>($B$1+Table4[[#This Row],[Home Differential]])-Table4[[#This Row],[Away Differential]]</f>
        <v>0.217781224713649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0.57121463576161624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7.2067135963786652E-2</v>
      </c>
      <c r="H519" t="s">
        <v>36</v>
      </c>
      <c r="I519">
        <f>VLOOKUP(Table4[[#This Row],[Visitor]],'NHL Model'!$A$6:$B$38,2,FALSE)</f>
        <v>-0.4314038989751332</v>
      </c>
      <c r="J519">
        <f>($B$1+Table4[[#This Row],[Home Differential]])-Table4[[#This Row],[Away Differential]]</f>
        <v>0.68176922859378319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0.67375501525871384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-1.6459316139111148E-2</v>
      </c>
      <c r="H520" t="s">
        <v>55</v>
      </c>
      <c r="I520">
        <f>VLOOKUP(Table4[[#This Row],[Visitor]],'NHL Model'!$A$6:$B$38,2,FALSE)</f>
        <v>-0.14078840027135531</v>
      </c>
      <c r="J520">
        <f>($B$1+Table4[[#This Row],[Home Differential]])-Table4[[#This Row],[Away Differential]]</f>
        <v>0.30262727778710752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0.63509161745962928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-0.4068113735564976</v>
      </c>
      <c r="H521" t="s">
        <v>31</v>
      </c>
      <c r="I521">
        <f>VLOOKUP(Table4[[#This Row],[Visitor]],'NHL Model'!$A$6:$B$38,2,FALSE)</f>
        <v>0.5301060565842276</v>
      </c>
      <c r="J521">
        <f>($B$1+Table4[[#This Row],[Home Differential]])-Table4[[#This Row],[Away Differential]]</f>
        <v>-0.75861923648586183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0.58241728969692574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-0.51526168477192669</v>
      </c>
      <c r="H522" t="s">
        <v>30</v>
      </c>
      <c r="I522">
        <f>VLOOKUP(Table4[[#This Row],[Visitor]],'NHL Model'!$A$6:$B$38,2,FALSE)</f>
        <v>-8.2927339771111427E-2</v>
      </c>
      <c r="J522">
        <f>($B$1+Table4[[#This Row],[Home Differential]])-Table4[[#This Row],[Away Differential]]</f>
        <v>-0.25403615134595192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0.51260153938002817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-0.55929037526767655</v>
      </c>
      <c r="H523" t="s">
        <v>22</v>
      </c>
      <c r="I523">
        <f>VLOOKUP(Table4[[#This Row],[Visitor]],'NHL Model'!$A$6:$B$38,2,FALSE)</f>
        <v>-2.6005603564376825E-2</v>
      </c>
      <c r="J523">
        <f>($B$1+Table4[[#This Row],[Home Differential]])-Table4[[#This Row],[Away Differential]]</f>
        <v>-0.35498657804843642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0.51088031233461073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-0.59444373833461905</v>
      </c>
      <c r="H524" t="s">
        <v>27</v>
      </c>
      <c r="I524">
        <f>VLOOKUP(Table4[[#This Row],[Visitor]],'NHL Model'!$A$6:$B$38,2,FALSE)</f>
        <v>-0.5365514628281316</v>
      </c>
      <c r="J524">
        <f>($B$1+Table4[[#This Row],[Home Differential]])-Table4[[#This Row],[Away Differential]]</f>
        <v>0.12040591814837587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0.55725780945297898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-0.33401712526814992</v>
      </c>
      <c r="H525" t="s">
        <v>38</v>
      </c>
      <c r="I525">
        <f>VLOOKUP(Table4[[#This Row],[Visitor]],'NHL Model'!$A$6:$B$38,2,FALSE)</f>
        <v>-0.83680023888172561</v>
      </c>
      <c r="J525">
        <f>($B$1+Table4[[#This Row],[Home Differential]])-Table4[[#This Row],[Away Differential]]</f>
        <v>0.68108130726843907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0.61685031819961733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0.24618288254564977</v>
      </c>
      <c r="H526" t="s">
        <v>17</v>
      </c>
      <c r="I526">
        <f>VLOOKUP(Table4[[#This Row],[Visitor]],'NHL Model'!$A$6:$B$38,2,FALSE)</f>
        <v>-0.83182649756544103</v>
      </c>
      <c r="J526">
        <f>($B$1+Table4[[#This Row],[Home Differential]])-Table4[[#This Row],[Away Differential]]</f>
        <v>1.2563075737659541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0.75610373562802802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-0.39497219926686861</v>
      </c>
      <c r="H527" t="s">
        <v>12</v>
      </c>
      <c r="I527">
        <f>VLOOKUP(Table4[[#This Row],[Visitor]],'NHL Model'!$A$6:$B$38,2,FALSE)</f>
        <v>1.5385519346678582</v>
      </c>
      <c r="J527">
        <f>($B$1+Table4[[#This Row],[Home Differential]])-Table4[[#This Row],[Away Differential]]</f>
        <v>-1.7552259402798636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0.75157695975498184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-0.40334472409778083</v>
      </c>
      <c r="H528" t="s">
        <v>16</v>
      </c>
      <c r="I528">
        <f>VLOOKUP(Table4[[#This Row],[Visitor]],'NHL Model'!$A$6:$B$38,2,FALSE)</f>
        <v>-1.429228083243411</v>
      </c>
      <c r="J528">
        <f>($B$1+Table4[[#This Row],[Home Differential]])-Table4[[#This Row],[Away Differential]]</f>
        <v>1.2041815528004935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0.71259563404029813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-0.64312007588488018</v>
      </c>
      <c r="H529" t="s">
        <v>10</v>
      </c>
      <c r="I529">
        <f>VLOOKUP(Table4[[#This Row],[Visitor]],'NHL Model'!$A$6:$B$38,2,FALSE)</f>
        <v>0.26494263732175571</v>
      </c>
      <c r="J529">
        <f>($B$1+Table4[[#This Row],[Home Differential]])-Table4[[#This Row],[Away Differential]]</f>
        <v>-0.72976451955177257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0.58536655636289014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-0.51526168477192669</v>
      </c>
      <c r="H530" t="s">
        <v>55</v>
      </c>
      <c r="I530">
        <f>VLOOKUP(Table4[[#This Row],[Visitor]],'NHL Model'!$A$6:$B$38,2,FALSE)</f>
        <v>-0.14078840027135531</v>
      </c>
      <c r="J530">
        <f>($B$1+Table4[[#This Row],[Home Differential]])-Table4[[#This Row],[Away Differential]]</f>
        <v>-0.19617509084570806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0.46208008750464308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-0.16385680125706742</v>
      </c>
      <c r="H531" t="s">
        <v>13</v>
      </c>
      <c r="I531">
        <f>VLOOKUP(Table4[[#This Row],[Visitor]],'NHL Model'!$A$6:$B$38,2,FALSE)</f>
        <v>-0.12133880872417692</v>
      </c>
      <c r="J531">
        <f>($B$1+Table4[[#This Row],[Home Differential]])-Table4[[#This Row],[Away Differential]]</f>
        <v>0.13578020112197287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0.52222384009988376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-1.3905198871921312</v>
      </c>
      <c r="H532" t="s">
        <v>25</v>
      </c>
      <c r="I532">
        <f>VLOOKUP(Table4[[#This Row],[Visitor]],'NHL Model'!$A$6:$B$38,2,FALSE)</f>
        <v>0.73055531763635684</v>
      </c>
      <c r="J532">
        <f>($B$1+Table4[[#This Row],[Home Differential]])-Table4[[#This Row],[Away Differential]]</f>
        <v>-1.9427770111736247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0.84297482926944833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-1.6560580871558699</v>
      </c>
      <c r="H533" t="s">
        <v>40</v>
      </c>
      <c r="I533">
        <f>VLOOKUP(Table4[[#This Row],[Visitor]],'NHL Model'!$A$6:$B$38,2,FALSE)</f>
        <v>7.2067135963786652E-2</v>
      </c>
      <c r="J533">
        <f>($B$1+Table4[[#This Row],[Home Differential]])-Table4[[#This Row],[Away Differential]]</f>
        <v>-1.5498270294647931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0.74845287352149592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-6.1930983208684394E-4</v>
      </c>
      <c r="H534" t="s">
        <v>24</v>
      </c>
      <c r="I534">
        <f>VLOOKUP(Table4[[#This Row],[Visitor]],'NHL Model'!$A$6:$B$38,2,FALSE)</f>
        <v>0.54693303419816819</v>
      </c>
      <c r="J534">
        <f>($B$1+Table4[[#This Row],[Home Differential]])-Table4[[#This Row],[Away Differential]]</f>
        <v>-0.36925415037539167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0.57924107641055456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-1.6459316139111148E-2</v>
      </c>
      <c r="H535" t="s">
        <v>17</v>
      </c>
      <c r="I535">
        <f>VLOOKUP(Table4[[#This Row],[Visitor]],'NHL Model'!$A$6:$B$38,2,FALSE)</f>
        <v>-0.83182649756544103</v>
      </c>
      <c r="J535">
        <f>($B$1+Table4[[#This Row],[Home Differential]])-Table4[[#This Row],[Away Differential]]</f>
        <v>0.99366537508119324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0.7341382755578989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-0.67384018791748512</v>
      </c>
      <c r="H536" t="s">
        <v>27</v>
      </c>
      <c r="I536">
        <f>VLOOKUP(Table4[[#This Row],[Visitor]],'NHL Model'!$A$6:$B$38,2,FALSE)</f>
        <v>-0.5365514628281316</v>
      </c>
      <c r="J536">
        <f>($B$1+Table4[[#This Row],[Home Differential]])-Table4[[#This Row],[Away Differential]]</f>
        <v>4.1009468565509799E-2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0.54837337628078897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-0.4068113735564976</v>
      </c>
      <c r="H537" t="s">
        <v>34</v>
      </c>
      <c r="I537">
        <f>VLOOKUP(Table4[[#This Row],[Visitor]],'NHL Model'!$A$6:$B$38,2,FALSE)</f>
        <v>-0.55929037526767655</v>
      </c>
      <c r="J537">
        <f>($B$1+Table4[[#This Row],[Home Differential]])-Table4[[#This Row],[Away Differential]]</f>
        <v>0.33077719536604233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0.59445632750264998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-1.429228083243411</v>
      </c>
      <c r="H538" t="s">
        <v>32</v>
      </c>
      <c r="I538">
        <f>VLOOKUP(Table4[[#This Row],[Visitor]],'NHL Model'!$A$6:$B$38,2,FALSE)</f>
        <v>-0.39497219926686861</v>
      </c>
      <c r="J538">
        <f>($B$1+Table4[[#This Row],[Home Differential]])-Table4[[#This Row],[Away Differential]]</f>
        <v>-0.85595769032167901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0.58268462336859572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-0.59444373833461905</v>
      </c>
      <c r="H539" t="s">
        <v>10</v>
      </c>
      <c r="I539">
        <f>VLOOKUP(Table4[[#This Row],[Visitor]],'NHL Model'!$A$6:$B$38,2,FALSE)</f>
        <v>0.26494263732175571</v>
      </c>
      <c r="J539">
        <f>($B$1+Table4[[#This Row],[Home Differential]])-Table4[[#This Row],[Away Differential]]</f>
        <v>-0.68108818200151144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0.57838976509523754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-0.4314038989751332</v>
      </c>
      <c r="H540" t="s">
        <v>14</v>
      </c>
      <c r="I540">
        <f>VLOOKUP(Table4[[#This Row],[Visitor]],'NHL Model'!$A$6:$B$38,2,FALSE)</f>
        <v>0.24618288254564977</v>
      </c>
      <c r="J540">
        <f>($B$1+Table4[[#This Row],[Home Differential]])-Table4[[#This Row],[Away Differential]]</f>
        <v>-0.49928858786591968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0.52906767519824272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-0.40334472409778083</v>
      </c>
      <c r="H541" t="s">
        <v>39</v>
      </c>
      <c r="I541">
        <f>VLOOKUP(Table4[[#This Row],[Visitor]],'NHL Model'!$A$6:$B$38,2,FALSE)</f>
        <v>0.16990542827764471</v>
      </c>
      <c r="J541">
        <f>($B$1+Table4[[#This Row],[Home Differential]])-Table4[[#This Row],[Away Differential]]</f>
        <v>-0.39495195872056221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0.60909474788535856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-1.6560580871558699</v>
      </c>
      <c r="H542" t="s">
        <v>15</v>
      </c>
      <c r="I542">
        <f>VLOOKUP(Table4[[#This Row],[Visitor]],'NHL Model'!$A$6:$B$38,2,FALSE)</f>
        <v>-0.33401712526814992</v>
      </c>
      <c r="J542">
        <f>($B$1+Table4[[#This Row],[Home Differential]])-Table4[[#This Row],[Away Differential]]</f>
        <v>-1.1437427682328567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0.7663425669428493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-0.12437377019828177</v>
      </c>
      <c r="H543" t="s">
        <v>13</v>
      </c>
      <c r="I543">
        <f>VLOOKUP(Table4[[#This Row],[Visitor]],'NHL Model'!$A$6:$B$38,2,FALSE)</f>
        <v>-0.12133880872417692</v>
      </c>
      <c r="J543">
        <f>($B$1+Table4[[#This Row],[Home Differential]])-Table4[[#This Row],[Away Differential]]</f>
        <v>0.17526323218075851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0.46332276877003736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-2.6005603564376825E-2</v>
      </c>
      <c r="H544" t="s">
        <v>19</v>
      </c>
      <c r="I544">
        <f>VLOOKUP(Table4[[#This Row],[Visitor]],'NHL Model'!$A$6:$B$38,2,FALSE)</f>
        <v>-0.64312007588488018</v>
      </c>
      <c r="J544">
        <f>($B$1+Table4[[#This Row],[Home Differential]])-Table4[[#This Row],[Away Differential]]</f>
        <v>0.79541266597536664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0.65400669034368386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0.5301060565842276</v>
      </c>
      <c r="H545" t="s">
        <v>39</v>
      </c>
      <c r="I545">
        <f>VLOOKUP(Table4[[#This Row],[Visitor]],'NHL Model'!$A$6:$B$38,2,FALSE)</f>
        <v>0.16990542827764471</v>
      </c>
      <c r="J545">
        <f>($B$1+Table4[[#This Row],[Home Differential]])-Table4[[#This Row],[Away Differential]]</f>
        <v>0.53849882196144616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0.63968316676603987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1.5385519346678582</v>
      </c>
      <c r="H546" t="s">
        <v>40</v>
      </c>
      <c r="I546">
        <f>VLOOKUP(Table4[[#This Row],[Visitor]],'NHL Model'!$A$6:$B$38,2,FALSE)</f>
        <v>7.2067135963786652E-2</v>
      </c>
      <c r="J546">
        <f>($B$1+Table4[[#This Row],[Home Differential]])-Table4[[#This Row],[Away Differential]]</f>
        <v>1.644782992358935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0.80026327427350574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-0.16385680125706742</v>
      </c>
      <c r="H547" t="s">
        <v>25</v>
      </c>
      <c r="I547">
        <f>VLOOKUP(Table4[[#This Row],[Visitor]],'NHL Model'!$A$6:$B$38,2,FALSE)</f>
        <v>0.73055531763635684</v>
      </c>
      <c r="J547">
        <f>($B$1+Table4[[#This Row],[Home Differential]])-Table4[[#This Row],[Away Differential]]</f>
        <v>-0.71611392523856088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0.60264078259975928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-8.2927339771111427E-2</v>
      </c>
      <c r="H548" t="s">
        <v>38</v>
      </c>
      <c r="I548">
        <f>VLOOKUP(Table4[[#This Row],[Visitor]],'NHL Model'!$A$6:$B$38,2,FALSE)</f>
        <v>-0.83680023888172561</v>
      </c>
      <c r="J548">
        <f>($B$1+Table4[[#This Row],[Home Differential]])-Table4[[#This Row],[Away Differential]]</f>
        <v>0.93217109276547749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0.65283907805739583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-0.14078840027135531</v>
      </c>
      <c r="H549" t="s">
        <v>24</v>
      </c>
      <c r="I549">
        <f>VLOOKUP(Table4[[#This Row],[Visitor]],'NHL Model'!$A$6:$B$38,2,FALSE)</f>
        <v>0.54693303419816819</v>
      </c>
      <c r="J549">
        <f>($B$1+Table4[[#This Row],[Home Differential]])-Table4[[#This Row],[Away Differential]]</f>
        <v>-0.50942324081466017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0.52953749579834708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0.5301060565842276</v>
      </c>
      <c r="H550" t="s">
        <v>28</v>
      </c>
      <c r="I550">
        <f>VLOOKUP(Table4[[#This Row],[Visitor]],'NHL Model'!$A$6:$B$38,2,FALSE)</f>
        <v>-0.4068113735564976</v>
      </c>
      <c r="J550">
        <f>($B$1+Table4[[#This Row],[Home Differential]])-Table4[[#This Row],[Away Differential]]</f>
        <v>1.1152156237955886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0.79142307322552585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-1.6459316139111148E-2</v>
      </c>
      <c r="H551" t="s">
        <v>38</v>
      </c>
      <c r="I551">
        <f>VLOOKUP(Table4[[#This Row],[Visitor]],'NHL Model'!$A$6:$B$38,2,FALSE)</f>
        <v>-0.83680023888172561</v>
      </c>
      <c r="J551">
        <f>($B$1+Table4[[#This Row],[Home Differential]])-Table4[[#This Row],[Away Differential]]</f>
        <v>0.99863911639747782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0.71456375820436668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-0.67384018791748512</v>
      </c>
      <c r="H552" t="s">
        <v>30</v>
      </c>
      <c r="I552">
        <f>VLOOKUP(Table4[[#This Row],[Visitor]],'NHL Model'!$A$6:$B$38,2,FALSE)</f>
        <v>-8.2927339771111427E-2</v>
      </c>
      <c r="J552">
        <f>($B$1+Table4[[#This Row],[Home Differential]])-Table4[[#This Row],[Away Differential]]</f>
        <v>-0.41261465449151036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0.55914015850903809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-1.429228083243411</v>
      </c>
      <c r="H553" t="s">
        <v>20</v>
      </c>
      <c r="I553">
        <f>VLOOKUP(Table4[[#This Row],[Visitor]],'NHL Model'!$A$6:$B$38,2,FALSE)</f>
        <v>-6.1930983208684394E-4</v>
      </c>
      <c r="J553">
        <f>($B$1+Table4[[#This Row],[Home Differential]])-Table4[[#This Row],[Away Differential]]</f>
        <v>-1.2503105797564609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0.65997654943184436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-0.16385680125706742</v>
      </c>
      <c r="H554" t="s">
        <v>35</v>
      </c>
      <c r="I554">
        <f>VLOOKUP(Table4[[#This Row],[Visitor]],'NHL Model'!$A$6:$B$38,2,FALSE)</f>
        <v>-1.6560580871558699</v>
      </c>
      <c r="J554">
        <f>($B$1+Table4[[#This Row],[Home Differential]])-Table4[[#This Row],[Away Differential]]</f>
        <v>1.6704994795536658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0.84288137145053899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-0.55929037526767655</v>
      </c>
      <c r="H555" t="s">
        <v>17</v>
      </c>
      <c r="I555">
        <f>VLOOKUP(Table4[[#This Row],[Visitor]],'NHL Model'!$A$6:$B$38,2,FALSE)</f>
        <v>-0.83182649756544103</v>
      </c>
      <c r="J555">
        <f>($B$1+Table4[[#This Row],[Home Differential]])-Table4[[#This Row],[Away Differential]]</f>
        <v>0.4508343159526278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0.60461819185653942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-0.59444373833461905</v>
      </c>
      <c r="H556" t="s">
        <v>14</v>
      </c>
      <c r="I556">
        <f>VLOOKUP(Table4[[#This Row],[Visitor]],'NHL Model'!$A$6:$B$38,2,FALSE)</f>
        <v>0.24618288254564977</v>
      </c>
      <c r="J556">
        <f>($B$1+Table4[[#This Row],[Home Differential]])-Table4[[#This Row],[Away Differential]]</f>
        <v>-0.66232842722540552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0.55493169412371968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-1.3905198871921312</v>
      </c>
      <c r="H557" t="s">
        <v>19</v>
      </c>
      <c r="I557">
        <f>VLOOKUP(Table4[[#This Row],[Visitor]],'NHL Model'!$A$6:$B$38,2,FALSE)</f>
        <v>-0.64312007588488018</v>
      </c>
      <c r="J557">
        <f>($B$1+Table4[[#This Row],[Home Differential]])-Table4[[#This Row],[Away Differential]]</f>
        <v>-0.56910161765238765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0.54156947289521118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-0.33401712526814992</v>
      </c>
      <c r="H558" t="s">
        <v>27</v>
      </c>
      <c r="I558">
        <f>VLOOKUP(Table4[[#This Row],[Visitor]],'NHL Model'!$A$6:$B$38,2,FALSE)</f>
        <v>-0.5365514628281316</v>
      </c>
      <c r="J558">
        <f>($B$1+Table4[[#This Row],[Home Differential]])-Table4[[#This Row],[Away Differential]]</f>
        <v>0.38083253121484506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0.59458481907095606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-0.4314038989751332</v>
      </c>
      <c r="H559" t="s">
        <v>10</v>
      </c>
      <c r="I559">
        <f>VLOOKUP(Table4[[#This Row],[Visitor]],'NHL Model'!$A$6:$B$38,2,FALSE)</f>
        <v>0.26494263732175571</v>
      </c>
      <c r="J559">
        <f>($B$1+Table4[[#This Row],[Home Differential]])-Table4[[#This Row],[Away Differential]]</f>
        <v>-0.51804834264202559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0.55251286417008716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-0.40334472409778083</v>
      </c>
      <c r="H560" t="s">
        <v>32</v>
      </c>
      <c r="I560">
        <f>VLOOKUP(Table4[[#This Row],[Visitor]],'NHL Model'!$A$6:$B$38,2,FALSE)</f>
        <v>-0.39497219926686861</v>
      </c>
      <c r="J560">
        <f>($B$1+Table4[[#This Row],[Home Differential]])-Table4[[#This Row],[Away Differential]]</f>
        <v>0.16992566882395113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0.56435548732845497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-0.12437377019828177</v>
      </c>
      <c r="H561" t="s">
        <v>25</v>
      </c>
      <c r="I561">
        <f>VLOOKUP(Table4[[#This Row],[Visitor]],'NHL Model'!$A$6:$B$38,2,FALSE)</f>
        <v>0.73055531763635684</v>
      </c>
      <c r="J561">
        <f>($B$1+Table4[[#This Row],[Home Differential]])-Table4[[#This Row],[Away Differential]]</f>
        <v>-0.67663089417977529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0.66149779921364849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-2.6005603564376825E-2</v>
      </c>
      <c r="H562" t="s">
        <v>26</v>
      </c>
      <c r="I562">
        <f>VLOOKUP(Table4[[#This Row],[Visitor]],'NHL Model'!$A$6:$B$38,2,FALSE)</f>
        <v>-0.51526168477192669</v>
      </c>
      <c r="J562">
        <f>($B$1+Table4[[#This Row],[Home Differential]])-Table4[[#This Row],[Away Differential]]</f>
        <v>0.66755427486241325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0.58858132465234481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-1.6459316139111148E-2</v>
      </c>
      <c r="H563" t="s">
        <v>36</v>
      </c>
      <c r="I563">
        <f>VLOOKUP(Table4[[#This Row],[Visitor]],'NHL Model'!$A$6:$B$38,2,FALSE)</f>
        <v>-0.4314038989751332</v>
      </c>
      <c r="J563">
        <f>($B$1+Table4[[#This Row],[Home Differential]])-Table4[[#This Row],[Away Differential]]</f>
        <v>0.59324277649088542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0.67674560737839551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0.16990542827764471</v>
      </c>
      <c r="H564" t="s">
        <v>19</v>
      </c>
      <c r="I564">
        <f>VLOOKUP(Table4[[#This Row],[Visitor]],'NHL Model'!$A$6:$B$38,2,FALSE)</f>
        <v>-0.64312007588488018</v>
      </c>
      <c r="J564">
        <f>($B$1+Table4[[#This Row],[Home Differential]])-Table4[[#This Row],[Away Differential]]</f>
        <v>0.99132369781738827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0.7081244019053935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-0.51526168477192669</v>
      </c>
      <c r="H565" t="s">
        <v>22</v>
      </c>
      <c r="I565">
        <f>VLOOKUP(Table4[[#This Row],[Visitor]],'NHL Model'!$A$6:$B$38,2,FALSE)</f>
        <v>-2.6005603564376825E-2</v>
      </c>
      <c r="J565">
        <f>($B$1+Table4[[#This Row],[Home Differential]])-Table4[[#This Row],[Away Differential]]</f>
        <v>-0.31095788755268655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0.47853193359752361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-0.83182649756544103</v>
      </c>
      <c r="H566" t="s">
        <v>20</v>
      </c>
      <c r="I566">
        <f>VLOOKUP(Table4[[#This Row],[Visitor]],'NHL Model'!$A$6:$B$38,2,FALSE)</f>
        <v>-6.1930983208684394E-4</v>
      </c>
      <c r="J566">
        <f>($B$1+Table4[[#This Row],[Home Differential]])-Table4[[#This Row],[Away Differential]]</f>
        <v>-0.6529089940784909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0.53802604893050854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-0.55929037526767655</v>
      </c>
      <c r="H567" t="s">
        <v>12</v>
      </c>
      <c r="I567">
        <f>VLOOKUP(Table4[[#This Row],[Visitor]],'NHL Model'!$A$6:$B$38,2,FALSE)</f>
        <v>1.5385519346678582</v>
      </c>
      <c r="J567">
        <f>($B$1+Table4[[#This Row],[Home Differential]])-Table4[[#This Row],[Away Differential]]</f>
        <v>-1.9195441162806715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0.80144451325066768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0.54693303419816819</v>
      </c>
      <c r="H568" t="s">
        <v>23</v>
      </c>
      <c r="I568">
        <f>VLOOKUP(Table4[[#This Row],[Visitor]],'NHL Model'!$A$6:$B$38,2,FALSE)</f>
        <v>-0.67384018791748512</v>
      </c>
      <c r="J568">
        <f>($B$1+Table4[[#This Row],[Home Differential]])-Table4[[#This Row],[Away Differential]]</f>
        <v>1.3990714157705166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0.85595995698132732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-1.3905198871921312</v>
      </c>
      <c r="H569" t="s">
        <v>15</v>
      </c>
      <c r="I569">
        <f>VLOOKUP(Table4[[#This Row],[Visitor]],'NHL Model'!$A$6:$B$38,2,FALSE)</f>
        <v>-0.33401712526814992</v>
      </c>
      <c r="J569">
        <f>($B$1+Table4[[#This Row],[Home Differential]])-Table4[[#This Row],[Away Differential]]</f>
        <v>-0.87820456826911797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0.72828291233505771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0.24618288254564977</v>
      </c>
      <c r="H570" t="s">
        <v>18</v>
      </c>
      <c r="I570">
        <f>VLOOKUP(Table4[[#This Row],[Visitor]],'NHL Model'!$A$6:$B$38,2,FALSE)</f>
        <v>-0.59444373833461905</v>
      </c>
      <c r="J570">
        <f>($B$1+Table4[[#This Row],[Home Differential]])-Table4[[#This Row],[Away Differential]]</f>
        <v>1.0189248145351322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0.67545450551609698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-0.14078840027135531</v>
      </c>
      <c r="H571" t="s">
        <v>40</v>
      </c>
      <c r="I571">
        <f>VLOOKUP(Table4[[#This Row],[Visitor]],'NHL Model'!$A$6:$B$38,2,FALSE)</f>
        <v>7.2067135963786652E-2</v>
      </c>
      <c r="J571">
        <f>($B$1+Table4[[#This Row],[Home Differential]])-Table4[[#This Row],[Away Differential]]</f>
        <v>-3.4557342580278608E-2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0.46147485142444045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0.5301060565842276</v>
      </c>
      <c r="H572" t="s">
        <v>32</v>
      </c>
      <c r="I572">
        <f>VLOOKUP(Table4[[#This Row],[Visitor]],'NHL Model'!$A$6:$B$38,2,FALSE)</f>
        <v>-0.39497219926686861</v>
      </c>
      <c r="J572">
        <f>($B$1+Table4[[#This Row],[Home Differential]])-Table4[[#This Row],[Away Differential]]</f>
        <v>1.1033764495059595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0.80890643322348654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-0.12133880872417692</v>
      </c>
      <c r="H573" t="s">
        <v>28</v>
      </c>
      <c r="I573">
        <f>VLOOKUP(Table4[[#This Row],[Visitor]],'NHL Model'!$A$6:$B$38,2,FALSE)</f>
        <v>-0.4068113735564976</v>
      </c>
      <c r="J573">
        <f>($B$1+Table4[[#This Row],[Home Differential]])-Table4[[#This Row],[Away Differential]]</f>
        <v>0.46377075848718402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0.58570314453355476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-0.5365514628281316</v>
      </c>
      <c r="H574" t="s">
        <v>38</v>
      </c>
      <c r="I574">
        <f>VLOOKUP(Table4[[#This Row],[Visitor]],'NHL Model'!$A$6:$B$38,2,FALSE)</f>
        <v>-0.83680023888172561</v>
      </c>
      <c r="J574">
        <f>($B$1+Table4[[#This Row],[Home Differential]])-Table4[[#This Row],[Away Differential]]</f>
        <v>0.47854696970845734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0.59032938367592214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-0.12437377019828177</v>
      </c>
      <c r="H575" t="s">
        <v>35</v>
      </c>
      <c r="I575">
        <f>VLOOKUP(Table4[[#This Row],[Visitor]],'NHL Model'!$A$6:$B$38,2,FALSE)</f>
        <v>-1.6560580871558699</v>
      </c>
      <c r="J575">
        <f>($B$1+Table4[[#This Row],[Home Differential]])-Table4[[#This Row],[Away Differential]]</f>
        <v>1.7099825106124515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0.78509220800683888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-1.6459316139111148E-2</v>
      </c>
      <c r="H576" t="s">
        <v>18</v>
      </c>
      <c r="I576">
        <f>VLOOKUP(Table4[[#This Row],[Visitor]],'NHL Model'!$A$6:$B$38,2,FALSE)</f>
        <v>-0.59444373833461905</v>
      </c>
      <c r="J576">
        <f>($B$1+Table4[[#This Row],[Home Differential]])-Table4[[#This Row],[Away Differential]]</f>
        <v>0.75628261585037126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0.65385271622271701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0.73055531763635684</v>
      </c>
      <c r="H577" t="s">
        <v>11</v>
      </c>
      <c r="I577">
        <f>VLOOKUP(Table4[[#This Row],[Visitor]],'NHL Model'!$A$6:$B$38,2,FALSE)</f>
        <v>-0.16385680125706742</v>
      </c>
      <c r="J577">
        <f>($B$1+Table4[[#This Row],[Home Differential]])-Table4[[#This Row],[Away Differential]]</f>
        <v>1.0727103125482875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0.74546780561761505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0.26494263732175571</v>
      </c>
      <c r="H578" t="s">
        <v>27</v>
      </c>
      <c r="I578">
        <f>VLOOKUP(Table4[[#This Row],[Visitor]],'NHL Model'!$A$6:$B$38,2,FALSE)</f>
        <v>-0.5365514628281316</v>
      </c>
      <c r="J578">
        <f>($B$1+Table4[[#This Row],[Home Differential]])-Table4[[#This Row],[Away Differential]]</f>
        <v>0.97979229380475064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0.68043386712223319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1.5385519346678582</v>
      </c>
      <c r="H579" t="s">
        <v>55</v>
      </c>
      <c r="I579">
        <f>VLOOKUP(Table4[[#This Row],[Visitor]],'NHL Model'!$A$6:$B$38,2,FALSE)</f>
        <v>-0.14078840027135531</v>
      </c>
      <c r="J579">
        <f>($B$1+Table4[[#This Row],[Home Differential]])-Table4[[#This Row],[Away Differential]]</f>
        <v>1.8576385285940769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0.8946220286343356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-0.51526168477192669</v>
      </c>
      <c r="H580" t="s">
        <v>39</v>
      </c>
      <c r="I580">
        <f>VLOOKUP(Table4[[#This Row],[Visitor]],'NHL Model'!$A$6:$B$38,2,FALSE)</f>
        <v>0.16990542827764471</v>
      </c>
      <c r="J580">
        <f>($B$1+Table4[[#This Row],[Home Differential]])-Table4[[#This Row],[Away Differential]]</f>
        <v>-0.50686891939470802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0.5989654346329174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-0.83182649756544103</v>
      </c>
      <c r="H581" t="s">
        <v>16</v>
      </c>
      <c r="I581">
        <f>VLOOKUP(Table4[[#This Row],[Visitor]],'NHL Model'!$A$6:$B$38,2,FALSE)</f>
        <v>-1.429228083243411</v>
      </c>
      <c r="J581">
        <f>($B$1+Table4[[#This Row],[Home Differential]])-Table4[[#This Row],[Away Differential]]</f>
        <v>0.77569977933283329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0.68721810387924409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-0.12133880872417692</v>
      </c>
      <c r="H582" t="s">
        <v>32</v>
      </c>
      <c r="I582">
        <f>VLOOKUP(Table4[[#This Row],[Visitor]],'NHL Model'!$A$6:$B$38,2,FALSE)</f>
        <v>-0.39497219926686861</v>
      </c>
      <c r="J582">
        <f>($B$1+Table4[[#This Row],[Home Differential]])-Table4[[#This Row],[Away Differential]]</f>
        <v>0.45193158419755503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0.60477546358023015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-0.55929037526767655</v>
      </c>
      <c r="H583" t="s">
        <v>29</v>
      </c>
      <c r="I583">
        <f>VLOOKUP(Table4[[#This Row],[Visitor]],'NHL Model'!$A$6:$B$38,2,FALSE)</f>
        <v>-1.3905198871921312</v>
      </c>
      <c r="J583">
        <f>($B$1+Table4[[#This Row],[Home Differential]])-Table4[[#This Row],[Away Differential]]</f>
        <v>1.0095277055793179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0.68469585090428431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-8.2927339771111427E-2</v>
      </c>
      <c r="H584" t="s">
        <v>24</v>
      </c>
      <c r="I584">
        <f>VLOOKUP(Table4[[#This Row],[Visitor]],'NHL Model'!$A$6:$B$38,2,FALSE)</f>
        <v>0.54693303419816819</v>
      </c>
      <c r="J584">
        <f>($B$1+Table4[[#This Row],[Home Differential]])-Table4[[#This Row],[Away Differential]]</f>
        <v>-0.45156218031441625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0.59103830630574417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-0.4314038989751332</v>
      </c>
      <c r="H585" t="s">
        <v>23</v>
      </c>
      <c r="I585">
        <f>VLOOKUP(Table4[[#This Row],[Visitor]],'NHL Model'!$A$6:$B$38,2,FALSE)</f>
        <v>-0.67384018791748512</v>
      </c>
      <c r="J585">
        <f>($B$1+Table4[[#This Row],[Home Differential]])-Table4[[#This Row],[Away Differential]]</f>
        <v>0.42073448259721524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0.60279945464525431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-0.64312007588488018</v>
      </c>
      <c r="H586" t="s">
        <v>14</v>
      </c>
      <c r="I586">
        <f>VLOOKUP(Table4[[#This Row],[Visitor]],'NHL Model'!$A$6:$B$38,2,FALSE)</f>
        <v>0.24618288254564977</v>
      </c>
      <c r="J586">
        <f>($B$1+Table4[[#This Row],[Home Differential]])-Table4[[#This Row],[Away Differential]]</f>
        <v>-0.71100476477566665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0.56190848539137239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-6.1930983208684394E-4</v>
      </c>
      <c r="H587" t="s">
        <v>33</v>
      </c>
      <c r="I587">
        <f>VLOOKUP(Table4[[#This Row],[Visitor]],'NHL Model'!$A$6:$B$38,2,FALSE)</f>
        <v>-0.40334472409778083</v>
      </c>
      <c r="J587">
        <f>($B$1+Table4[[#This Row],[Home Differential]])-Table4[[#This Row],[Away Differential]]</f>
        <v>0.58102360792055729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0.62327825465205799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-2.6005603564376825E-2</v>
      </c>
      <c r="H588" t="s">
        <v>15</v>
      </c>
      <c r="I588">
        <f>VLOOKUP(Table4[[#This Row],[Visitor]],'NHL Model'!$A$6:$B$38,2,FALSE)</f>
        <v>-0.33401712526814992</v>
      </c>
      <c r="J588">
        <f>($B$1+Table4[[#This Row],[Home Differential]])-Table4[[#This Row],[Away Differential]]</f>
        <v>0.48630971535863643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0.46729325090383717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-0.67384018791748512</v>
      </c>
      <c r="H589" t="s">
        <v>21</v>
      </c>
      <c r="I589">
        <f>VLOOKUP(Table4[[#This Row],[Visitor]],'NHL Model'!$A$6:$B$38,2,FALSE)</f>
        <v>-1.6459316139111148E-2</v>
      </c>
      <c r="J589">
        <f>($B$1+Table4[[#This Row],[Home Differential]])-Table4[[#This Row],[Away Differential]]</f>
        <v>-0.47908267812351063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0.52617155725386666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0.73055531763635684</v>
      </c>
      <c r="H590" t="s">
        <v>26</v>
      </c>
      <c r="I590">
        <f>VLOOKUP(Table4[[#This Row],[Visitor]],'NHL Model'!$A$6:$B$38,2,FALSE)</f>
        <v>-0.51526168477192669</v>
      </c>
      <c r="J590">
        <f>($B$1+Table4[[#This Row],[Home Differential]])-Table4[[#This Row],[Away Differential]]</f>
        <v>1.4241151960631468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0.74957332192916326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-1.429228083243411</v>
      </c>
      <c r="H591" t="s">
        <v>17</v>
      </c>
      <c r="I591">
        <f>VLOOKUP(Table4[[#This Row],[Visitor]],'NHL Model'!$A$6:$B$38,2,FALSE)</f>
        <v>-0.83182649756544103</v>
      </c>
      <c r="J591">
        <f>($B$1+Table4[[#This Row],[Home Differential]])-Table4[[#This Row],[Away Differential]]</f>
        <v>-0.41910339202310665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0.52007019083330208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0.16990542827764471</v>
      </c>
      <c r="H592" t="s">
        <v>10</v>
      </c>
      <c r="I592">
        <f>VLOOKUP(Table4[[#This Row],[Visitor]],'NHL Model'!$A$6:$B$38,2,FALSE)</f>
        <v>0.26494263732175571</v>
      </c>
      <c r="J592">
        <f>($B$1+Table4[[#This Row],[Home Differential]])-Table4[[#This Row],[Away Differential]]</f>
        <v>8.3260984610752375E-2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0.55738836257397539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-0.16385680125706742</v>
      </c>
      <c r="H593" t="s">
        <v>37</v>
      </c>
      <c r="I593">
        <f>VLOOKUP(Table4[[#This Row],[Visitor]],'NHL Model'!$A$6:$B$38,2,FALSE)</f>
        <v>-0.12437377019828177</v>
      </c>
      <c r="J593">
        <f>($B$1+Table4[[#This Row],[Home Differential]])-Table4[[#This Row],[Away Differential]]</f>
        <v>0.13881516259607771</v>
      </c>
      <c r="K593" t="str">
        <f>IF(Table4[[#This Row],[HomeIce Differential]]&gt;0,Table4[[#This Row],[Home]],Table4[[#This Row],[Visitor]])</f>
        <v>Florida Panthers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0.57741853481868399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-0.12133880872417692</v>
      </c>
      <c r="H594" t="s">
        <v>31</v>
      </c>
      <c r="I594">
        <f>VLOOKUP(Table4[[#This Row],[Visitor]],'NHL Model'!$A$6:$B$38,2,FALSE)</f>
        <v>0.5301060565842276</v>
      </c>
      <c r="J594">
        <f>($B$1+Table4[[#This Row],[Home Differential]])-Table4[[#This Row],[Away Differential]]</f>
        <v>-0.47314667165354118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0.54858545798030267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0.54693303419816819</v>
      </c>
      <c r="H595" t="s">
        <v>22</v>
      </c>
      <c r="I595">
        <f>VLOOKUP(Table4[[#This Row],[Visitor]],'NHL Model'!$A$6:$B$38,2,FALSE)</f>
        <v>-2.6005603564376825E-2</v>
      </c>
      <c r="J595">
        <f>($B$1+Table4[[#This Row],[Home Differential]])-Table4[[#This Row],[Away Differential]]</f>
        <v>0.75123683141740838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0.7631056688720137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-8.2927339771111427E-2</v>
      </c>
      <c r="H596" t="s">
        <v>15</v>
      </c>
      <c r="I596">
        <f>VLOOKUP(Table4[[#This Row],[Visitor]],'NHL Model'!$A$6:$B$38,2,FALSE)</f>
        <v>-0.33401712526814992</v>
      </c>
      <c r="J596">
        <f>($B$1+Table4[[#This Row],[Home Differential]])-Table4[[#This Row],[Away Differential]]</f>
        <v>0.42938797915190186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0.45913464464680903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-1.6560580871558699</v>
      </c>
      <c r="H597" t="s">
        <v>29</v>
      </c>
      <c r="I597">
        <f>VLOOKUP(Table4[[#This Row],[Visitor]],'NHL Model'!$A$6:$B$38,2,FALSE)</f>
        <v>-1.3905198871921312</v>
      </c>
      <c r="J597">
        <f>($B$1+Table4[[#This Row],[Home Differential]])-Table4[[#This Row],[Away Differential]]</f>
        <v>-8.7240006308875406E-2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0.47250413126454416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-0.64312007588488018</v>
      </c>
      <c r="H598" t="s">
        <v>36</v>
      </c>
      <c r="I598">
        <f>VLOOKUP(Table4[[#This Row],[Visitor]],'NHL Model'!$A$6:$B$38,2,FALSE)</f>
        <v>-0.4314038989751332</v>
      </c>
      <c r="J598">
        <f>($B$1+Table4[[#This Row],[Home Differential]])-Table4[[#This Row],[Away Differential]]</f>
        <v>-3.3417983254883654E-2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0.46478980764554223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-0.83680023888172561</v>
      </c>
      <c r="H599" t="s">
        <v>33</v>
      </c>
      <c r="I599">
        <f>VLOOKUP(Table4[[#This Row],[Visitor]],'NHL Model'!$A$6:$B$38,2,FALSE)</f>
        <v>-0.40334472409778083</v>
      </c>
      <c r="J599">
        <f>($B$1+Table4[[#This Row],[Home Differential]])-Table4[[#This Row],[Away Differential]]</f>
        <v>-0.25515732112908146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0.49657176072651071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-6.1930983208684394E-4</v>
      </c>
      <c r="H600" t="s">
        <v>12</v>
      </c>
      <c r="I600">
        <f>VLOOKUP(Table4[[#This Row],[Visitor]],'NHL Model'!$A$6:$B$38,2,FALSE)</f>
        <v>1.5385519346678582</v>
      </c>
      <c r="J600">
        <f>($B$1+Table4[[#This Row],[Home Differential]])-Table4[[#This Row],[Away Differential]]</f>
        <v>-1.3608730508450817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0.72137005393464804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7.2067135963786652E-2</v>
      </c>
      <c r="H601" t="s">
        <v>34</v>
      </c>
      <c r="I601">
        <f>VLOOKUP(Table4[[#This Row],[Visitor]],'NHL Model'!$A$6:$B$38,2,FALSE)</f>
        <v>-0.55929037526767655</v>
      </c>
      <c r="J601">
        <f>($B$1+Table4[[#This Row],[Home Differential]])-Table4[[#This Row],[Away Differential]]</f>
        <v>0.80965570488632654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0.69208501492492536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-0.4068113735564976</v>
      </c>
      <c r="H602" t="s">
        <v>30</v>
      </c>
      <c r="I602">
        <f>VLOOKUP(Table4[[#This Row],[Visitor]],'NHL Model'!$A$6:$B$38,2,FALSE)</f>
        <v>-8.2927339771111427E-2</v>
      </c>
      <c r="J602">
        <f>($B$1+Table4[[#This Row],[Home Differential]])-Table4[[#This Row],[Away Differential]]</f>
        <v>-0.14558584013052284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0.51627969781483352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0.26494263732175571</v>
      </c>
      <c r="H603" t="s">
        <v>14</v>
      </c>
      <c r="I603">
        <f>VLOOKUP(Table4[[#This Row],[Visitor]],'NHL Model'!$A$6:$B$38,2,FALSE)</f>
        <v>0.24618288254564977</v>
      </c>
      <c r="J603">
        <f>($B$1+Table4[[#This Row],[Home Differential]])-Table4[[#This Row],[Away Differential]]</f>
        <v>0.19705794843096927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0.56824436354553465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-0.51526168477192669</v>
      </c>
      <c r="H604" t="s">
        <v>19</v>
      </c>
      <c r="I604">
        <f>VLOOKUP(Table4[[#This Row],[Visitor]],'NHL Model'!$A$6:$B$38,2,FALSE)</f>
        <v>-0.64312007588488018</v>
      </c>
      <c r="J604">
        <f>($B$1+Table4[[#This Row],[Home Differential]])-Table4[[#This Row],[Away Differential]]</f>
        <v>0.30615658476781682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0.60991923340291276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-0.39497219926686861</v>
      </c>
      <c r="H605" t="s">
        <v>27</v>
      </c>
      <c r="I605">
        <f>VLOOKUP(Table4[[#This Row],[Visitor]],'NHL Model'!$A$6:$B$38,2,FALSE)</f>
        <v>-0.5365514628281316</v>
      </c>
      <c r="J605">
        <f>($B$1+Table4[[#This Row],[Home Differential]])-Table4[[#This Row],[Away Differential]]</f>
        <v>0.31987745721612637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0.61188584937896273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-0.12437377019828177</v>
      </c>
      <c r="H606" t="s">
        <v>18</v>
      </c>
      <c r="I606">
        <f>VLOOKUP(Table4[[#This Row],[Visitor]],'NHL Model'!$A$6:$B$38,2,FALSE)</f>
        <v>-0.59444373833461905</v>
      </c>
      <c r="J606">
        <f>($B$1+Table4[[#This Row],[Home Differential]])-Table4[[#This Row],[Away Differential]]</f>
        <v>0.6483681617912006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0.58583137441220579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0.5301060565842276</v>
      </c>
      <c r="H607" t="s">
        <v>33</v>
      </c>
      <c r="I607">
        <f>VLOOKUP(Table4[[#This Row],[Visitor]],'NHL Model'!$A$6:$B$38,2,FALSE)</f>
        <v>-0.40334472409778083</v>
      </c>
      <c r="J607">
        <f>($B$1+Table4[[#This Row],[Home Differential]])-Table4[[#This Row],[Away Differential]]</f>
        <v>1.1117489743368718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0.81010646923827911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0.73055531763635684</v>
      </c>
      <c r="H608" t="s">
        <v>15</v>
      </c>
      <c r="I608">
        <f>VLOOKUP(Table4[[#This Row],[Visitor]],'NHL Model'!$A$6:$B$38,2,FALSE)</f>
        <v>-0.33401712526814992</v>
      </c>
      <c r="J608">
        <f>($B$1+Table4[[#This Row],[Home Differential]])-Table4[[#This Row],[Away Differential]]</f>
        <v>1.24287063655937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0.62712054163633146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-1.429228083243411</v>
      </c>
      <c r="H609" t="s">
        <v>21</v>
      </c>
      <c r="I609">
        <f>VLOOKUP(Table4[[#This Row],[Visitor]],'NHL Model'!$A$6:$B$38,2,FALSE)</f>
        <v>-1.6459316139111148E-2</v>
      </c>
      <c r="J609">
        <f>($B$1+Table4[[#This Row],[Home Differential]])-Table4[[#This Row],[Away Differential]]</f>
        <v>-1.2344705734494366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0.63693696671659272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1.5385519346678582</v>
      </c>
      <c r="H610" t="s">
        <v>13</v>
      </c>
      <c r="I610">
        <f>VLOOKUP(Table4[[#This Row],[Visitor]],'NHL Model'!$A$6:$B$38,2,FALSE)</f>
        <v>-0.12133880872417692</v>
      </c>
      <c r="J610">
        <f>($B$1+Table4[[#This Row],[Home Differential]])-Table4[[#This Row],[Away Differential]]</f>
        <v>1.8381889370468985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0.79253783364635444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-0.16385680125706742</v>
      </c>
      <c r="H611" t="s">
        <v>22</v>
      </c>
      <c r="I611">
        <f>VLOOKUP(Table4[[#This Row],[Visitor]],'NHL Model'!$A$6:$B$38,2,FALSE)</f>
        <v>-2.6005603564376825E-2</v>
      </c>
      <c r="J611">
        <f>($B$1+Table4[[#This Row],[Home Differential]])-Table4[[#This Row],[Away Differential]]</f>
        <v>4.0446995962172758E-2</v>
      </c>
      <c r="K611" t="str">
        <f>IF(Table4[[#This Row],[HomeIce Differential]]&gt;0,Table4[[#This Row],[Home]],Table4[[#This Row],[Visitor]])</f>
        <v>Florida Panthers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0.60924555360385246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-0.4314038989751332</v>
      </c>
      <c r="H612" t="s">
        <v>28</v>
      </c>
      <c r="I612">
        <f>VLOOKUP(Table4[[#This Row],[Visitor]],'NHL Model'!$A$6:$B$38,2,FALSE)</f>
        <v>-0.4068113735564976</v>
      </c>
      <c r="J612">
        <f>($B$1+Table4[[#This Row],[Home Differential]])-Table4[[#This Row],[Away Differential]]</f>
        <v>0.15370566823622772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0.54376980114479523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-0.39497219926686861</v>
      </c>
      <c r="H613" t="s">
        <v>38</v>
      </c>
      <c r="I613">
        <f>VLOOKUP(Table4[[#This Row],[Visitor]],'NHL Model'!$A$6:$B$38,2,FALSE)</f>
        <v>-0.83680023888172561</v>
      </c>
      <c r="J613">
        <f>($B$1+Table4[[#This Row],[Home Differential]])-Table4[[#This Row],[Away Differential]]</f>
        <v>0.62012623326972038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0.63433738888234359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-1.6560580871558699</v>
      </c>
      <c r="H614" t="s">
        <v>23</v>
      </c>
      <c r="I614">
        <f>VLOOKUP(Table4[[#This Row],[Visitor]],'NHL Model'!$A$6:$B$38,2,FALSE)</f>
        <v>-0.67384018791748512</v>
      </c>
      <c r="J614">
        <f>($B$1+Table4[[#This Row],[Home Differential]])-Table4[[#This Row],[Away Differential]]</f>
        <v>-0.80391970558352144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0.57522600639412547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-0.14078840027135531</v>
      </c>
      <c r="H615" t="s">
        <v>29</v>
      </c>
      <c r="I615">
        <f>VLOOKUP(Table4[[#This Row],[Visitor]],'NHL Model'!$A$6:$B$38,2,FALSE)</f>
        <v>-1.3905198871921312</v>
      </c>
      <c r="J615">
        <f>($B$1+Table4[[#This Row],[Home Differential]])-Table4[[#This Row],[Away Differential]]</f>
        <v>1.4280296805756392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0.81295234657198689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-6.1930983208684394E-4</v>
      </c>
      <c r="H616" t="s">
        <v>34</v>
      </c>
      <c r="I616">
        <f>VLOOKUP(Table4[[#This Row],[Visitor]],'NHL Model'!$A$6:$B$38,2,FALSE)</f>
        <v>-0.55929037526767655</v>
      </c>
      <c r="J616">
        <f>($B$1+Table4[[#This Row],[Home Differential]])-Table4[[#This Row],[Away Differential]]</f>
        <v>0.73696925909045308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0.64562998265926708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7.2067135963786652E-2</v>
      </c>
      <c r="H617" t="s">
        <v>17</v>
      </c>
      <c r="I617">
        <f>VLOOKUP(Table4[[#This Row],[Visitor]],'NHL Model'!$A$6:$B$38,2,FALSE)</f>
        <v>-0.83182649756544103</v>
      </c>
      <c r="J617">
        <f>($B$1+Table4[[#This Row],[Home Differential]])-Table4[[#This Row],[Away Differential]]</f>
        <v>1.0821918271840909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0.73114768343821723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0.26494263732175571</v>
      </c>
      <c r="H618" t="s">
        <v>30</v>
      </c>
      <c r="I618">
        <f>VLOOKUP(Table4[[#This Row],[Visitor]],'NHL Model'!$A$6:$B$38,2,FALSE)</f>
        <v>-8.2927339771111427E-2</v>
      </c>
      <c r="J618">
        <f>($B$1+Table4[[#This Row],[Home Differential]])-Table4[[#This Row],[Away Differential]]</f>
        <v>0.52616817074773048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0.57290324872267584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-0.16385680125706742</v>
      </c>
      <c r="H619" t="s">
        <v>18</v>
      </c>
      <c r="I619">
        <f>VLOOKUP(Table4[[#This Row],[Visitor]],'NHL Model'!$A$6:$B$38,2,FALSE)</f>
        <v>-0.59444373833461905</v>
      </c>
      <c r="J619">
        <f>($B$1+Table4[[#This Row],[Home Differential]])-Table4[[#This Row],[Away Differential]]</f>
        <v>0.60888513073241501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0.64479377736837251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0.24618288254564977</v>
      </c>
      <c r="H620" t="s">
        <v>25</v>
      </c>
      <c r="I620">
        <f>VLOOKUP(Table4[[#This Row],[Visitor]],'NHL Model'!$A$6:$B$38,2,FALSE)</f>
        <v>0.73055531763635684</v>
      </c>
      <c r="J620">
        <f>($B$1+Table4[[#This Row],[Home Differential]])-Table4[[#This Row],[Away Differential]]</f>
        <v>-0.30607424143584372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0.57217158205656471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-0.64312007588488018</v>
      </c>
      <c r="H621" t="s">
        <v>24</v>
      </c>
      <c r="I621">
        <f>VLOOKUP(Table4[[#This Row],[Visitor]],'NHL Model'!$A$6:$B$38,2,FALSE)</f>
        <v>0.54693303419816819</v>
      </c>
      <c r="J621">
        <f>($B$1+Table4[[#This Row],[Home Differential]])-Table4[[#This Row],[Away Differential]]</f>
        <v>-1.0117549164281852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0.67133086704915246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-0.83680023888172561</v>
      </c>
      <c r="H622" t="s">
        <v>27</v>
      </c>
      <c r="I622">
        <f>VLOOKUP(Table4[[#This Row],[Visitor]],'NHL Model'!$A$6:$B$38,2,FALSE)</f>
        <v>-0.5365514628281316</v>
      </c>
      <c r="J622">
        <f>($B$1+Table4[[#This Row],[Home Differential]])-Table4[[#This Row],[Away Differential]]</f>
        <v>-0.12195058239873069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0.47747920655464465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0.5301060565842276</v>
      </c>
      <c r="H623" t="s">
        <v>37</v>
      </c>
      <c r="I623">
        <f>VLOOKUP(Table4[[#This Row],[Visitor]],'NHL Model'!$A$6:$B$38,2,FALSE)</f>
        <v>-0.12437377019828177</v>
      </c>
      <c r="J623">
        <f>($B$1+Table4[[#This Row],[Home Differential]])-Table4[[#This Row],[Away Differential]]</f>
        <v>0.8327780204373727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0.72610384869549605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-0.4068113735564976</v>
      </c>
      <c r="H624" t="s">
        <v>24</v>
      </c>
      <c r="I624">
        <f>VLOOKUP(Table4[[#This Row],[Visitor]],'NHL Model'!$A$6:$B$38,2,FALSE)</f>
        <v>0.54693303419816819</v>
      </c>
      <c r="J624">
        <f>($B$1+Table4[[#This Row],[Home Differential]])-Table4[[#This Row],[Away Differential]]</f>
        <v>-0.77544621409980241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0.63037566318421301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-1.429228083243411</v>
      </c>
      <c r="H625" t="s">
        <v>27</v>
      </c>
      <c r="I625">
        <f>VLOOKUP(Table4[[#This Row],[Visitor]],'NHL Model'!$A$6:$B$38,2,FALSE)</f>
        <v>-0.5365514628281316</v>
      </c>
      <c r="J625">
        <f>($B$1+Table4[[#This Row],[Home Differential]])-Table4[[#This Row],[Away Differential]]</f>
        <v>-0.71437842676041607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0.56239203318193709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1.5385519346678582</v>
      </c>
      <c r="H626" t="s">
        <v>35</v>
      </c>
      <c r="I626">
        <f>VLOOKUP(Table4[[#This Row],[Visitor]],'NHL Model'!$A$6:$B$38,2,FALSE)</f>
        <v>-1.6560580871558699</v>
      </c>
      <c r="J626">
        <f>($B$1+Table4[[#This Row],[Home Differential]])-Table4[[#This Row],[Away Differential]]</f>
        <v>3.3729082154785912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0.16990542827764471</v>
      </c>
      <c r="H627" t="s">
        <v>23</v>
      </c>
      <c r="I627">
        <f>VLOOKUP(Table4[[#This Row],[Visitor]],'NHL Model'!$A$6:$B$38,2,FALSE)</f>
        <v>-0.67384018791748512</v>
      </c>
      <c r="J627">
        <f>($B$1+Table4[[#This Row],[Home Differential]])-Table4[[#This Row],[Away Differential]]</f>
        <v>1.0220438098499933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0.71252752301427069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-0.51526168477192669</v>
      </c>
      <c r="H628" t="s">
        <v>40</v>
      </c>
      <c r="I628">
        <f>VLOOKUP(Table4[[#This Row],[Visitor]],'NHL Model'!$A$6:$B$38,2,FALSE)</f>
        <v>7.2067135963786652E-2</v>
      </c>
      <c r="J628">
        <f>($B$1+Table4[[#This Row],[Home Differential]])-Table4[[#This Row],[Away Differential]]</f>
        <v>-0.40903062708085003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0.55862645899095276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-0.83182649756544103</v>
      </c>
      <c r="H629" t="s">
        <v>21</v>
      </c>
      <c r="I629">
        <f>VLOOKUP(Table4[[#This Row],[Visitor]],'NHL Model'!$A$6:$B$38,2,FALSE)</f>
        <v>-1.6459316139111148E-2</v>
      </c>
      <c r="J629">
        <f>($B$1+Table4[[#This Row],[Home Differential]])-Table4[[#This Row],[Away Differential]]</f>
        <v>-0.63706898777146659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0.51527438618059618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-0.40334472409778083</v>
      </c>
      <c r="H630" t="s">
        <v>34</v>
      </c>
      <c r="I630">
        <f>VLOOKUP(Table4[[#This Row],[Visitor]],'NHL Model'!$A$6:$B$38,2,FALSE)</f>
        <v>-0.55929037526767655</v>
      </c>
      <c r="J630">
        <f>($B$1+Table4[[#This Row],[Home Differential]])-Table4[[#This Row],[Away Differential]]</f>
        <v>0.33424384482475911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0.58790725135045652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-6.1930983208684394E-4</v>
      </c>
      <c r="H631" t="s">
        <v>29</v>
      </c>
      <c r="I631">
        <f>VLOOKUP(Table4[[#This Row],[Visitor]],'NHL Model'!$A$6:$B$38,2,FALSE)</f>
        <v>-1.3905198871921312</v>
      </c>
      <c r="J631">
        <f>($B$1+Table4[[#This Row],[Home Differential]])-Table4[[#This Row],[Away Differential]]</f>
        <v>1.5681987710149077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0.76477031022030384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-2.6005603564376825E-2</v>
      </c>
      <c r="H632" t="s">
        <v>15</v>
      </c>
      <c r="I632">
        <f>VLOOKUP(Table4[[#This Row],[Visitor]],'NHL Model'!$A$6:$B$38,2,FALSE)</f>
        <v>-0.33401712526814992</v>
      </c>
      <c r="J632">
        <f>($B$1+Table4[[#This Row],[Home Differential]])-Table4[[#This Row],[Away Differential]]</f>
        <v>0.48630971535863643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0.46729325090383717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0.73055531763635684</v>
      </c>
      <c r="H633" t="s">
        <v>18</v>
      </c>
      <c r="I633">
        <f>VLOOKUP(Table4[[#This Row],[Visitor]],'NHL Model'!$A$6:$B$38,2,FALSE)</f>
        <v>-0.59444373833461905</v>
      </c>
      <c r="J633">
        <f>($B$1+Table4[[#This Row],[Home Differential]])-Table4[[#This Row],[Away Differential]]</f>
        <v>1.5032972496258392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0.76092250487211932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0.26494263732175571</v>
      </c>
      <c r="H634" t="s">
        <v>39</v>
      </c>
      <c r="I634">
        <f>VLOOKUP(Table4[[#This Row],[Visitor]],'NHL Model'!$A$6:$B$38,2,FALSE)</f>
        <v>0.16990542827764471</v>
      </c>
      <c r="J634">
        <f>($B$1+Table4[[#This Row],[Home Differential]])-Table4[[#This Row],[Away Differential]]</f>
        <v>0.27333540269897433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0.48669104172176114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-0.12133880872417692</v>
      </c>
      <c r="H635" t="s">
        <v>37</v>
      </c>
      <c r="I635">
        <f>VLOOKUP(Table4[[#This Row],[Visitor]],'NHL Model'!$A$6:$B$38,2,FALSE)</f>
        <v>-0.12437377019828177</v>
      </c>
      <c r="J635">
        <f>($B$1+Table4[[#This Row],[Home Differential]])-Table4[[#This Row],[Away Differential]]</f>
        <v>0.18133315512896819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0.51889113362673855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-8.2927339771111427E-2</v>
      </c>
      <c r="H636" t="s">
        <v>55</v>
      </c>
      <c r="I636">
        <f>VLOOKUP(Table4[[#This Row],[Visitor]],'NHL Model'!$A$6:$B$38,2,FALSE)</f>
        <v>-0.14078840027135531</v>
      </c>
      <c r="J636">
        <f>($B$1+Table4[[#This Row],[Home Differential]])-Table4[[#This Row],[Away Differential]]</f>
        <v>0.23615925415510725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0.57384876317909983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-0.4314038989751332</v>
      </c>
      <c r="H637" t="s">
        <v>22</v>
      </c>
      <c r="I637">
        <f>VLOOKUP(Table4[[#This Row],[Visitor]],'NHL Model'!$A$6:$B$38,2,FALSE)</f>
        <v>-2.6005603564376825E-2</v>
      </c>
      <c r="J637">
        <f>($B$1+Table4[[#This Row],[Home Differential]])-Table4[[#This Row],[Away Differential]]</f>
        <v>-0.22710010175589307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0.49005483346405931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0.24618288254564977</v>
      </c>
      <c r="H638" t="s">
        <v>26</v>
      </c>
      <c r="I638">
        <f>VLOOKUP(Table4[[#This Row],[Visitor]],'NHL Model'!$A$6:$B$38,2,FALSE)</f>
        <v>-0.51526168477192669</v>
      </c>
      <c r="J638">
        <f>($B$1+Table4[[#This Row],[Home Differential]])-Table4[[#This Row],[Away Differential]]</f>
        <v>0.93974276097243981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0.66410532257314081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-0.39497219926686861</v>
      </c>
      <c r="H639" t="s">
        <v>29</v>
      </c>
      <c r="I639">
        <f>VLOOKUP(Table4[[#This Row],[Visitor]],'NHL Model'!$A$6:$B$38,2,FALSE)</f>
        <v>-1.3905198871921312</v>
      </c>
      <c r="J639">
        <f>($B$1+Table4[[#This Row],[Home Differential]])-Table4[[#This Row],[Away Differential]]</f>
        <v>1.1738458815801258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0.7342853507753424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-0.64312007588488018</v>
      </c>
      <c r="H640" t="s">
        <v>40</v>
      </c>
      <c r="I640">
        <f>VLOOKUP(Table4[[#This Row],[Visitor]],'NHL Model'!$A$6:$B$38,2,FALSE)</f>
        <v>7.2067135963786652E-2</v>
      </c>
      <c r="J640">
        <f>($B$1+Table4[[#This Row],[Home Differential]])-Table4[[#This Row],[Away Differential]]</f>
        <v>-0.53688901819380352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0.60326822267524571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0.5301060565842276</v>
      </c>
      <c r="H641" t="s">
        <v>34</v>
      </c>
      <c r="I641">
        <f>VLOOKUP(Table4[[#This Row],[Visitor]],'NHL Model'!$A$6:$B$38,2,FALSE)</f>
        <v>-0.55929037526767655</v>
      </c>
      <c r="J641">
        <f>($B$1+Table4[[#This Row],[Home Differential]])-Table4[[#This Row],[Away Differential]]</f>
        <v>1.2676946255067674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0.8324581972454882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-0.16385680125706742</v>
      </c>
      <c r="H642" t="s">
        <v>15</v>
      </c>
      <c r="I642">
        <f>VLOOKUP(Table4[[#This Row],[Visitor]],'NHL Model'!$A$6:$B$38,2,FALSE)</f>
        <v>-0.33401712526814992</v>
      </c>
      <c r="J642">
        <f>($B$1+Table4[[#This Row],[Home Differential]])-Table4[[#This Row],[Away Differential]]</f>
        <v>0.34845851766594582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0.51102248816796736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-1.6560580871558699</v>
      </c>
      <c r="H643" t="s">
        <v>20</v>
      </c>
      <c r="I643">
        <f>VLOOKUP(Table4[[#This Row],[Visitor]],'NHL Model'!$A$6:$B$38,2,FALSE)</f>
        <v>-6.1930983208684394E-4</v>
      </c>
      <c r="J643">
        <f>($B$1+Table4[[#This Row],[Home Differential]])-Table4[[#This Row],[Away Differential]]</f>
        <v>-1.4771405836689198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0.69248814891083121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-0.83680023888172561</v>
      </c>
      <c r="H644" t="s">
        <v>32</v>
      </c>
      <c r="I644">
        <f>VLOOKUP(Table4[[#This Row],[Visitor]],'NHL Model'!$A$6:$B$38,2,FALSE)</f>
        <v>-0.39497219926686861</v>
      </c>
      <c r="J644">
        <f>($B$1+Table4[[#This Row],[Home Differential]])-Table4[[#This Row],[Away Differential]]</f>
        <v>-0.26352984595999368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0.49777179674130329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0.73055531763635684</v>
      </c>
      <c r="H645" t="s">
        <v>12</v>
      </c>
      <c r="I645">
        <f>VLOOKUP(Table4[[#This Row],[Visitor]],'NHL Model'!$A$6:$B$38,2,FALSE)</f>
        <v>1.5385519346678582</v>
      </c>
      <c r="J645">
        <f>($B$1+Table4[[#This Row],[Home Differential]])-Table4[[#This Row],[Away Differential]]</f>
        <v>-0.62969842337663806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0.56393903828389835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-0.4068113735564976</v>
      </c>
      <c r="H646" t="s">
        <v>23</v>
      </c>
      <c r="I646">
        <f>VLOOKUP(Table4[[#This Row],[Visitor]],'NHL Model'!$A$6:$B$38,2,FALSE)</f>
        <v>-0.67384018791748512</v>
      </c>
      <c r="J646">
        <f>($B$1+Table4[[#This Row],[Home Differential]])-Table4[[#This Row],[Away Differential]]</f>
        <v>0.4453270080158509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0.61087477993410544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-1.429228083243411</v>
      </c>
      <c r="H647" t="s">
        <v>29</v>
      </c>
      <c r="I647">
        <f>VLOOKUP(Table4[[#This Row],[Visitor]],'NHL Model'!$A$6:$B$38,2,FALSE)</f>
        <v>-1.3905198871921312</v>
      </c>
      <c r="J647">
        <f>($B$1+Table4[[#This Row],[Home Differential]])-Table4[[#This Row],[Away Differential]]</f>
        <v>0.13958999760358348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0.56000746821444281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-0.51526168477192669</v>
      </c>
      <c r="H648" t="s">
        <v>14</v>
      </c>
      <c r="I648">
        <f>VLOOKUP(Table4[[#This Row],[Visitor]],'NHL Model'!$A$6:$B$38,2,FALSE)</f>
        <v>0.24618288254564977</v>
      </c>
      <c r="J648">
        <f>($B$1+Table4[[#This Row],[Home Differential]])-Table4[[#This Row],[Away Differential]]</f>
        <v>-0.58314637366271316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0.51754477533170706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-0.83182649756544103</v>
      </c>
      <c r="H649" t="s">
        <v>27</v>
      </c>
      <c r="I649">
        <f>VLOOKUP(Table4[[#This Row],[Visitor]],'NHL Model'!$A$6:$B$38,2,FALSE)</f>
        <v>-0.5365514628281316</v>
      </c>
      <c r="J649">
        <f>($B$1+Table4[[#This Row],[Home Differential]])-Table4[[#This Row],[Away Differential]]</f>
        <v>-0.1169768410824461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0.44072945264594054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-0.12133880872417692</v>
      </c>
      <c r="H650" t="s">
        <v>34</v>
      </c>
      <c r="I650">
        <f>VLOOKUP(Table4[[#This Row],[Visitor]],'NHL Model'!$A$6:$B$38,2,FALSE)</f>
        <v>-0.55929037526767655</v>
      </c>
      <c r="J650">
        <f>($B$1+Table4[[#This Row],[Home Differential]])-Table4[[#This Row],[Away Differential]]</f>
        <v>0.61624976019836297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0.62832722760223181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0.54693303419816819</v>
      </c>
      <c r="H651" t="s">
        <v>55</v>
      </c>
      <c r="I651">
        <f>VLOOKUP(Table4[[#This Row],[Visitor]],'NHL Model'!$A$6:$B$38,2,FALSE)</f>
        <v>-0.14078840027135531</v>
      </c>
      <c r="J651">
        <f>($B$1+Table4[[#This Row],[Home Differential]])-Table4[[#This Row],[Away Differential]]</f>
        <v>0.86601962812438682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0.77955751496489423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-8.2927339771111427E-2</v>
      </c>
      <c r="H652" t="s">
        <v>19</v>
      </c>
      <c r="I652">
        <f>VLOOKUP(Table4[[#This Row],[Visitor]],'NHL Model'!$A$6:$B$38,2,FALSE)</f>
        <v>-0.64312007588488018</v>
      </c>
      <c r="J652">
        <f>($B$1+Table4[[#This Row],[Home Differential]])-Table4[[#This Row],[Away Differential]]</f>
        <v>0.73849092976863207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0.64584808408665573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-0.4314038989751332</v>
      </c>
      <c r="H653" t="s">
        <v>40</v>
      </c>
      <c r="I653">
        <f>VLOOKUP(Table4[[#This Row],[Visitor]],'NHL Model'!$A$6:$B$38,2,FALSE)</f>
        <v>7.2067135963786652E-2</v>
      </c>
      <c r="J653">
        <f>($B$1+Table4[[#This Row],[Home Differential]])-Table4[[#This Row],[Away Differential]]</f>
        <v>-0.32517284128405655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0.57041662602229559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-0.40334472409778083</v>
      </c>
      <c r="H654" t="s">
        <v>37</v>
      </c>
      <c r="I654">
        <f>VLOOKUP(Table4[[#This Row],[Visitor]],'NHL Model'!$A$6:$B$38,2,FALSE)</f>
        <v>-0.12437377019828177</v>
      </c>
      <c r="J654">
        <f>($B$1+Table4[[#This Row],[Home Differential]])-Table4[[#This Row],[Away Differential]]</f>
        <v>-0.1006727602446357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0.52152884262503674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-1.6560580871558699</v>
      </c>
      <c r="H655" t="s">
        <v>18</v>
      </c>
      <c r="I655">
        <f>VLOOKUP(Table4[[#This Row],[Visitor]],'NHL Model'!$A$6:$B$38,2,FALSE)</f>
        <v>-0.59444373833461905</v>
      </c>
      <c r="J655">
        <f>($B$1+Table4[[#This Row],[Home Differential]])-Table4[[#This Row],[Away Differential]]</f>
        <v>-0.88331615516638751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0.63370531025138566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-0.83680023888172561</v>
      </c>
      <c r="H656" t="s">
        <v>21</v>
      </c>
      <c r="I656">
        <f>VLOOKUP(Table4[[#This Row],[Visitor]],'NHL Model'!$A$6:$B$38,2,FALSE)</f>
        <v>-1.6459316139111148E-2</v>
      </c>
      <c r="J656">
        <f>($B$1+Table4[[#This Row],[Home Differential]])-Table4[[#This Row],[Away Differential]]</f>
        <v>-0.64204272908775117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0.55202414008930023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-2.6005603564376825E-2</v>
      </c>
      <c r="H657" t="s">
        <v>10</v>
      </c>
      <c r="I657">
        <f>VLOOKUP(Table4[[#This Row],[Visitor]],'NHL Model'!$A$6:$B$38,2,FALSE)</f>
        <v>0.26494263732175571</v>
      </c>
      <c r="J657">
        <f>($B$1+Table4[[#This Row],[Home Differential]])-Table4[[#This Row],[Away Differential]]</f>
        <v>-0.1126500472312692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0.49691538936245383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-0.4068113735564976</v>
      </c>
      <c r="H658" t="s">
        <v>14</v>
      </c>
      <c r="I658">
        <f>VLOOKUP(Table4[[#This Row],[Visitor]],'NHL Model'!$A$6:$B$38,2,FALSE)</f>
        <v>0.24618288254564977</v>
      </c>
      <c r="J658">
        <f>($B$1+Table4[[#This Row],[Home Differential]])-Table4[[#This Row],[Away Differential]]</f>
        <v>-0.47469606244728402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0.52099234990939169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0.26494263732175571</v>
      </c>
      <c r="H659" t="s">
        <v>20</v>
      </c>
      <c r="I659">
        <f>VLOOKUP(Table4[[#This Row],[Visitor]],'NHL Model'!$A$6:$B$38,2,FALSE)</f>
        <v>-6.1930983208684394E-4</v>
      </c>
      <c r="J659">
        <f>($B$1+Table4[[#This Row],[Home Differential]])-Table4[[#This Row],[Away Differential]]</f>
        <v>0.44386014080870589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0.58284935087232581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0.16990542827764471</v>
      </c>
      <c r="H660" t="s">
        <v>18</v>
      </c>
      <c r="I660">
        <f>VLOOKUP(Table4[[#This Row],[Visitor]],'NHL Model'!$A$6:$B$38,2,FALSE)</f>
        <v>-0.59444373833461905</v>
      </c>
      <c r="J660">
        <f>($B$1+Table4[[#This Row],[Home Differential]])-Table4[[#This Row],[Away Differential]]</f>
        <v>0.94264736026712714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0.65434064401945347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-0.16385680125706742</v>
      </c>
      <c r="H661" t="s">
        <v>12</v>
      </c>
      <c r="I661">
        <f>VLOOKUP(Table4[[#This Row],[Visitor]],'NHL Model'!$A$6:$B$38,2,FALSE)</f>
        <v>1.5385519346678582</v>
      </c>
      <c r="J661">
        <f>($B$1+Table4[[#This Row],[Home Differential]])-Table4[[#This Row],[Away Differential]]</f>
        <v>-1.5241105422700623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0.67998959523905089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0.54693303419816819</v>
      </c>
      <c r="H662" t="s">
        <v>25</v>
      </c>
      <c r="I662">
        <f>VLOOKUP(Table4[[#This Row],[Visitor]],'NHL Model'!$A$6:$B$38,2,FALSE)</f>
        <v>0.73055531763635684</v>
      </c>
      <c r="J662">
        <f>($B$1+Table4[[#This Row],[Home Differential]])-Table4[[#This Row],[Away Differential]]</f>
        <v>-5.3240897833253253E-3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0.4452075475244604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-1.429228083243411</v>
      </c>
      <c r="H663" t="s">
        <v>32</v>
      </c>
      <c r="I663">
        <f>VLOOKUP(Table4[[#This Row],[Visitor]],'NHL Model'!$A$6:$B$38,2,FALSE)</f>
        <v>-0.39497219926686861</v>
      </c>
      <c r="J663">
        <f>($B$1+Table4[[#This Row],[Home Differential]])-Table4[[#This Row],[Away Differential]]</f>
        <v>-0.85595769032167901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0.58268462336859572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-0.12133880872417692</v>
      </c>
      <c r="H664" t="s">
        <v>34</v>
      </c>
      <c r="I664">
        <f>VLOOKUP(Table4[[#This Row],[Visitor]],'NHL Model'!$A$6:$B$38,2,FALSE)</f>
        <v>-0.55929037526767655</v>
      </c>
      <c r="J664">
        <f>($B$1+Table4[[#This Row],[Home Differential]])-Table4[[#This Row],[Away Differential]]</f>
        <v>0.61624976019836297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0.62832722760223181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-0.33401712526814992</v>
      </c>
      <c r="H665" t="s">
        <v>55</v>
      </c>
      <c r="I665">
        <f>VLOOKUP(Table4[[#This Row],[Visitor]],'NHL Model'!$A$6:$B$38,2,FALSE)</f>
        <v>-0.14078840027135531</v>
      </c>
      <c r="J665">
        <f>($B$1+Table4[[#This Row],[Home Differential]])-Table4[[#This Row],[Away Differential]]</f>
        <v>-1.4930531341931258E-2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0.46213999667867867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-0.4314038989751332</v>
      </c>
      <c r="H666" t="s">
        <v>26</v>
      </c>
      <c r="I666">
        <f>VLOOKUP(Table4[[#This Row],[Visitor]],'NHL Model'!$A$6:$B$38,2,FALSE)</f>
        <v>-0.51526168477192669</v>
      </c>
      <c r="J666">
        <f>($B$1+Table4[[#This Row],[Home Differential]])-Table4[[#This Row],[Away Differential]]</f>
        <v>0.26215597945165681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0.53298772415812556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-2.6005603564376825E-2</v>
      </c>
      <c r="H667" t="s">
        <v>31</v>
      </c>
      <c r="I667">
        <f>VLOOKUP(Table4[[#This Row],[Visitor]],'NHL Model'!$A$6:$B$38,2,FALSE)</f>
        <v>0.5301060565842276</v>
      </c>
      <c r="J667">
        <f>($B$1+Table4[[#This Row],[Home Differential]])-Table4[[#This Row],[Away Differential]]</f>
        <v>-0.37781346649374109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0.53492132656142877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-0.67384018791748512</v>
      </c>
      <c r="H668" t="s">
        <v>38</v>
      </c>
      <c r="I668">
        <f>VLOOKUP(Table4[[#This Row],[Visitor]],'NHL Model'!$A$6:$B$38,2,FALSE)</f>
        <v>-0.83680023888172561</v>
      </c>
      <c r="J668">
        <f>($B$1+Table4[[#This Row],[Home Differential]])-Table4[[#This Row],[Away Differential]]</f>
        <v>0.34125824461910381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0.57065175740912366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0.73055531763635684</v>
      </c>
      <c r="H669" t="s">
        <v>39</v>
      </c>
      <c r="I669">
        <f>VLOOKUP(Table4[[#This Row],[Visitor]],'NHL Model'!$A$6:$B$38,2,FALSE)</f>
        <v>0.16990542827764471</v>
      </c>
      <c r="J669">
        <f>($B$1+Table4[[#This Row],[Home Differential]])-Table4[[#This Row],[Away Differential]]</f>
        <v>0.73894808301357551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0.60591360797213711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-0.83182649756544103</v>
      </c>
      <c r="H670" t="s">
        <v>29</v>
      </c>
      <c r="I670">
        <f>VLOOKUP(Table4[[#This Row],[Visitor]],'NHL Model'!$A$6:$B$38,2,FALSE)</f>
        <v>-1.3905198871921312</v>
      </c>
      <c r="J670">
        <f>($B$1+Table4[[#This Row],[Home Differential]])-Table4[[#This Row],[Away Differential]]</f>
        <v>0.73699158328155345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0.68167004875043935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-8.2927339771111427E-2</v>
      </c>
      <c r="H671" t="s">
        <v>24</v>
      </c>
      <c r="I671">
        <f>VLOOKUP(Table4[[#This Row],[Visitor]],'NHL Model'!$A$6:$B$38,2,FALSE)</f>
        <v>0.54693303419816819</v>
      </c>
      <c r="J671">
        <f>($B$1+Table4[[#This Row],[Home Differential]])-Table4[[#This Row],[Away Differential]]</f>
        <v>-0.45156218031441625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0.59103830630574417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-0.5365514628281316</v>
      </c>
      <c r="H672" t="s">
        <v>31</v>
      </c>
      <c r="I672">
        <f>VLOOKUP(Table4[[#This Row],[Visitor]],'NHL Model'!$A$6:$B$38,2,FALSE)</f>
        <v>0.5301060565842276</v>
      </c>
      <c r="J672">
        <f>($B$1+Table4[[#This Row],[Home Differential]])-Table4[[#This Row],[Away Differential]]</f>
        <v>-0.88835932575749588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0.60558962719993059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-0.39497219926686861</v>
      </c>
      <c r="H673" t="s">
        <v>21</v>
      </c>
      <c r="I673">
        <f>VLOOKUP(Table4[[#This Row],[Visitor]],'NHL Model'!$A$6:$B$38,2,FALSE)</f>
        <v>-1.6459316139111148E-2</v>
      </c>
      <c r="J673">
        <f>($B$1+Table4[[#This Row],[Home Differential]])-Table4[[#This Row],[Away Differential]]</f>
        <v>-0.20021468947289411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0.4626590841556929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-0.40334472409778083</v>
      </c>
      <c r="H674" t="s">
        <v>28</v>
      </c>
      <c r="I674">
        <f>VLOOKUP(Table4[[#This Row],[Visitor]],'NHL Model'!$A$6:$B$38,2,FALSE)</f>
        <v>-0.4068113735564976</v>
      </c>
      <c r="J674">
        <f>($B$1+Table4[[#This Row],[Home Differential]])-Table4[[#This Row],[Away Differential]]</f>
        <v>0.18176484311358013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0.54528316828177958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-0.12437377019828177</v>
      </c>
      <c r="H675" t="s">
        <v>12</v>
      </c>
      <c r="I675">
        <f>VLOOKUP(Table4[[#This Row],[Visitor]],'NHL Model'!$A$6:$B$38,2,FALSE)</f>
        <v>1.5385519346678582</v>
      </c>
      <c r="J675">
        <f>($B$1+Table4[[#This Row],[Home Differential]])-Table4[[#This Row],[Away Differential]]</f>
        <v>-1.4846275112112766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0.7391078107559047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-0.64312007588488018</v>
      </c>
      <c r="H676" t="s">
        <v>11</v>
      </c>
      <c r="I676">
        <f>VLOOKUP(Table4[[#This Row],[Visitor]],'NHL Model'!$A$6:$B$38,2,FALSE)</f>
        <v>-0.16385680125706742</v>
      </c>
      <c r="J676">
        <f>($B$1+Table4[[#This Row],[Home Differential]])-Table4[[#This Row],[Away Differential]]</f>
        <v>-0.30096508097294944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0.50313739805572499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7.2067135963786652E-2</v>
      </c>
      <c r="H677" t="s">
        <v>20</v>
      </c>
      <c r="I677">
        <f>VLOOKUP(Table4[[#This Row],[Visitor]],'NHL Model'!$A$6:$B$38,2,FALSE)</f>
        <v>-6.1930983208684394E-4</v>
      </c>
      <c r="J677">
        <f>($B$1+Table4[[#This Row],[Home Differential]])-Table4[[#This Row],[Away Differential]]</f>
        <v>0.25098463945073685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0.59152924480501423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0.26494263732175571</v>
      </c>
      <c r="H678" t="s">
        <v>35</v>
      </c>
      <c r="I678">
        <f>VLOOKUP(Table4[[#This Row],[Visitor]],'NHL Model'!$A$6:$B$38,2,FALSE)</f>
        <v>-1.6560580871558699</v>
      </c>
      <c r="J678">
        <f>($B$1+Table4[[#This Row],[Home Differential]])-Table4[[#This Row],[Away Differential]]</f>
        <v>2.0992989181324888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0.84089302312640457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-0.12133880872417692</v>
      </c>
      <c r="H679" t="s">
        <v>33</v>
      </c>
      <c r="I679">
        <f>VLOOKUP(Table4[[#This Row],[Visitor]],'NHL Model'!$A$6:$B$38,2,FALSE)</f>
        <v>-0.40334472409778083</v>
      </c>
      <c r="J679">
        <f>($B$1+Table4[[#This Row],[Home Differential]])-Table4[[#This Row],[Away Differential]]</f>
        <v>0.46030410902846725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0.60597549959502273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-0.59444373833461905</v>
      </c>
      <c r="H680" t="s">
        <v>16</v>
      </c>
      <c r="I680">
        <f>VLOOKUP(Table4[[#This Row],[Visitor]],'NHL Model'!$A$6:$B$38,2,FALSE)</f>
        <v>-1.429228083243411</v>
      </c>
      <c r="J680">
        <f>($B$1+Table4[[#This Row],[Home Differential]])-Table4[[#This Row],[Away Differential]]</f>
        <v>1.0130825385636553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0.68520536597816339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-0.14078840027135531</v>
      </c>
      <c r="H681" t="s">
        <v>36</v>
      </c>
      <c r="I681">
        <f>VLOOKUP(Table4[[#This Row],[Visitor]],'NHL Model'!$A$6:$B$38,2,FALSE)</f>
        <v>-0.4314038989751332</v>
      </c>
      <c r="J681">
        <f>($B$1+Table4[[#This Row],[Home Differential]])-Table4[[#This Row],[Away Differential]]</f>
        <v>0.46891369235864122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0.67548201934473862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-2.6005603564376825E-2</v>
      </c>
      <c r="H682" t="s">
        <v>39</v>
      </c>
      <c r="I682">
        <f>VLOOKUP(Table4[[#This Row],[Visitor]],'NHL Model'!$A$6:$B$38,2,FALSE)</f>
        <v>0.16990542827764471</v>
      </c>
      <c r="J682">
        <f>($B$1+Table4[[#This Row],[Home Differential]])-Table4[[#This Row],[Away Differential]]</f>
        <v>-1.7612838187158197E-2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0.55501064021470947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-1.6459316139111148E-2</v>
      </c>
      <c r="H683" t="s">
        <v>16</v>
      </c>
      <c r="I683">
        <f>VLOOKUP(Table4[[#This Row],[Visitor]],'NHL Model'!$A$6:$B$38,2,FALSE)</f>
        <v>-1.429228083243411</v>
      </c>
      <c r="J683">
        <f>($B$1+Table4[[#This Row],[Home Differential]])-Table4[[#This Row],[Away Differential]]</f>
        <v>1.5910669607591632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0.81976398973444842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0.73055531763635684</v>
      </c>
      <c r="H684" t="s">
        <v>31</v>
      </c>
      <c r="I684">
        <f>VLOOKUP(Table4[[#This Row],[Visitor]],'NHL Model'!$A$6:$B$38,2,FALSE)</f>
        <v>0.5301060565842276</v>
      </c>
      <c r="J684">
        <f>($B$1+Table4[[#This Row],[Home Differential]])-Table4[[#This Row],[Away Differential]]</f>
        <v>0.37874745470699256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0.62571453597791615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1.5385519346678582</v>
      </c>
      <c r="H685" t="s">
        <v>36</v>
      </c>
      <c r="I685">
        <f>VLOOKUP(Table4[[#This Row],[Visitor]],'NHL Model'!$A$6:$B$38,2,FALSE)</f>
        <v>-0.4314038989751332</v>
      </c>
      <c r="J685">
        <f>($B$1+Table4[[#This Row],[Home Differential]])-Table4[[#This Row],[Away Differential]]</f>
        <v>2.1482540272978548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0.93627601855310183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-0.51526168477192669</v>
      </c>
      <c r="H686" t="s">
        <v>38</v>
      </c>
      <c r="I686">
        <f>VLOOKUP(Table4[[#This Row],[Visitor]],'NHL Model'!$A$6:$B$38,2,FALSE)</f>
        <v>-0.83680023888172561</v>
      </c>
      <c r="J686">
        <f>($B$1+Table4[[#This Row],[Home Differential]])-Table4[[#This Row],[Away Differential]]</f>
        <v>0.49983674776466225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0.61709626774837245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-0.59444373833461905</v>
      </c>
      <c r="H687" t="s">
        <v>11</v>
      </c>
      <c r="I687">
        <f>VLOOKUP(Table4[[#This Row],[Visitor]],'NHL Model'!$A$6:$B$38,2,FALSE)</f>
        <v>-0.16385680125706742</v>
      </c>
      <c r="J687">
        <f>($B$1+Table4[[#This Row],[Home Differential]])-Table4[[#This Row],[Away Differential]]</f>
        <v>-0.25228874342268831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0.49616060678807233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-1.3905198871921312</v>
      </c>
      <c r="H688" t="s">
        <v>30</v>
      </c>
      <c r="I688">
        <f>VLOOKUP(Table4[[#This Row],[Visitor]],'NHL Model'!$A$6:$B$38,2,FALSE)</f>
        <v>-8.2927339771111427E-2</v>
      </c>
      <c r="J688">
        <f>($B$1+Table4[[#This Row],[Home Differential]])-Table4[[#This Row],[Away Differential]]</f>
        <v>-1.1292943537661564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0.6643745964526897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-0.33401712526814992</v>
      </c>
      <c r="H689" t="s">
        <v>23</v>
      </c>
      <c r="I689">
        <f>VLOOKUP(Table4[[#This Row],[Visitor]],'NHL Model'!$A$6:$B$38,2,FALSE)</f>
        <v>-0.67384018791748512</v>
      </c>
      <c r="J689">
        <f>($B$1+Table4[[#This Row],[Home Differential]])-Table4[[#This Row],[Away Differential]]</f>
        <v>0.51812125630419859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0.61426244533775454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-0.5365514628281316</v>
      </c>
      <c r="H690" t="s">
        <v>19</v>
      </c>
      <c r="I690">
        <f>VLOOKUP(Table4[[#This Row],[Visitor]],'NHL Model'!$A$6:$B$38,2,FALSE)</f>
        <v>-0.64312007588488018</v>
      </c>
      <c r="J690">
        <f>($B$1+Table4[[#This Row],[Home Differential]])-Table4[[#This Row],[Away Differential]]</f>
        <v>0.28486680671161191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0.58332550770550862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0.24618288254564977</v>
      </c>
      <c r="H691" t="s">
        <v>24</v>
      </c>
      <c r="I691">
        <f>VLOOKUP(Table4[[#This Row],[Visitor]],'NHL Model'!$A$6:$B$38,2,FALSE)</f>
        <v>0.54693303419816819</v>
      </c>
      <c r="J691">
        <f>($B$1+Table4[[#This Row],[Home Differential]])-Table4[[#This Row],[Away Differential]]</f>
        <v>-0.12245195799765507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0.50734698720819527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-0.39497219926686861</v>
      </c>
      <c r="H692" t="s">
        <v>34</v>
      </c>
      <c r="I692">
        <f>VLOOKUP(Table4[[#This Row],[Visitor]],'NHL Model'!$A$6:$B$38,2,FALSE)</f>
        <v>-0.55929037526767655</v>
      </c>
      <c r="J692">
        <f>($B$1+Table4[[#This Row],[Home Differential]])-Table4[[#This Row],[Away Differential]]</f>
        <v>0.34261636965567133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0.61514502321430564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-6.1930983208684394E-4</v>
      </c>
      <c r="H693" t="s">
        <v>28</v>
      </c>
      <c r="I693">
        <f>VLOOKUP(Table4[[#This Row],[Visitor]],'NHL Model'!$A$6:$B$38,2,FALSE)</f>
        <v>-0.4068113735564976</v>
      </c>
      <c r="J693">
        <f>($B$1+Table4[[#This Row],[Home Differential]])-Table4[[#This Row],[Away Differential]]</f>
        <v>0.58449025737927407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0.60300589959059003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7.2067135963786652E-2</v>
      </c>
      <c r="H694" t="s">
        <v>17</v>
      </c>
      <c r="I694">
        <f>VLOOKUP(Table4[[#This Row],[Visitor]],'NHL Model'!$A$6:$B$38,2,FALSE)</f>
        <v>-0.83182649756544103</v>
      </c>
      <c r="J694">
        <f>($B$1+Table4[[#This Row],[Home Differential]])-Table4[[#This Row],[Away Differential]]</f>
        <v>1.0821918271840909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0.73114768343821723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0.26494263732175571</v>
      </c>
      <c r="H695" t="s">
        <v>22</v>
      </c>
      <c r="I695">
        <f>VLOOKUP(Table4[[#This Row],[Visitor]],'NHL Model'!$A$6:$B$38,2,FALSE)</f>
        <v>-2.6005603564376825E-2</v>
      </c>
      <c r="J695">
        <f>($B$1+Table4[[#This Row],[Home Differential]])-Table4[[#This Row],[Away Differential]]</f>
        <v>0.46924643454099585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0.60725720527971805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-0.14078840027135531</v>
      </c>
      <c r="H696" t="s">
        <v>35</v>
      </c>
      <c r="I696">
        <f>VLOOKUP(Table4[[#This Row],[Visitor]],'NHL Model'!$A$6:$B$38,2,FALSE)</f>
        <v>-1.6560580871558699</v>
      </c>
      <c r="J696">
        <f>($B$1+Table4[[#This Row],[Home Differential]])-Table4[[#This Row],[Away Differential]]</f>
        <v>1.6935678805393779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0.85101200117977849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7.2067135963786652E-2</v>
      </c>
      <c r="H697" t="s">
        <v>13</v>
      </c>
      <c r="I697">
        <f>VLOOKUP(Table4[[#This Row],[Visitor]],'NHL Model'!$A$6:$B$38,2,FALSE)</f>
        <v>-0.12133880872417692</v>
      </c>
      <c r="J697">
        <f>($B$1+Table4[[#This Row],[Home Differential]])-Table4[[#This Row],[Away Differential]]</f>
        <v>0.3717041383428269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0.52772899905101944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-1.6459316139111148E-2</v>
      </c>
      <c r="H698" t="s">
        <v>15</v>
      </c>
      <c r="I698">
        <f>VLOOKUP(Table4[[#This Row],[Visitor]],'NHL Model'!$A$6:$B$38,2,FALSE)</f>
        <v>-0.33401712526814992</v>
      </c>
      <c r="J698">
        <f>($B$1+Table4[[#This Row],[Home Differential]])-Table4[[#This Row],[Away Differential]]</f>
        <v>0.49585600278390213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0.52005075298692915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-0.67384018791748512</v>
      </c>
      <c r="H699" t="s">
        <v>31</v>
      </c>
      <c r="I699">
        <f>VLOOKUP(Table4[[#This Row],[Visitor]],'NHL Model'!$A$6:$B$38,2,FALSE)</f>
        <v>0.5301060565842276</v>
      </c>
      <c r="J699">
        <f>($B$1+Table4[[#This Row],[Home Differential]])-Table4[[#This Row],[Away Differential]]</f>
        <v>-1.0256480508468493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0.62526725346672907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0.73055531763635684</v>
      </c>
      <c r="H700" t="s">
        <v>32</v>
      </c>
      <c r="I700">
        <f>VLOOKUP(Table4[[#This Row],[Visitor]],'NHL Model'!$A$6:$B$38,2,FALSE)</f>
        <v>-0.39497219926686861</v>
      </c>
      <c r="J700">
        <f>($B$1+Table4[[#This Row],[Home Differential]])-Table4[[#This Row],[Away Differential]]</f>
        <v>1.3038257105580888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0.77859363167200757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1.5385519346678582</v>
      </c>
      <c r="H701" t="s">
        <v>28</v>
      </c>
      <c r="I701">
        <f>VLOOKUP(Table4[[#This Row],[Visitor]],'NHL Model'!$A$6:$B$38,2,FALSE)</f>
        <v>-0.4068113735564976</v>
      </c>
      <c r="J701">
        <f>($B$1+Table4[[#This Row],[Home Differential]])-Table4[[#This Row],[Away Differential]]</f>
        <v>2.1236615018792193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0.91308057033794521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-0.83182649756544103</v>
      </c>
      <c r="H702" t="s">
        <v>13</v>
      </c>
      <c r="I702">
        <f>VLOOKUP(Table4[[#This Row],[Visitor]],'NHL Model'!$A$6:$B$38,2,FALSE)</f>
        <v>-0.12133880872417692</v>
      </c>
      <c r="J702">
        <f>($B$1+Table4[[#This Row],[Home Differential]])-Table4[[#This Row],[Away Differential]]</f>
        <v>-0.5321894951864008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0.60182629468450333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-0.55929037526767655</v>
      </c>
      <c r="H703" t="s">
        <v>30</v>
      </c>
      <c r="I703">
        <f>VLOOKUP(Table4[[#This Row],[Visitor]],'NHL Model'!$A$6:$B$38,2,FALSE)</f>
        <v>-8.2927339771111427E-2</v>
      </c>
      <c r="J703">
        <f>($B$1+Table4[[#This Row],[Home Differential]])-Table4[[#This Row],[Away Differential]]</f>
        <v>-0.29806484184170179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0.54523426889165294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-0.59444373833461905</v>
      </c>
      <c r="H704" t="s">
        <v>26</v>
      </c>
      <c r="I704">
        <f>VLOOKUP(Table4[[#This Row],[Visitor]],'NHL Model'!$A$6:$B$38,2,FALSE)</f>
        <v>-0.51526168477192669</v>
      </c>
      <c r="J704">
        <f>($B$1+Table4[[#This Row],[Home Differential]])-Table4[[#This Row],[Away Differential]]</f>
        <v>9.9116140092170957E-2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0.5071069489195611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-1.3905198871921312</v>
      </c>
      <c r="H705" t="s">
        <v>10</v>
      </c>
      <c r="I705">
        <f>VLOOKUP(Table4[[#This Row],[Visitor]],'NHL Model'!$A$6:$B$38,2,FALSE)</f>
        <v>0.26494263732175571</v>
      </c>
      <c r="J705">
        <f>($B$1+Table4[[#This Row],[Home Differential]])-Table4[[#This Row],[Away Differential]]</f>
        <v>-1.4771643308590234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0.69249155260134876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-0.4314038989751332</v>
      </c>
      <c r="H706" t="s">
        <v>11</v>
      </c>
      <c r="I706">
        <f>VLOOKUP(Table4[[#This Row],[Visitor]],'NHL Model'!$A$6:$B$38,2,FALSE)</f>
        <v>-0.16385680125706742</v>
      </c>
      <c r="J706">
        <f>($B$1+Table4[[#This Row],[Home Differential]])-Table4[[#This Row],[Away Differential]]</f>
        <v>-8.9248904063202461E-2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0.47029658786259532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-0.5365514628281316</v>
      </c>
      <c r="H707" t="s">
        <v>37</v>
      </c>
      <c r="I707">
        <f>VLOOKUP(Table4[[#This Row],[Visitor]],'NHL Model'!$A$6:$B$38,2,FALSE)</f>
        <v>-0.12437377019828177</v>
      </c>
      <c r="J707">
        <f>($B$1+Table4[[#This Row],[Home Differential]])-Table4[[#This Row],[Away Differential]]</f>
        <v>-0.2338794989749865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0.53810916127947539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0.24618288254564977</v>
      </c>
      <c r="H708" t="s">
        <v>16</v>
      </c>
      <c r="I708">
        <f>VLOOKUP(Table4[[#This Row],[Visitor]],'NHL Model'!$A$6:$B$38,2,FALSE)</f>
        <v>-1.429228083243411</v>
      </c>
      <c r="J708">
        <f>($B$1+Table4[[#This Row],[Home Differential]])-Table4[[#This Row],[Away Differential]]</f>
        <v>1.8537091594439241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0.84172944980457753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-0.40334472409778083</v>
      </c>
      <c r="H709" t="s">
        <v>39</v>
      </c>
      <c r="I709">
        <f>VLOOKUP(Table4[[#This Row],[Visitor]],'NHL Model'!$A$6:$B$38,2,FALSE)</f>
        <v>0.16990542827764471</v>
      </c>
      <c r="J709">
        <f>($B$1+Table4[[#This Row],[Home Differential]])-Table4[[#This Row],[Away Differential]]</f>
        <v>-0.39495195872056221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0.60909474788535856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-0.64312007588488018</v>
      </c>
      <c r="H710" t="s">
        <v>38</v>
      </c>
      <c r="I710">
        <f>VLOOKUP(Table4[[#This Row],[Visitor]],'NHL Model'!$A$6:$B$38,2,FALSE)</f>
        <v>-0.83680023888172561</v>
      </c>
      <c r="J710">
        <f>($B$1+Table4[[#This Row],[Home Differential]])-Table4[[#This Row],[Away Differential]]</f>
        <v>0.37197835665170875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0.57254651731398765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-6.1930983208684394E-4</v>
      </c>
      <c r="H711" t="s">
        <v>35</v>
      </c>
      <c r="I711">
        <f>VLOOKUP(Table4[[#This Row],[Visitor]],'NHL Model'!$A$6:$B$38,2,FALSE)</f>
        <v>-1.6560580871558699</v>
      </c>
      <c r="J711">
        <f>($B$1+Table4[[#This Row],[Home Differential]])-Table4[[#This Row],[Away Differential]]</f>
        <v>1.8337369709786464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0.80282996482809543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-1.6459316139111148E-2</v>
      </c>
      <c r="H712" t="s">
        <v>14</v>
      </c>
      <c r="I712">
        <f>VLOOKUP(Table4[[#This Row],[Visitor]],'NHL Model'!$A$6:$B$38,2,FALSE)</f>
        <v>0.24618288254564977</v>
      </c>
      <c r="J712">
        <f>($B$1+Table4[[#This Row],[Home Differential]])-Table4[[#This Row],[Away Differential]]</f>
        <v>-8.4344005029897556E-2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0.4203730703674346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-1.3905198871921312</v>
      </c>
      <c r="H713" t="s">
        <v>22</v>
      </c>
      <c r="I713">
        <f>VLOOKUP(Table4[[#This Row],[Visitor]],'NHL Model'!$A$6:$B$38,2,FALSE)</f>
        <v>-2.6005603564376825E-2</v>
      </c>
      <c r="J713">
        <f>($B$1+Table4[[#This Row],[Home Differential]])-Table4[[#This Row],[Away Differential]]</f>
        <v>-1.1862160899728911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0.63002063989564749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-0.40334472409778083</v>
      </c>
      <c r="H714" t="s">
        <v>20</v>
      </c>
      <c r="I714">
        <f>VLOOKUP(Table4[[#This Row],[Visitor]],'NHL Model'!$A$6:$B$38,2,FALSE)</f>
        <v>-6.1930983208684394E-4</v>
      </c>
      <c r="J714">
        <f>($B$1+Table4[[#This Row],[Home Differential]])-Table4[[#This Row],[Away Differential]]</f>
        <v>-0.22442722061083062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0.51293643873479378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-0.14078840027135531</v>
      </c>
      <c r="H715" t="s">
        <v>28</v>
      </c>
      <c r="I715">
        <f>VLOOKUP(Table4[[#This Row],[Visitor]],'NHL Model'!$A$6:$B$38,2,FALSE)</f>
        <v>-0.4068113735564976</v>
      </c>
      <c r="J715">
        <f>($B$1+Table4[[#This Row],[Home Differential]])-Table4[[#This Row],[Away Differential]]</f>
        <v>0.44432116694000567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0.65191995474642583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7.2067135963786652E-2</v>
      </c>
      <c r="H716" t="s">
        <v>24</v>
      </c>
      <c r="I716">
        <f>VLOOKUP(Table4[[#This Row],[Visitor]],'NHL Model'!$A$6:$B$38,2,FALSE)</f>
        <v>0.54693303419816819</v>
      </c>
      <c r="J716">
        <f>($B$1+Table4[[#This Row],[Home Differential]])-Table4[[#This Row],[Away Differential]]</f>
        <v>-0.2965677045795182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0.53230303939800605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-0.67384018791748512</v>
      </c>
      <c r="H717" t="s">
        <v>11</v>
      </c>
      <c r="I717">
        <f>VLOOKUP(Table4[[#This Row],[Visitor]],'NHL Model'!$A$6:$B$38,2,FALSE)</f>
        <v>-0.16385680125706742</v>
      </c>
      <c r="J717">
        <f>($B$1+Table4[[#This Row],[Home Differential]])-Table4[[#This Row],[Away Differential]]</f>
        <v>-0.33168519300555438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0.50504503996026229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0.26494263732175571</v>
      </c>
      <c r="H718" t="s">
        <v>17</v>
      </c>
      <c r="I718">
        <f>VLOOKUP(Table4[[#This Row],[Visitor]],'NHL Model'!$A$6:$B$38,2,FALSE)</f>
        <v>-0.83182649756544103</v>
      </c>
      <c r="J718">
        <f>($B$1+Table4[[#This Row],[Home Differential]])-Table4[[#This Row],[Away Differential]]</f>
        <v>1.2750673285420602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0.7227557094708682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1.5385519346678582</v>
      </c>
      <c r="H719" t="s">
        <v>19</v>
      </c>
      <c r="I719">
        <f>VLOOKUP(Table4[[#This Row],[Visitor]],'NHL Model'!$A$6:$B$38,2,FALSE)</f>
        <v>-0.64312007588488018</v>
      </c>
      <c r="J719">
        <f>($B$1+Table4[[#This Row],[Home Differential]])-Table4[[#This Row],[Away Differential]]</f>
        <v>2.3599702042076016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0.96662134954189138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-0.51526168477192669</v>
      </c>
      <c r="H720" t="s">
        <v>25</v>
      </c>
      <c r="I720">
        <f>VLOOKUP(Table4[[#This Row],[Visitor]],'NHL Model'!$A$6:$B$38,2,FALSE)</f>
        <v>0.73055531763635684</v>
      </c>
      <c r="J720">
        <f>($B$1+Table4[[#This Row],[Home Differential]])-Table4[[#This Row],[Away Differential]]</f>
        <v>-1.0675188087534202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0.69146926824966148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-0.12133880872417692</v>
      </c>
      <c r="H721" t="s">
        <v>39</v>
      </c>
      <c r="I721">
        <f>VLOOKUP(Table4[[#This Row],[Visitor]],'NHL Model'!$A$6:$B$38,2,FALSE)</f>
        <v>0.16990542827764471</v>
      </c>
      <c r="J721">
        <f>($B$1+Table4[[#This Row],[Home Differential]])-Table4[[#This Row],[Away Differential]]</f>
        <v>-0.11294604334695828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0.56867477163358338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-0.55929037526767655</v>
      </c>
      <c r="H722" t="s">
        <v>24</v>
      </c>
      <c r="I722">
        <f>VLOOKUP(Table4[[#This Row],[Visitor]],'NHL Model'!$A$6:$B$38,2,FALSE)</f>
        <v>0.54693303419816819</v>
      </c>
      <c r="J722">
        <f>($B$1+Table4[[#This Row],[Home Differential]])-Table4[[#This Row],[Away Differential]]</f>
        <v>-0.92792521581098142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0.6593155357265742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-0.59444373833461905</v>
      </c>
      <c r="H723" t="s">
        <v>38</v>
      </c>
      <c r="I723">
        <f>VLOOKUP(Table4[[#This Row],[Visitor]],'NHL Model'!$A$6:$B$38,2,FALSE)</f>
        <v>-0.83680023888172561</v>
      </c>
      <c r="J723">
        <f>($B$1+Table4[[#This Row],[Home Differential]])-Table4[[#This Row],[Away Differential]]</f>
        <v>0.42065469420196988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0.57952330858164025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-0.33401712526814992</v>
      </c>
      <c r="H724" t="s">
        <v>32</v>
      </c>
      <c r="I724">
        <f>VLOOKUP(Table4[[#This Row],[Visitor]],'NHL Model'!$A$6:$B$38,2,FALSE)</f>
        <v>-0.39497219926686861</v>
      </c>
      <c r="J724">
        <f>($B$1+Table4[[#This Row],[Home Differential]])-Table4[[#This Row],[Away Differential]]</f>
        <v>0.23925326765358204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0.57429222888429743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-0.5365514628281316</v>
      </c>
      <c r="H725" t="s">
        <v>37</v>
      </c>
      <c r="I725">
        <f>VLOOKUP(Table4[[#This Row],[Visitor]],'NHL Model'!$A$6:$B$38,2,FALSE)</f>
        <v>-0.12437377019828177</v>
      </c>
      <c r="J725">
        <f>($B$1+Table4[[#This Row],[Home Differential]])-Table4[[#This Row],[Away Differential]]</f>
        <v>-0.2338794989749865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0.53810916127947539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0.5301060565842276</v>
      </c>
      <c r="H726" t="s">
        <v>39</v>
      </c>
      <c r="I726">
        <f>VLOOKUP(Table4[[#This Row],[Visitor]],'NHL Model'!$A$6:$B$38,2,FALSE)</f>
        <v>0.16990542827764471</v>
      </c>
      <c r="J726">
        <f>($B$1+Table4[[#This Row],[Home Differential]])-Table4[[#This Row],[Away Differential]]</f>
        <v>0.53849882196144616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0.63968316676603987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-1.6459316139111148E-2</v>
      </c>
      <c r="H727" t="s">
        <v>26</v>
      </c>
      <c r="I727">
        <f>VLOOKUP(Table4[[#This Row],[Visitor]],'NHL Model'!$A$6:$B$38,2,FALSE)</f>
        <v>-0.51526168477192669</v>
      </c>
      <c r="J727">
        <f>($B$1+Table4[[#This Row],[Home Differential]])-Table4[[#This Row],[Away Differential]]</f>
        <v>0.6771005622876789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0.64250353327976095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-0.4068113735564976</v>
      </c>
      <c r="H728" t="s">
        <v>16</v>
      </c>
      <c r="I728">
        <f>VLOOKUP(Table4[[#This Row],[Visitor]],'NHL Model'!$A$6:$B$38,2,FALSE)</f>
        <v>-1.429228083243411</v>
      </c>
      <c r="J728">
        <f>($B$1+Table4[[#This Row],[Home Differential]])-Table4[[#This Row],[Away Differential]]</f>
        <v>1.2007149033417768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0.71914471019249149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-1.3905198871921312</v>
      </c>
      <c r="H729" t="s">
        <v>17</v>
      </c>
      <c r="I729">
        <f>VLOOKUP(Table4[[#This Row],[Visitor]],'NHL Model'!$A$6:$B$38,2,FALSE)</f>
        <v>-0.83182649756544103</v>
      </c>
      <c r="J729">
        <f>($B$1+Table4[[#This Row],[Home Differential]])-Table4[[#This Row],[Away Differential]]</f>
        <v>-0.3803951959718268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0.51452213570449734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-0.4314038989751332</v>
      </c>
      <c r="H730" t="s">
        <v>38</v>
      </c>
      <c r="I730">
        <f>VLOOKUP(Table4[[#This Row],[Visitor]],'NHL Model'!$A$6:$B$38,2,FALSE)</f>
        <v>-0.83680023888172561</v>
      </c>
      <c r="J730">
        <f>($B$1+Table4[[#This Row],[Home Differential]])-Table4[[#This Row],[Away Differential]]</f>
        <v>0.58369453356145573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0.60540020950679063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0.24618288254564977</v>
      </c>
      <c r="H731" t="s">
        <v>37</v>
      </c>
      <c r="I731">
        <f>VLOOKUP(Table4[[#This Row],[Visitor]],'NHL Model'!$A$6:$B$38,2,FALSE)</f>
        <v>-0.12437377019828177</v>
      </c>
      <c r="J731">
        <f>($B$1+Table4[[#This Row],[Home Differential]])-Table4[[#This Row],[Away Differential]]</f>
        <v>0.54885484639879489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0.60807926296640846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-1.6560580871558699</v>
      </c>
      <c r="H732" t="s">
        <v>25</v>
      </c>
      <c r="I732">
        <f>VLOOKUP(Table4[[#This Row],[Visitor]],'NHL Model'!$A$6:$B$38,2,FALSE)</f>
        <v>0.73055531763635684</v>
      </c>
      <c r="J732">
        <f>($B$1+Table4[[#This Row],[Home Differential]])-Table4[[#This Row],[Away Differential]]</f>
        <v>-2.2083152111373634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0.88103448387723993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-0.14078840027135531</v>
      </c>
      <c r="H733" t="s">
        <v>19</v>
      </c>
      <c r="I733">
        <f>VLOOKUP(Table4[[#This Row],[Visitor]],'NHL Model'!$A$6:$B$38,2,FALSE)</f>
        <v>-0.64312007588488018</v>
      </c>
      <c r="J733">
        <f>($B$1+Table4[[#This Row],[Home Differential]])-Table4[[#This Row],[Away Differential]]</f>
        <v>0.6806298692683882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0.70582735033352828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7.2067135963786652E-2</v>
      </c>
      <c r="H734" t="s">
        <v>30</v>
      </c>
      <c r="I734">
        <f>VLOOKUP(Table4[[#This Row],[Visitor]],'NHL Model'!$A$6:$B$38,2,FALSE)</f>
        <v>-8.2927339771111427E-2</v>
      </c>
      <c r="J734">
        <f>($B$1+Table4[[#This Row],[Home Differential]])-Table4[[#This Row],[Away Differential]]</f>
        <v>0.33329266938976143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0.58175150166892009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-2.6005603564376825E-2</v>
      </c>
      <c r="H735" t="s">
        <v>18</v>
      </c>
      <c r="I735">
        <f>VLOOKUP(Table4[[#This Row],[Visitor]],'NHL Model'!$A$6:$B$38,2,FALSE)</f>
        <v>-0.59444373833461905</v>
      </c>
      <c r="J735">
        <f>($B$1+Table4[[#This Row],[Home Differential]])-Table4[[#This Row],[Away Differential]]</f>
        <v>0.74673632842510562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0.59993050759530098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-0.67384018791748512</v>
      </c>
      <c r="H736" t="s">
        <v>27</v>
      </c>
      <c r="I736">
        <f>VLOOKUP(Table4[[#This Row],[Visitor]],'NHL Model'!$A$6:$B$38,2,FALSE)</f>
        <v>-0.5365514628281316</v>
      </c>
      <c r="J736">
        <f>($B$1+Table4[[#This Row],[Home Differential]])-Table4[[#This Row],[Away Differential]]</f>
        <v>4.1009468565509799E-2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0.54837337628078897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-0.12133880872417692</v>
      </c>
      <c r="H737" t="s">
        <v>20</v>
      </c>
      <c r="I737">
        <f>VLOOKUP(Table4[[#This Row],[Visitor]],'NHL Model'!$A$6:$B$38,2,FALSE)</f>
        <v>-6.1930983208684394E-4</v>
      </c>
      <c r="J737">
        <f>($B$1+Table4[[#This Row],[Home Differential]])-Table4[[#This Row],[Away Differential]]</f>
        <v>5.7578694762773275E-2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0.5274835375169814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0.54693303419816819</v>
      </c>
      <c r="H738" t="s">
        <v>32</v>
      </c>
      <c r="I738">
        <f>VLOOKUP(Table4[[#This Row],[Visitor]],'NHL Model'!$A$6:$B$38,2,FALSE)</f>
        <v>-0.39497219926686861</v>
      </c>
      <c r="J738">
        <f>($B$1+Table4[[#This Row],[Home Differential]])-Table4[[#This Row],[Away Differential]]</f>
        <v>1.1202034271199002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0.81598974052787021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-0.33401712526814992</v>
      </c>
      <c r="H739" t="s">
        <v>36</v>
      </c>
      <c r="I739">
        <f>VLOOKUP(Table4[[#This Row],[Visitor]],'NHL Model'!$A$6:$B$38,2,FALSE)</f>
        <v>-0.4314038989751332</v>
      </c>
      <c r="J739">
        <f>($B$1+Table4[[#This Row],[Home Differential]])-Table4[[#This Row],[Away Differential]]</f>
        <v>0.27568496736184667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0.57951399324008757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-1.6459316139111148E-2</v>
      </c>
      <c r="H740" t="s">
        <v>32</v>
      </c>
      <c r="I740">
        <f>VLOOKUP(Table4[[#This Row],[Visitor]],'NHL Model'!$A$6:$B$38,2,FALSE)</f>
        <v>-0.39497219926686861</v>
      </c>
      <c r="J740">
        <f>($B$1+Table4[[#This Row],[Home Differential]])-Table4[[#This Row],[Away Differential]]</f>
        <v>0.55681107678262087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0.67152384302260526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-0.67384018791748512</v>
      </c>
      <c r="H741" t="s">
        <v>18</v>
      </c>
      <c r="I741">
        <f>VLOOKUP(Table4[[#This Row],[Visitor]],'NHL Model'!$A$6:$B$38,2,FALSE)</f>
        <v>-0.59444373833461905</v>
      </c>
      <c r="J741">
        <f>($B$1+Table4[[#This Row],[Home Differential]])-Table4[[#This Row],[Away Differential]]</f>
        <v>9.8901744071997255E-2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0.50958845500341476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-0.4068113735564976</v>
      </c>
      <c r="H742" t="s">
        <v>38</v>
      </c>
      <c r="I742">
        <f>VLOOKUP(Table4[[#This Row],[Visitor]],'NHL Model'!$A$6:$B$38,2,FALSE)</f>
        <v>-0.83680023888172561</v>
      </c>
      <c r="J742">
        <f>($B$1+Table4[[#This Row],[Home Differential]])-Table4[[#This Row],[Away Differential]]</f>
        <v>0.60828705898009139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0.61350172117892698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0.26494263732175571</v>
      </c>
      <c r="H743" t="s">
        <v>16</v>
      </c>
      <c r="I743">
        <f>VLOOKUP(Table4[[#This Row],[Visitor]],'NHL Model'!$A$6:$B$38,2,FALSE)</f>
        <v>-1.429228083243411</v>
      </c>
      <c r="J743">
        <f>($B$1+Table4[[#This Row],[Home Differential]])-Table4[[#This Row],[Away Differential]]</f>
        <v>1.8724689142200299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0.80838142364741761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-0.83182649756544103</v>
      </c>
      <c r="H744" t="s">
        <v>30</v>
      </c>
      <c r="I744">
        <f>VLOOKUP(Table4[[#This Row],[Visitor]],'NHL Model'!$A$6:$B$38,2,FALSE)</f>
        <v>-8.2927339771111427E-2</v>
      </c>
      <c r="J744">
        <f>($B$1+Table4[[#This Row],[Home Differential]])-Table4[[#This Row],[Away Differential]]</f>
        <v>-0.57060096413946626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0.54780379206660268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-0.55929037526767655</v>
      </c>
      <c r="H745" t="s">
        <v>40</v>
      </c>
      <c r="I745">
        <f>VLOOKUP(Table4[[#This Row],[Visitor]],'NHL Model'!$A$6:$B$38,2,FALSE)</f>
        <v>7.2067135963786652E-2</v>
      </c>
      <c r="J745">
        <f>($B$1+Table4[[#This Row],[Home Differential]])-Table4[[#This Row],[Away Differential]]</f>
        <v>-0.4530593175765999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0.59125289135266756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0.24618288254564977</v>
      </c>
      <c r="H746" t="s">
        <v>27</v>
      </c>
      <c r="I746">
        <f>VLOOKUP(Table4[[#This Row],[Visitor]],'NHL Model'!$A$6:$B$38,2,FALSE)</f>
        <v>-0.5365514628281316</v>
      </c>
      <c r="J746">
        <f>($B$1+Table4[[#This Row],[Home Differential]])-Table4[[#This Row],[Away Differential]]</f>
        <v>0.96103253902864472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0.71378189327939312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-0.14078840027135531</v>
      </c>
      <c r="H747" t="s">
        <v>39</v>
      </c>
      <c r="I747">
        <f>VLOOKUP(Table4[[#This Row],[Visitor]],'NHL Model'!$A$6:$B$38,2,FALSE)</f>
        <v>0.16990542827764471</v>
      </c>
      <c r="J747">
        <f>($B$1+Table4[[#This Row],[Home Differential]])-Table4[[#This Row],[Away Differential]]</f>
        <v>-0.13239563489413667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0.50173491915194124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-6.1930983208684394E-4</v>
      </c>
      <c r="H748" t="s">
        <v>19</v>
      </c>
      <c r="I748">
        <f>VLOOKUP(Table4[[#This Row],[Visitor]],'NHL Model'!$A$6:$B$38,2,FALSE)</f>
        <v>-0.64312007588488018</v>
      </c>
      <c r="J748">
        <f>($B$1+Table4[[#This Row],[Home Differential]])-Table4[[#This Row],[Away Differential]]</f>
        <v>0.82079895970765671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0.65764531398184534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-2.6005603564376825E-2</v>
      </c>
      <c r="H749" t="s">
        <v>33</v>
      </c>
      <c r="I749">
        <f>VLOOKUP(Table4[[#This Row],[Visitor]],'NHL Model'!$A$6:$B$38,2,FALSE)</f>
        <v>-0.40334472409778083</v>
      </c>
      <c r="J749">
        <f>($B$1+Table4[[#This Row],[Home Differential]])-Table4[[#This Row],[Away Differential]]</f>
        <v>0.55563731418826734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0.61963963101389652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0.73055531763635684</v>
      </c>
      <c r="H750" t="s">
        <v>11</v>
      </c>
      <c r="I750">
        <f>VLOOKUP(Table4[[#This Row],[Visitor]],'NHL Model'!$A$6:$B$38,2,FALSE)</f>
        <v>-0.16385680125706742</v>
      </c>
      <c r="J750">
        <f>($B$1+Table4[[#This Row],[Home Differential]])-Table4[[#This Row],[Away Differential]]</f>
        <v>1.0727103125482875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0.74546780561761505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1.5385519346678582</v>
      </c>
      <c r="H751" t="s">
        <v>29</v>
      </c>
      <c r="I751">
        <f>VLOOKUP(Table4[[#This Row],[Visitor]],'NHL Model'!$A$6:$B$38,2,FALSE)</f>
        <v>-1.3905198871921312</v>
      </c>
      <c r="J751">
        <f>($B$1+Table4[[#This Row],[Home Differential]])-Table4[[#This Row],[Away Differential]]</f>
        <v>3.1073700155148529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-0.51526168477192669</v>
      </c>
      <c r="H752" t="s">
        <v>33</v>
      </c>
      <c r="I752">
        <f>VLOOKUP(Table4[[#This Row],[Visitor]],'NHL Model'!$A$6:$B$38,2,FALSE)</f>
        <v>-0.40334472409778083</v>
      </c>
      <c r="J752">
        <f>($B$1+Table4[[#This Row],[Home Differential]])-Table4[[#This Row],[Away Differential]]</f>
        <v>6.6381232980717464E-2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0.57555217407312553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-0.12133880872417692</v>
      </c>
      <c r="H753" t="s">
        <v>31</v>
      </c>
      <c r="I753">
        <f>VLOOKUP(Table4[[#This Row],[Visitor]],'NHL Model'!$A$6:$B$38,2,FALSE)</f>
        <v>0.5301060565842276</v>
      </c>
      <c r="J753">
        <f>($B$1+Table4[[#This Row],[Home Differential]])-Table4[[#This Row],[Away Differential]]</f>
        <v>-0.47314667165354118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0.54858545798030267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-1.6560580871558699</v>
      </c>
      <c r="H754" t="s">
        <v>37</v>
      </c>
      <c r="I754">
        <f>VLOOKUP(Table4[[#This Row],[Visitor]],'NHL Model'!$A$6:$B$38,2,FALSE)</f>
        <v>-0.12437377019828177</v>
      </c>
      <c r="J754">
        <f>($B$1+Table4[[#This Row],[Home Differential]])-Table4[[#This Row],[Away Differential]]</f>
        <v>-1.3533861233027249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0.70108055280107417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0.5301060565842276</v>
      </c>
      <c r="H755" t="s">
        <v>13</v>
      </c>
      <c r="I755">
        <f>VLOOKUP(Table4[[#This Row],[Visitor]],'NHL Model'!$A$6:$B$38,2,FALSE)</f>
        <v>-0.12133880872417692</v>
      </c>
      <c r="J755">
        <f>($B$1+Table4[[#This Row],[Home Differential]])-Table4[[#This Row],[Away Differential]]</f>
        <v>0.82974305896326783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0.672118763259269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-0.67384018791748512</v>
      </c>
      <c r="H756" t="s">
        <v>34</v>
      </c>
      <c r="I756">
        <f>VLOOKUP(Table4[[#This Row],[Visitor]],'NHL Model'!$A$6:$B$38,2,FALSE)</f>
        <v>-0.55929037526767655</v>
      </c>
      <c r="J756">
        <f>($B$1+Table4[[#This Row],[Home Differential]])-Table4[[#This Row],[Away Differential]]</f>
        <v>6.3748381005054755E-2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0.55163255011613199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-1.429228083243411</v>
      </c>
      <c r="H757" t="s">
        <v>30</v>
      </c>
      <c r="I757">
        <f>VLOOKUP(Table4[[#This Row],[Visitor]],'NHL Model'!$A$6:$B$38,2,FALSE)</f>
        <v>-8.2927339771111427E-2</v>
      </c>
      <c r="J757">
        <f>($B$1+Table4[[#This Row],[Home Differential]])-Table4[[#This Row],[Away Differential]]</f>
        <v>-1.1680025498174362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0.66992265158149444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0.26494263732175571</v>
      </c>
      <c r="H758" t="s">
        <v>21</v>
      </c>
      <c r="I758">
        <f>VLOOKUP(Table4[[#This Row],[Visitor]],'NHL Model'!$A$6:$B$38,2,FALSE)</f>
        <v>-1.6459316139111148E-2</v>
      </c>
      <c r="J758">
        <f>($B$1+Table4[[#This Row],[Home Differential]])-Table4[[#This Row],[Away Differential]]</f>
        <v>0.45970014711573021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0.60588893358757756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0.54693303419816819</v>
      </c>
      <c r="H759" t="s">
        <v>25</v>
      </c>
      <c r="I759">
        <f>VLOOKUP(Table4[[#This Row],[Visitor]],'NHL Model'!$A$6:$B$38,2,FALSE)</f>
        <v>0.73055531763635684</v>
      </c>
      <c r="J759">
        <f>($B$1+Table4[[#This Row],[Home Differential]])-Table4[[#This Row],[Away Differential]]</f>
        <v>-5.3240897833253253E-3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0.4452075475244604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-0.4314038989751332</v>
      </c>
      <c r="H760" t="s">
        <v>18</v>
      </c>
      <c r="I760">
        <f>VLOOKUP(Table4[[#This Row],[Visitor]],'NHL Model'!$A$6:$B$38,2,FALSE)</f>
        <v>-0.59444373833461905</v>
      </c>
      <c r="J760">
        <f>($B$1+Table4[[#This Row],[Home Differential]])-Table4[[#This Row],[Away Differential]]</f>
        <v>0.34133803301434917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0.54433690710108174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-0.5365514628281316</v>
      </c>
      <c r="H761" t="s">
        <v>15</v>
      </c>
      <c r="I761">
        <f>VLOOKUP(Table4[[#This Row],[Visitor]],'NHL Model'!$A$6:$B$38,2,FALSE)</f>
        <v>-0.33401712526814992</v>
      </c>
      <c r="J761">
        <f>($B$1+Table4[[#This Row],[Home Differential]])-Table4[[#This Row],[Away Differential]]</f>
        <v>-2.4236143905118357E-2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0.60347377238446109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0.24618288254564977</v>
      </c>
      <c r="H762" t="s">
        <v>28</v>
      </c>
      <c r="I762">
        <f>VLOOKUP(Table4[[#This Row],[Visitor]],'NHL Model'!$A$6:$B$38,2,FALSE)</f>
        <v>-0.4068113735564976</v>
      </c>
      <c r="J762">
        <f>($B$1+Table4[[#This Row],[Home Differential]])-Table4[[#This Row],[Away Differential]]</f>
        <v>0.83129244975701067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0.67470490401139838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-0.14078840027135531</v>
      </c>
      <c r="H763" t="s">
        <v>32</v>
      </c>
      <c r="I763">
        <f>VLOOKUP(Table4[[#This Row],[Visitor]],'NHL Model'!$A$6:$B$38,2,FALSE)</f>
        <v>-0.39497219926686861</v>
      </c>
      <c r="J763">
        <f>($B$1+Table4[[#This Row],[Home Differential]])-Table4[[#This Row],[Away Differential]]</f>
        <v>0.43248199265037668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0.67026025498894848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-0.83680023888172561</v>
      </c>
      <c r="H764" t="s">
        <v>17</v>
      </c>
      <c r="I764">
        <f>VLOOKUP(Table4[[#This Row],[Visitor]],'NHL Model'!$A$6:$B$38,2,FALSE)</f>
        <v>-0.83182649756544103</v>
      </c>
      <c r="J764">
        <f>($B$1+Table4[[#This Row],[Home Differential]])-Table4[[#This Row],[Away Differential]]</f>
        <v>0.17332445233857874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0.56484263579399041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-6.1930983208684394E-4</v>
      </c>
      <c r="H765" t="s">
        <v>29</v>
      </c>
      <c r="I765">
        <f>VLOOKUP(Table4[[#This Row],[Visitor]],'NHL Model'!$A$6:$B$38,2,FALSE)</f>
        <v>-1.3905198871921312</v>
      </c>
      <c r="J765">
        <f>($B$1+Table4[[#This Row],[Home Differential]])-Table4[[#This Row],[Away Differential]]</f>
        <v>1.5681987710149077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0.76477031022030384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7.2067135963786652E-2</v>
      </c>
      <c r="H766" t="s">
        <v>19</v>
      </c>
      <c r="I766">
        <f>VLOOKUP(Table4[[#This Row],[Visitor]],'NHL Model'!$A$6:$B$38,2,FALSE)</f>
        <v>-0.64312007588488018</v>
      </c>
      <c r="J766">
        <f>($B$1+Table4[[#This Row],[Home Differential]])-Table4[[#This Row],[Away Differential]]</f>
        <v>0.89348540550353017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0.70410034624750351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-2.6005603564376825E-2</v>
      </c>
      <c r="H767" t="s">
        <v>11</v>
      </c>
      <c r="I767">
        <f>VLOOKUP(Table4[[#This Row],[Visitor]],'NHL Model'!$A$6:$B$38,2,FALSE)</f>
        <v>-0.16385680125706742</v>
      </c>
      <c r="J767">
        <f>($B$1+Table4[[#This Row],[Home Differential]])-Table4[[#This Row],[Away Differential]]</f>
        <v>0.31614939134755393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0.58531376894471143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0.16990542827764471</v>
      </c>
      <c r="H768" t="s">
        <v>37</v>
      </c>
      <c r="I768">
        <f>VLOOKUP(Table4[[#This Row],[Visitor]],'NHL Model'!$A$6:$B$38,2,FALSE)</f>
        <v>-0.12437377019828177</v>
      </c>
      <c r="J768">
        <f>($B$1+Table4[[#This Row],[Home Differential]])-Table4[[#This Row],[Away Differential]]</f>
        <v>0.47257739213078986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0.58696540146976495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-0.51526168477192669</v>
      </c>
      <c r="H769" t="s">
        <v>36</v>
      </c>
      <c r="I769">
        <f>VLOOKUP(Table4[[#This Row],[Visitor]],'NHL Model'!$A$6:$B$38,2,FALSE)</f>
        <v>-0.4314038989751332</v>
      </c>
      <c r="J769">
        <f>($B$1+Table4[[#This Row],[Home Differential]])-Table4[[#This Row],[Away Differential]]</f>
        <v>9.4440407858069841E-2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0.5795739024141231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-0.83182649756544103</v>
      </c>
      <c r="H770" t="s">
        <v>35</v>
      </c>
      <c r="I770">
        <f>VLOOKUP(Table4[[#This Row],[Visitor]],'NHL Model'!$A$6:$B$38,2,FALSE)</f>
        <v>-1.6560580871558699</v>
      </c>
      <c r="J770">
        <f>($B$1+Table4[[#This Row],[Home Differential]])-Table4[[#This Row],[Away Differential]]</f>
        <v>1.0025297832452922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0.71972970335823094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0.5301060565842276</v>
      </c>
      <c r="H771" t="s">
        <v>15</v>
      </c>
      <c r="I771">
        <f>VLOOKUP(Table4[[#This Row],[Visitor]],'NHL Model'!$A$6:$B$38,2,FALSE)</f>
        <v>-0.33401712526814992</v>
      </c>
      <c r="J771">
        <f>($B$1+Table4[[#This Row],[Home Differential]])-Table4[[#This Row],[Away Differential]]</f>
        <v>1.0424213755072409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0.66103841557024379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0.73055531763635684</v>
      </c>
      <c r="H772" t="s">
        <v>23</v>
      </c>
      <c r="I772">
        <f>VLOOKUP(Table4[[#This Row],[Visitor]],'NHL Model'!$A$6:$B$38,2,FALSE)</f>
        <v>-0.67384018791748512</v>
      </c>
      <c r="J772">
        <f>($B$1+Table4[[#This Row],[Home Differential]])-Table4[[#This Row],[Away Differential]]</f>
        <v>1.5826936992087053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0.81856384812546468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-1.429228083243411</v>
      </c>
      <c r="H773" t="s">
        <v>24</v>
      </c>
      <c r="I773">
        <f>VLOOKUP(Table4[[#This Row],[Visitor]],'NHL Model'!$A$6:$B$38,2,FALSE)</f>
        <v>0.54693303419816819</v>
      </c>
      <c r="J773">
        <f>($B$1+Table4[[#This Row],[Home Differential]])-Table4[[#This Row],[Away Differential]]</f>
        <v>-1.7978629237867159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0.7840039184164157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0.26494263732175571</v>
      </c>
      <c r="H774" t="s">
        <v>40</v>
      </c>
      <c r="I774">
        <f>VLOOKUP(Table4[[#This Row],[Visitor]],'NHL Model'!$A$6:$B$38,2,FALSE)</f>
        <v>7.2067135963786652E-2</v>
      </c>
      <c r="J774">
        <f>($B$1+Table4[[#This Row],[Home Differential]])-Table4[[#This Row],[Away Differential]]</f>
        <v>0.37117369501283237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0.5268846262616611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1.5385519346678582</v>
      </c>
      <c r="H775" t="s">
        <v>22</v>
      </c>
      <c r="I775">
        <f>VLOOKUP(Table4[[#This Row],[Visitor]],'NHL Model'!$A$6:$B$38,2,FALSE)</f>
        <v>-2.6005603564376825E-2</v>
      </c>
      <c r="J775">
        <f>($B$1+Table4[[#This Row],[Home Differential]])-Table4[[#This Row],[Away Differential]]</f>
        <v>1.7428557318870983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0.87817018254145507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-0.16385680125706742</v>
      </c>
      <c r="H776" t="s">
        <v>33</v>
      </c>
      <c r="I776">
        <f>VLOOKUP(Table4[[#This Row],[Visitor]],'NHL Model'!$A$6:$B$38,2,FALSE)</f>
        <v>-0.40334472409778083</v>
      </c>
      <c r="J776">
        <f>($B$1+Table4[[#This Row],[Home Differential]])-Table4[[#This Row],[Away Differential]]</f>
        <v>0.41778611649557673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0.66332966127450155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-0.39497219926686861</v>
      </c>
      <c r="H777" t="s">
        <v>14</v>
      </c>
      <c r="I777">
        <f>VLOOKUP(Table4[[#This Row],[Visitor]],'NHL Model'!$A$6:$B$38,2,FALSE)</f>
        <v>0.24618288254564977</v>
      </c>
      <c r="J777">
        <f>($B$1+Table4[[#This Row],[Home Differential]])-Table4[[#This Row],[Away Differential]]</f>
        <v>-0.46285688815765502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0.50030365419773593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-0.64312007588488018</v>
      </c>
      <c r="H778" t="s">
        <v>34</v>
      </c>
      <c r="I778">
        <f>VLOOKUP(Table4[[#This Row],[Visitor]],'NHL Model'!$A$6:$B$38,2,FALSE)</f>
        <v>-0.55929037526767655</v>
      </c>
      <c r="J778">
        <f>($B$1+Table4[[#This Row],[Home Differential]])-Table4[[#This Row],[Away Differential]]</f>
        <v>9.4468493037659695E-2</v>
      </c>
      <c r="K778" t="str">
        <f>IF(Table4[[#This Row],[HomeIce Differential]]&gt;0,Table4[[#This Row],[Home]],Table4[[#This Row],[Visitor]])</f>
        <v>Toronto Maple Leafs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0.55354019202066929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-0.83680023888172561</v>
      </c>
      <c r="H779" t="s">
        <v>30</v>
      </c>
      <c r="I779">
        <f>VLOOKUP(Table4[[#This Row],[Visitor]],'NHL Model'!$A$6:$B$38,2,FALSE)</f>
        <v>-8.2927339771111427E-2</v>
      </c>
      <c r="J779">
        <f>($B$1+Table4[[#This Row],[Home Differential]])-Table4[[#This Row],[Away Differential]]</f>
        <v>-0.57557470545575085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0.58500982495420195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-6.1930983208684394E-4</v>
      </c>
      <c r="H780" t="s">
        <v>27</v>
      </c>
      <c r="I780">
        <f>VLOOKUP(Table4[[#This Row],[Visitor]],'NHL Model'!$A$6:$B$38,2,FALSE)</f>
        <v>-0.5365514628281316</v>
      </c>
      <c r="J780">
        <f>($B$1+Table4[[#This Row],[Home Differential]])-Table4[[#This Row],[Away Differential]]</f>
        <v>0.71423034665090812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0.64237080882392406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-0.4068113735564976</v>
      </c>
      <c r="H781" t="s">
        <v>36</v>
      </c>
      <c r="I781">
        <f>VLOOKUP(Table4[[#This Row],[Visitor]],'NHL Model'!$A$6:$B$38,2,FALSE)</f>
        <v>-0.4314038989751332</v>
      </c>
      <c r="J781">
        <f>($B$1+Table4[[#This Row],[Home Differential]])-Table4[[#This Row],[Away Differential]]</f>
        <v>0.20289071907349895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0.57612632783643858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0.16990542827764471</v>
      </c>
      <c r="H782" t="s">
        <v>21</v>
      </c>
      <c r="I782">
        <f>VLOOKUP(Table4[[#This Row],[Visitor]],'NHL Model'!$A$6:$B$38,2,FALSE)</f>
        <v>-1.6459316139111148E-2</v>
      </c>
      <c r="J782">
        <f>($B$1+Table4[[#This Row],[Home Differential]])-Table4[[#This Row],[Away Differential]]</f>
        <v>0.36466293807161926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0.61830496321281669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-0.83182649756544103</v>
      </c>
      <c r="H783" t="s">
        <v>24</v>
      </c>
      <c r="I783">
        <f>VLOOKUP(Table4[[#This Row],[Visitor]],'NHL Model'!$A$6:$B$38,2,FALSE)</f>
        <v>0.54693303419816819</v>
      </c>
      <c r="J783">
        <f>($B$1+Table4[[#This Row],[Home Differential]])-Table4[[#This Row],[Away Differential]]</f>
        <v>-1.2004613381087459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0.66185833313352882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-0.12133880872417692</v>
      </c>
      <c r="H784" t="s">
        <v>15</v>
      </c>
      <c r="I784">
        <f>VLOOKUP(Table4[[#This Row],[Visitor]],'NHL Model'!$A$6:$B$38,2,FALSE)</f>
        <v>-0.33401712526814992</v>
      </c>
      <c r="J784">
        <f>($B$1+Table4[[#This Row],[Home Differential]])-Table4[[#This Row],[Away Differential]]</f>
        <v>0.39097651019883634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0.45362911948496332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-0.59444373833461905</v>
      </c>
      <c r="H785" t="s">
        <v>34</v>
      </c>
      <c r="I785">
        <f>VLOOKUP(Table4[[#This Row],[Visitor]],'NHL Model'!$A$6:$B$38,2,FALSE)</f>
        <v>-0.55929037526767655</v>
      </c>
      <c r="J785">
        <f>($B$1+Table4[[#This Row],[Home Differential]])-Table4[[#This Row],[Away Differential]]</f>
        <v>0.14314483058792082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0.56051698328832189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-1.3905198871921312</v>
      </c>
      <c r="H786" t="s">
        <v>23</v>
      </c>
      <c r="I786">
        <f>VLOOKUP(Table4[[#This Row],[Visitor]],'NHL Model'!$A$6:$B$38,2,FALSE)</f>
        <v>-0.67384018791748512</v>
      </c>
      <c r="J786">
        <f>($B$1+Table4[[#This Row],[Home Differential]])-Table4[[#This Row],[Away Differential]]</f>
        <v>-0.53838150561978271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0.53716635178633387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-0.12437377019828177</v>
      </c>
      <c r="H787" t="s">
        <v>33</v>
      </c>
      <c r="I787">
        <f>VLOOKUP(Table4[[#This Row],[Visitor]],'NHL Model'!$A$6:$B$38,2,FALSE)</f>
        <v>-0.40334472409778083</v>
      </c>
      <c r="J787">
        <f>($B$1+Table4[[#This Row],[Home Differential]])-Table4[[#This Row],[Away Differential]]</f>
        <v>0.45726914755436243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0.60554049783080144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7.2067135963786652E-2</v>
      </c>
      <c r="H788" t="s">
        <v>35</v>
      </c>
      <c r="I788">
        <f>VLOOKUP(Table4[[#This Row],[Visitor]],'NHL Model'!$A$6:$B$38,2,FALSE)</f>
        <v>-1.6560580871558699</v>
      </c>
      <c r="J788">
        <f>($B$1+Table4[[#This Row],[Home Differential]])-Table4[[#This Row],[Away Differential]]</f>
        <v>1.90642341677452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0.84928499709375371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-1.429228083243411</v>
      </c>
      <c r="H789" t="s">
        <v>14</v>
      </c>
      <c r="I789">
        <f>VLOOKUP(Table4[[#This Row],[Visitor]],'NHL Model'!$A$6:$B$38,2,FALSE)</f>
        <v>0.24618288254564977</v>
      </c>
      <c r="J789">
        <f>($B$1+Table4[[#This Row],[Home Differential]])-Table4[[#This Row],[Away Differential]]</f>
        <v>-1.4971127721341975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0.67458153675863564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1.5385519346678582</v>
      </c>
      <c r="H790" t="s">
        <v>31</v>
      </c>
      <c r="I790">
        <f>VLOOKUP(Table4[[#This Row],[Visitor]],'NHL Model'!$A$6:$B$38,2,FALSE)</f>
        <v>0.5301060565842276</v>
      </c>
      <c r="J790">
        <f>($B$1+Table4[[#This Row],[Home Differential]])-Table4[[#This Row],[Away Differential]]</f>
        <v>1.1867440717384938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0.77879196782408777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-0.39497219926686861</v>
      </c>
      <c r="H791" t="s">
        <v>30</v>
      </c>
      <c r="I791">
        <f>VLOOKUP(Table4[[#This Row],[Visitor]],'NHL Model'!$A$6:$B$38,2,FALSE)</f>
        <v>-8.2927339771111427E-2</v>
      </c>
      <c r="J791">
        <f>($B$1+Table4[[#This Row],[Home Differential]])-Table4[[#This Row],[Away Differential]]</f>
        <v>-0.13374666584089384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0.49536041824605703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-0.64312007588488018</v>
      </c>
      <c r="H792" t="s">
        <v>26</v>
      </c>
      <c r="I792">
        <f>VLOOKUP(Table4[[#This Row],[Visitor]],'NHL Model'!$A$6:$B$38,2,FALSE)</f>
        <v>-0.51526168477192669</v>
      </c>
      <c r="J792">
        <f>($B$1+Table4[[#This Row],[Home Differential]])-Table4[[#This Row],[Away Differential]]</f>
        <v>5.0439802541909828E-2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0.50013015765190849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-0.14078840027135531</v>
      </c>
      <c r="H793" t="s">
        <v>27</v>
      </c>
      <c r="I793">
        <f>VLOOKUP(Table4[[#This Row],[Visitor]],'NHL Model'!$A$6:$B$38,2,FALSE)</f>
        <v>-0.5365514628281316</v>
      </c>
      <c r="J793">
        <f>($B$1+Table4[[#This Row],[Home Differential]])-Table4[[#This Row],[Away Differential]]</f>
        <v>0.57406125621163961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0.69055284517560711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-0.83680023888172561</v>
      </c>
      <c r="H794" t="s">
        <v>22</v>
      </c>
      <c r="I794">
        <f>VLOOKUP(Table4[[#This Row],[Visitor]],'NHL Model'!$A$6:$B$38,2,FALSE)</f>
        <v>-2.6005603564376825E-2</v>
      </c>
      <c r="J794">
        <f>($B$1+Table4[[#This Row],[Home Differential]])-Table4[[#This Row],[Away Differential]]</f>
        <v>-0.63249644166248542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0.55065586839715985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-1.6459316139111148E-2</v>
      </c>
      <c r="H795" t="s">
        <v>20</v>
      </c>
      <c r="I795">
        <f>VLOOKUP(Table4[[#This Row],[Visitor]],'NHL Model'!$A$6:$B$38,2,FALSE)</f>
        <v>-6.1930983208684394E-4</v>
      </c>
      <c r="J795">
        <f>($B$1+Table4[[#This Row],[Home Differential]])-Table4[[#This Row],[Away Differential]]</f>
        <v>0.16245818734783907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0.59471374282579803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0.73055531763635684</v>
      </c>
      <c r="H796" t="s">
        <v>10</v>
      </c>
      <c r="I796">
        <f>VLOOKUP(Table4[[#This Row],[Visitor]],'NHL Model'!$A$6:$B$38,2,FALSE)</f>
        <v>0.26494263732175571</v>
      </c>
      <c r="J796">
        <f>($B$1+Table4[[#This Row],[Home Differential]])-Table4[[#This Row],[Away Differential]]</f>
        <v>0.64391087396946445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0.6637204731768912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-0.4068113735564976</v>
      </c>
      <c r="H797" t="s">
        <v>39</v>
      </c>
      <c r="I797">
        <f>VLOOKUP(Table4[[#This Row],[Visitor]],'NHL Model'!$A$6:$B$38,2,FALSE)</f>
        <v>0.16990542827764471</v>
      </c>
      <c r="J797">
        <f>($B$1+Table4[[#This Row],[Home Differential]])-Table4[[#This Row],[Away Differential]]</f>
        <v>-0.39841860817927899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0.60255998120236298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-0.83182649756544103</v>
      </c>
      <c r="H798" t="s">
        <v>14</v>
      </c>
      <c r="I798">
        <f>VLOOKUP(Table4[[#This Row],[Visitor]],'NHL Model'!$A$6:$B$38,2,FALSE)</f>
        <v>0.24618288254564977</v>
      </c>
      <c r="J798">
        <f>($B$1+Table4[[#This Row],[Home Differential]])-Table4[[#This Row],[Away Differential]]</f>
        <v>-0.8997111864562275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0.55291895622263909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-0.55929037526767655</v>
      </c>
      <c r="H799" t="s">
        <v>26</v>
      </c>
      <c r="I799">
        <f>VLOOKUP(Table4[[#This Row],[Visitor]],'NHL Model'!$A$6:$B$38,2,FALSE)</f>
        <v>-0.51526168477192669</v>
      </c>
      <c r="J799">
        <f>($B$1+Table4[[#This Row],[Home Differential]])-Table4[[#This Row],[Away Differential]]</f>
        <v>0.13426950315911346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0.51214548897448664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-0.59444373833461905</v>
      </c>
      <c r="H800" t="s">
        <v>23</v>
      </c>
      <c r="I800">
        <f>VLOOKUP(Table4[[#This Row],[Visitor]],'NHL Model'!$A$6:$B$38,2,FALSE)</f>
        <v>-0.67384018791748512</v>
      </c>
      <c r="J800">
        <f>($B$1+Table4[[#This Row],[Home Differential]])-Table4[[#This Row],[Away Differential]]</f>
        <v>0.25769464323772939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0.57693543571977735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-1.3905198871921312</v>
      </c>
      <c r="H801" t="s">
        <v>36</v>
      </c>
      <c r="I801">
        <f>VLOOKUP(Table4[[#This Row],[Visitor]],'NHL Model'!$A$6:$B$38,2,FALSE)</f>
        <v>-0.4314038989751332</v>
      </c>
      <c r="J801">
        <f>($B$1+Table4[[#This Row],[Home Differential]])-Table4[[#This Row],[Away Differential]]</f>
        <v>-0.78081779456213463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0.57191480388400084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7.2067135963786652E-2</v>
      </c>
      <c r="H802" t="s">
        <v>11</v>
      </c>
      <c r="I802">
        <f>VLOOKUP(Table4[[#This Row],[Visitor]],'NHL Model'!$A$6:$B$38,2,FALSE)</f>
        <v>-0.16385680125706742</v>
      </c>
      <c r="J802">
        <f>($B$1+Table4[[#This Row],[Home Differential]])-Table4[[#This Row],[Away Differential]]</f>
        <v>0.41422213087571741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0.63540742484853108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-1.429228083243411</v>
      </c>
      <c r="H803" t="s">
        <v>22</v>
      </c>
      <c r="I803">
        <f>VLOOKUP(Table4[[#This Row],[Visitor]],'NHL Model'!$A$6:$B$38,2,FALSE)</f>
        <v>-2.6005603564376825E-2</v>
      </c>
      <c r="J803">
        <f>($B$1+Table4[[#This Row],[Home Differential]])-Table4[[#This Row],[Away Differential]]</f>
        <v>-1.2249242860241709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0.63556869502445223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0.26494263732175571</v>
      </c>
      <c r="H804" t="s">
        <v>37</v>
      </c>
      <c r="I804">
        <f>VLOOKUP(Table4[[#This Row],[Visitor]],'NHL Model'!$A$6:$B$38,2,FALSE)</f>
        <v>-0.12437377019828177</v>
      </c>
      <c r="J804">
        <f>($B$1+Table4[[#This Row],[Home Differential]])-Table4[[#This Row],[Away Differential]]</f>
        <v>0.56761460117490081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0.57425694698208296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1.5385519346678582</v>
      </c>
      <c r="H805" t="s">
        <v>27</v>
      </c>
      <c r="I805">
        <f>VLOOKUP(Table4[[#This Row],[Visitor]],'NHL Model'!$A$6:$B$38,2,FALSE)</f>
        <v>-0.5365514628281316</v>
      </c>
      <c r="J805">
        <f>($B$1+Table4[[#This Row],[Home Differential]])-Table4[[#This Row],[Away Differential]]</f>
        <v>2.2534015911508529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0.95134684438397021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0.16990542827764471</v>
      </c>
      <c r="H806" t="s">
        <v>35</v>
      </c>
      <c r="I806">
        <f>VLOOKUP(Table4[[#This Row],[Visitor]],'NHL Model'!$A$6:$B$38,2,FALSE)</f>
        <v>-1.6560580871558699</v>
      </c>
      <c r="J806">
        <f>($B$1+Table4[[#This Row],[Home Differential]])-Table4[[#This Row],[Away Differential]]</f>
        <v>2.0042617090883779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0.85330905275164359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-0.39497219926686861</v>
      </c>
      <c r="H807" t="s">
        <v>31</v>
      </c>
      <c r="I807">
        <f>VLOOKUP(Table4[[#This Row],[Visitor]],'NHL Model'!$A$6:$B$38,2,FALSE)</f>
        <v>0.5301060565842276</v>
      </c>
      <c r="J807">
        <f>($B$1+Table4[[#This Row],[Home Differential]])-Table4[[#This Row],[Away Differential]]</f>
        <v>-0.74678006219623283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0.56158162199350914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-0.40334472409778083</v>
      </c>
      <c r="H808" t="s">
        <v>15</v>
      </c>
      <c r="I808">
        <f>VLOOKUP(Table4[[#This Row],[Visitor]],'NHL Model'!$A$6:$B$38,2,FALSE)</f>
        <v>-0.33401712526814992</v>
      </c>
      <c r="J808">
        <f>($B$1+Table4[[#This Row],[Home Differential]])-Table4[[#This Row],[Away Differential]]</f>
        <v>0.10897059482523244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0.41320914323318808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-0.64312007588488018</v>
      </c>
      <c r="H809" t="s">
        <v>20</v>
      </c>
      <c r="I809">
        <f>VLOOKUP(Table4[[#This Row],[Visitor]],'NHL Model'!$A$6:$B$38,2,FALSE)</f>
        <v>-6.1930983208684394E-4</v>
      </c>
      <c r="J809">
        <f>($B$1+Table4[[#This Row],[Home Differential]])-Table4[[#This Row],[Away Differential]]</f>
        <v>-0.46420257239793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0.54730349806458112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-0.83680023888172561</v>
      </c>
      <c r="H810" t="s">
        <v>24</v>
      </c>
      <c r="I810">
        <f>VLOOKUP(Table4[[#This Row],[Visitor]],'NHL Model'!$A$6:$B$38,2,FALSE)</f>
        <v>0.54693303419816819</v>
      </c>
      <c r="J810">
        <f>($B$1+Table4[[#This Row],[Home Differential]])-Table4[[#This Row],[Away Differential]]</f>
        <v>-1.2054350794250306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0.69909109178912332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-1.6459316139111148E-2</v>
      </c>
      <c r="H811" t="s">
        <v>18</v>
      </c>
      <c r="I811">
        <f>VLOOKUP(Table4[[#This Row],[Visitor]],'NHL Model'!$A$6:$B$38,2,FALSE)</f>
        <v>-0.59444373833461905</v>
      </c>
      <c r="J811">
        <f>($B$1+Table4[[#This Row],[Home Differential]])-Table4[[#This Row],[Away Differential]]</f>
        <v>0.75628261585037126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0.65385271622271701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-0.4068113735564976</v>
      </c>
      <c r="H812" t="s">
        <v>37</v>
      </c>
      <c r="I812">
        <f>VLOOKUP(Table4[[#This Row],[Visitor]],'NHL Model'!$A$6:$B$38,2,FALSE)</f>
        <v>-0.12437377019828177</v>
      </c>
      <c r="J812">
        <f>($B$1+Table4[[#This Row],[Home Differential]])-Table4[[#This Row],[Away Differential]]</f>
        <v>-0.10413940970335248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0.51492632685206929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-0.83182649756544103</v>
      </c>
      <c r="H813" t="s">
        <v>22</v>
      </c>
      <c r="I813">
        <f>VLOOKUP(Table4[[#This Row],[Visitor]],'NHL Model'!$A$6:$B$38,2,FALSE)</f>
        <v>-2.6005603564376825E-2</v>
      </c>
      <c r="J813">
        <f>($B$1+Table4[[#This Row],[Home Differential]])-Table4[[#This Row],[Away Differential]]</f>
        <v>-0.62752270034620083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0.51390611448845569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-0.55929037526767655</v>
      </c>
      <c r="H814" t="s">
        <v>11</v>
      </c>
      <c r="I814">
        <f>VLOOKUP(Table4[[#This Row],[Visitor]],'NHL Model'!$A$6:$B$38,2,FALSE)</f>
        <v>-0.16385680125706742</v>
      </c>
      <c r="J814">
        <f>($B$1+Table4[[#This Row],[Home Differential]])-Table4[[#This Row],[Away Differential]]</f>
        <v>-0.21713538035574581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0.49112206673314673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-1.3905198871921312</v>
      </c>
      <c r="H815" t="s">
        <v>55</v>
      </c>
      <c r="I815">
        <f>VLOOKUP(Table4[[#This Row],[Visitor]],'NHL Model'!$A$6:$B$38,2,FALSE)</f>
        <v>-0.14078840027135531</v>
      </c>
      <c r="J815">
        <f>($B$1+Table4[[#This Row],[Home Differential]])-Table4[[#This Row],[Away Differential]]</f>
        <v>-1.0714332932659125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0.61356879380276697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-8.2927339771111427E-2</v>
      </c>
      <c r="H816" t="s">
        <v>23</v>
      </c>
      <c r="I816">
        <f>VLOOKUP(Table4[[#This Row],[Visitor]],'NHL Model'!$A$6:$B$38,2,FALSE)</f>
        <v>-0.67384018791748512</v>
      </c>
      <c r="J816">
        <f>($B$1+Table4[[#This Row],[Home Differential]])-Table4[[#This Row],[Away Differential]]</f>
        <v>0.76921104180123701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0.65025120519553292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-0.4314038989751332</v>
      </c>
      <c r="H817" t="s">
        <v>25</v>
      </c>
      <c r="I817">
        <f>VLOOKUP(Table4[[#This Row],[Visitor]],'NHL Model'!$A$6:$B$38,2,FALSE)</f>
        <v>0.73055531763635684</v>
      </c>
      <c r="J817">
        <f>($B$1+Table4[[#This Row],[Home Differential]])-Table4[[#This Row],[Away Differential]]</f>
        <v>-0.98366102295662672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0.70303216863037998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-1.6560580871558699</v>
      </c>
      <c r="H818" t="s">
        <v>13</v>
      </c>
      <c r="I818">
        <f>VLOOKUP(Table4[[#This Row],[Visitor]],'NHL Model'!$A$6:$B$38,2,FALSE)</f>
        <v>-0.12133880872417692</v>
      </c>
      <c r="J818">
        <f>($B$1+Table4[[#This Row],[Home Differential]])-Table4[[#This Row],[Away Differential]]</f>
        <v>-1.3564210847768297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0.75621391589355391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7.2067135963786652E-2</v>
      </c>
      <c r="H819" t="s">
        <v>26</v>
      </c>
      <c r="I819">
        <f>VLOOKUP(Table4[[#This Row],[Visitor]],'NHL Model'!$A$6:$B$38,2,FALSE)</f>
        <v>-0.51526168477192669</v>
      </c>
      <c r="J819">
        <f>($B$1+Table4[[#This Row],[Home Differential]])-Table4[[#This Row],[Away Differential]]</f>
        <v>0.76562701439057668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0.63914927038333003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-1.429228083243411</v>
      </c>
      <c r="H820" t="s">
        <v>31</v>
      </c>
      <c r="I820">
        <f>VLOOKUP(Table4[[#This Row],[Visitor]],'NHL Model'!$A$6:$B$38,2,FALSE)</f>
        <v>0.5301060565842276</v>
      </c>
      <c r="J820">
        <f>($B$1+Table4[[#This Row],[Home Differential]])-Table4[[#This Row],[Away Differential]]</f>
        <v>-1.7810359461727754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0.73604554492912855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0.26494263732175571</v>
      </c>
      <c r="H821" t="s">
        <v>11</v>
      </c>
      <c r="I821">
        <f>VLOOKUP(Table4[[#This Row],[Visitor]],'NHL Model'!$A$6:$B$38,2,FALSE)</f>
        <v>-0.16385680125706742</v>
      </c>
      <c r="J821">
        <f>($B$1+Table4[[#This Row],[Home Differential]])-Table4[[#This Row],[Away Differential]]</f>
        <v>0.60709763223368651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0.62701545088118205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-0.4314038989751332</v>
      </c>
      <c r="H822" t="s">
        <v>20</v>
      </c>
      <c r="I822">
        <f>VLOOKUP(Table4[[#This Row],[Visitor]],'NHL Model'!$A$6:$B$38,2,FALSE)</f>
        <v>-6.1930983208684394E-4</v>
      </c>
      <c r="J822">
        <f>($B$1+Table4[[#This Row],[Home Differential]])-Table4[[#This Row],[Away Differential]]</f>
        <v>-0.25248639548818302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0.51444980587177813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-0.39497219926686861</v>
      </c>
      <c r="H823" t="s">
        <v>24</v>
      </c>
      <c r="I823">
        <f>VLOOKUP(Table4[[#This Row],[Visitor]],'NHL Model'!$A$6:$B$38,2,FALSE)</f>
        <v>0.54693303419816819</v>
      </c>
      <c r="J823">
        <f>($B$1+Table4[[#This Row],[Home Differential]])-Table4[[#This Row],[Away Differential]]</f>
        <v>-0.76360703981017342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0.60944798223088836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-0.64312007588488018</v>
      </c>
      <c r="H824" t="s">
        <v>12</v>
      </c>
      <c r="I824">
        <f>VLOOKUP(Table4[[#This Row],[Visitor]],'NHL Model'!$A$6:$B$38,2,FALSE)</f>
        <v>1.5385519346678582</v>
      </c>
      <c r="J824">
        <f>($B$1+Table4[[#This Row],[Home Differential]])-Table4[[#This Row],[Away Differential]]</f>
        <v>-2.003373816897875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0.81345984457324594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-0.83680023888172561</v>
      </c>
      <c r="H825" t="s">
        <v>14</v>
      </c>
      <c r="I825">
        <f>VLOOKUP(Table4[[#This Row],[Visitor]],'NHL Model'!$A$6:$B$38,2,FALSE)</f>
        <v>0.24618288254564977</v>
      </c>
      <c r="J825">
        <f>($B$1+Table4[[#This Row],[Home Differential]])-Table4[[#This Row],[Away Differential]]</f>
        <v>-0.90468492777251208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0.58966871013134325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-0.4068113735564976</v>
      </c>
      <c r="H826" t="s">
        <v>13</v>
      </c>
      <c r="I826">
        <f>VLOOKUP(Table4[[#This Row],[Visitor]],'NHL Model'!$A$6:$B$38,2,FALSE)</f>
        <v>-0.12133880872417692</v>
      </c>
      <c r="J826">
        <f>($B$1+Table4[[#This Row],[Home Differential]])-Table4[[#This Row],[Away Differential]]</f>
        <v>-0.10717437117745733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0.57015584916423578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-0.83182649756544103</v>
      </c>
      <c r="H827" t="s">
        <v>31</v>
      </c>
      <c r="I827">
        <f>VLOOKUP(Table4[[#This Row],[Visitor]],'NHL Model'!$A$6:$B$38,2,FALSE)</f>
        <v>0.5301060565842276</v>
      </c>
      <c r="J827">
        <f>($B$1+Table4[[#This Row],[Home Differential]])-Table4[[#This Row],[Away Differential]]</f>
        <v>-1.1836343604948052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0.61409504442779261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-0.33401712526814992</v>
      </c>
      <c r="H828" t="s">
        <v>21</v>
      </c>
      <c r="I828">
        <f>VLOOKUP(Table4[[#This Row],[Visitor]],'NHL Model'!$A$6:$B$38,2,FALSE)</f>
        <v>-1.6459316139111148E-2</v>
      </c>
      <c r="J828">
        <f>($B$1+Table4[[#This Row],[Home Differential]])-Table4[[#This Row],[Away Differential]]</f>
        <v>-0.13925961547417542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0.47996011446369963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-0.5365514628281316</v>
      </c>
      <c r="H829" t="s">
        <v>30</v>
      </c>
      <c r="I829">
        <f>VLOOKUP(Table4[[#This Row],[Visitor]],'NHL Model'!$A$6:$B$38,2,FALSE)</f>
        <v>-8.2927339771111427E-2</v>
      </c>
      <c r="J829">
        <f>($B$1+Table4[[#This Row],[Home Differential]])-Table4[[#This Row],[Away Differential]]</f>
        <v>-0.27532592940215683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0.53946253224223961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-0.12437377019828177</v>
      </c>
      <c r="H830" t="s">
        <v>55</v>
      </c>
      <c r="I830">
        <f>VLOOKUP(Table4[[#This Row],[Visitor]],'NHL Model'!$A$6:$B$38,2,FALSE)</f>
        <v>-0.14078840027135531</v>
      </c>
      <c r="J830">
        <f>($B$1+Table4[[#This Row],[Home Differential]])-Table4[[#This Row],[Away Differential]]</f>
        <v>0.19471282372793688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0.56790823625303277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-1.6459316139111148E-2</v>
      </c>
      <c r="H831" t="s">
        <v>29</v>
      </c>
      <c r="I831">
        <f>VLOOKUP(Table4[[#This Row],[Visitor]],'NHL Model'!$A$6:$B$38,2,FALSE)</f>
        <v>-1.3905198871921312</v>
      </c>
      <c r="J831">
        <f>($B$1+Table4[[#This Row],[Home Differential]])-Table4[[#This Row],[Away Differential]]</f>
        <v>1.5523587647078834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0.81421593460564368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-0.51526168477192669</v>
      </c>
      <c r="H832" t="s">
        <v>13</v>
      </c>
      <c r="I832">
        <f>VLOOKUP(Table4[[#This Row],[Visitor]],'NHL Model'!$A$6:$B$38,2,FALSE)</f>
        <v>-0.12133880872417692</v>
      </c>
      <c r="J832">
        <f>($B$1+Table4[[#This Row],[Home Differential]])-Table4[[#This Row],[Away Differential]]</f>
        <v>-0.21562468239288646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0.56661982374199216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-0.16385680125706742</v>
      </c>
      <c r="H833" t="s">
        <v>55</v>
      </c>
      <c r="I833">
        <f>VLOOKUP(Table4[[#This Row],[Visitor]],'NHL Model'!$A$6:$B$38,2,FALSE)</f>
        <v>-0.14078840027135531</v>
      </c>
      <c r="J833">
        <f>($B$1+Table4[[#This Row],[Home Differential]])-Table4[[#This Row],[Away Differential]]</f>
        <v>0.15522979266915124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0.62569739969673299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-0.55929037526767655</v>
      </c>
      <c r="H834" t="s">
        <v>10</v>
      </c>
      <c r="I834">
        <f>VLOOKUP(Table4[[#This Row],[Visitor]],'NHL Model'!$A$6:$B$38,2,FALSE)</f>
        <v>0.26494263732175571</v>
      </c>
      <c r="J834">
        <f>($B$1+Table4[[#This Row],[Home Differential]])-Table4[[#This Row],[Away Differential]]</f>
        <v>-0.64593481893456894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0.573351225040312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-0.59444373833461905</v>
      </c>
      <c r="H835" t="s">
        <v>20</v>
      </c>
      <c r="I835">
        <f>VLOOKUP(Table4[[#This Row],[Visitor]],'NHL Model'!$A$6:$B$38,2,FALSE)</f>
        <v>-6.1930983208684394E-4</v>
      </c>
      <c r="J835">
        <f>($B$1+Table4[[#This Row],[Home Differential]])-Table4[[#This Row],[Away Differential]]</f>
        <v>-0.41552623484766887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0.5403267067969284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0.54693303419816819</v>
      </c>
      <c r="H836" t="s">
        <v>40</v>
      </c>
      <c r="I836">
        <f>VLOOKUP(Table4[[#This Row],[Visitor]],'NHL Model'!$A$6:$B$38,2,FALSE)</f>
        <v>7.2067135963786652E-2</v>
      </c>
      <c r="J836">
        <f>($B$1+Table4[[#This Row],[Home Differential]])-Table4[[#This Row],[Away Differential]]</f>
        <v>0.65316409188924485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0.68683850670020496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-0.39497219926686861</v>
      </c>
      <c r="H837" t="s">
        <v>22</v>
      </c>
      <c r="I837">
        <f>VLOOKUP(Table4[[#This Row],[Visitor]],'NHL Model'!$A$6:$B$38,2,FALSE)</f>
        <v>-2.6005603564376825E-2</v>
      </c>
      <c r="J837">
        <f>($B$1+Table4[[#This Row],[Home Differential]])-Table4[[#This Row],[Away Differential]]</f>
        <v>-0.19066840204762842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0.46129081246355247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-1.6560580871558699</v>
      </c>
      <c r="H838" t="s">
        <v>39</v>
      </c>
      <c r="I838">
        <f>VLOOKUP(Table4[[#This Row],[Visitor]],'NHL Model'!$A$6:$B$38,2,FALSE)</f>
        <v>0.16990542827764471</v>
      </c>
      <c r="J838">
        <f>($B$1+Table4[[#This Row],[Home Differential]])-Table4[[#This Row],[Away Differential]]</f>
        <v>-1.6476653217786512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0.78864645806139611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-0.64312007588488018</v>
      </c>
      <c r="H839" t="s">
        <v>23</v>
      </c>
      <c r="I839">
        <f>VLOOKUP(Table4[[#This Row],[Visitor]],'NHL Model'!$A$6:$B$38,2,FALSE)</f>
        <v>-0.67384018791748512</v>
      </c>
      <c r="J839">
        <f>($B$1+Table4[[#This Row],[Home Differential]])-Table4[[#This Row],[Away Differential]]</f>
        <v>0.20901830568746826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0.56995864445212474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-0.83680023888172561</v>
      </c>
      <c r="H840" t="s">
        <v>33</v>
      </c>
      <c r="I840">
        <f>VLOOKUP(Table4[[#This Row],[Visitor]],'NHL Model'!$A$6:$B$38,2,FALSE)</f>
        <v>-0.40334472409778083</v>
      </c>
      <c r="J840">
        <f>($B$1+Table4[[#This Row],[Home Differential]])-Table4[[#This Row],[Away Differential]]</f>
        <v>-0.25515732112908146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0.49657176072651071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-0.4068113735564976</v>
      </c>
      <c r="H841" t="s">
        <v>27</v>
      </c>
      <c r="I841">
        <f>VLOOKUP(Table4[[#This Row],[Visitor]],'NHL Model'!$A$6:$B$38,2,FALSE)</f>
        <v>-0.5365514628281316</v>
      </c>
      <c r="J841">
        <f>($B$1+Table4[[#This Row],[Home Differential]])-Table4[[#This Row],[Away Differential]]</f>
        <v>0.30803828292649738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0.59119715366730696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-8.2927339771111427E-2</v>
      </c>
      <c r="H842" t="s">
        <v>15</v>
      </c>
      <c r="I842">
        <f>VLOOKUP(Table4[[#This Row],[Visitor]],'NHL Model'!$A$6:$B$38,2,FALSE)</f>
        <v>-0.33401712526814992</v>
      </c>
      <c r="J842">
        <f>($B$1+Table4[[#This Row],[Home Differential]])-Table4[[#This Row],[Away Differential]]</f>
        <v>0.42938797915190186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0.45913464464680903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-0.4314038989751332</v>
      </c>
      <c r="H843" t="s">
        <v>12</v>
      </c>
      <c r="I843">
        <f>VLOOKUP(Table4[[#This Row],[Visitor]],'NHL Model'!$A$6:$B$38,2,FALSE)</f>
        <v>1.5385519346678582</v>
      </c>
      <c r="J843">
        <f>($B$1+Table4[[#This Row],[Home Differential]])-Table4[[#This Row],[Away Differential]]</f>
        <v>-1.7916576399881281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0.78060824792029582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-1.6459316139111148E-2</v>
      </c>
      <c r="H844" t="s">
        <v>27</v>
      </c>
      <c r="I844">
        <f>VLOOKUP(Table4[[#This Row],[Visitor]],'NHL Model'!$A$6:$B$38,2,FALSE)</f>
        <v>-0.5365514628281316</v>
      </c>
      <c r="J844">
        <f>($B$1+Table4[[#This Row],[Home Differential]])-Table4[[#This Row],[Away Differential]]</f>
        <v>0.69839034034388381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0.69181643320926389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-0.67384018791748512</v>
      </c>
      <c r="H845" t="s">
        <v>13</v>
      </c>
      <c r="I845">
        <f>VLOOKUP(Table4[[#This Row],[Visitor]],'NHL Model'!$A$6:$B$38,2,FALSE)</f>
        <v>-0.12133880872417692</v>
      </c>
      <c r="J845">
        <f>($B$1+Table4[[#This Row],[Home Differential]])-Table4[[#This Row],[Away Differential]]</f>
        <v>-0.37420318553844489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0.61295666724549747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0.73055531763635684</v>
      </c>
      <c r="H846" t="s">
        <v>55</v>
      </c>
      <c r="I846">
        <f>VLOOKUP(Table4[[#This Row],[Visitor]],'NHL Model'!$A$6:$B$38,2,FALSE)</f>
        <v>-0.14078840027135531</v>
      </c>
      <c r="J846">
        <f>($B$1+Table4[[#This Row],[Home Differential]])-Table4[[#This Row],[Away Differential]]</f>
        <v>1.0496419115625755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0.74216140610903159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-0.51526168477192669</v>
      </c>
      <c r="H847" t="s">
        <v>22</v>
      </c>
      <c r="I847">
        <f>VLOOKUP(Table4[[#This Row],[Visitor]],'NHL Model'!$A$6:$B$38,2,FALSE)</f>
        <v>-2.6005603564376825E-2</v>
      </c>
      <c r="J847">
        <f>($B$1+Table4[[#This Row],[Home Differential]])-Table4[[#This Row],[Away Differential]]</f>
        <v>-0.31095788755268655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0.47853193359752361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-0.83182649756544103</v>
      </c>
      <c r="H848" t="s">
        <v>33</v>
      </c>
      <c r="I848">
        <f>VLOOKUP(Table4[[#This Row],[Visitor]],'NHL Model'!$A$6:$B$38,2,FALSE)</f>
        <v>-0.40334472409778083</v>
      </c>
      <c r="J848">
        <f>($B$1+Table4[[#This Row],[Home Differential]])-Table4[[#This Row],[Away Differential]]</f>
        <v>-0.25018357981279687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0.45982200681780661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-0.55929037526767655</v>
      </c>
      <c r="H849" t="s">
        <v>16</v>
      </c>
      <c r="I849">
        <f>VLOOKUP(Table4[[#This Row],[Visitor]],'NHL Model'!$A$6:$B$38,2,FALSE)</f>
        <v>-1.429228083243411</v>
      </c>
      <c r="J849">
        <f>($B$1+Table4[[#This Row],[Home Differential]])-Table4[[#This Row],[Away Differential]]</f>
        <v>1.0482359016305978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0.69024390603308894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-0.59444373833461905</v>
      </c>
      <c r="H850" t="s">
        <v>12</v>
      </c>
      <c r="I850">
        <f>VLOOKUP(Table4[[#This Row],[Visitor]],'NHL Model'!$A$6:$B$38,2,FALSE)</f>
        <v>1.5385519346678582</v>
      </c>
      <c r="J850">
        <f>($B$1+Table4[[#This Row],[Home Differential]])-Table4[[#This Row],[Away Differential]]</f>
        <v>-1.954697479347614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0.80648305330559322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0.54693303419816819</v>
      </c>
      <c r="H851" t="s">
        <v>29</v>
      </c>
      <c r="I851">
        <f>VLOOKUP(Table4[[#This Row],[Visitor]],'NHL Model'!$A$6:$B$38,2,FALSE)</f>
        <v>-1.3905198871921312</v>
      </c>
      <c r="J851">
        <f>($B$1+Table4[[#This Row],[Home Differential]])-Table4[[#This Row],[Away Differential]]</f>
        <v>2.1157511150451627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0.95868183211090863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-0.33401712526814992</v>
      </c>
      <c r="H852" t="s">
        <v>30</v>
      </c>
      <c r="I852">
        <f>VLOOKUP(Table4[[#This Row],[Visitor]],'NHL Model'!$A$6:$B$38,2,FALSE)</f>
        <v>-8.2927339771111427E-2</v>
      </c>
      <c r="J852">
        <f>($B$1+Table4[[#This Row],[Home Differential]])-Table4[[#This Row],[Away Differential]]</f>
        <v>-7.2791591842175138E-2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0.5129457993286014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0.24618288254564977</v>
      </c>
      <c r="H853" t="s">
        <v>10</v>
      </c>
      <c r="I853">
        <f>VLOOKUP(Table4[[#This Row],[Visitor]],'NHL Model'!$A$6:$B$38,2,FALSE)</f>
        <v>0.26494263732175571</v>
      </c>
      <c r="J853">
        <f>($B$1+Table4[[#This Row],[Home Differential]])-Table4[[#This Row],[Away Differential]]</f>
        <v>0.1595384388787574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0.57842223869651588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-0.39497219926686861</v>
      </c>
      <c r="H854" t="s">
        <v>19</v>
      </c>
      <c r="I854">
        <f>VLOOKUP(Table4[[#This Row],[Visitor]],'NHL Model'!$A$6:$B$38,2,FALSE)</f>
        <v>-0.64312007588488018</v>
      </c>
      <c r="J854">
        <f>($B$1+Table4[[#This Row],[Home Differential]])-Table4[[#This Row],[Away Differential]]</f>
        <v>0.42644607027287496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0.6271603545368839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-1.6560580871558699</v>
      </c>
      <c r="H855" t="s">
        <v>11</v>
      </c>
      <c r="I855">
        <f>VLOOKUP(Table4[[#This Row],[Visitor]],'NHL Model'!$A$6:$B$38,2,FALSE)</f>
        <v>-0.16385680125706742</v>
      </c>
      <c r="J855">
        <f>($B$1+Table4[[#This Row],[Home Differential]])-Table4[[#This Row],[Away Differential]]</f>
        <v>-1.3139030922439392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0.6483220489019752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-0.12437377019828177</v>
      </c>
      <c r="H856" t="s">
        <v>40</v>
      </c>
      <c r="I856">
        <f>VLOOKUP(Table4[[#This Row],[Visitor]],'NHL Model'!$A$6:$B$38,2,FALSE)</f>
        <v>7.2067135963786652E-2</v>
      </c>
      <c r="J856">
        <f>($B$1+Table4[[#This Row],[Home Differential]])-Table4[[#This Row],[Away Differential]]</f>
        <v>-1.8142712507205075E-2</v>
      </c>
      <c r="K856" t="str">
        <f>IF(Table4[[#This Row],[HomeIce Differential]]&gt;0,Table4[[#This Row],[Home]],Table4[[#This Row],[Visitor]])</f>
        <v>Winnipeg Jets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0.52891618885790448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-0.83680023888172561</v>
      </c>
      <c r="H857" t="s">
        <v>31</v>
      </c>
      <c r="I857">
        <f>VLOOKUP(Table4[[#This Row],[Visitor]],'NHL Model'!$A$6:$B$38,2,FALSE)</f>
        <v>0.5301060565842276</v>
      </c>
      <c r="J857">
        <f>($B$1+Table4[[#This Row],[Home Differential]])-Table4[[#This Row],[Away Differential]]</f>
        <v>-1.1886081018110899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0.65113271830183606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-6.1930983208684394E-4</v>
      </c>
      <c r="H858" t="s">
        <v>39</v>
      </c>
      <c r="I858">
        <f>VLOOKUP(Table4[[#This Row],[Visitor]],'NHL Model'!$A$6:$B$38,2,FALSE)</f>
        <v>0.16990542827764471</v>
      </c>
      <c r="J858">
        <f>($B$1+Table4[[#This Row],[Home Differential]])-Table4[[#This Row],[Away Differential]]</f>
        <v>7.7734555451317855E-3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0.44862798342345206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0.26494263732175571</v>
      </c>
      <c r="H859" t="s">
        <v>28</v>
      </c>
      <c r="I859">
        <f>VLOOKUP(Table4[[#This Row],[Visitor]],'NHL Model'!$A$6:$B$38,2,FALSE)</f>
        <v>-0.4068113735564976</v>
      </c>
      <c r="J859">
        <f>($B$1+Table4[[#This Row],[Home Differential]])-Table4[[#This Row],[Away Differential]]</f>
        <v>0.8500522045331167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0.64106895788889917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-0.67384018791748512</v>
      </c>
      <c r="H860" t="s">
        <v>18</v>
      </c>
      <c r="I860">
        <f>VLOOKUP(Table4[[#This Row],[Visitor]],'NHL Model'!$A$6:$B$38,2,FALSE)</f>
        <v>-0.59444373833461905</v>
      </c>
      <c r="J860">
        <f>($B$1+Table4[[#This Row],[Home Differential]])-Table4[[#This Row],[Away Differential]]</f>
        <v>9.8901744071997255E-2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0.50958845500341476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-1.429228083243411</v>
      </c>
      <c r="H861" t="s">
        <v>33</v>
      </c>
      <c r="I861">
        <f>VLOOKUP(Table4[[#This Row],[Visitor]],'NHL Model'!$A$6:$B$38,2,FALSE)</f>
        <v>-0.40334472409778083</v>
      </c>
      <c r="J861">
        <f>($B$1+Table4[[#This Row],[Home Differential]])-Table4[[#This Row],[Away Differential]]</f>
        <v>-0.8475851654907669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0.58148458735380315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-0.51526168477192669</v>
      </c>
      <c r="H862" t="s">
        <v>12</v>
      </c>
      <c r="I862">
        <f>VLOOKUP(Table4[[#This Row],[Visitor]],'NHL Model'!$A$6:$B$38,2,FALSE)</f>
        <v>1.5385519346678582</v>
      </c>
      <c r="J862">
        <f>($B$1+Table4[[#This Row],[Home Differential]])-Table4[[#This Row],[Away Differential]]</f>
        <v>-1.8755154257849216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0.76881808088895298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-0.83182649756544103</v>
      </c>
      <c r="H863" t="s">
        <v>34</v>
      </c>
      <c r="I863">
        <f>VLOOKUP(Table4[[#This Row],[Visitor]],'NHL Model'!$A$6:$B$38,2,FALSE)</f>
        <v>-0.55929037526767655</v>
      </c>
      <c r="J863">
        <f>($B$1+Table4[[#This Row],[Home Differential]])-Table4[[#This Row],[Away Differential]]</f>
        <v>-9.4237928642901148E-2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0.43747027881059758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-0.16385680125706742</v>
      </c>
      <c r="H864" t="s">
        <v>40</v>
      </c>
      <c r="I864">
        <f>VLOOKUP(Table4[[#This Row],[Visitor]],'NHL Model'!$A$6:$B$38,2,FALSE)</f>
        <v>7.2067135963786652E-2</v>
      </c>
      <c r="J864">
        <f>($B$1+Table4[[#This Row],[Home Differential]])-Table4[[#This Row],[Away Differential]]</f>
        <v>-5.762574356599072E-2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0.46979797334105072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-8.2927339771111427E-2</v>
      </c>
      <c r="H865" t="s">
        <v>29</v>
      </c>
      <c r="I865">
        <f>VLOOKUP(Table4[[#This Row],[Visitor]],'NHL Model'!$A$6:$B$38,2,FALSE)</f>
        <v>-1.3905198871921312</v>
      </c>
      <c r="J865">
        <f>($B$1+Table4[[#This Row],[Home Differential]])-Table4[[#This Row],[Away Differential]]</f>
        <v>1.485890741075883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0.75297308032511434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-0.4314038989751332</v>
      </c>
      <c r="H866" t="s">
        <v>24</v>
      </c>
      <c r="I866">
        <f>VLOOKUP(Table4[[#This Row],[Visitor]],'NHL Model'!$A$6:$B$38,2,FALSE)</f>
        <v>0.54693303419816819</v>
      </c>
      <c r="J866">
        <f>($B$1+Table4[[#This Row],[Home Differential]])-Table4[[#This Row],[Away Differential]]</f>
        <v>-0.80003873951843807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0.63847927039620223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-0.5365514628281316</v>
      </c>
      <c r="H867" t="s">
        <v>13</v>
      </c>
      <c r="I867">
        <f>VLOOKUP(Table4[[#This Row],[Visitor]],'NHL Model'!$A$6:$B$38,2,FALSE)</f>
        <v>-0.12133880872417692</v>
      </c>
      <c r="J867">
        <f>($B$1+Table4[[#This Row],[Home Differential]])-Table4[[#This Row],[Away Differential]]</f>
        <v>-0.23691446044909137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0.59327904097869899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0.24618288254564977</v>
      </c>
      <c r="H868" t="s">
        <v>15</v>
      </c>
      <c r="I868">
        <f>VLOOKUP(Table4[[#This Row],[Visitor]],'NHL Model'!$A$6:$B$38,2,FALSE)</f>
        <v>-0.33401712526814992</v>
      </c>
      <c r="J868">
        <f>($B$1+Table4[[#This Row],[Home Differential]])-Table4[[#This Row],[Away Differential]]</f>
        <v>0.75849820146866298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0.54178659733396972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-1.6560580871558699</v>
      </c>
      <c r="H869" t="s">
        <v>28</v>
      </c>
      <c r="I869">
        <f>VLOOKUP(Table4[[#This Row],[Visitor]],'NHL Model'!$A$6:$B$38,2,FALSE)</f>
        <v>-0.4068113735564976</v>
      </c>
      <c r="J869">
        <f>($B$1+Table4[[#This Row],[Home Differential]])-Table4[[#This Row],[Away Differential]]</f>
        <v>-1.070948519944509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0.63426854189425796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-0.14078840027135531</v>
      </c>
      <c r="H870" t="s">
        <v>39</v>
      </c>
      <c r="I870">
        <f>VLOOKUP(Table4[[#This Row],[Visitor]],'NHL Model'!$A$6:$B$38,2,FALSE)</f>
        <v>0.16990542827764471</v>
      </c>
      <c r="J870">
        <f>($B$1+Table4[[#This Row],[Home Differential]])-Table4[[#This Row],[Away Differential]]</f>
        <v>-0.13239563489413667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0.50173491915194124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-0.83680023888172561</v>
      </c>
      <c r="H871" t="s">
        <v>19</v>
      </c>
      <c r="I871">
        <f>VLOOKUP(Table4[[#This Row],[Visitor]],'NHL Model'!$A$6:$B$38,2,FALSE)</f>
        <v>-0.64312007588488018</v>
      </c>
      <c r="J871">
        <f>($B$1+Table4[[#This Row],[Home Differential]])-Table4[[#This Row],[Away Differential]]</f>
        <v>-1.5381969341982105E-2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0.46220470139672343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-6.1930983208684394E-4</v>
      </c>
      <c r="H872" t="s">
        <v>32</v>
      </c>
      <c r="I872">
        <f>VLOOKUP(Table4[[#This Row],[Visitor]],'NHL Model'!$A$6:$B$38,2,FALSE)</f>
        <v>-0.39497219926686861</v>
      </c>
      <c r="J872">
        <f>($B$1+Table4[[#This Row],[Home Differential]])-Table4[[#This Row],[Away Differential]]</f>
        <v>0.57265108308964507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0.62207821863726542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-2.6005603564376825E-2</v>
      </c>
      <c r="H873" t="s">
        <v>25</v>
      </c>
      <c r="I873">
        <f>VLOOKUP(Table4[[#This Row],[Visitor]],'NHL Model'!$A$6:$B$38,2,FALSE)</f>
        <v>0.73055531763635684</v>
      </c>
      <c r="J873">
        <f>($B$1+Table4[[#This Row],[Home Differential]])-Table4[[#This Row],[Away Differential]]</f>
        <v>-0.57826272754587027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0.64739866603055329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0.5301060565842276</v>
      </c>
      <c r="H874" t="s">
        <v>20</v>
      </c>
      <c r="I874">
        <f>VLOOKUP(Table4[[#This Row],[Visitor]],'NHL Model'!$A$6:$B$38,2,FALSE)</f>
        <v>-6.1930983208684394E-4</v>
      </c>
      <c r="J874">
        <f>($B$1+Table4[[#This Row],[Home Differential]])-Table4[[#This Row],[Away Differential]]</f>
        <v>0.70902356007117773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0.73320346620895249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0.73055531763635684</v>
      </c>
      <c r="H875" t="s">
        <v>13</v>
      </c>
      <c r="I875">
        <f>VLOOKUP(Table4[[#This Row],[Visitor]],'NHL Model'!$A$6:$B$38,2,FALSE)</f>
        <v>-0.12133880872417692</v>
      </c>
      <c r="J875">
        <f>($B$1+Table4[[#This Row],[Home Differential]])-Table4[[#This Row],[Away Differential]]</f>
        <v>1.0301923200153971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0.63822375283951305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-0.12437377019828177</v>
      </c>
      <c r="H876" t="s">
        <v>21</v>
      </c>
      <c r="I876">
        <f>VLOOKUP(Table4[[#This Row],[Visitor]],'NHL Model'!$A$6:$B$38,2,FALSE)</f>
        <v>-1.6459316139111148E-2</v>
      </c>
      <c r="J876">
        <f>($B$1+Table4[[#This Row],[Home Differential]])-Table4[[#This Row],[Away Differential]]</f>
        <v>7.0383739595692718E-2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0.55008811846801187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-1.429228083243411</v>
      </c>
      <c r="H877" t="s">
        <v>19</v>
      </c>
      <c r="I877">
        <f>VLOOKUP(Table4[[#This Row],[Visitor]],'NHL Model'!$A$6:$B$38,2,FALSE)</f>
        <v>-0.64312007588488018</v>
      </c>
      <c r="J877">
        <f>($B$1+Table4[[#This Row],[Home Differential]])-Table4[[#This Row],[Away Differential]]</f>
        <v>-0.60780981370366749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0.54711752802401592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0.26494263732175571</v>
      </c>
      <c r="H878" t="s">
        <v>33</v>
      </c>
      <c r="I878">
        <f>VLOOKUP(Table4[[#This Row],[Visitor]],'NHL Model'!$A$6:$B$38,2,FALSE)</f>
        <v>-0.40334472409778083</v>
      </c>
      <c r="J878">
        <f>($B$1+Table4[[#This Row],[Home Differential]])-Table4[[#This Row],[Away Differential]]</f>
        <v>0.84658555507439992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0.66134131295036713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1.5385519346678582</v>
      </c>
      <c r="H879" t="s">
        <v>26</v>
      </c>
      <c r="I879">
        <f>VLOOKUP(Table4[[#This Row],[Visitor]],'NHL Model'!$A$6:$B$38,2,FALSE)</f>
        <v>-0.51526168477192669</v>
      </c>
      <c r="J879">
        <f>($B$1+Table4[[#This Row],[Home Differential]])-Table4[[#This Row],[Away Differential]]</f>
        <v>2.2321118130946482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0.90326246090878115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0.16990542827764471</v>
      </c>
      <c r="H880" t="s">
        <v>40</v>
      </c>
      <c r="I880">
        <f>VLOOKUP(Table4[[#This Row],[Visitor]],'NHL Model'!$A$6:$B$38,2,FALSE)</f>
        <v>7.2067135963786652E-2</v>
      </c>
      <c r="J880">
        <f>($B$1+Table4[[#This Row],[Home Differential]])-Table4[[#This Row],[Away Differential]]</f>
        <v>0.27613648596872142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0.53957870951152787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-0.16385680125706742</v>
      </c>
      <c r="H881" t="s">
        <v>23</v>
      </c>
      <c r="I881">
        <f>VLOOKUP(Table4[[#This Row],[Visitor]],'NHL Model'!$A$6:$B$38,2,FALSE)</f>
        <v>-0.67384018791748512</v>
      </c>
      <c r="J881">
        <f>($B$1+Table4[[#This Row],[Home Differential]])-Table4[[#This Row],[Away Differential]]</f>
        <v>0.68828158031528108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0.70209984171316608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-0.55929037526767655</v>
      </c>
      <c r="H882" t="s">
        <v>18</v>
      </c>
      <c r="I882">
        <f>VLOOKUP(Table4[[#This Row],[Visitor]],'NHL Model'!$A$6:$B$38,2,FALSE)</f>
        <v>-0.59444373833461905</v>
      </c>
      <c r="J882">
        <f>($B$1+Table4[[#This Row],[Home Differential]])-Table4[[#This Row],[Away Differential]]</f>
        <v>0.21345155672180582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0.52349467191744281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-1.3905198871921312</v>
      </c>
      <c r="H883" t="s">
        <v>35</v>
      </c>
      <c r="I883">
        <f>VLOOKUP(Table4[[#This Row],[Visitor]],'NHL Model'!$A$6:$B$38,2,FALSE)</f>
        <v>-1.6560580871558699</v>
      </c>
      <c r="J883">
        <f>($B$1+Table4[[#This Row],[Home Differential]])-Table4[[#This Row],[Away Differential]]</f>
        <v>0.44383639361860205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0.60361517795103903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0.24618288254564977</v>
      </c>
      <c r="H884" t="s">
        <v>36</v>
      </c>
      <c r="I884">
        <f>VLOOKUP(Table4[[#This Row],[Visitor]],'NHL Model'!$A$6:$B$38,2,FALSE)</f>
        <v>-0.4314038989751332</v>
      </c>
      <c r="J884">
        <f>($B$1+Table4[[#This Row],[Home Differential]])-Table4[[#This Row],[Away Differential]]</f>
        <v>0.85588497517564632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0.69871106744852463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-0.14078840027135531</v>
      </c>
      <c r="H885" t="s">
        <v>38</v>
      </c>
      <c r="I885">
        <f>VLOOKUP(Table4[[#This Row],[Visitor]],'NHL Model'!$A$6:$B$38,2,FALSE)</f>
        <v>-0.83680023888172561</v>
      </c>
      <c r="J885">
        <f>($B$1+Table4[[#This Row],[Home Differential]])-Table4[[#This Row],[Away Differential]]</f>
        <v>0.87431003226523363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0.71355036310842113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-2.6005603564376825E-2</v>
      </c>
      <c r="H886" t="s">
        <v>30</v>
      </c>
      <c r="I886">
        <f>VLOOKUP(Table4[[#This Row],[Visitor]],'NHL Model'!$A$6:$B$38,2,FALSE)</f>
        <v>-8.2927339771111427E-2</v>
      </c>
      <c r="J886">
        <f>($B$1+Table4[[#This Row],[Home Differential]])-Table4[[#This Row],[Away Differential]]</f>
        <v>0.23521992986159795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0.53120156678620523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0.5301060565842276</v>
      </c>
      <c r="H887" t="s">
        <v>32</v>
      </c>
      <c r="I887">
        <f>VLOOKUP(Table4[[#This Row],[Visitor]],'NHL Model'!$A$6:$B$38,2,FALSE)</f>
        <v>-0.39497219926686861</v>
      </c>
      <c r="J887">
        <f>($B$1+Table4[[#This Row],[Home Differential]])-Table4[[#This Row],[Away Differential]]</f>
        <v>1.1033764495059595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0.80890643322348654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0.73055531763635684</v>
      </c>
      <c r="H888" t="s">
        <v>36</v>
      </c>
      <c r="I888">
        <f>VLOOKUP(Table4[[#This Row],[Visitor]],'NHL Model'!$A$6:$B$38,2,FALSE)</f>
        <v>-0.4314038989751332</v>
      </c>
      <c r="J888">
        <f>($B$1+Table4[[#This Row],[Home Differential]])-Table4[[#This Row],[Away Differential]]</f>
        <v>1.3402574102663534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0.78381539602779782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-0.83182649756544103</v>
      </c>
      <c r="H889" t="s">
        <v>19</v>
      </c>
      <c r="I889">
        <f>VLOOKUP(Table4[[#This Row],[Visitor]],'NHL Model'!$A$6:$B$38,2,FALSE)</f>
        <v>-0.64312007588488018</v>
      </c>
      <c r="J889">
        <f>($B$1+Table4[[#This Row],[Home Differential]])-Table4[[#This Row],[Away Differential]]</f>
        <v>-1.0408228025697519E-2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0.42545494748801937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0.54693303419816819</v>
      </c>
      <c r="H890" t="s">
        <v>28</v>
      </c>
      <c r="I890">
        <f>VLOOKUP(Table4[[#This Row],[Visitor]],'NHL Model'!$A$6:$B$38,2,FALSE)</f>
        <v>-0.4068113735564976</v>
      </c>
      <c r="J890">
        <f>($B$1+Table4[[#This Row],[Home Differential]])-Table4[[#This Row],[Away Differential]]</f>
        <v>1.1320426014095291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0.798619577003575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-8.2927339771111427E-2</v>
      </c>
      <c r="H891" t="s">
        <v>14</v>
      </c>
      <c r="I891">
        <f>VLOOKUP(Table4[[#This Row],[Visitor]],'NHL Model'!$A$6:$B$38,2,FALSE)</f>
        <v>0.24618288254564977</v>
      </c>
      <c r="J891">
        <f>($B$1+Table4[[#This Row],[Home Differential]])-Table4[[#This Row],[Away Differential]]</f>
        <v>-0.15081202866189786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0.4816159246479641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-0.5365514628281316</v>
      </c>
      <c r="H892" t="s">
        <v>22</v>
      </c>
      <c r="I892">
        <f>VLOOKUP(Table4[[#This Row],[Visitor]],'NHL Model'!$A$6:$B$38,2,FALSE)</f>
        <v>-2.6005603564376825E-2</v>
      </c>
      <c r="J892">
        <f>($B$1+Table4[[#This Row],[Home Differential]])-Table4[[#This Row],[Away Differential]]</f>
        <v>-0.33224766560889146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0.50512565929492781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-0.12437377019828177</v>
      </c>
      <c r="H893" t="s">
        <v>23</v>
      </c>
      <c r="I893">
        <f>VLOOKUP(Table4[[#This Row],[Visitor]],'NHL Model'!$A$6:$B$38,2,FALSE)</f>
        <v>-0.67384018791748512</v>
      </c>
      <c r="J893">
        <f>($B$1+Table4[[#This Row],[Home Differential]])-Table4[[#This Row],[Away Differential]]</f>
        <v>0.72776461137406667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0.64431067826946586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-0.4068113735564976</v>
      </c>
      <c r="H894" t="s">
        <v>10</v>
      </c>
      <c r="I894">
        <f>VLOOKUP(Table4[[#This Row],[Visitor]],'NHL Model'!$A$6:$B$38,2,FALSE)</f>
        <v>0.26494263732175571</v>
      </c>
      <c r="J894">
        <f>($B$1+Table4[[#This Row],[Home Differential]])-Table4[[#This Row],[Away Differential]]</f>
        <v>-0.49345581722338994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0.54441135249795081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-1.429228083243411</v>
      </c>
      <c r="H895" t="s">
        <v>17</v>
      </c>
      <c r="I895">
        <f>VLOOKUP(Table4[[#This Row],[Visitor]],'NHL Model'!$A$6:$B$38,2,FALSE)</f>
        <v>-0.83182649756544103</v>
      </c>
      <c r="J895">
        <f>($B$1+Table4[[#This Row],[Home Differential]])-Table4[[#This Row],[Away Differential]]</f>
        <v>-0.41910339202310665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0.52007019083330208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1.5385519346678582</v>
      </c>
      <c r="H896" t="s">
        <v>33</v>
      </c>
      <c r="I896">
        <f>VLOOKUP(Table4[[#This Row],[Visitor]],'NHL Model'!$A$6:$B$38,2,FALSE)</f>
        <v>-0.40334472409778083</v>
      </c>
      <c r="J896">
        <f>($B$1+Table4[[#This Row],[Home Differential]])-Table4[[#This Row],[Away Differential]]</f>
        <v>2.1201948524205023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0.93225429021210415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0.16990542827764471</v>
      </c>
      <c r="H897" t="s">
        <v>35</v>
      </c>
      <c r="I897">
        <f>VLOOKUP(Table4[[#This Row],[Visitor]],'NHL Model'!$A$6:$B$38,2,FALSE)</f>
        <v>-1.6560580871558699</v>
      </c>
      <c r="J897">
        <f>($B$1+Table4[[#This Row],[Home Differential]])-Table4[[#This Row],[Away Differential]]</f>
        <v>2.0042617090883779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0.85330905275164359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-0.16385680125706742</v>
      </c>
      <c r="H898" t="s">
        <v>21</v>
      </c>
      <c r="I898">
        <f>VLOOKUP(Table4[[#This Row],[Visitor]],'NHL Model'!$A$6:$B$38,2,FALSE)</f>
        <v>-1.6459316139111148E-2</v>
      </c>
      <c r="J898">
        <f>($B$1+Table4[[#This Row],[Home Differential]])-Table4[[#This Row],[Away Differential]]</f>
        <v>3.090070853690708E-2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0.60787728191171198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-0.12133880872417692</v>
      </c>
      <c r="H899" t="s">
        <v>32</v>
      </c>
      <c r="I899">
        <f>VLOOKUP(Table4[[#This Row],[Visitor]],'NHL Model'!$A$6:$B$38,2,FALSE)</f>
        <v>-0.39497219926686861</v>
      </c>
      <c r="J899">
        <f>($B$1+Table4[[#This Row],[Home Differential]])-Table4[[#This Row],[Away Differential]]</f>
        <v>0.45193158419755503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0.60477546358023015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-1.3905198871921312</v>
      </c>
      <c r="H900" t="s">
        <v>34</v>
      </c>
      <c r="I900">
        <f>VLOOKUP(Table4[[#This Row],[Visitor]],'NHL Model'!$A$6:$B$38,2,FALSE)</f>
        <v>-0.55929037526767655</v>
      </c>
      <c r="J900">
        <f>($B$1+Table4[[#This Row],[Home Differential]])-Table4[[#This Row],[Away Differential]]</f>
        <v>-0.65293131826959128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0.55358480421778933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-0.14078840027135531</v>
      </c>
      <c r="H901" t="s">
        <v>26</v>
      </c>
      <c r="I901">
        <f>VLOOKUP(Table4[[#This Row],[Visitor]],'NHL Model'!$A$6:$B$38,2,FALSE)</f>
        <v>-0.51526168477192669</v>
      </c>
      <c r="J901">
        <f>($B$1+Table4[[#This Row],[Home Differential]])-Table4[[#This Row],[Away Differential]]</f>
        <v>0.5527714781554347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0.64172887004019463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-6.1930983208684394E-4</v>
      </c>
      <c r="H902" t="s">
        <v>38</v>
      </c>
      <c r="I902">
        <f>VLOOKUP(Table4[[#This Row],[Visitor]],'NHL Model'!$A$6:$B$38,2,FALSE)</f>
        <v>-0.83680023888172561</v>
      </c>
      <c r="J902">
        <f>($B$1+Table4[[#This Row],[Home Differential]])-Table4[[#This Row],[Away Differential]]</f>
        <v>1.014479122704502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0.66463630795258544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7.2067135963786652E-2</v>
      </c>
      <c r="H903" t="s">
        <v>18</v>
      </c>
      <c r="I903">
        <f>VLOOKUP(Table4[[#This Row],[Visitor]],'NHL Model'!$A$6:$B$38,2,FALSE)</f>
        <v>-0.59444373833461905</v>
      </c>
      <c r="J903">
        <f>($B$1+Table4[[#This Row],[Home Differential]])-Table4[[#This Row],[Away Differential]]</f>
        <v>0.84480906795326904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0.6504984533262862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-0.67384018791748512</v>
      </c>
      <c r="H904" t="s">
        <v>14</v>
      </c>
      <c r="I904">
        <f>VLOOKUP(Table4[[#This Row],[Visitor]],'NHL Model'!$A$6:$B$38,2,FALSE)</f>
        <v>0.24618288254564977</v>
      </c>
      <c r="J904">
        <f>($B$1+Table4[[#This Row],[Home Differential]])-Table4[[#This Row],[Away Differential]]</f>
        <v>-0.74172487680827159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0.56381612729590969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0.54693303419816819</v>
      </c>
      <c r="H905" t="s">
        <v>30</v>
      </c>
      <c r="I905">
        <f>VLOOKUP(Table4[[#This Row],[Visitor]],'NHL Model'!$A$6:$B$38,2,FALSE)</f>
        <v>-8.2927339771111427E-2</v>
      </c>
      <c r="J905">
        <f>($B$1+Table4[[#This Row],[Home Differential]])-Table4[[#This Row],[Away Differential]]</f>
        <v>0.80815856762414295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0.73183356351855489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-0.33401712526814992</v>
      </c>
      <c r="H906" t="s">
        <v>25</v>
      </c>
      <c r="I906">
        <f>VLOOKUP(Table4[[#This Row],[Visitor]],'NHL Model'!$A$6:$B$38,2,FALSE)</f>
        <v>0.73055531763635684</v>
      </c>
      <c r="J906">
        <f>($B$1+Table4[[#This Row],[Home Differential]])-Table4[[#This Row],[Away Differential]]</f>
        <v>-0.88627424924964338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0.69154603214535992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-0.5365514628281316</v>
      </c>
      <c r="H907" t="s">
        <v>36</v>
      </c>
      <c r="I907">
        <f>VLOOKUP(Table4[[#This Row],[Visitor]],'NHL Model'!$A$6:$B$38,2,FALSE)</f>
        <v>-0.4314038989751332</v>
      </c>
      <c r="J907">
        <f>($B$1+Table4[[#This Row],[Home Differential]])-Table4[[#This Row],[Away Differential]]</f>
        <v>7.315062980186493E-2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0.55298017671671895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-0.12437377019828177</v>
      </c>
      <c r="H908" t="s">
        <v>11</v>
      </c>
      <c r="I908">
        <f>VLOOKUP(Table4[[#This Row],[Visitor]],'NHL Model'!$A$6:$B$38,2,FALSE)</f>
        <v>-0.16385680125706742</v>
      </c>
      <c r="J908">
        <f>($B$1+Table4[[#This Row],[Home Differential]])-Table4[[#This Row],[Away Differential]]</f>
        <v>0.217781224713649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0.57121463576161624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-6.1930983208684394E-4</v>
      </c>
      <c r="H909" t="s">
        <v>13</v>
      </c>
      <c r="I909">
        <f>VLOOKUP(Table4[[#This Row],[Visitor]],'NHL Model'!$A$6:$B$38,2,FALSE)</f>
        <v>-0.12133880872417692</v>
      </c>
      <c r="J909">
        <f>($B$1+Table4[[#This Row],[Home Differential]])-Table4[[#This Row],[Away Differential]]</f>
        <v>0.29901769254695343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0.48106052559129397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-2.6005603564376825E-2</v>
      </c>
      <c r="H910" t="s">
        <v>29</v>
      </c>
      <c r="I910">
        <f>VLOOKUP(Table4[[#This Row],[Visitor]],'NHL Model'!$A$6:$B$38,2,FALSE)</f>
        <v>-1.3905198871921312</v>
      </c>
      <c r="J910">
        <f>($B$1+Table4[[#This Row],[Home Differential]])-Table4[[#This Row],[Away Differential]]</f>
        <v>1.5428124772826177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0.76113168658214247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0.5301060565842276</v>
      </c>
      <c r="H911" t="s">
        <v>17</v>
      </c>
      <c r="I911">
        <f>VLOOKUP(Table4[[#This Row],[Visitor]],'NHL Model'!$A$6:$B$38,2,FALSE)</f>
        <v>-0.83182649756544103</v>
      </c>
      <c r="J911">
        <f>($B$1+Table4[[#This Row],[Home Differential]])-Table4[[#This Row],[Away Differential]]</f>
        <v>1.5402307478045318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0.87152086575878018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0.16990542827764471</v>
      </c>
      <c r="H912" t="s">
        <v>32</v>
      </c>
      <c r="I912">
        <f>VLOOKUP(Table4[[#This Row],[Visitor]],'NHL Model'!$A$6:$B$38,2,FALSE)</f>
        <v>-0.39497219926686861</v>
      </c>
      <c r="J912">
        <f>($B$1+Table4[[#This Row],[Home Differential]])-Table4[[#This Row],[Away Differential]]</f>
        <v>0.74317582119937664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0.67255730656081369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-0.12133880872417692</v>
      </c>
      <c r="H913" t="s">
        <v>20</v>
      </c>
      <c r="I913">
        <f>VLOOKUP(Table4[[#This Row],[Visitor]],'NHL Model'!$A$6:$B$38,2,FALSE)</f>
        <v>-6.1930983208684394E-4</v>
      </c>
      <c r="J913">
        <f>($B$1+Table4[[#This Row],[Home Differential]])-Table4[[#This Row],[Away Differential]]</f>
        <v>5.7578694762773275E-2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0.5274835375169814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0.54693303419816819</v>
      </c>
      <c r="H914" t="s">
        <v>23</v>
      </c>
      <c r="I914">
        <f>VLOOKUP(Table4[[#This Row],[Visitor]],'NHL Model'!$A$6:$B$38,2,FALSE)</f>
        <v>-0.67384018791748512</v>
      </c>
      <c r="J914">
        <f>($B$1+Table4[[#This Row],[Home Differential]])-Table4[[#This Row],[Away Differential]]</f>
        <v>1.3990714157705166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0.85595995698132732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-0.12437377019828177</v>
      </c>
      <c r="H915" t="s">
        <v>19</v>
      </c>
      <c r="I915">
        <f>VLOOKUP(Table4[[#This Row],[Visitor]],'NHL Model'!$A$6:$B$38,2,FALSE)</f>
        <v>-0.64312007588488018</v>
      </c>
      <c r="J915">
        <f>($B$1+Table4[[#This Row],[Home Differential]])-Table4[[#This Row],[Away Differential]]</f>
        <v>0.69704449934146173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0.63990755716058867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-0.14078840027135531</v>
      </c>
      <c r="H916" t="s">
        <v>12</v>
      </c>
      <c r="I916">
        <f>VLOOKUP(Table4[[#This Row],[Visitor]],'NHL Model'!$A$6:$B$38,2,FALSE)</f>
        <v>1.5385519346678582</v>
      </c>
      <c r="J916">
        <f>($B$1+Table4[[#This Row],[Home Differential]])-Table4[[#This Row],[Away Differential]]</f>
        <v>-1.5010421412843502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0.67166647332244067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-0.83680023888172561</v>
      </c>
      <c r="H917" t="s">
        <v>40</v>
      </c>
      <c r="I917">
        <f>VLOOKUP(Table4[[#This Row],[Visitor]],'NHL Model'!$A$6:$B$38,2,FALSE)</f>
        <v>7.2067135963786652E-2</v>
      </c>
      <c r="J917">
        <f>($B$1+Table4[[#This Row],[Home Differential]])-Table4[[#This Row],[Away Differential]]</f>
        <v>-0.73056918119064895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0.63102844741521658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-2.6005603564376825E-2</v>
      </c>
      <c r="H918" t="s">
        <v>27</v>
      </c>
      <c r="I918">
        <f>VLOOKUP(Table4[[#This Row],[Visitor]],'NHL Model'!$A$6:$B$38,2,FALSE)</f>
        <v>-0.5365514628281316</v>
      </c>
      <c r="J918">
        <f>($B$1+Table4[[#This Row],[Home Differential]])-Table4[[#This Row],[Away Differential]]</f>
        <v>0.68884405291861817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0.63873218518576269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-1.6459316139111148E-2</v>
      </c>
      <c r="H919" t="s">
        <v>28</v>
      </c>
      <c r="I919">
        <f>VLOOKUP(Table4[[#This Row],[Visitor]],'NHL Model'!$A$6:$B$38,2,FALSE)</f>
        <v>-0.4068113735564976</v>
      </c>
      <c r="J919">
        <f>($B$1+Table4[[#This Row],[Home Differential]])-Table4[[#This Row],[Away Differential]]</f>
        <v>0.56865025107224976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0.65293334984237128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0.73055531763635684</v>
      </c>
      <c r="H920" t="s">
        <v>37</v>
      </c>
      <c r="I920">
        <f>VLOOKUP(Table4[[#This Row],[Visitor]],'NHL Model'!$A$6:$B$38,2,FALSE)</f>
        <v>-0.12437377019828177</v>
      </c>
      <c r="J920">
        <f>($B$1+Table4[[#This Row],[Home Differential]])-Table4[[#This Row],[Away Differential]]</f>
        <v>1.033227281489502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0.6935472623224308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1.5385519346678582</v>
      </c>
      <c r="H921" t="s">
        <v>34</v>
      </c>
      <c r="I921">
        <f>VLOOKUP(Table4[[#This Row],[Visitor]],'NHL Model'!$A$6:$B$38,2,FALSE)</f>
        <v>-0.55929037526767655</v>
      </c>
      <c r="J921">
        <f>($B$1+Table4[[#This Row],[Home Differential]])-Table4[[#This Row],[Away Differential]]</f>
        <v>2.2761405035903981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0.95460601821931323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-0.16385680125706742</v>
      </c>
      <c r="H922" t="s">
        <v>19</v>
      </c>
      <c r="I922">
        <f>VLOOKUP(Table4[[#This Row],[Visitor]],'NHL Model'!$A$6:$B$38,2,FALSE)</f>
        <v>-0.64312007588488018</v>
      </c>
      <c r="J922">
        <f>($B$1+Table4[[#This Row],[Home Differential]])-Table4[[#This Row],[Away Differential]]</f>
        <v>0.65756146828267614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0.69769672060428878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-0.12133880872417692</v>
      </c>
      <c r="H923" t="s">
        <v>17</v>
      </c>
      <c r="I923">
        <f>VLOOKUP(Table4[[#This Row],[Visitor]],'NHL Model'!$A$6:$B$38,2,FALSE)</f>
        <v>-0.83182649756544103</v>
      </c>
      <c r="J923">
        <f>($B$1+Table4[[#This Row],[Home Differential]])-Table4[[#This Row],[Away Differential]]</f>
        <v>0.88878588249612744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0.6673898961155238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-0.59444373833461905</v>
      </c>
      <c r="H924" t="s">
        <v>30</v>
      </c>
      <c r="I924">
        <f>VLOOKUP(Table4[[#This Row],[Visitor]],'NHL Model'!$A$6:$B$38,2,FALSE)</f>
        <v>-8.2927339771111427E-2</v>
      </c>
      <c r="J924">
        <f>($B$1+Table4[[#This Row],[Home Differential]])-Table4[[#This Row],[Away Differential]]</f>
        <v>-0.33321820490864429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0.55027280894657848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-1.3905198871921312</v>
      </c>
      <c r="H925" t="s">
        <v>10</v>
      </c>
      <c r="I925">
        <f>VLOOKUP(Table4[[#This Row],[Visitor]],'NHL Model'!$A$6:$B$38,2,FALSE)</f>
        <v>0.26494263732175571</v>
      </c>
      <c r="J925">
        <f>($B$1+Table4[[#This Row],[Home Differential]])-Table4[[#This Row],[Away Differential]]</f>
        <v>-1.4771643308590234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0.69249155260134876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-0.33401712526814992</v>
      </c>
      <c r="H926" t="s">
        <v>27</v>
      </c>
      <c r="I926">
        <f>VLOOKUP(Table4[[#This Row],[Visitor]],'NHL Model'!$A$6:$B$38,2,FALSE)</f>
        <v>-0.5365514628281316</v>
      </c>
      <c r="J926">
        <f>($B$1+Table4[[#This Row],[Home Differential]])-Table4[[#This Row],[Away Differential]]</f>
        <v>0.38083253121484506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0.59458481907095606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-0.4314038989751332</v>
      </c>
      <c r="H927" t="s">
        <v>26</v>
      </c>
      <c r="I927">
        <f>VLOOKUP(Table4[[#This Row],[Visitor]],'NHL Model'!$A$6:$B$38,2,FALSE)</f>
        <v>-0.51526168477192669</v>
      </c>
      <c r="J927">
        <f>($B$1+Table4[[#This Row],[Home Differential]])-Table4[[#This Row],[Away Differential]]</f>
        <v>0.26215597945165681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0.53298772415812556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0.24618288254564977</v>
      </c>
      <c r="H928" t="s">
        <v>24</v>
      </c>
      <c r="I928">
        <f>VLOOKUP(Table4[[#This Row],[Visitor]],'NHL Model'!$A$6:$B$38,2,FALSE)</f>
        <v>0.54693303419816819</v>
      </c>
      <c r="J928">
        <f>($B$1+Table4[[#This Row],[Home Differential]])-Table4[[#This Row],[Away Differential]]</f>
        <v>-0.12245195799765507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0.50734698720819527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-0.40334472409778083</v>
      </c>
      <c r="H929" t="s">
        <v>16</v>
      </c>
      <c r="I929">
        <f>VLOOKUP(Table4[[#This Row],[Visitor]],'NHL Model'!$A$6:$B$38,2,FALSE)</f>
        <v>-1.429228083243411</v>
      </c>
      <c r="J929">
        <f>($B$1+Table4[[#This Row],[Home Differential]])-Table4[[#This Row],[Away Differential]]</f>
        <v>1.2041815528004935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0.71259563404029813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-1.6560580871558699</v>
      </c>
      <c r="H930" t="s">
        <v>32</v>
      </c>
      <c r="I930">
        <f>VLOOKUP(Table4[[#This Row],[Visitor]],'NHL Model'!$A$6:$B$38,2,FALSE)</f>
        <v>-0.39497219926686861</v>
      </c>
      <c r="J930">
        <f>($B$1+Table4[[#This Row],[Home Differential]])-Table4[[#This Row],[Away Differential]]</f>
        <v>-1.0827876942341379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0.61519622284758257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0.5301060565842276</v>
      </c>
      <c r="H931" t="s">
        <v>40</v>
      </c>
      <c r="I931">
        <f>VLOOKUP(Table4[[#This Row],[Visitor]],'NHL Model'!$A$6:$B$38,2,FALSE)</f>
        <v>7.2067135963786652E-2</v>
      </c>
      <c r="J931">
        <f>($B$1+Table4[[#This Row],[Home Differential]])-Table4[[#This Row],[Away Differential]]</f>
        <v>0.63633711427530426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0.67944164705196741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-0.16385680125706742</v>
      </c>
      <c r="H932" t="s">
        <v>23</v>
      </c>
      <c r="I932">
        <f>VLOOKUP(Table4[[#This Row],[Visitor]],'NHL Model'!$A$6:$B$38,2,FALSE)</f>
        <v>-0.67384018791748512</v>
      </c>
      <c r="J932">
        <f>($B$1+Table4[[#This Row],[Home Differential]])-Table4[[#This Row],[Away Differential]]</f>
        <v>0.68828158031528108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0.70209984171316608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-0.14078840027135531</v>
      </c>
      <c r="H933" t="s">
        <v>34</v>
      </c>
      <c r="I933">
        <f>VLOOKUP(Table4[[#This Row],[Visitor]],'NHL Model'!$A$6:$B$38,2,FALSE)</f>
        <v>-0.55929037526767655</v>
      </c>
      <c r="J933">
        <f>($B$1+Table4[[#This Row],[Home Differential]])-Table4[[#This Row],[Away Differential]]</f>
        <v>0.59680016865118457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0.69381201901095013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-2.6005603564376825E-2</v>
      </c>
      <c r="H934" t="s">
        <v>20</v>
      </c>
      <c r="I934">
        <f>VLOOKUP(Table4[[#This Row],[Visitor]],'NHL Model'!$A$6:$B$38,2,FALSE)</f>
        <v>-6.1930983208684394E-4</v>
      </c>
      <c r="J934">
        <f>($B$1+Table4[[#This Row],[Home Differential]])-Table4[[#This Row],[Away Differential]]</f>
        <v>0.15291189992257337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0.54114766893585531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0.73055531763635684</v>
      </c>
      <c r="H935" t="s">
        <v>26</v>
      </c>
      <c r="I935">
        <f>VLOOKUP(Table4[[#This Row],[Visitor]],'NHL Model'!$A$6:$B$38,2,FALSE)</f>
        <v>-0.51526168477192669</v>
      </c>
      <c r="J935">
        <f>($B$1+Table4[[#This Row],[Home Differential]])-Table4[[#This Row],[Away Differential]]</f>
        <v>1.4241151960631468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0.74957332192916326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-0.4068113735564976</v>
      </c>
      <c r="H936" t="s">
        <v>30</v>
      </c>
      <c r="I936">
        <f>VLOOKUP(Table4[[#This Row],[Visitor]],'NHL Model'!$A$6:$B$38,2,FALSE)</f>
        <v>-8.2927339771111427E-2</v>
      </c>
      <c r="J936">
        <f>($B$1+Table4[[#This Row],[Home Differential]])-Table4[[#This Row],[Away Differential]]</f>
        <v>-0.14558584013052284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0.51627969781483352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1.5385519346678582</v>
      </c>
      <c r="H937" t="s">
        <v>10</v>
      </c>
      <c r="I937">
        <f>VLOOKUP(Table4[[#This Row],[Visitor]],'NHL Model'!$A$6:$B$38,2,FALSE)</f>
        <v>0.26494263732175571</v>
      </c>
      <c r="J937">
        <f>($B$1+Table4[[#This Row],[Home Differential]])-Table4[[#This Row],[Away Differential]]</f>
        <v>1.4519074910009659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0.81679790502306282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0.16990542827764471</v>
      </c>
      <c r="H938" t="s">
        <v>29</v>
      </c>
      <c r="I938">
        <f>VLOOKUP(Table4[[#This Row],[Visitor]],'NHL Model'!$A$6:$B$38,2,FALSE)</f>
        <v>-1.3905198871921312</v>
      </c>
      <c r="J938">
        <f>($B$1+Table4[[#This Row],[Home Differential]])-Table4[[#This Row],[Away Differential]]</f>
        <v>1.7387235091246391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0.815249398143852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-0.12133880872417692</v>
      </c>
      <c r="H939" t="s">
        <v>16</v>
      </c>
      <c r="I939">
        <f>VLOOKUP(Table4[[#This Row],[Visitor]],'NHL Model'!$A$6:$B$38,2,FALSE)</f>
        <v>-1.429228083243411</v>
      </c>
      <c r="J939">
        <f>($B$1+Table4[[#This Row],[Home Differential]])-Table4[[#This Row],[Away Differential]]</f>
        <v>1.4861874681740974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0.75301561029207331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-0.59444373833461905</v>
      </c>
      <c r="H940" t="s">
        <v>22</v>
      </c>
      <c r="I940">
        <f>VLOOKUP(Table4[[#This Row],[Visitor]],'NHL Model'!$A$6:$B$38,2,FALSE)</f>
        <v>-2.6005603564376825E-2</v>
      </c>
      <c r="J940">
        <f>($B$1+Table4[[#This Row],[Home Differential]])-Table4[[#This Row],[Away Differential]]</f>
        <v>-0.39013994111537892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0.51591885238953628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-0.33401712526814992</v>
      </c>
      <c r="H941" t="s">
        <v>14</v>
      </c>
      <c r="I941">
        <f>VLOOKUP(Table4[[#This Row],[Visitor]],'NHL Model'!$A$6:$B$38,2,FALSE)</f>
        <v>0.24618288254564977</v>
      </c>
      <c r="J941">
        <f>($B$1+Table4[[#This Row],[Home Differential]])-Table4[[#This Row],[Away Differential]]</f>
        <v>-0.40190181415893633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0.5176046845057426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-0.5365514628281316</v>
      </c>
      <c r="H942" t="s">
        <v>21</v>
      </c>
      <c r="I942">
        <f>VLOOKUP(Table4[[#This Row],[Visitor]],'NHL Model'!$A$6:$B$38,2,FALSE)</f>
        <v>-1.6459316139111148E-2</v>
      </c>
      <c r="J942">
        <f>($B$1+Table4[[#This Row],[Home Differential]])-Table4[[#This Row],[Away Differential]]</f>
        <v>-0.34179395303415711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0.50649393098706819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-0.39497219926686861</v>
      </c>
      <c r="H943" t="s">
        <v>38</v>
      </c>
      <c r="I943">
        <f>VLOOKUP(Table4[[#This Row],[Visitor]],'NHL Model'!$A$6:$B$38,2,FALSE)</f>
        <v>-0.83680023888172561</v>
      </c>
      <c r="J943">
        <f>($B$1+Table4[[#This Row],[Home Differential]])-Table4[[#This Row],[Away Differential]]</f>
        <v>0.62012623326972038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0.63433738888234359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-0.40334472409778083</v>
      </c>
      <c r="H944" t="s">
        <v>17</v>
      </c>
      <c r="I944">
        <f>VLOOKUP(Table4[[#This Row],[Visitor]],'NHL Model'!$A$6:$B$38,2,FALSE)</f>
        <v>-0.83182649756544103</v>
      </c>
      <c r="J944">
        <f>($B$1+Table4[[#This Row],[Home Differential]])-Table4[[#This Row],[Away Differential]]</f>
        <v>0.60677996712252358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0.6269699198637485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-1.6560580871558699</v>
      </c>
      <c r="H945" t="s">
        <v>24</v>
      </c>
      <c r="I945">
        <f>VLOOKUP(Table4[[#This Row],[Visitor]],'NHL Model'!$A$6:$B$38,2,FALSE)</f>
        <v>0.54693303419816819</v>
      </c>
      <c r="J945">
        <f>($B$1+Table4[[#This Row],[Home Differential]])-Table4[[#This Row],[Away Differential]]</f>
        <v>-2.0246929276991747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0.81651551789540255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-0.12437377019828177</v>
      </c>
      <c r="H946" t="s">
        <v>23</v>
      </c>
      <c r="I946">
        <f>VLOOKUP(Table4[[#This Row],[Visitor]],'NHL Model'!$A$6:$B$38,2,FALSE)</f>
        <v>-0.67384018791748512</v>
      </c>
      <c r="J946">
        <f>($B$1+Table4[[#This Row],[Home Differential]])-Table4[[#This Row],[Away Differential]]</f>
        <v>0.72776461137406667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0.64431067826946586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-0.64312007588488018</v>
      </c>
      <c r="H947" t="s">
        <v>36</v>
      </c>
      <c r="I947">
        <f>VLOOKUP(Table4[[#This Row],[Visitor]],'NHL Model'!$A$6:$B$38,2,FALSE)</f>
        <v>-0.4314038989751332</v>
      </c>
      <c r="J947">
        <f>($B$1+Table4[[#This Row],[Home Differential]])-Table4[[#This Row],[Away Differential]]</f>
        <v>-3.3417983254883654E-2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0.46478980764554223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0.5301060565842276</v>
      </c>
      <c r="H948" t="s">
        <v>16</v>
      </c>
      <c r="I948">
        <f>VLOOKUP(Table4[[#This Row],[Visitor]],'NHL Model'!$A$6:$B$38,2,FALSE)</f>
        <v>-1.429228083243411</v>
      </c>
      <c r="J948">
        <f>($B$1+Table4[[#This Row],[Home Differential]])-Table4[[#This Row],[Away Differential]]</f>
        <v>2.137632333482502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0.95714657993532981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-0.55929037526767655</v>
      </c>
      <c r="H949" t="s">
        <v>35</v>
      </c>
      <c r="I949">
        <f>VLOOKUP(Table4[[#This Row],[Visitor]],'NHL Model'!$A$6:$B$38,2,FALSE)</f>
        <v>-1.6560580871558699</v>
      </c>
      <c r="J949">
        <f>($B$1+Table4[[#This Row],[Home Differential]])-Table4[[#This Row],[Away Differential]]</f>
        <v>1.2750659055430567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0.72275550551207579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-8.2927339771111427E-2</v>
      </c>
      <c r="H950" t="s">
        <v>11</v>
      </c>
      <c r="I950">
        <f>VLOOKUP(Table4[[#This Row],[Visitor]],'NHL Model'!$A$6:$B$38,2,FALSE)</f>
        <v>-0.16385680125706742</v>
      </c>
      <c r="J950">
        <f>($B$1+Table4[[#This Row],[Home Differential]])-Table4[[#This Row],[Away Differential]]</f>
        <v>0.25922765514081936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0.5771551626876833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0.24618288254564977</v>
      </c>
      <c r="H951" t="s">
        <v>20</v>
      </c>
      <c r="I951">
        <f>VLOOKUP(Table4[[#This Row],[Visitor]],'NHL Model'!$A$6:$B$38,2,FALSE)</f>
        <v>-6.1930983208684394E-4</v>
      </c>
      <c r="J951">
        <f>($B$1+Table4[[#This Row],[Home Differential]])-Table4[[#This Row],[Away Differential]]</f>
        <v>0.42510038603259998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0.61648529699482502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-0.40334472409778083</v>
      </c>
      <c r="H952" t="s">
        <v>40</v>
      </c>
      <c r="I952">
        <f>VLOOKUP(Table4[[#This Row],[Visitor]],'NHL Model'!$A$6:$B$38,2,FALSE)</f>
        <v>7.2067135963786652E-2</v>
      </c>
      <c r="J952">
        <f>($B$1+Table4[[#This Row],[Home Differential]])-Table4[[#This Row],[Away Differential]]</f>
        <v>-0.29711366640670411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0.56890116334545848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-0.14078840027135531</v>
      </c>
      <c r="H953" t="s">
        <v>10</v>
      </c>
      <c r="I953">
        <f>VLOOKUP(Table4[[#This Row],[Visitor]],'NHL Model'!$A$6:$B$38,2,FALSE)</f>
        <v>0.26494263732175571</v>
      </c>
      <c r="J953">
        <f>($B$1+Table4[[#This Row],[Home Differential]])-Table4[[#This Row],[Away Differential]]</f>
        <v>-0.22743284393824767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0.44436271056845655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-0.12133880872417692</v>
      </c>
      <c r="H954" t="s">
        <v>12</v>
      </c>
      <c r="I954">
        <f>VLOOKUP(Table4[[#This Row],[Visitor]],'NHL Model'!$A$6:$B$38,2,FALSE)</f>
        <v>1.5385519346678582</v>
      </c>
      <c r="J954">
        <f>($B$1+Table4[[#This Row],[Home Differential]])-Table4[[#This Row],[Away Differential]]</f>
        <v>-1.4815925497371718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0.73867280899168342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-1.3905198871921312</v>
      </c>
      <c r="H955" t="s">
        <v>26</v>
      </c>
      <c r="I955">
        <f>VLOOKUP(Table4[[#This Row],[Visitor]],'NHL Model'!$A$6:$B$38,2,FALSE)</f>
        <v>-0.51526168477192669</v>
      </c>
      <c r="J955">
        <f>($B$1+Table4[[#This Row],[Home Differential]])-Table4[[#This Row],[Away Differential]]</f>
        <v>-0.69696000876534114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0.60699483858655012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-0.33401712526814992</v>
      </c>
      <c r="H956" t="s">
        <v>28</v>
      </c>
      <c r="I956">
        <f>VLOOKUP(Table4[[#This Row],[Visitor]],'NHL Model'!$A$6:$B$38,2,FALSE)</f>
        <v>-0.4068113735564976</v>
      </c>
      <c r="J956">
        <f>($B$1+Table4[[#This Row],[Home Differential]])-Table4[[#This Row],[Away Differential]]</f>
        <v>0.25109244194321101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0.55521990983762204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-0.39497219926686861</v>
      </c>
      <c r="H957" t="s">
        <v>25</v>
      </c>
      <c r="I957">
        <f>VLOOKUP(Table4[[#This Row],[Visitor]],'NHL Model'!$A$6:$B$38,2,FALSE)</f>
        <v>0.73055531763635684</v>
      </c>
      <c r="J957">
        <f>($B$1+Table4[[#This Row],[Home Differential]])-Table4[[#This Row],[Away Differential]]</f>
        <v>-0.94722932324836207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0.67422814711569035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-0.64312007588488018</v>
      </c>
      <c r="H958" t="s">
        <v>27</v>
      </c>
      <c r="I958">
        <f>VLOOKUP(Table4[[#This Row],[Visitor]],'NHL Model'!$A$6:$B$38,2,FALSE)</f>
        <v>-0.5365514628281316</v>
      </c>
      <c r="J958">
        <f>($B$1+Table4[[#This Row],[Home Differential]])-Table4[[#This Row],[Away Differential]]</f>
        <v>7.1729580598114739E-2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0.55028101818532626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-0.83680023888172561</v>
      </c>
      <c r="H959" t="s">
        <v>39</v>
      </c>
      <c r="I959">
        <f>VLOOKUP(Table4[[#This Row],[Visitor]],'NHL Model'!$A$6:$B$38,2,FALSE)</f>
        <v>0.16990542827764471</v>
      </c>
      <c r="J959">
        <f>($B$1+Table4[[#This Row],[Home Differential]])-Table4[[#This Row],[Away Differential]]</f>
        <v>-0.82840747350450705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0.67122203195511676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0.5301060565842276</v>
      </c>
      <c r="H960" t="s">
        <v>12</v>
      </c>
      <c r="I960">
        <f>VLOOKUP(Table4[[#This Row],[Visitor]],'NHL Model'!$A$6:$B$38,2,FALSE)</f>
        <v>1.5385519346678582</v>
      </c>
      <c r="J960">
        <f>($B$1+Table4[[#This Row],[Home Differential]])-Table4[[#This Row],[Away Differential]]</f>
        <v>-0.8301476844287673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0.5307499748460327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-1.6459316139111148E-2</v>
      </c>
      <c r="H961" t="s">
        <v>14</v>
      </c>
      <c r="I961">
        <f>VLOOKUP(Table4[[#This Row],[Visitor]],'NHL Model'!$A$6:$B$38,2,FALSE)</f>
        <v>0.24618288254564977</v>
      </c>
      <c r="J961">
        <f>($B$1+Table4[[#This Row],[Home Differential]])-Table4[[#This Row],[Away Differential]]</f>
        <v>-8.4344005029897556E-2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0.4203730703674346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-0.67384018791748512</v>
      </c>
      <c r="H962" t="s">
        <v>20</v>
      </c>
      <c r="I962">
        <f>VLOOKUP(Table4[[#This Row],[Visitor]],'NHL Model'!$A$6:$B$38,2,FALSE)</f>
        <v>-6.1930983208684394E-4</v>
      </c>
      <c r="J962">
        <f>($B$1+Table4[[#This Row],[Home Differential]])-Table4[[#This Row],[Away Differential]]</f>
        <v>-0.49492268443053494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0.54919825796944499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-0.4068113735564976</v>
      </c>
      <c r="H963" t="s">
        <v>29</v>
      </c>
      <c r="I963">
        <f>VLOOKUP(Table4[[#This Row],[Visitor]],'NHL Model'!$A$6:$B$38,2,FALSE)</f>
        <v>-1.3905198871921312</v>
      </c>
      <c r="J963">
        <f>($B$1+Table4[[#This Row],[Home Differential]])-Table4[[#This Row],[Away Differential]]</f>
        <v>1.1620067072904969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0.71359665506368675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-1.429228083243411</v>
      </c>
      <c r="H964" t="s">
        <v>39</v>
      </c>
      <c r="I964">
        <f>VLOOKUP(Table4[[#This Row],[Visitor]],'NHL Model'!$A$6:$B$38,2,FALSE)</f>
        <v>0.16990542827764471</v>
      </c>
      <c r="J964">
        <f>($B$1+Table4[[#This Row],[Home Differential]])-Table4[[#This Row],[Away Differential]]</f>
        <v>-1.4208353178661923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0.75613485858240914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-0.83182649756544103</v>
      </c>
      <c r="H965" t="s">
        <v>36</v>
      </c>
      <c r="I965">
        <f>VLOOKUP(Table4[[#This Row],[Visitor]],'NHL Model'!$A$6:$B$38,2,FALSE)</f>
        <v>-0.4314038989751332</v>
      </c>
      <c r="J965">
        <f>($B$1+Table4[[#This Row],[Home Differential]])-Table4[[#This Row],[Away Differential]]</f>
        <v>-0.2221244049354445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0.45580027847680904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-0.55929037526767655</v>
      </c>
      <c r="H966" t="s">
        <v>37</v>
      </c>
      <c r="I966">
        <f>VLOOKUP(Table4[[#This Row],[Visitor]],'NHL Model'!$A$6:$B$38,2,FALSE)</f>
        <v>-0.12437377019828177</v>
      </c>
      <c r="J966">
        <f>($B$1+Table4[[#This Row],[Home Differential]])-Table4[[#This Row],[Away Differential]]</f>
        <v>-0.25661841141453146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0.54388057063224582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0.54693303419816819</v>
      </c>
      <c r="H967" t="s">
        <v>11</v>
      </c>
      <c r="I967">
        <f>VLOOKUP(Table4[[#This Row],[Visitor]],'NHL Model'!$A$6:$B$38,2,FALSE)</f>
        <v>-0.16385680125706742</v>
      </c>
      <c r="J967">
        <f>($B$1+Table4[[#This Row],[Home Differential]])-Table4[[#This Row],[Away Differential]]</f>
        <v>0.88908802911009888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0.7828639144734777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-0.40334472409778083</v>
      </c>
      <c r="H968" t="s">
        <v>18</v>
      </c>
      <c r="I968">
        <f>VLOOKUP(Table4[[#This Row],[Visitor]],'NHL Model'!$A$6:$B$38,2,FALSE)</f>
        <v>-0.59444373833461905</v>
      </c>
      <c r="J968">
        <f>($B$1+Table4[[#This Row],[Home Differential]])-Table4[[#This Row],[Away Differential]]</f>
        <v>0.36939720789170161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0.54584639992465189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7.2067135963786652E-2</v>
      </c>
      <c r="H969" t="s">
        <v>10</v>
      </c>
      <c r="I969">
        <f>VLOOKUP(Table4[[#This Row],[Visitor]],'NHL Model'!$A$6:$B$38,2,FALSE)</f>
        <v>0.26494263732175571</v>
      </c>
      <c r="J969">
        <f>($B$1+Table4[[#This Row],[Home Differential]])-Table4[[#This Row],[Away Differential]]</f>
        <v>-1.4577307703105724E-2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0.44653381349329491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-2.6005603564376825E-2</v>
      </c>
      <c r="H970" t="s">
        <v>55</v>
      </c>
      <c r="I970">
        <f>VLOOKUP(Table4[[#This Row],[Visitor]],'NHL Model'!$A$6:$B$38,2,FALSE)</f>
        <v>-0.14078840027135531</v>
      </c>
      <c r="J970">
        <f>($B$1+Table4[[#This Row],[Home Differential]])-Table4[[#This Row],[Away Differential]]</f>
        <v>0.29308099036184182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0.58200736943612796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0.5301060565842276</v>
      </c>
      <c r="H971" t="s">
        <v>30</v>
      </c>
      <c r="I971">
        <f>VLOOKUP(Table4[[#This Row],[Visitor]],'NHL Model'!$A$6:$B$38,2,FALSE)</f>
        <v>-8.2927339771111427E-2</v>
      </c>
      <c r="J971">
        <f>($B$1+Table4[[#This Row],[Home Differential]])-Table4[[#This Row],[Away Differential]]</f>
        <v>0.79133159001020237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0.72453285984683213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-0.51526168477192669</v>
      </c>
      <c r="H972" t="s">
        <v>20</v>
      </c>
      <c r="I972">
        <f>VLOOKUP(Table4[[#This Row],[Visitor]],'NHL Model'!$A$6:$B$38,2,FALSE)</f>
        <v>-6.1930983208684394E-4</v>
      </c>
      <c r="J972">
        <f>($B$1+Table4[[#This Row],[Home Differential]])-Table4[[#This Row],[Away Differential]]</f>
        <v>-0.33634418128497651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0.5027537476301962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0.54693303419816819</v>
      </c>
      <c r="H973" t="s">
        <v>19</v>
      </c>
      <c r="I973">
        <f>VLOOKUP(Table4[[#This Row],[Visitor]],'NHL Model'!$A$6:$B$38,2,FALSE)</f>
        <v>-0.64312007588488018</v>
      </c>
      <c r="J973">
        <f>($B$1+Table4[[#This Row],[Home Differential]])-Table4[[#This Row],[Away Differential]]</f>
        <v>1.3683513037379118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0.85155683587245012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-0.39497219926686861</v>
      </c>
      <c r="H974" t="s">
        <v>35</v>
      </c>
      <c r="I974">
        <f>VLOOKUP(Table4[[#This Row],[Visitor]],'NHL Model'!$A$6:$B$38,2,FALSE)</f>
        <v>-1.6560580871558699</v>
      </c>
      <c r="J974">
        <f>($B$1+Table4[[#This Row],[Home Differential]])-Table4[[#This Row],[Away Differential]]</f>
        <v>1.4393840815438645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0.772345005383134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-0.83680023888172561</v>
      </c>
      <c r="H975" t="s">
        <v>25</v>
      </c>
      <c r="I975">
        <f>VLOOKUP(Table4[[#This Row],[Visitor]],'NHL Model'!$A$6:$B$38,2,FALSE)</f>
        <v>0.73055531763635684</v>
      </c>
      <c r="J975">
        <f>($B$1+Table4[[#This Row],[Home Differential]])-Table4[[#This Row],[Away Differential]]</f>
        <v>-1.3890573628632192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0.76361005777096058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-0.4068113735564976</v>
      </c>
      <c r="H976" t="s">
        <v>11</v>
      </c>
      <c r="I976">
        <f>VLOOKUP(Table4[[#This Row],[Visitor]],'NHL Model'!$A$6:$B$38,2,FALSE)</f>
        <v>-0.16385680125706742</v>
      </c>
      <c r="J976">
        <f>($B$1+Table4[[#This Row],[Home Differential]])-Table4[[#This Row],[Away Differential]]</f>
        <v>-6.4656378644566831E-2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0.4622212625737443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-1.429228083243411</v>
      </c>
      <c r="H977" t="s">
        <v>36</v>
      </c>
      <c r="I977">
        <f>VLOOKUP(Table4[[#This Row],[Visitor]],'NHL Model'!$A$6:$B$38,2,FALSE)</f>
        <v>-0.4314038989751332</v>
      </c>
      <c r="J977">
        <f>($B$1+Table4[[#This Row],[Home Differential]])-Table4[[#This Row],[Away Differential]]</f>
        <v>-0.81952599061341447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0.57746285901280558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-0.12133880872417692</v>
      </c>
      <c r="H978" t="s">
        <v>30</v>
      </c>
      <c r="I978">
        <f>VLOOKUP(Table4[[#This Row],[Visitor]],'NHL Model'!$A$6:$B$38,2,FALSE)</f>
        <v>-8.2927339771111427E-2</v>
      </c>
      <c r="J978">
        <f>($B$1+Table4[[#This Row],[Home Differential]])-Table4[[#This Row],[Away Differential]]</f>
        <v>0.13988672470179786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0.51753743536733143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-1.3905198871921312</v>
      </c>
      <c r="H979" t="s">
        <v>21</v>
      </c>
      <c r="I979">
        <f>VLOOKUP(Table4[[#This Row],[Visitor]],'NHL Model'!$A$6:$B$38,2,FALSE)</f>
        <v>-1.6459316139111148E-2</v>
      </c>
      <c r="J979">
        <f>($B$1+Table4[[#This Row],[Home Differential]])-Table4[[#This Row],[Away Differential]]</f>
        <v>-1.1957623773981567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0.63138891158778798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-0.33401712526814992</v>
      </c>
      <c r="H980" t="s">
        <v>19</v>
      </c>
      <c r="I980">
        <f>VLOOKUP(Table4[[#This Row],[Visitor]],'NHL Model'!$A$6:$B$38,2,FALSE)</f>
        <v>-0.64312007588488018</v>
      </c>
      <c r="J980">
        <f>($B$1+Table4[[#This Row],[Home Differential]])-Table4[[#This Row],[Away Differential]]</f>
        <v>0.48740114427159364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0.60985932422887723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-0.5365514628281316</v>
      </c>
      <c r="H981" t="s">
        <v>55</v>
      </c>
      <c r="I981">
        <f>VLOOKUP(Table4[[#This Row],[Visitor]],'NHL Model'!$A$6:$B$38,2,FALSE)</f>
        <v>-0.14078840027135531</v>
      </c>
      <c r="J981">
        <f>($B$1+Table4[[#This Row],[Home Differential]])-Table4[[#This Row],[Away Differential]]</f>
        <v>-0.21746486890191297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0.48867381320204728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0.24618288254564977</v>
      </c>
      <c r="H982" t="s">
        <v>23</v>
      </c>
      <c r="I982">
        <f>VLOOKUP(Table4[[#This Row],[Visitor]],'NHL Model'!$A$6:$B$38,2,FALSE)</f>
        <v>-0.67384018791748512</v>
      </c>
      <c r="J982">
        <f>($B$1+Table4[[#This Row],[Home Differential]])-Table4[[#This Row],[Away Differential]]</f>
        <v>1.0983212641179982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0.73345951954619149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7.2067135963786652E-2</v>
      </c>
      <c r="H983" t="s">
        <v>37</v>
      </c>
      <c r="I983">
        <f>VLOOKUP(Table4[[#This Row],[Visitor]],'NHL Model'!$A$6:$B$38,2,FALSE)</f>
        <v>-0.12437377019828177</v>
      </c>
      <c r="J983">
        <f>($B$1+Table4[[#This Row],[Home Differential]])-Table4[[#This Row],[Away Differential]]</f>
        <v>0.37473909981693176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0.58312321077659757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0.5301060565842276</v>
      </c>
      <c r="H984" t="s">
        <v>18</v>
      </c>
      <c r="I984">
        <f>VLOOKUP(Table4[[#This Row],[Visitor]],'NHL Model'!$A$6:$B$38,2,FALSE)</f>
        <v>-0.59444373833461905</v>
      </c>
      <c r="J984">
        <f>($B$1+Table4[[#This Row],[Home Differential]])-Table4[[#This Row],[Away Differential]]</f>
        <v>1.3028479885737099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0.79347909124518456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0.26494263732175571</v>
      </c>
      <c r="H985" t="s">
        <v>38</v>
      </c>
      <c r="I985">
        <f>VLOOKUP(Table4[[#This Row],[Visitor]],'NHL Model'!$A$6:$B$38,2,FALSE)</f>
        <v>-0.83680023888172561</v>
      </c>
      <c r="J985">
        <f>($B$1+Table4[[#This Row],[Home Differential]])-Table4[[#This Row],[Away Differential]]</f>
        <v>1.2800410698583446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0.70269936625089446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0.16990542827764471</v>
      </c>
      <c r="H986" t="s">
        <v>12</v>
      </c>
      <c r="I986">
        <f>VLOOKUP(Table4[[#This Row],[Visitor]],'NHL Model'!$A$6:$B$38,2,FALSE)</f>
        <v>1.5385519346678582</v>
      </c>
      <c r="J986">
        <f>($B$1+Table4[[#This Row],[Home Differential]])-Table4[[#This Row],[Away Differential]]</f>
        <v>-1.1903483127353502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0.67061291238647225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-0.51526168477192669</v>
      </c>
      <c r="H987" t="s">
        <v>11</v>
      </c>
      <c r="I987">
        <f>VLOOKUP(Table4[[#This Row],[Visitor]],'NHL Model'!$A$6:$B$38,2,FALSE)</f>
        <v>-0.16385680125706742</v>
      </c>
      <c r="J987">
        <f>($B$1+Table4[[#This Row],[Home Differential]])-Table4[[#This Row],[Away Differential]]</f>
        <v>-0.17310668985999594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0.45877368799605961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-0.83182649756544103</v>
      </c>
      <c r="H988" t="s">
        <v>25</v>
      </c>
      <c r="I988">
        <f>VLOOKUP(Table4[[#This Row],[Visitor]],'NHL Model'!$A$6:$B$38,2,FALSE)</f>
        <v>0.73055531763635684</v>
      </c>
      <c r="J988">
        <f>($B$1+Table4[[#This Row],[Home Differential]])-Table4[[#This Row],[Away Differential]]</f>
        <v>-1.3840836215469345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0.72668292798189826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-0.40334472409778083</v>
      </c>
      <c r="H989" t="s">
        <v>35</v>
      </c>
      <c r="I989">
        <f>VLOOKUP(Table4[[#This Row],[Visitor]],'NHL Model'!$A$6:$B$38,2,FALSE)</f>
        <v>-1.6560580871558699</v>
      </c>
      <c r="J989">
        <f>($B$1+Table4[[#This Row],[Home Differential]])-Table4[[#This Row],[Away Differential]]</f>
        <v>1.4310115567129524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0.74510723351928498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-6.1930983208684394E-4</v>
      </c>
      <c r="H990" t="s">
        <v>34</v>
      </c>
      <c r="I990">
        <f>VLOOKUP(Table4[[#This Row],[Visitor]],'NHL Model'!$A$6:$B$38,2,FALSE)</f>
        <v>-0.55929037526767655</v>
      </c>
      <c r="J990">
        <f>($B$1+Table4[[#This Row],[Home Differential]])-Table4[[#This Row],[Away Differential]]</f>
        <v>0.73696925909045308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0.64562998265926708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-1.6459316139111148E-2</v>
      </c>
      <c r="H991" t="s">
        <v>22</v>
      </c>
      <c r="I991">
        <f>VLOOKUP(Table4[[#This Row],[Visitor]],'NHL Model'!$A$6:$B$38,2,FALSE)</f>
        <v>-2.6005603564376825E-2</v>
      </c>
      <c r="J991">
        <f>($B$1+Table4[[#This Row],[Home Differential]])-Table4[[#This Row],[Away Differential]]</f>
        <v>0.18784448108012902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0.61863977136674875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-0.67384018791748512</v>
      </c>
      <c r="H992" t="s">
        <v>29</v>
      </c>
      <c r="I992">
        <f>VLOOKUP(Table4[[#This Row],[Visitor]],'NHL Model'!$A$6:$B$38,2,FALSE)</f>
        <v>-1.3905198871921312</v>
      </c>
      <c r="J992">
        <f>($B$1+Table4[[#This Row],[Home Differential]])-Table4[[#This Row],[Away Differential]]</f>
        <v>0.89497789292950936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0.67077287767716876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-0.4068113735564976</v>
      </c>
      <c r="H993" t="s">
        <v>55</v>
      </c>
      <c r="I993">
        <f>VLOOKUP(Table4[[#This Row],[Visitor]],'NHL Model'!$A$6:$B$38,2,FALSE)</f>
        <v>-0.14078840027135531</v>
      </c>
      <c r="J993">
        <f>($B$1+Table4[[#This Row],[Home Differential]])-Table4[[#This Row],[Away Differential]]</f>
        <v>-8.7724779630278943E-2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0.46552766208232776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-1.429228083243411</v>
      </c>
      <c r="H994" t="s">
        <v>25</v>
      </c>
      <c r="I994">
        <f>VLOOKUP(Table4[[#This Row],[Visitor]],'NHL Model'!$A$6:$B$38,2,FALSE)</f>
        <v>0.73055531763635684</v>
      </c>
      <c r="J994">
        <f>($B$1+Table4[[#This Row],[Home Differential]])-Table4[[#This Row],[Away Differential]]</f>
        <v>-1.9814852072249045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0.84852288439825296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-0.12133880872417692</v>
      </c>
      <c r="H995" t="s">
        <v>18</v>
      </c>
      <c r="I995">
        <f>VLOOKUP(Table4[[#This Row],[Visitor]],'NHL Model'!$A$6:$B$38,2,FALSE)</f>
        <v>-0.59444373833461905</v>
      </c>
      <c r="J995">
        <f>($B$1+Table4[[#This Row],[Home Differential]])-Table4[[#This Row],[Away Differential]]</f>
        <v>0.65140312326530547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0.58626637617642707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0.54693303419816819</v>
      </c>
      <c r="H996" t="s">
        <v>15</v>
      </c>
      <c r="I996">
        <f>VLOOKUP(Table4[[#This Row],[Visitor]],'NHL Model'!$A$6:$B$38,2,FALSE)</f>
        <v>-0.33401712526814992</v>
      </c>
      <c r="J996">
        <f>($B$1+Table4[[#This Row],[Home Differential]])-Table4[[#This Row],[Away Differential]]</f>
        <v>1.0592483531211814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0.6686008468662662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0.24618288254564977</v>
      </c>
      <c r="H997" t="s">
        <v>27</v>
      </c>
      <c r="I997">
        <f>VLOOKUP(Table4[[#This Row],[Visitor]],'NHL Model'!$A$6:$B$38,2,FALSE)</f>
        <v>-0.5365514628281316</v>
      </c>
      <c r="J997">
        <f>($B$1+Table4[[#This Row],[Home Differential]])-Table4[[#This Row],[Away Differential]]</f>
        <v>0.96103253902864472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0.71378189327939312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-0.39497219926686861</v>
      </c>
      <c r="H998" t="s">
        <v>36</v>
      </c>
      <c r="I998">
        <f>VLOOKUP(Table4[[#This Row],[Visitor]],'NHL Model'!$A$6:$B$38,2,FALSE)</f>
        <v>-0.4314038989751332</v>
      </c>
      <c r="J998">
        <f>($B$1+Table4[[#This Row],[Home Differential]])-Table4[[#This Row],[Away Differential]]</f>
        <v>0.21472989336312795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0.59681502354809424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-0.40334472409778083</v>
      </c>
      <c r="H999" t="s">
        <v>30</v>
      </c>
      <c r="I999">
        <f>VLOOKUP(Table4[[#This Row],[Visitor]],'NHL Model'!$A$6:$B$38,2,FALSE)</f>
        <v>-8.2927339771111427E-2</v>
      </c>
      <c r="J999">
        <f>($B$1+Table4[[#This Row],[Home Differential]])-Table4[[#This Row],[Away Differential]]</f>
        <v>-0.14211919067180606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0.52288254088444386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-0.64312007588488018</v>
      </c>
      <c r="H1000" t="s">
        <v>37</v>
      </c>
      <c r="I1000">
        <f>VLOOKUP(Table4[[#This Row],[Visitor]],'NHL Model'!$A$6:$B$38,2,FALSE)</f>
        <v>-0.12437377019828177</v>
      </c>
      <c r="J1000">
        <f>($B$1+Table4[[#This Row],[Home Differential]])-Table4[[#This Row],[Away Differential]]</f>
        <v>-0.34044811203173508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0.55589590195482397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7.2067135963786652E-2</v>
      </c>
      <c r="H1001" t="s">
        <v>38</v>
      </c>
      <c r="I1001">
        <f>VLOOKUP(Table4[[#This Row],[Visitor]],'NHL Model'!$A$6:$B$38,2,FALSE)</f>
        <v>-0.83680023888172561</v>
      </c>
      <c r="J1001">
        <f>($B$1+Table4[[#This Row],[Home Differential]])-Table4[[#This Row],[Away Differential]]</f>
        <v>1.0871655685003756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0.71137926018358288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0.5301060565842276</v>
      </c>
      <c r="H1002" t="s">
        <v>35</v>
      </c>
      <c r="I1002">
        <f>VLOOKUP(Table4[[#This Row],[Visitor]],'NHL Model'!$A$6:$B$38,2,FALSE)</f>
        <v>-1.6560580871558699</v>
      </c>
      <c r="J1002">
        <f>($B$1+Table4[[#This Row],[Home Differential]])-Table4[[#This Row],[Away Differential]]</f>
        <v>2.3644623373949609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0.98965817941431666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-0.67384018791748512</v>
      </c>
      <c r="H1003" t="s">
        <v>37</v>
      </c>
      <c r="I1003">
        <f>VLOOKUP(Table4[[#This Row],[Visitor]],'NHL Model'!$A$6:$B$38,2,FALSE)</f>
        <v>-0.12437377019828177</v>
      </c>
      <c r="J1003">
        <f>($B$1+Table4[[#This Row],[Home Differential]])-Table4[[#This Row],[Away Differential]]</f>
        <v>-0.37116822406434002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0.55778678754627387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1.5385519346678582</v>
      </c>
      <c r="H1004" t="s">
        <v>34</v>
      </c>
      <c r="I1004">
        <f>VLOOKUP(Table4[[#This Row],[Visitor]],'NHL Model'!$A$6:$B$38,2,FALSE)</f>
        <v>-0.55929037526767655</v>
      </c>
      <c r="J1004">
        <f>($B$1+Table4[[#This Row],[Home Differential]])-Table4[[#This Row],[Away Differential]]</f>
        <v>2.2761405035903981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0.95460601821931323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0.16990542827764471</v>
      </c>
      <c r="H1005" t="s">
        <v>10</v>
      </c>
      <c r="I1005">
        <f>VLOOKUP(Table4[[#This Row],[Visitor]],'NHL Model'!$A$6:$B$38,2,FALSE)</f>
        <v>0.26494263732175571</v>
      </c>
      <c r="J1005">
        <f>($B$1+Table4[[#This Row],[Home Differential]])-Table4[[#This Row],[Away Differential]]</f>
        <v>8.3260984610752375E-2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0.55738836257397539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0.54693303419816819</v>
      </c>
      <c r="H1006" t="s">
        <v>26</v>
      </c>
      <c r="I1006">
        <f>VLOOKUP(Table4[[#This Row],[Visitor]],'NHL Model'!$A$6:$B$38,2,FALSE)</f>
        <v>-0.51526168477192669</v>
      </c>
      <c r="J1006">
        <f>($B$1+Table4[[#This Row],[Home Differential]])-Table4[[#This Row],[Away Differential]]</f>
        <v>1.2404929126249582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0.78945063548824757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0.24618288254564977</v>
      </c>
      <c r="H1007" t="s">
        <v>21</v>
      </c>
      <c r="I1007">
        <f>VLOOKUP(Table4[[#This Row],[Visitor]],'NHL Model'!$A$6:$B$38,2,FALSE)</f>
        <v>-1.6459316139111148E-2</v>
      </c>
      <c r="J1007">
        <f>($B$1+Table4[[#This Row],[Home Differential]])-Table4[[#This Row],[Away Differential]]</f>
        <v>0.44094039233962429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0.63923695974473749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-6.1930983208684394E-4</v>
      </c>
      <c r="H1008" t="s">
        <v>17</v>
      </c>
      <c r="I1008">
        <f>VLOOKUP(Table4[[#This Row],[Visitor]],'NHL Model'!$A$6:$B$38,2,FALSE)</f>
        <v>-0.83182649756544103</v>
      </c>
      <c r="J1008">
        <f>($B$1+Table4[[#This Row],[Home Differential]])-Table4[[#This Row],[Away Differential]]</f>
        <v>1.0095053813882175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0.68469265117255906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0.26494263732175571</v>
      </c>
      <c r="H1009" t="s">
        <v>55</v>
      </c>
      <c r="I1009">
        <f>VLOOKUP(Table4[[#This Row],[Visitor]],'NHL Model'!$A$6:$B$38,2,FALSE)</f>
        <v>-0.14078840027135531</v>
      </c>
      <c r="J1009">
        <f>($B$1+Table4[[#This Row],[Home Differential]])-Table4[[#This Row],[Away Differential]]</f>
        <v>0.58402923124797435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0.62370905137259858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-0.5365514628281316</v>
      </c>
      <c r="H1010" t="s">
        <v>15</v>
      </c>
      <c r="I1010">
        <f>VLOOKUP(Table4[[#This Row],[Visitor]],'NHL Model'!$A$6:$B$38,2,FALSE)</f>
        <v>-0.33401712526814992</v>
      </c>
      <c r="J1010">
        <f>($B$1+Table4[[#This Row],[Home Differential]])-Table4[[#This Row],[Away Differential]]</f>
        <v>-2.4236143905118357E-2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0.60347377238446109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-0.83680023888172561</v>
      </c>
      <c r="H1011" t="s">
        <v>36</v>
      </c>
      <c r="I1011">
        <f>VLOOKUP(Table4[[#This Row],[Visitor]],'NHL Model'!$A$6:$B$38,2,FALSE)</f>
        <v>-0.4314038989751332</v>
      </c>
      <c r="J1011">
        <f>($B$1+Table4[[#This Row],[Home Differential]])-Table4[[#This Row],[Away Differential]]</f>
        <v>-0.22709814625172908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0.49255003238551309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-2.6005603564376825E-2</v>
      </c>
      <c r="H1012" t="s">
        <v>16</v>
      </c>
      <c r="I1012">
        <f>VLOOKUP(Table4[[#This Row],[Visitor]],'NHL Model'!$A$6:$B$38,2,FALSE)</f>
        <v>-1.429228083243411</v>
      </c>
      <c r="J1012">
        <f>($B$1+Table4[[#This Row],[Home Differential]])-Table4[[#This Row],[Away Differential]]</f>
        <v>1.5815206733338976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0.76667974171094722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-1.6459316139111148E-2</v>
      </c>
      <c r="H1013" t="s">
        <v>13</v>
      </c>
      <c r="I1013">
        <f>VLOOKUP(Table4[[#This Row],[Visitor]],'NHL Model'!$A$6:$B$38,2,FALSE)</f>
        <v>-0.12133880872417692</v>
      </c>
      <c r="J1013">
        <f>($B$1+Table4[[#This Row],[Home Differential]])-Table4[[#This Row],[Away Differential]]</f>
        <v>0.28317768623992912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0.53115396419011074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-0.67384018791748512</v>
      </c>
      <c r="H1014" t="s">
        <v>33</v>
      </c>
      <c r="I1014">
        <f>VLOOKUP(Table4[[#This Row],[Visitor]],'NHL Model'!$A$6:$B$38,2,FALSE)</f>
        <v>-0.40334472409778083</v>
      </c>
      <c r="J1014">
        <f>($B$1+Table4[[#This Row],[Home Differential]])-Table4[[#This Row],[Away Differential]]</f>
        <v>-9.2197270164840972E-2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0.47071917789107715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0.73055531763635684</v>
      </c>
      <c r="H1015" t="s">
        <v>14</v>
      </c>
      <c r="I1015">
        <f>VLOOKUP(Table4[[#This Row],[Visitor]],'NHL Model'!$A$6:$B$38,2,FALSE)</f>
        <v>0.24618288254564977</v>
      </c>
      <c r="J1015">
        <f>($B$1+Table4[[#This Row],[Home Differential]])-Table4[[#This Row],[Away Differential]]</f>
        <v>0.66267062874557037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0.68669671828196766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1.5385519346678582</v>
      </c>
      <c r="H1016" t="s">
        <v>17</v>
      </c>
      <c r="I1016">
        <f>VLOOKUP(Table4[[#This Row],[Visitor]],'NHL Model'!$A$6:$B$38,2,FALSE)</f>
        <v>-0.83182649756544103</v>
      </c>
      <c r="J1016">
        <f>($B$1+Table4[[#This Row],[Home Differential]])-Table4[[#This Row],[Away Differential]]</f>
        <v>2.5486766258881626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0.99366868673260522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0.16990542827764471</v>
      </c>
      <c r="H1017" t="s">
        <v>20</v>
      </c>
      <c r="I1017">
        <f>VLOOKUP(Table4[[#This Row],[Visitor]],'NHL Model'!$A$6:$B$38,2,FALSE)</f>
        <v>-6.1930983208684394E-4</v>
      </c>
      <c r="J1017">
        <f>($B$1+Table4[[#This Row],[Home Differential]])-Table4[[#This Row],[Away Differential]]</f>
        <v>0.34882293176459495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0.59545142087228453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-0.16385680125706742</v>
      </c>
      <c r="H1018" t="s">
        <v>26</v>
      </c>
      <c r="I1018">
        <f>VLOOKUP(Table4[[#This Row],[Visitor]],'NHL Model'!$A$6:$B$38,2,FALSE)</f>
        <v>-0.51526168477192669</v>
      </c>
      <c r="J1018">
        <f>($B$1+Table4[[#This Row],[Home Differential]])-Table4[[#This Row],[Away Differential]]</f>
        <v>0.52970307716972265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0.63344459442541645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-0.55929037526767655</v>
      </c>
      <c r="H1019" t="s">
        <v>55</v>
      </c>
      <c r="I1019">
        <f>VLOOKUP(Table4[[#This Row],[Visitor]],'NHL Model'!$A$6:$B$38,2,FALSE)</f>
        <v>-0.14078840027135531</v>
      </c>
      <c r="J1019">
        <f>($B$1+Table4[[#This Row],[Home Differential]])-Table4[[#This Row],[Away Differential]]</f>
        <v>-0.24020378134145792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0.4944284662417302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-0.59444373833461905</v>
      </c>
      <c r="H1020" t="s">
        <v>19</v>
      </c>
      <c r="I1020">
        <f>VLOOKUP(Table4[[#This Row],[Visitor]],'NHL Model'!$A$6:$B$38,2,FALSE)</f>
        <v>-0.64312007588488018</v>
      </c>
      <c r="J1020">
        <f>($B$1+Table4[[#This Row],[Home Differential]])-Table4[[#This Row],[Away Differential]]</f>
        <v>0.22697453120512445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0.57253231461090015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-0.33401712526814992</v>
      </c>
      <c r="H1021" t="s">
        <v>16</v>
      </c>
      <c r="I1021">
        <f>VLOOKUP(Table4[[#This Row],[Visitor]],'NHL Model'!$A$6:$B$38,2,FALSE)</f>
        <v>-1.429228083243411</v>
      </c>
      <c r="J1021">
        <f>($B$1+Table4[[#This Row],[Home Differential]])-Table4[[#This Row],[Away Differential]]</f>
        <v>1.2735091516301245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0.72253237559614059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-0.39497219926686861</v>
      </c>
      <c r="H1022" t="s">
        <v>29</v>
      </c>
      <c r="I1022">
        <f>VLOOKUP(Table4[[#This Row],[Visitor]],'NHL Model'!$A$6:$B$38,2,FALSE)</f>
        <v>-1.3905198871921312</v>
      </c>
      <c r="J1022">
        <f>($B$1+Table4[[#This Row],[Home Differential]])-Table4[[#This Row],[Away Differential]]</f>
        <v>1.1738458815801258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0.7342853507753424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-1.6560580871558699</v>
      </c>
      <c r="H1023" t="s">
        <v>30</v>
      </c>
      <c r="I1023">
        <f>VLOOKUP(Table4[[#This Row],[Visitor]],'NHL Model'!$A$6:$B$38,2,FALSE)</f>
        <v>-8.2927339771111427E-2</v>
      </c>
      <c r="J1023">
        <f>($B$1+Table4[[#This Row],[Home Differential]])-Table4[[#This Row],[Away Differential]]</f>
        <v>-1.3948325537298951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0.7024342510604813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-0.12437377019828177</v>
      </c>
      <c r="H1024" t="s">
        <v>28</v>
      </c>
      <c r="I1024">
        <f>VLOOKUP(Table4[[#This Row],[Visitor]],'NHL Model'!$A$6:$B$38,2,FALSE)</f>
        <v>-0.4068113735564976</v>
      </c>
      <c r="J1024">
        <f>($B$1+Table4[[#This Row],[Home Differential]])-Table4[[#This Row],[Away Differential]]</f>
        <v>0.46073579701307921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0.58526814276933348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7.2067135963786652E-2</v>
      </c>
      <c r="H1025" t="s">
        <v>31</v>
      </c>
      <c r="I1025">
        <f>VLOOKUP(Table4[[#This Row],[Visitor]],'NHL Model'!$A$6:$B$38,2,FALSE)</f>
        <v>0.5301060565842276</v>
      </c>
      <c r="J1025">
        <f>($B$1+Table4[[#This Row],[Home Differential]])-Table4[[#This Row],[Away Differential]]</f>
        <v>-0.27974072696557761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0.48453975069226984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-0.4314038989751332</v>
      </c>
      <c r="H1026" t="s">
        <v>18</v>
      </c>
      <c r="I1026">
        <f>VLOOKUP(Table4[[#This Row],[Visitor]],'NHL Model'!$A$6:$B$38,2,FALSE)</f>
        <v>-0.59444373833461905</v>
      </c>
      <c r="J1026">
        <f>($B$1+Table4[[#This Row],[Home Differential]])-Table4[[#This Row],[Away Differential]]</f>
        <v>0.34133803301434917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0.54433690710108174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-0.5365514628281316</v>
      </c>
      <c r="H1027" t="s">
        <v>22</v>
      </c>
      <c r="I1027">
        <f>VLOOKUP(Table4[[#This Row],[Visitor]],'NHL Model'!$A$6:$B$38,2,FALSE)</f>
        <v>-2.6005603564376825E-2</v>
      </c>
      <c r="J1027">
        <f>($B$1+Table4[[#This Row],[Home Differential]])-Table4[[#This Row],[Away Differential]]</f>
        <v>-0.33224766560889146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0.50512565929492781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-1.6459316139111148E-2</v>
      </c>
      <c r="H1028" t="s">
        <v>33</v>
      </c>
      <c r="I1028">
        <f>VLOOKUP(Table4[[#This Row],[Visitor]],'NHL Model'!$A$6:$B$38,2,FALSE)</f>
        <v>-0.40334472409778083</v>
      </c>
      <c r="J1028">
        <f>($B$1+Table4[[#This Row],[Home Differential]])-Table4[[#This Row],[Away Differential]]</f>
        <v>0.56518360161353298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0.67272387903739783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-0.67384018791748512</v>
      </c>
      <c r="H1029" t="s">
        <v>22</v>
      </c>
      <c r="I1029">
        <f>VLOOKUP(Table4[[#This Row],[Visitor]],'NHL Model'!$A$6:$B$38,2,FALSE)</f>
        <v>-2.6005603564376825E-2</v>
      </c>
      <c r="J1029">
        <f>($B$1+Table4[[#This Row],[Home Differential]])-Table4[[#This Row],[Away Differential]]</f>
        <v>-0.46953639069824499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0.52480328556172617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0.73055531763635684</v>
      </c>
      <c r="H1030" t="s">
        <v>35</v>
      </c>
      <c r="I1030">
        <f>VLOOKUP(Table4[[#This Row],[Visitor]],'NHL Model'!$A$6:$B$38,2,FALSE)</f>
        <v>-1.6560580871558699</v>
      </c>
      <c r="J1030">
        <f>($B$1+Table4[[#This Row],[Home Differential]])-Table4[[#This Row],[Away Differential]]</f>
        <v>2.56491159844709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0.95934537786283758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0.16990542827764471</v>
      </c>
      <c r="H1031" t="s">
        <v>17</v>
      </c>
      <c r="I1031">
        <f>VLOOKUP(Table4[[#This Row],[Visitor]],'NHL Model'!$A$6:$B$38,2,FALSE)</f>
        <v>-0.83182649756544103</v>
      </c>
      <c r="J1031">
        <f>($B$1+Table4[[#This Row],[Home Differential]])-Table4[[#This Row],[Away Differential]]</f>
        <v>1.1800301194979492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0.73517173909610722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-0.16385680125706742</v>
      </c>
      <c r="H1032" t="s">
        <v>28</v>
      </c>
      <c r="I1032">
        <f>VLOOKUP(Table4[[#This Row],[Visitor]],'NHL Model'!$A$6:$B$38,2,FALSE)</f>
        <v>-0.4068113735564976</v>
      </c>
      <c r="J1032">
        <f>($B$1+Table4[[#This Row],[Home Differential]])-Table4[[#This Row],[Away Differential]]</f>
        <v>0.42125276595429351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0.64371159445352877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-0.55929037526767655</v>
      </c>
      <c r="H1033" t="s">
        <v>27</v>
      </c>
      <c r="I1033">
        <f>VLOOKUP(Table4[[#This Row],[Visitor]],'NHL Model'!$A$6:$B$38,2,FALSE)</f>
        <v>-0.5365514628281316</v>
      </c>
      <c r="J1033">
        <f>($B$1+Table4[[#This Row],[Home Differential]])-Table4[[#This Row],[Away Differential]]</f>
        <v>0.15555928121531837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0.56229634950790452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0.54693303419816819</v>
      </c>
      <c r="H1034" t="s">
        <v>16</v>
      </c>
      <c r="I1034">
        <f>VLOOKUP(Table4[[#This Row],[Visitor]],'NHL Model'!$A$6:$B$38,2,FALSE)</f>
        <v>-1.429228083243411</v>
      </c>
      <c r="J1034">
        <f>($B$1+Table4[[#This Row],[Home Differential]])-Table4[[#This Row],[Away Differential]]</f>
        <v>2.1544593110964425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0.96422988723971337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-0.39497219926686861</v>
      </c>
      <c r="H1035" t="s">
        <v>12</v>
      </c>
      <c r="I1035">
        <f>VLOOKUP(Table4[[#This Row],[Visitor]],'NHL Model'!$A$6:$B$38,2,FALSE)</f>
        <v>1.5385519346678582</v>
      </c>
      <c r="J1035">
        <f>($B$1+Table4[[#This Row],[Home Differential]])-Table4[[#This Row],[Away Differential]]</f>
        <v>-1.7552259402798636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0.75157695975498184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-0.12437377019828177</v>
      </c>
      <c r="H1036" t="s">
        <v>26</v>
      </c>
      <c r="I1036">
        <f>VLOOKUP(Table4[[#This Row],[Visitor]],'NHL Model'!$A$6:$B$38,2,FALSE)</f>
        <v>-0.51526168477192669</v>
      </c>
      <c r="J1036">
        <f>($B$1+Table4[[#This Row],[Home Differential]])-Table4[[#This Row],[Away Differential]]</f>
        <v>0.56918610822850824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0.57448219146924973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-0.64312007588488018</v>
      </c>
      <c r="H1037" t="s">
        <v>31</v>
      </c>
      <c r="I1037">
        <f>VLOOKUP(Table4[[#This Row],[Visitor]],'NHL Model'!$A$6:$B$38,2,FALSE)</f>
        <v>0.5301060565842276</v>
      </c>
      <c r="J1037">
        <f>($B$1+Table4[[#This Row],[Home Differential]])-Table4[[#This Row],[Away Differential]]</f>
        <v>-0.99492793881424446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0.62337249356186519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-0.14078840027135531</v>
      </c>
      <c r="H1038" t="s">
        <v>10</v>
      </c>
      <c r="I1038">
        <f>VLOOKUP(Table4[[#This Row],[Visitor]],'NHL Model'!$A$6:$B$38,2,FALSE)</f>
        <v>0.26494263732175571</v>
      </c>
      <c r="J1038">
        <f>($B$1+Table4[[#This Row],[Home Differential]])-Table4[[#This Row],[Away Differential]]</f>
        <v>-0.22743284393824767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0.44436271056845655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-0.83680023888172561</v>
      </c>
      <c r="H1039" t="s">
        <v>29</v>
      </c>
      <c r="I1039">
        <f>VLOOKUP(Table4[[#This Row],[Visitor]],'NHL Model'!$A$6:$B$38,2,FALSE)</f>
        <v>-1.3905198871921312</v>
      </c>
      <c r="J1039">
        <f>($B$1+Table4[[#This Row],[Home Differential]])-Table4[[#This Row],[Away Differential]]</f>
        <v>0.73201784196526887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0.64492029484173519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-6.1930983208684394E-4</v>
      </c>
      <c r="H1040" t="s">
        <v>14</v>
      </c>
      <c r="I1040">
        <f>VLOOKUP(Table4[[#This Row],[Visitor]],'NHL Model'!$A$6:$B$38,2,FALSE)</f>
        <v>0.24618288254564977</v>
      </c>
      <c r="J1040">
        <f>($B$1+Table4[[#This Row],[Home Differential]])-Table4[[#This Row],[Away Differential]]</f>
        <v>-6.8503998722873272E-2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0.46981869475277455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7.2067135963786652E-2</v>
      </c>
      <c r="H1041" t="s">
        <v>15</v>
      </c>
      <c r="I1041">
        <f>VLOOKUP(Table4[[#This Row],[Visitor]],'NHL Model'!$A$6:$B$38,2,FALSE)</f>
        <v>-0.33401712526814992</v>
      </c>
      <c r="J1041">
        <f>($B$1+Table4[[#This Row],[Home Differential]])-Table4[[#This Row],[Away Differential]]</f>
        <v>0.58438245488679996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0.51683054514415894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-8.2927339771111427E-2</v>
      </c>
      <c r="H1042" t="s">
        <v>13</v>
      </c>
      <c r="I1042">
        <f>VLOOKUP(Table4[[#This Row],[Visitor]],'NHL Model'!$A$6:$B$38,2,FALSE)</f>
        <v>-0.12133880872417692</v>
      </c>
      <c r="J1042">
        <f>($B$1+Table4[[#This Row],[Home Differential]])-Table4[[#This Row],[Away Differential]]</f>
        <v>0.21670966260792884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0.46926329569610442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-1.6560580871558699</v>
      </c>
      <c r="H1043" t="s">
        <v>17</v>
      </c>
      <c r="I1043">
        <f>VLOOKUP(Table4[[#This Row],[Visitor]],'NHL Model'!$A$6:$B$38,2,FALSE)</f>
        <v>-0.83182649756544103</v>
      </c>
      <c r="J1043">
        <f>($B$1+Table4[[#This Row],[Home Differential]])-Table4[[#This Row],[Away Differential]]</f>
        <v>-0.64593339593556554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0.55258179031228893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-0.67384018791748512</v>
      </c>
      <c r="H1044" t="s">
        <v>19</v>
      </c>
      <c r="I1044">
        <f>VLOOKUP(Table4[[#This Row],[Visitor]],'NHL Model'!$A$6:$B$38,2,FALSE)</f>
        <v>-0.64312007588488018</v>
      </c>
      <c r="J1044">
        <f>($B$1+Table4[[#This Row],[Home Differential]])-Table4[[#This Row],[Away Differential]]</f>
        <v>0.14757808162225838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0.56364788143871014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0.16990542827764471</v>
      </c>
      <c r="H1045" t="s">
        <v>26</v>
      </c>
      <c r="I1045">
        <f>VLOOKUP(Table4[[#This Row],[Visitor]],'NHL Model'!$A$6:$B$38,2,FALSE)</f>
        <v>-0.51526168477192669</v>
      </c>
      <c r="J1045">
        <f>($B$1+Table4[[#This Row],[Home Differential]])-Table4[[#This Row],[Away Differential]]</f>
        <v>0.86346530670443478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0.64299146107649741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-0.55929037526767655</v>
      </c>
      <c r="H1046" t="s">
        <v>15</v>
      </c>
      <c r="I1046">
        <f>VLOOKUP(Table4[[#This Row],[Visitor]],'NHL Model'!$A$6:$B$38,2,FALSE)</f>
        <v>-0.33401712526814992</v>
      </c>
      <c r="J1046">
        <f>($B$1+Table4[[#This Row],[Home Differential]])-Table4[[#This Row],[Away Differential]]</f>
        <v>-4.6975056344663313E-2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0.60914258477402083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-0.59444373833461905</v>
      </c>
      <c r="H1047" t="s">
        <v>33</v>
      </c>
      <c r="I1047">
        <f>VLOOKUP(Table4[[#This Row],[Visitor]],'NHL Model'!$A$6:$B$38,2,FALSE)</f>
        <v>-0.40334472409778083</v>
      </c>
      <c r="J1047">
        <f>($B$1+Table4[[#This Row],[Home Differential]])-Table4[[#This Row],[Away Differential]]</f>
        <v>-1.2800820581974903E-2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0.46183474471888719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0.54693303419816819</v>
      </c>
      <c r="H1048" t="s">
        <v>13</v>
      </c>
      <c r="I1048">
        <f>VLOOKUP(Table4[[#This Row],[Visitor]],'NHL Model'!$A$6:$B$38,2,FALSE)</f>
        <v>-0.12133880872417692</v>
      </c>
      <c r="J1048">
        <f>($B$1+Table4[[#This Row],[Home Differential]])-Table4[[#This Row],[Away Differential]]</f>
        <v>0.84657003657720842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0.6796212972693576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-8.2927339771111427E-2</v>
      </c>
      <c r="H1049" t="s">
        <v>16</v>
      </c>
      <c r="I1049">
        <f>VLOOKUP(Table4[[#This Row],[Visitor]],'NHL Model'!$A$6:$B$38,2,FALSE)</f>
        <v>-1.429228083243411</v>
      </c>
      <c r="J1049">
        <f>($B$1+Table4[[#This Row],[Home Differential]])-Table4[[#This Row],[Away Differential]]</f>
        <v>1.5245989371271629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0.75852113545391897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-0.4314038989751332</v>
      </c>
      <c r="H1050" t="s">
        <v>31</v>
      </c>
      <c r="I1050">
        <f>VLOOKUP(Table4[[#This Row],[Visitor]],'NHL Model'!$A$6:$B$38,2,FALSE)</f>
        <v>0.5301060565842276</v>
      </c>
      <c r="J1050">
        <f>($B$1+Table4[[#This Row],[Home Differential]])-Table4[[#This Row],[Away Differential]]</f>
        <v>-0.78321176190449748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0.5905188013690621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-0.5365514628281316</v>
      </c>
      <c r="H1051" t="s">
        <v>28</v>
      </c>
      <c r="I1051">
        <f>VLOOKUP(Table4[[#This Row],[Visitor]],'NHL Model'!$A$6:$B$38,2,FALSE)</f>
        <v>-0.4068113735564976</v>
      </c>
      <c r="J1051">
        <f>($B$1+Table4[[#This Row],[Home Differential]])-Table4[[#This Row],[Away Differential]]</f>
        <v>4.8558104383229328E-2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0.52869897531392684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-0.12437377019828177</v>
      </c>
      <c r="H1052" t="s">
        <v>25</v>
      </c>
      <c r="I1052">
        <f>VLOOKUP(Table4[[#This Row],[Visitor]],'NHL Model'!$A$6:$B$38,2,FALSE)</f>
        <v>0.73055531763635684</v>
      </c>
      <c r="J1052">
        <f>($B$1+Table4[[#This Row],[Home Differential]])-Table4[[#This Row],[Away Differential]]</f>
        <v>-0.67663089417977529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0.66149779921364849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-0.14078840027135531</v>
      </c>
      <c r="H1053" t="s">
        <v>14</v>
      </c>
      <c r="I1053">
        <f>VLOOKUP(Table4[[#This Row],[Visitor]],'NHL Model'!$A$6:$B$38,2,FALSE)</f>
        <v>0.24618288254564977</v>
      </c>
      <c r="J1053">
        <f>($B$1+Table4[[#This Row],[Home Differential]])-Table4[[#This Row],[Away Differential]]</f>
        <v>-0.20867308916214172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0.42163665840109138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-0.83680023888172561</v>
      </c>
      <c r="H1054" t="s">
        <v>32</v>
      </c>
      <c r="I1054">
        <f>VLOOKUP(Table4[[#This Row],[Visitor]],'NHL Model'!$A$6:$B$38,2,FALSE)</f>
        <v>-0.39497219926686861</v>
      </c>
      <c r="J1054">
        <f>($B$1+Table4[[#This Row],[Home Differential]])-Table4[[#This Row],[Away Differential]]</f>
        <v>-0.26352984595999368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0.49777179674130329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-6.1930983208684394E-4</v>
      </c>
      <c r="H1055" t="s">
        <v>10</v>
      </c>
      <c r="I1055">
        <f>VLOOKUP(Table4[[#This Row],[Visitor]],'NHL Model'!$A$6:$B$38,2,FALSE)</f>
        <v>0.26494263732175571</v>
      </c>
      <c r="J1055">
        <f>($B$1+Table4[[#This Row],[Home Differential]])-Table4[[#This Row],[Away Differential]]</f>
        <v>-8.7263753498979219E-2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0.49327676572429235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7.2067135963786652E-2</v>
      </c>
      <c r="H1056" t="s">
        <v>12</v>
      </c>
      <c r="I1056">
        <f>VLOOKUP(Table4[[#This Row],[Visitor]],'NHL Model'!$A$6:$B$38,2,FALSE)</f>
        <v>1.5385519346678582</v>
      </c>
      <c r="J1056">
        <f>($B$1+Table4[[#This Row],[Home Differential]])-Table4[[#This Row],[Away Differential]]</f>
        <v>-1.2881866050492081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0.67443201692209953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-2.6005603564376825E-2</v>
      </c>
      <c r="H1057" t="s">
        <v>21</v>
      </c>
      <c r="I1057">
        <f>VLOOKUP(Table4[[#This Row],[Visitor]],'NHL Model'!$A$6:$B$38,2,FALSE)</f>
        <v>-1.6459316139111148E-2</v>
      </c>
      <c r="J1057">
        <f>($B$1+Table4[[#This Row],[Home Differential]])-Table4[[#This Row],[Away Differential]]</f>
        <v>0.16875190622959765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0.56418725165110706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-0.83182649756544103</v>
      </c>
      <c r="H1058" t="s">
        <v>29</v>
      </c>
      <c r="I1058">
        <f>VLOOKUP(Table4[[#This Row],[Visitor]],'NHL Model'!$A$6:$B$38,2,FALSE)</f>
        <v>-1.3905198871921312</v>
      </c>
      <c r="J1058">
        <f>($B$1+Table4[[#This Row],[Home Differential]])-Table4[[#This Row],[Away Differential]]</f>
        <v>0.73699158328155345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0.68167004875043935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-0.55929037526767655</v>
      </c>
      <c r="H1059" t="s">
        <v>19</v>
      </c>
      <c r="I1059">
        <f>VLOOKUP(Table4[[#This Row],[Visitor]],'NHL Model'!$A$6:$B$38,2,FALSE)</f>
        <v>-0.64312007588488018</v>
      </c>
      <c r="J1059">
        <f>($B$1+Table4[[#This Row],[Home Differential]])-Table4[[#This Row],[Away Differential]]</f>
        <v>0.26212789427206695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0.57757085466582569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-0.59444373833461905</v>
      </c>
      <c r="H1060" t="s">
        <v>31</v>
      </c>
      <c r="I1060">
        <f>VLOOKUP(Table4[[#This Row],[Visitor]],'NHL Model'!$A$6:$B$38,2,FALSE)</f>
        <v>0.5301060565842276</v>
      </c>
      <c r="J1060">
        <f>($B$1+Table4[[#This Row],[Home Differential]])-Table4[[#This Row],[Away Differential]]</f>
        <v>-0.94625160126398333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0.61639570229421248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-0.4314038989751332</v>
      </c>
      <c r="H1061" t="s">
        <v>33</v>
      </c>
      <c r="I1061">
        <f>VLOOKUP(Table4[[#This Row],[Visitor]],'NHL Model'!$A$6:$B$38,2,FALSE)</f>
        <v>-0.40334472409778083</v>
      </c>
      <c r="J1061">
        <f>($B$1+Table4[[#This Row],[Home Differential]])-Table4[[#This Row],[Away Differential]]</f>
        <v>0.15023901877751095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0.56402927420658977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-0.39497219926686861</v>
      </c>
      <c r="H1062" t="s">
        <v>11</v>
      </c>
      <c r="I1062">
        <f>VLOOKUP(Table4[[#This Row],[Visitor]],'NHL Model'!$A$6:$B$38,2,FALSE)</f>
        <v>-0.16385680125706742</v>
      </c>
      <c r="J1062">
        <f>($B$1+Table4[[#This Row],[Home Differential]])-Table4[[#This Row],[Away Differential]]</f>
        <v>-5.2817204354937836E-2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0.44153256686208853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7.2067135963786652E-2</v>
      </c>
      <c r="H1063" t="s">
        <v>35</v>
      </c>
      <c r="I1063">
        <f>VLOOKUP(Table4[[#This Row],[Visitor]],'NHL Model'!$A$6:$B$38,2,FALSE)</f>
        <v>-1.6560580871558699</v>
      </c>
      <c r="J1063">
        <f>($B$1+Table4[[#This Row],[Home Differential]])-Table4[[#This Row],[Away Differential]]</f>
        <v>1.90642341677452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0.84928499709375371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1.5385519346678582</v>
      </c>
      <c r="H1064" t="s">
        <v>14</v>
      </c>
      <c r="I1064">
        <f>VLOOKUP(Table4[[#This Row],[Visitor]],'NHL Model'!$A$6:$B$38,2,FALSE)</f>
        <v>0.24618288254564977</v>
      </c>
      <c r="J1064">
        <f>($B$1+Table4[[#This Row],[Home Differential]])-Table4[[#This Row],[Away Differential]]</f>
        <v>1.4706672457770718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0.83915734080727167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0.16990542827764471</v>
      </c>
      <c r="H1065" t="s">
        <v>55</v>
      </c>
      <c r="I1065">
        <f>VLOOKUP(Table4[[#This Row],[Visitor]],'NHL Model'!$A$6:$B$38,2,FALSE)</f>
        <v>-0.14078840027135531</v>
      </c>
      <c r="J1065">
        <f>($B$1+Table4[[#This Row],[Home Differential]])-Table4[[#This Row],[Away Differential]]</f>
        <v>0.4889920222038634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0.6361250809978376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-0.51526168477192669</v>
      </c>
      <c r="H1066" t="s">
        <v>16</v>
      </c>
      <c r="I1066">
        <f>VLOOKUP(Table4[[#This Row],[Visitor]],'NHL Model'!$A$6:$B$38,2,FALSE)</f>
        <v>-1.429228083243411</v>
      </c>
      <c r="J1066">
        <f>($B$1+Table4[[#This Row],[Home Differential]])-Table4[[#This Row],[Away Differential]]</f>
        <v>1.0922645921263476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0.72259228477017601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0.54693303419816819</v>
      </c>
      <c r="H1067" t="s">
        <v>21</v>
      </c>
      <c r="I1067">
        <f>VLOOKUP(Table4[[#This Row],[Visitor]],'NHL Model'!$A$6:$B$38,2,FALSE)</f>
        <v>-1.6459316139111148E-2</v>
      </c>
      <c r="J1067">
        <f>($B$1+Table4[[#This Row],[Home Differential]])-Table4[[#This Row],[Away Differential]]</f>
        <v>0.74169054399214263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0.76173739717987321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-0.33401712526814992</v>
      </c>
      <c r="H1068" t="s">
        <v>13</v>
      </c>
      <c r="I1068">
        <f>VLOOKUP(Table4[[#This Row],[Visitor]],'NHL Model'!$A$6:$B$38,2,FALSE)</f>
        <v>-0.12133880872417692</v>
      </c>
      <c r="J1068">
        <f>($B$1+Table4[[#This Row],[Home Differential]])-Table4[[#This Row],[Away Differential]]</f>
        <v>-3.4380122889109646E-2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0.56672546416167402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-0.4068113735564976</v>
      </c>
      <c r="H1069" t="s">
        <v>25</v>
      </c>
      <c r="I1069">
        <f>VLOOKUP(Table4[[#This Row],[Visitor]],'NHL Model'!$A$6:$B$38,2,FALSE)</f>
        <v>0.73055531763635684</v>
      </c>
      <c r="J1069">
        <f>($B$1+Table4[[#This Row],[Home Differential]])-Table4[[#This Row],[Away Differential]]</f>
        <v>-0.95906849753799106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0.69498564427051246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0.26494263732175571</v>
      </c>
      <c r="H1070" t="s">
        <v>34</v>
      </c>
      <c r="I1070">
        <f>VLOOKUP(Table4[[#This Row],[Visitor]],'NHL Model'!$A$6:$B$38,2,FALSE)</f>
        <v>-0.55929037526767655</v>
      </c>
      <c r="J1070">
        <f>($B$1+Table4[[#This Row],[Home Differential]])-Table4[[#This Row],[Away Differential]]</f>
        <v>1.0025312062442957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0.68369304095757621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-0.83182649756544103</v>
      </c>
      <c r="H1071" t="s">
        <v>33</v>
      </c>
      <c r="I1071">
        <f>VLOOKUP(Table4[[#This Row],[Visitor]],'NHL Model'!$A$6:$B$38,2,FALSE)</f>
        <v>-0.40334472409778083</v>
      </c>
      <c r="J1071">
        <f>($B$1+Table4[[#This Row],[Home Differential]])-Table4[[#This Row],[Away Differential]]</f>
        <v>-0.25018357981279687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0.45982200681780661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-0.59444373833461905</v>
      </c>
      <c r="H1072" t="s">
        <v>21</v>
      </c>
      <c r="I1072">
        <f>VLOOKUP(Table4[[#This Row],[Visitor]],'NHL Model'!$A$6:$B$38,2,FALSE)</f>
        <v>-1.6459316139111148E-2</v>
      </c>
      <c r="J1072">
        <f>($B$1+Table4[[#This Row],[Home Differential]])-Table4[[#This Row],[Away Differential]]</f>
        <v>-0.39968622854064456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0.51728712408167676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-0.39497219926686861</v>
      </c>
      <c r="H1073" t="s">
        <v>37</v>
      </c>
      <c r="I1073">
        <f>VLOOKUP(Table4[[#This Row],[Visitor]],'NHL Model'!$A$6:$B$38,2,FALSE)</f>
        <v>-0.12437377019828177</v>
      </c>
      <c r="J1073">
        <f>($B$1+Table4[[#This Row],[Home Differential]])-Table4[[#This Row],[Away Differential]]</f>
        <v>-9.230023541372348E-2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0.4939986458987447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-0.64312007588488018</v>
      </c>
      <c r="H1074" t="s">
        <v>30</v>
      </c>
      <c r="I1074">
        <f>VLOOKUP(Table4[[#This Row],[Visitor]],'NHL Model'!$A$6:$B$38,2,FALSE)</f>
        <v>-8.2927339771111427E-2</v>
      </c>
      <c r="J1074">
        <f>($B$1+Table4[[#This Row],[Home Differential]])-Table4[[#This Row],[Away Differential]]</f>
        <v>-0.38189454245890542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0.55724960021423109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-0.83680023888172561</v>
      </c>
      <c r="H1075" t="s">
        <v>11</v>
      </c>
      <c r="I1075">
        <f>VLOOKUP(Table4[[#This Row],[Visitor]],'NHL Model'!$A$6:$B$38,2,FALSE)</f>
        <v>-0.16385680125706742</v>
      </c>
      <c r="J1075">
        <f>($B$1+Table4[[#This Row],[Home Differential]])-Table4[[#This Row],[Away Differential]]</f>
        <v>-0.49464524396979487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0.53089762279569586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-6.1930983208684394E-4</v>
      </c>
      <c r="H1076" t="s">
        <v>23</v>
      </c>
      <c r="I1076">
        <f>VLOOKUP(Table4[[#This Row],[Visitor]],'NHL Model'!$A$6:$B$38,2,FALSE)</f>
        <v>-0.67384018791748512</v>
      </c>
      <c r="J1076">
        <f>($B$1+Table4[[#This Row],[Home Differential]])-Table4[[#This Row],[Away Differential]]</f>
        <v>0.85151907174026165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0.66204843509072253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7.2067135963786652E-2</v>
      </c>
      <c r="H1077" t="s">
        <v>29</v>
      </c>
      <c r="I1077">
        <f>VLOOKUP(Table4[[#This Row],[Visitor]],'NHL Model'!$A$6:$B$38,2,FALSE)</f>
        <v>-1.3905198871921312</v>
      </c>
      <c r="J1077">
        <f>($B$1+Table4[[#This Row],[Home Differential]])-Table4[[#This Row],[Away Differential]]</f>
        <v>1.6408852168107813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0.81122534248596212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0.5301060565842276</v>
      </c>
      <c r="H1078" t="s">
        <v>27</v>
      </c>
      <c r="I1078">
        <f>VLOOKUP(Table4[[#This Row],[Visitor]],'NHL Model'!$A$6:$B$38,2,FALSE)</f>
        <v>-0.5365514628281316</v>
      </c>
      <c r="J1078">
        <f>($B$1+Table4[[#This Row],[Home Differential]])-Table4[[#This Row],[Away Differential]]</f>
        <v>1.2449557130672226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0.82919902341014518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0.73055531763635684</v>
      </c>
      <c r="H1079" t="s">
        <v>14</v>
      </c>
      <c r="I1079">
        <f>VLOOKUP(Table4[[#This Row],[Visitor]],'NHL Model'!$A$6:$B$38,2,FALSE)</f>
        <v>0.24618288254564977</v>
      </c>
      <c r="J1079">
        <f>($B$1+Table4[[#This Row],[Home Differential]])-Table4[[#This Row],[Away Differential]]</f>
        <v>0.66267062874557037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0.68669671828196766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-1.429228083243411</v>
      </c>
      <c r="H1080" t="s">
        <v>35</v>
      </c>
      <c r="I1080">
        <f>VLOOKUP(Table4[[#This Row],[Visitor]],'NHL Model'!$A$6:$B$38,2,FALSE)</f>
        <v>-1.6560580871558699</v>
      </c>
      <c r="J1080">
        <f>($B$1+Table4[[#This Row],[Home Differential]])-Table4[[#This Row],[Away Differential]]</f>
        <v>0.40512819756732221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0.5980671228222344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1.5385519346678582</v>
      </c>
      <c r="H1081" t="s">
        <v>39</v>
      </c>
      <c r="I1081">
        <f>VLOOKUP(Table4[[#This Row],[Visitor]],'NHL Model'!$A$6:$B$38,2,FALSE)</f>
        <v>0.16990542827764471</v>
      </c>
      <c r="J1081">
        <f>($B$1+Table4[[#This Row],[Home Differential]])-Table4[[#This Row],[Away Differential]]</f>
        <v>1.5469447000450769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0.76018549753450559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-0.33401712526814992</v>
      </c>
      <c r="H1082" t="s">
        <v>24</v>
      </c>
      <c r="I1082">
        <f>VLOOKUP(Table4[[#This Row],[Visitor]],'NHL Model'!$A$6:$B$38,2,FALSE)</f>
        <v>0.54693303419816819</v>
      </c>
      <c r="J1082">
        <f>($B$1+Table4[[#This Row],[Home Differential]])-Table4[[#This Row],[Away Differential]]</f>
        <v>-0.70265196581145473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0.62702706616352266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-2.6005603564376825E-2</v>
      </c>
      <c r="H1083" t="s">
        <v>36</v>
      </c>
      <c r="I1083">
        <f>VLOOKUP(Table4[[#This Row],[Visitor]],'NHL Model'!$A$6:$B$38,2,FALSE)</f>
        <v>-0.4314038989751332</v>
      </c>
      <c r="J1083">
        <f>($B$1+Table4[[#This Row],[Home Differential]])-Table4[[#This Row],[Away Differential]]</f>
        <v>0.58369648906561977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0.6236613593548942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-1.6459316139111148E-2</v>
      </c>
      <c r="H1084" t="s">
        <v>40</v>
      </c>
      <c r="I1084">
        <f>VLOOKUP(Table4[[#This Row],[Visitor]],'NHL Model'!$A$6:$B$38,2,FALSE)</f>
        <v>7.2067135963786652E-2</v>
      </c>
      <c r="J1084">
        <f>($B$1+Table4[[#This Row],[Home Differential]])-Table4[[#This Row],[Away Differential]]</f>
        <v>8.9771741551965559E-2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0.53918279496469945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-0.4068113735564976</v>
      </c>
      <c r="H1085" t="s">
        <v>15</v>
      </c>
      <c r="I1085">
        <f>VLOOKUP(Table4[[#This Row],[Visitor]],'NHL Model'!$A$6:$B$38,2,FALSE)</f>
        <v>-0.33401712526814992</v>
      </c>
      <c r="J1085">
        <f>($B$1+Table4[[#This Row],[Home Differential]])-Table4[[#This Row],[Away Differential]]</f>
        <v>0.10550394536651567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0.4195336707855245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-0.51526168477192669</v>
      </c>
      <c r="H1086" t="s">
        <v>18</v>
      </c>
      <c r="I1086">
        <f>VLOOKUP(Table4[[#This Row],[Visitor]],'NHL Model'!$A$6:$B$38,2,FALSE)</f>
        <v>-0.59444373833461905</v>
      </c>
      <c r="J1086">
        <f>($B$1+Table4[[#This Row],[Home Differential]])-Table4[[#This Row],[Away Differential]]</f>
        <v>0.25748024721755569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0.55613547551697284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-0.83182649756544103</v>
      </c>
      <c r="H1087" t="s">
        <v>11</v>
      </c>
      <c r="I1087">
        <f>VLOOKUP(Table4[[#This Row],[Visitor]],'NHL Model'!$A$6:$B$38,2,FALSE)</f>
        <v>-0.16385680125706742</v>
      </c>
      <c r="J1087">
        <f>($B$1+Table4[[#This Row],[Home Differential]])-Table4[[#This Row],[Away Differential]]</f>
        <v>-0.48967150265351028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0.49414786888699175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-0.12133880872417692</v>
      </c>
      <c r="H1088" t="s">
        <v>27</v>
      </c>
      <c r="I1088">
        <f>VLOOKUP(Table4[[#This Row],[Visitor]],'NHL Model'!$A$6:$B$38,2,FALSE)</f>
        <v>-0.5365514628281316</v>
      </c>
      <c r="J1088">
        <f>($B$1+Table4[[#This Row],[Home Differential]])-Table4[[#This Row],[Away Differential]]</f>
        <v>0.59351084775881802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0.62506805376688879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-0.55929037526767655</v>
      </c>
      <c r="H1089" t="s">
        <v>10</v>
      </c>
      <c r="I1089">
        <f>VLOOKUP(Table4[[#This Row],[Visitor]],'NHL Model'!$A$6:$B$38,2,FALSE)</f>
        <v>0.26494263732175571</v>
      </c>
      <c r="J1089">
        <f>($B$1+Table4[[#This Row],[Home Differential]])-Table4[[#This Row],[Away Differential]]</f>
        <v>-0.64593481893456894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0.573351225040312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-1.3905198871921312</v>
      </c>
      <c r="H1090" t="s">
        <v>32</v>
      </c>
      <c r="I1090">
        <f>VLOOKUP(Table4[[#This Row],[Visitor]],'NHL Model'!$A$6:$B$38,2,FALSE)</f>
        <v>-0.39497219926686861</v>
      </c>
      <c r="J1090">
        <f>($B$1+Table4[[#This Row],[Home Differential]])-Table4[[#This Row],[Away Differential]]</f>
        <v>-0.81724949427039917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0.57713656823979098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-0.4314038989751332</v>
      </c>
      <c r="H1091" t="s">
        <v>30</v>
      </c>
      <c r="I1091">
        <f>VLOOKUP(Table4[[#This Row],[Visitor]],'NHL Model'!$A$6:$B$38,2,FALSE)</f>
        <v>-8.2927339771111427E-2</v>
      </c>
      <c r="J1091">
        <f>($B$1+Table4[[#This Row],[Home Differential]])-Table4[[#This Row],[Away Differential]]</f>
        <v>-0.17017836554915844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0.52439170641137112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-0.40334472409778083</v>
      </c>
      <c r="H1092" t="s">
        <v>23</v>
      </c>
      <c r="I1092">
        <f>VLOOKUP(Table4[[#This Row],[Visitor]],'NHL Model'!$A$6:$B$38,2,FALSE)</f>
        <v>-0.67384018791748512</v>
      </c>
      <c r="J1092">
        <f>($B$1+Table4[[#This Row],[Home Differential]])-Table4[[#This Row],[Away Differential]]</f>
        <v>0.44879365747456768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0.60432570378191197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-0.83680023888172561</v>
      </c>
      <c r="H1093" t="s">
        <v>37</v>
      </c>
      <c r="I1093">
        <f>VLOOKUP(Table4[[#This Row],[Visitor]],'NHL Model'!$A$6:$B$38,2,FALSE)</f>
        <v>-0.12437377019828177</v>
      </c>
      <c r="J1093">
        <f>($B$1+Table4[[#This Row],[Home Differential]])-Table4[[#This Row],[Away Differential]]</f>
        <v>-0.53412827502858051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0.58365612669479483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-6.1930983208684394E-4</v>
      </c>
      <c r="H1094" t="s">
        <v>55</v>
      </c>
      <c r="I1094">
        <f>VLOOKUP(Table4[[#This Row],[Visitor]],'NHL Model'!$A$6:$B$38,2,FALSE)</f>
        <v>-0.14078840027135531</v>
      </c>
      <c r="J1094">
        <f>($B$1+Table4[[#This Row],[Home Differential]])-Table4[[#This Row],[Away Differential]]</f>
        <v>0.31846728409413183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0.58564599307428944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-1.429228083243411</v>
      </c>
      <c r="H1095" t="s">
        <v>11</v>
      </c>
      <c r="I1095">
        <f>VLOOKUP(Table4[[#This Row],[Visitor]],'NHL Model'!$A$6:$B$38,2,FALSE)</f>
        <v>-0.16385680125706742</v>
      </c>
      <c r="J1095">
        <f>($B$1+Table4[[#This Row],[Home Differential]])-Table4[[#This Row],[Away Differential]]</f>
        <v>-1.0870730883314803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0.61581044942298824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0.26494263732175571</v>
      </c>
      <c r="H1096" t="s">
        <v>12</v>
      </c>
      <c r="I1096">
        <f>VLOOKUP(Table4[[#This Row],[Visitor]],'NHL Model'!$A$6:$B$38,2,FALSE)</f>
        <v>1.5385519346678582</v>
      </c>
      <c r="J1096">
        <f>($B$1+Table4[[#This Row],[Home Differential]])-Table4[[#This Row],[Away Differential]]</f>
        <v>-1.0953111036912393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0.68330699563633901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-0.64312007588488018</v>
      </c>
      <c r="H1097" t="s">
        <v>25</v>
      </c>
      <c r="I1097">
        <f>VLOOKUP(Table4[[#This Row],[Visitor]],'NHL Model'!$A$6:$B$38,2,FALSE)</f>
        <v>0.73055531763635684</v>
      </c>
      <c r="J1097">
        <f>($B$1+Table4[[#This Row],[Home Differential]])-Table4[[#This Row],[Away Differential]]</f>
        <v>-1.1953771998663738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0.73584983303098972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-0.14078840027135531</v>
      </c>
      <c r="H1098" t="s">
        <v>31</v>
      </c>
      <c r="I1098">
        <f>VLOOKUP(Table4[[#This Row],[Visitor]],'NHL Model'!$A$6:$B$38,2,FALSE)</f>
        <v>0.5301060565842276</v>
      </c>
      <c r="J1098">
        <f>($B$1+Table4[[#This Row],[Home Differential]])-Table4[[#This Row],[Away Differential]]</f>
        <v>-0.49259626320071959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0.48236864776743149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-2.6005603564376825E-2</v>
      </c>
      <c r="H1099" t="s">
        <v>24</v>
      </c>
      <c r="I1099">
        <f>VLOOKUP(Table4[[#This Row],[Visitor]],'NHL Model'!$A$6:$B$38,2,FALSE)</f>
        <v>0.54693303419816819</v>
      </c>
      <c r="J1099">
        <f>($B$1+Table4[[#This Row],[Home Differential]])-Table4[[#This Row],[Away Differential]]</f>
        <v>-0.39464044410768168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0.58287970004871603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-0.4068113735564976</v>
      </c>
      <c r="H1100" t="s">
        <v>32</v>
      </c>
      <c r="I1100">
        <f>VLOOKUP(Table4[[#This Row],[Visitor]],'NHL Model'!$A$6:$B$38,2,FALSE)</f>
        <v>-0.39497219926686861</v>
      </c>
      <c r="J1100">
        <f>($B$1+Table4[[#This Row],[Home Differential]])-Table4[[#This Row],[Away Differential]]</f>
        <v>0.16645901936523436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0.57090456348064833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-0.51526168477192669</v>
      </c>
      <c r="H1101" t="s">
        <v>21</v>
      </c>
      <c r="I1101">
        <f>VLOOKUP(Table4[[#This Row],[Visitor]],'NHL Model'!$A$6:$B$38,2,FALSE)</f>
        <v>-1.6459316139111148E-2</v>
      </c>
      <c r="J1101">
        <f>($B$1+Table4[[#This Row],[Home Differential]])-Table4[[#This Row],[Away Differential]]</f>
        <v>-0.32050417497795219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0.47990020528966404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-0.83182649756544103</v>
      </c>
      <c r="H1102" t="s">
        <v>37</v>
      </c>
      <c r="I1102">
        <f>VLOOKUP(Table4[[#This Row],[Visitor]],'NHL Model'!$A$6:$B$38,2,FALSE)</f>
        <v>-0.12437377019828177</v>
      </c>
      <c r="J1102">
        <f>($B$1+Table4[[#This Row],[Home Differential]])-Table4[[#This Row],[Away Differential]]</f>
        <v>-0.52915453371229593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0.54643208295892509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-0.12133880872417692</v>
      </c>
      <c r="H1103" t="s">
        <v>23</v>
      </c>
      <c r="I1103">
        <f>VLOOKUP(Table4[[#This Row],[Visitor]],'NHL Model'!$A$6:$B$38,2,FALSE)</f>
        <v>-0.67384018791748512</v>
      </c>
      <c r="J1103">
        <f>($B$1+Table4[[#This Row],[Home Differential]])-Table4[[#This Row],[Away Differential]]</f>
        <v>0.73079957284817154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0.64474568003368726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-0.55929037526767655</v>
      </c>
      <c r="H1104" t="s">
        <v>39</v>
      </c>
      <c r="I1104">
        <f>VLOOKUP(Table4[[#This Row],[Visitor]],'NHL Model'!$A$6:$B$38,2,FALSE)</f>
        <v>0.16990542827764471</v>
      </c>
      <c r="J1104">
        <f>($B$1+Table4[[#This Row],[Home Differential]])-Table4[[#This Row],[Away Differential]]</f>
        <v>-0.55089760989045788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0.63144647589256764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-0.59444373833461905</v>
      </c>
      <c r="H1105" t="s">
        <v>30</v>
      </c>
      <c r="I1105">
        <f>VLOOKUP(Table4[[#This Row],[Visitor]],'NHL Model'!$A$6:$B$38,2,FALSE)</f>
        <v>-8.2927339771111427E-2</v>
      </c>
      <c r="J1105">
        <f>($B$1+Table4[[#This Row],[Home Differential]])-Table4[[#This Row],[Away Differential]]</f>
        <v>-0.33321820490864429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0.55027280894657848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-1.3905198871921312</v>
      </c>
      <c r="H1106" t="s">
        <v>20</v>
      </c>
      <c r="I1106">
        <f>VLOOKUP(Table4[[#This Row],[Visitor]],'NHL Model'!$A$6:$B$38,2,FALSE)</f>
        <v>-6.1930983208684394E-4</v>
      </c>
      <c r="J1106">
        <f>($B$1+Table4[[#This Row],[Home Differential]])-Table4[[#This Row],[Away Differential]]</f>
        <v>-1.211602383705181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0.65442849430303962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-0.4314038989751332</v>
      </c>
      <c r="H1107" t="s">
        <v>19</v>
      </c>
      <c r="I1107">
        <f>VLOOKUP(Table4[[#This Row],[Visitor]],'NHL Model'!$A$6:$B$38,2,FALSE)</f>
        <v>-0.64312007588488018</v>
      </c>
      <c r="J1107">
        <f>($B$1+Table4[[#This Row],[Home Differential]])-Table4[[#This Row],[Away Differential]]</f>
        <v>0.3900143705646103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0.59839633353637711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0.24618288254564977</v>
      </c>
      <c r="H1108" t="s">
        <v>40</v>
      </c>
      <c r="I1108">
        <f>VLOOKUP(Table4[[#This Row],[Visitor]],'NHL Model'!$A$6:$B$38,2,FALSE)</f>
        <v>7.2067135963786652E-2</v>
      </c>
      <c r="J1108">
        <f>($B$1+Table4[[#This Row],[Home Differential]])-Table4[[#This Row],[Away Differential]]</f>
        <v>0.35241394023672645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0.56071565716571137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-0.40334472409778083</v>
      </c>
      <c r="H1109" t="s">
        <v>27</v>
      </c>
      <c r="I1109">
        <f>VLOOKUP(Table4[[#This Row],[Visitor]],'NHL Model'!$A$6:$B$38,2,FALSE)</f>
        <v>-0.5365514628281316</v>
      </c>
      <c r="J1109">
        <f>($B$1+Table4[[#This Row],[Home Differential]])-Table4[[#This Row],[Away Differential]]</f>
        <v>0.31150493238521415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0.58464807751511361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-0.83680023888172561</v>
      </c>
      <c r="H1110" t="s">
        <v>35</v>
      </c>
      <c r="I1110">
        <f>VLOOKUP(Table4[[#This Row],[Visitor]],'NHL Model'!$A$6:$B$38,2,FALSE)</f>
        <v>-1.6560580871558699</v>
      </c>
      <c r="J1110">
        <f>($B$1+Table4[[#This Row],[Home Differential]])-Table4[[#This Row],[Away Differential]]</f>
        <v>0.9975560419290076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0.68297994944952678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0.5301060565842276</v>
      </c>
      <c r="H1111" t="s">
        <v>23</v>
      </c>
      <c r="I1111">
        <f>VLOOKUP(Table4[[#This Row],[Visitor]],'NHL Model'!$A$6:$B$38,2,FALSE)</f>
        <v>-0.67384018791748512</v>
      </c>
      <c r="J1111">
        <f>($B$1+Table4[[#This Row],[Home Differential]])-Table4[[#This Row],[Away Differential]]</f>
        <v>1.3822444381565759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0.84887664967694365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-1.429228083243411</v>
      </c>
      <c r="H1112" t="s">
        <v>37</v>
      </c>
      <c r="I1112">
        <f>VLOOKUP(Table4[[#This Row],[Visitor]],'NHL Model'!$A$6:$B$38,2,FALSE)</f>
        <v>-0.12437377019828177</v>
      </c>
      <c r="J1112">
        <f>($B$1+Table4[[#This Row],[Home Differential]])-Table4[[#This Row],[Away Differential]]</f>
        <v>-1.126556119390266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0.66856895332208732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0.26494263732175571</v>
      </c>
      <c r="H1113" t="s">
        <v>29</v>
      </c>
      <c r="I1113">
        <f>VLOOKUP(Table4[[#This Row],[Visitor]],'NHL Model'!$A$6:$B$38,2,FALSE)</f>
        <v>-1.3905198871921312</v>
      </c>
      <c r="J1113">
        <f>($B$1+Table4[[#This Row],[Home Differential]])-Table4[[#This Row],[Away Differential]]</f>
        <v>1.8337607181687501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0.80283336851861298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0.16990542827764471</v>
      </c>
      <c r="H1114" t="s">
        <v>20</v>
      </c>
      <c r="I1114">
        <f>VLOOKUP(Table4[[#This Row],[Visitor]],'NHL Model'!$A$6:$B$38,2,FALSE)</f>
        <v>-6.1930983208684394E-4</v>
      </c>
      <c r="J1114">
        <f>($B$1+Table4[[#This Row],[Home Differential]])-Table4[[#This Row],[Away Differential]]</f>
        <v>0.34882293176459495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0.59545142087228453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-8.2927339771111427E-2</v>
      </c>
      <c r="H1115" t="s">
        <v>28</v>
      </c>
      <c r="I1115">
        <f>VLOOKUP(Table4[[#This Row],[Visitor]],'NHL Model'!$A$6:$B$38,2,FALSE)</f>
        <v>-0.4068113735564976</v>
      </c>
      <c r="J1115">
        <f>($B$1+Table4[[#This Row],[Home Differential]])-Table4[[#This Row],[Away Differential]]</f>
        <v>0.50218222744024954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0.59120866969540053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-0.33401712526814992</v>
      </c>
      <c r="H1116" t="s">
        <v>40</v>
      </c>
      <c r="I1116">
        <f>VLOOKUP(Table4[[#This Row],[Visitor]],'NHL Model'!$A$6:$B$38,2,FALSE)</f>
        <v>7.2067135963786652E-2</v>
      </c>
      <c r="J1116">
        <f>($B$1+Table4[[#This Row],[Home Differential]])-Table4[[#This Row],[Away Differential]]</f>
        <v>-0.2277860675770732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0.55896442178961603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0.24618288254564977</v>
      </c>
      <c r="H1117" t="s">
        <v>25</v>
      </c>
      <c r="I1117">
        <f>VLOOKUP(Table4[[#This Row],[Visitor]],'NHL Model'!$A$6:$B$38,2,FALSE)</f>
        <v>0.73055531763635684</v>
      </c>
      <c r="J1117">
        <f>($B$1+Table4[[#This Row],[Home Differential]])-Table4[[#This Row],[Away Differential]]</f>
        <v>-0.30607424143584372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0.57217158205656471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-0.14078840027135531</v>
      </c>
      <c r="H1118" t="s">
        <v>13</v>
      </c>
      <c r="I1118">
        <f>VLOOKUP(Table4[[#This Row],[Visitor]],'NHL Model'!$A$6:$B$38,2,FALSE)</f>
        <v>-0.12133880872417692</v>
      </c>
      <c r="J1118">
        <f>($B$1+Table4[[#This Row],[Home Differential]])-Table4[[#This Row],[Away Differential]]</f>
        <v>0.15884860210768498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0.53058030866924077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-2.6005603564376825E-2</v>
      </c>
      <c r="H1119" t="s">
        <v>12</v>
      </c>
      <c r="I1119">
        <f>VLOOKUP(Table4[[#This Row],[Visitor]],'NHL Model'!$A$6:$B$38,2,FALSE)</f>
        <v>1.5385519346678582</v>
      </c>
      <c r="J1119">
        <f>($B$1+Table4[[#This Row],[Home Differential]])-Table4[[#This Row],[Away Differential]]</f>
        <v>-1.3862593445773717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0.72500867757280951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-0.33401712526814992</v>
      </c>
      <c r="H1120" t="s">
        <v>36</v>
      </c>
      <c r="I1120">
        <f>VLOOKUP(Table4[[#This Row],[Visitor]],'NHL Model'!$A$6:$B$38,2,FALSE)</f>
        <v>-0.4314038989751332</v>
      </c>
      <c r="J1120">
        <f>($B$1+Table4[[#This Row],[Home Differential]])-Table4[[#This Row],[Away Differential]]</f>
        <v>0.27568496736184667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0.57951399324008757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-1.6459316139111148E-2</v>
      </c>
      <c r="H1121" t="s">
        <v>19</v>
      </c>
      <c r="I1121">
        <f>VLOOKUP(Table4[[#This Row],[Visitor]],'NHL Model'!$A$6:$B$38,2,FALSE)</f>
        <v>-0.64312007588488018</v>
      </c>
      <c r="J1121">
        <f>($B$1+Table4[[#This Row],[Home Differential]])-Table4[[#This Row],[Away Differential]]</f>
        <v>0.80495895340063239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0.70709093836718517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-1.429228083243411</v>
      </c>
      <c r="H1122" t="s">
        <v>13</v>
      </c>
      <c r="I1122">
        <f>VLOOKUP(Table4[[#This Row],[Visitor]],'NHL Model'!$A$6:$B$38,2,FALSE)</f>
        <v>-0.12133880872417692</v>
      </c>
      <c r="J1122">
        <f>($B$1+Table4[[#This Row],[Home Differential]])-Table4[[#This Row],[Away Differential]]</f>
        <v>-1.1295910808643708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0.72370231641456706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0.16990542827764471</v>
      </c>
      <c r="H1123" t="s">
        <v>24</v>
      </c>
      <c r="I1123">
        <f>VLOOKUP(Table4[[#This Row],[Visitor]],'NHL Model'!$A$6:$B$38,2,FALSE)</f>
        <v>0.54693303419816819</v>
      </c>
      <c r="J1123">
        <f>($B$1+Table4[[#This Row],[Home Differential]])-Table4[[#This Row],[Away Differential]]</f>
        <v>-0.1987294122656601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0.52848393486237877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-0.51526168477192669</v>
      </c>
      <c r="H1124" t="s">
        <v>36</v>
      </c>
      <c r="I1124">
        <f>VLOOKUP(Table4[[#This Row],[Visitor]],'NHL Model'!$A$6:$B$38,2,FALSE)</f>
        <v>-0.4314038989751332</v>
      </c>
      <c r="J1124">
        <f>($B$1+Table4[[#This Row],[Home Differential]])-Table4[[#This Row],[Away Differential]]</f>
        <v>9.4440407858069841E-2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0.5795739024141231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-0.16385680125706742</v>
      </c>
      <c r="H1125" t="s">
        <v>32</v>
      </c>
      <c r="I1125">
        <f>VLOOKUP(Table4[[#This Row],[Visitor]],'NHL Model'!$A$6:$B$38,2,FALSE)</f>
        <v>-0.39497219926686861</v>
      </c>
      <c r="J1125">
        <f>($B$1+Table4[[#This Row],[Home Differential]])-Table4[[#This Row],[Away Differential]]</f>
        <v>0.40941359166466451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0.66212962525970898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-0.59444373833461905</v>
      </c>
      <c r="H1126" t="s">
        <v>25</v>
      </c>
      <c r="I1126">
        <f>VLOOKUP(Table4[[#This Row],[Visitor]],'NHL Model'!$A$6:$B$38,2,FALSE)</f>
        <v>0.73055531763635684</v>
      </c>
      <c r="J1126">
        <f>($B$1+Table4[[#This Row],[Home Differential]])-Table4[[#This Row],[Away Differential]]</f>
        <v>-1.1467008623161126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0.728873041763337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-1.3905198871921312</v>
      </c>
      <c r="H1127" t="s">
        <v>33</v>
      </c>
      <c r="I1127">
        <f>VLOOKUP(Table4[[#This Row],[Visitor]],'NHL Model'!$A$6:$B$38,2,FALSE)</f>
        <v>-0.40334472409778083</v>
      </c>
      <c r="J1127">
        <f>($B$1+Table4[[#This Row],[Home Differential]])-Table4[[#This Row],[Away Differential]]</f>
        <v>-0.80887696943948706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0.57593653222499841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-8.2927339771111427E-2</v>
      </c>
      <c r="H1128" t="s">
        <v>10</v>
      </c>
      <c r="I1128">
        <f>VLOOKUP(Table4[[#This Row],[Visitor]],'NHL Model'!$A$6:$B$38,2,FALSE)</f>
        <v>0.26494263732175571</v>
      </c>
      <c r="J1128">
        <f>($B$1+Table4[[#This Row],[Home Differential]])-Table4[[#This Row],[Away Differential]]</f>
        <v>-0.16957178343800378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0.50507399561948196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-0.5365514628281316</v>
      </c>
      <c r="H1129" t="s">
        <v>28</v>
      </c>
      <c r="I1129">
        <f>VLOOKUP(Table4[[#This Row],[Visitor]],'NHL Model'!$A$6:$B$38,2,FALSE)</f>
        <v>-0.4068113735564976</v>
      </c>
      <c r="J1129">
        <f>($B$1+Table4[[#This Row],[Home Differential]])-Table4[[#This Row],[Away Differential]]</f>
        <v>4.8558104383229328E-2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0.52869897531392684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0.24618288254564977</v>
      </c>
      <c r="H1130" t="s">
        <v>12</v>
      </c>
      <c r="I1130">
        <f>VLOOKUP(Table4[[#This Row],[Visitor]],'NHL Model'!$A$6:$B$38,2,FALSE)</f>
        <v>1.5385519346678582</v>
      </c>
      <c r="J1130">
        <f>($B$1+Table4[[#This Row],[Home Differential]])-Table4[[#This Row],[Away Differential]]</f>
        <v>-1.1140708584673451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0.64947596473228875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-1.6560580871558699</v>
      </c>
      <c r="H1131" t="s">
        <v>22</v>
      </c>
      <c r="I1131">
        <f>VLOOKUP(Table4[[#This Row],[Visitor]],'NHL Model'!$A$6:$B$38,2,FALSE)</f>
        <v>-2.6005603564376825E-2</v>
      </c>
      <c r="J1131">
        <f>($B$1+Table4[[#This Row],[Home Differential]])-Table4[[#This Row],[Away Differential]]</f>
        <v>-1.4517542899366298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0.66808029450343909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-0.12437377019828177</v>
      </c>
      <c r="H1132" t="s">
        <v>34</v>
      </c>
      <c r="I1132">
        <f>VLOOKUP(Table4[[#This Row],[Visitor]],'NHL Model'!$A$6:$B$38,2,FALSE)</f>
        <v>-0.55929037526767655</v>
      </c>
      <c r="J1132">
        <f>($B$1+Table4[[#This Row],[Home Differential]])-Table4[[#This Row],[Away Differential]]</f>
        <v>0.6132147987242581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0.62789222583801041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-0.14078840027135531</v>
      </c>
      <c r="H1133" t="s">
        <v>17</v>
      </c>
      <c r="I1133">
        <f>VLOOKUP(Table4[[#This Row],[Visitor]],'NHL Model'!$A$6:$B$38,2,FALSE)</f>
        <v>-0.83182649756544103</v>
      </c>
      <c r="J1133">
        <f>($B$1+Table4[[#This Row],[Home Differential]])-Table4[[#This Row],[Away Differential]]</f>
        <v>0.86933629094894904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0.73287468752424201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-0.83680023888172561</v>
      </c>
      <c r="H1134" t="s">
        <v>31</v>
      </c>
      <c r="I1134">
        <f>VLOOKUP(Table4[[#This Row],[Visitor]],'NHL Model'!$A$6:$B$38,2,FALSE)</f>
        <v>0.5301060565842276</v>
      </c>
      <c r="J1134">
        <f>($B$1+Table4[[#This Row],[Home Differential]])-Table4[[#This Row],[Away Differential]]</f>
        <v>-1.1886081018110899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0.65113271830183606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7.2067135963786652E-2</v>
      </c>
      <c r="H1135" t="s">
        <v>20</v>
      </c>
      <c r="I1135">
        <f>VLOOKUP(Table4[[#This Row],[Visitor]],'NHL Model'!$A$6:$B$38,2,FALSE)</f>
        <v>-6.1930983208684394E-4</v>
      </c>
      <c r="J1135">
        <f>($B$1+Table4[[#This Row],[Home Differential]])-Table4[[#This Row],[Away Differential]]</f>
        <v>0.25098463945073685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0.59152924480501423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-0.67384018791748512</v>
      </c>
      <c r="H1136" t="s">
        <v>21</v>
      </c>
      <c r="I1136">
        <f>VLOOKUP(Table4[[#This Row],[Visitor]],'NHL Model'!$A$6:$B$38,2,FALSE)</f>
        <v>-1.6459316139111148E-2</v>
      </c>
      <c r="J1136">
        <f>($B$1+Table4[[#This Row],[Home Differential]])-Table4[[#This Row],[Away Differential]]</f>
        <v>-0.47908267812351063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0.52617155725386666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-0.64312007588488018</v>
      </c>
      <c r="H1137" t="s">
        <v>15</v>
      </c>
      <c r="I1137">
        <f>VLOOKUP(Table4[[#This Row],[Visitor]],'NHL Model'!$A$6:$B$38,2,FALSE)</f>
        <v>-0.33401712526814992</v>
      </c>
      <c r="J1137">
        <f>($B$1+Table4[[#This Row],[Home Differential]])-Table4[[#This Row],[Away Differential]]</f>
        <v>-0.13080475696186694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0.62115791609659909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-1.429228083243411</v>
      </c>
      <c r="H1138" t="s">
        <v>31</v>
      </c>
      <c r="I1138">
        <f>VLOOKUP(Table4[[#This Row],[Visitor]],'NHL Model'!$A$6:$B$38,2,FALSE)</f>
        <v>0.5301060565842276</v>
      </c>
      <c r="J1138">
        <f>($B$1+Table4[[#This Row],[Home Differential]])-Table4[[#This Row],[Away Differential]]</f>
        <v>-1.7810359461727754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0.73604554492912855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-0.16385680125706742</v>
      </c>
      <c r="H1139" t="s">
        <v>34</v>
      </c>
      <c r="I1139">
        <f>VLOOKUP(Table4[[#This Row],[Visitor]],'NHL Model'!$A$6:$B$38,2,FALSE)</f>
        <v>-0.55929037526767655</v>
      </c>
      <c r="J1139">
        <f>($B$1+Table4[[#This Row],[Home Differential]])-Table4[[#This Row],[Away Differential]]</f>
        <v>0.57373176766547251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0.68568138928171063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-0.59444373833461905</v>
      </c>
      <c r="H1140" t="s">
        <v>28</v>
      </c>
      <c r="I1140">
        <f>VLOOKUP(Table4[[#This Row],[Visitor]],'NHL Model'!$A$6:$B$38,2,FALSE)</f>
        <v>-0.4068113735564976</v>
      </c>
      <c r="J1140">
        <f>($B$1+Table4[[#This Row],[Home Differential]])-Table4[[#This Row],[Away Differential]]</f>
        <v>-9.3341711232581281E-3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0.4821070997803551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-1.3905198871921312</v>
      </c>
      <c r="H1141" t="s">
        <v>24</v>
      </c>
      <c r="I1141">
        <f>VLOOKUP(Table4[[#This Row],[Visitor]],'NHL Model'!$A$6:$B$38,2,FALSE)</f>
        <v>0.54693303419816819</v>
      </c>
      <c r="J1141">
        <f>($B$1+Table4[[#This Row],[Home Differential]])-Table4[[#This Row],[Away Differential]]</f>
        <v>-1.759154727735436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0.77845586328761096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-8.2927339771111427E-2</v>
      </c>
      <c r="H1142" t="s">
        <v>39</v>
      </c>
      <c r="I1142">
        <f>VLOOKUP(Table4[[#This Row],[Visitor]],'NHL Model'!$A$6:$B$38,2,FALSE)</f>
        <v>0.16990542827764471</v>
      </c>
      <c r="J1142">
        <f>($B$1+Table4[[#This Row],[Home Differential]])-Table4[[#This Row],[Away Differential]]</f>
        <v>-7.4534574393892786E-2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0.56316924647173761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-0.4314038989751332</v>
      </c>
      <c r="H1143" t="s">
        <v>14</v>
      </c>
      <c r="I1143">
        <f>VLOOKUP(Table4[[#This Row],[Visitor]],'NHL Model'!$A$6:$B$38,2,FALSE)</f>
        <v>0.24618288254564977</v>
      </c>
      <c r="J1143">
        <f>($B$1+Table4[[#This Row],[Home Differential]])-Table4[[#This Row],[Away Differential]]</f>
        <v>-0.49928858786591968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0.52906767519824272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-0.5365514628281316</v>
      </c>
      <c r="H1144" t="s">
        <v>10</v>
      </c>
      <c r="I1144">
        <f>VLOOKUP(Table4[[#This Row],[Visitor]],'NHL Model'!$A$6:$B$38,2,FALSE)</f>
        <v>0.26494263732175571</v>
      </c>
      <c r="J1144">
        <f>($B$1+Table4[[#This Row],[Home Differential]])-Table4[[#This Row],[Away Differential]]</f>
        <v>-0.62319590649502399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0.56758369000095565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-1.6560580871558699</v>
      </c>
      <c r="H1145" t="s">
        <v>33</v>
      </c>
      <c r="I1145">
        <f>VLOOKUP(Table4[[#This Row],[Visitor]],'NHL Model'!$A$6:$B$38,2,FALSE)</f>
        <v>-0.40334472409778083</v>
      </c>
      <c r="J1145">
        <f>($B$1+Table4[[#This Row],[Home Differential]])-Table4[[#This Row],[Away Differential]]</f>
        <v>-1.0744151694032258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0.61399618683279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-0.12437377019828177</v>
      </c>
      <c r="H1146" t="s">
        <v>32</v>
      </c>
      <c r="I1146">
        <f>VLOOKUP(Table4[[#This Row],[Visitor]],'NHL Model'!$A$6:$B$38,2,FALSE)</f>
        <v>-0.39497219926686861</v>
      </c>
      <c r="J1146">
        <f>($B$1+Table4[[#This Row],[Home Differential]])-Table4[[#This Row],[Away Differential]]</f>
        <v>0.44889662272345021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0.60434046181600887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-0.14078840027135531</v>
      </c>
      <c r="H1147" t="s">
        <v>22</v>
      </c>
      <c r="I1147">
        <f>VLOOKUP(Table4[[#This Row],[Visitor]],'NHL Model'!$A$6:$B$38,2,FALSE)</f>
        <v>-2.6005603564376825E-2</v>
      </c>
      <c r="J1147">
        <f>($B$1+Table4[[#This Row],[Home Differential]])-Table4[[#This Row],[Away Differential]]</f>
        <v>6.351539694788487E-2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0.61737618333309197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-0.83680023888172561</v>
      </c>
      <c r="H1148" t="s">
        <v>13</v>
      </c>
      <c r="I1148">
        <f>VLOOKUP(Table4[[#This Row],[Visitor]],'NHL Model'!$A$6:$B$38,2,FALSE)</f>
        <v>-0.12133880872417692</v>
      </c>
      <c r="J1148">
        <f>($B$1+Table4[[#This Row],[Home Differential]])-Table4[[#This Row],[Away Differential]]</f>
        <v>-0.53716323650268538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0.63878948978727468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-6.1930983208684394E-4</v>
      </c>
      <c r="H1149" t="s">
        <v>17</v>
      </c>
      <c r="I1149">
        <f>VLOOKUP(Table4[[#This Row],[Visitor]],'NHL Model'!$A$6:$B$38,2,FALSE)</f>
        <v>-0.83182649756544103</v>
      </c>
      <c r="J1149">
        <f>($B$1+Table4[[#This Row],[Home Differential]])-Table4[[#This Row],[Away Differential]]</f>
        <v>1.0095053813882175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0.68469265117255906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7.2067135963786652E-2</v>
      </c>
      <c r="H1150" t="s">
        <v>12</v>
      </c>
      <c r="I1150">
        <f>VLOOKUP(Table4[[#This Row],[Visitor]],'NHL Model'!$A$6:$B$38,2,FALSE)</f>
        <v>1.5385519346678582</v>
      </c>
      <c r="J1150">
        <f>($B$1+Table4[[#This Row],[Home Differential]])-Table4[[#This Row],[Away Differential]]</f>
        <v>-1.2881866050492081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0.67443201692209953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-0.67384018791748512</v>
      </c>
      <c r="H1151" t="s">
        <v>26</v>
      </c>
      <c r="I1151">
        <f>VLOOKUP(Table4[[#This Row],[Visitor]],'NHL Model'!$A$6:$B$38,2,FALSE)</f>
        <v>-0.51526168477192669</v>
      </c>
      <c r="J1151">
        <f>($B$1+Table4[[#This Row],[Home Differential]])-Table4[[#This Row],[Away Differential]]</f>
        <v>1.9719690509304888E-2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0.4982392720604587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-0.33401712526814992</v>
      </c>
      <c r="H1152" t="s">
        <v>10</v>
      </c>
      <c r="I1152">
        <f>VLOOKUP(Table4[[#This Row],[Visitor]],'NHL Model'!$A$6:$B$38,2,FALSE)</f>
        <v>0.26494263732175571</v>
      </c>
      <c r="J1152">
        <f>($B$1+Table4[[#This Row],[Home Differential]])-Table4[[#This Row],[Away Differential]]</f>
        <v>-0.42066156893504225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0.54106275547726046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-1.6459316139111148E-2</v>
      </c>
      <c r="H1153" t="s">
        <v>34</v>
      </c>
      <c r="I1153">
        <f>VLOOKUP(Table4[[#This Row],[Visitor]],'NHL Model'!$A$6:$B$38,2,FALSE)</f>
        <v>-0.55929037526767655</v>
      </c>
      <c r="J1153">
        <f>($B$1+Table4[[#This Row],[Home Differential]])-Table4[[#This Row],[Away Differential]]</f>
        <v>0.72112925278342876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0.69507560704460691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-0.67384018791748512</v>
      </c>
      <c r="H1154" t="s">
        <v>32</v>
      </c>
      <c r="I1154">
        <f>VLOOKUP(Table4[[#This Row],[Visitor]],'NHL Model'!$A$6:$B$38,2,FALSE)</f>
        <v>-0.39497219926686861</v>
      </c>
      <c r="J1154">
        <f>($B$1+Table4[[#This Row],[Home Differential]])-Table4[[#This Row],[Away Differential]]</f>
        <v>-0.10056979499575319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0.47191921390586972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0.73055531763635684</v>
      </c>
      <c r="H1155" t="s">
        <v>24</v>
      </c>
      <c r="I1155">
        <f>VLOOKUP(Table4[[#This Row],[Visitor]],'NHL Model'!$A$6:$B$38,2,FALSE)</f>
        <v>0.54693303419816819</v>
      </c>
      <c r="J1155">
        <f>($B$1+Table4[[#This Row],[Home Differential]])-Table4[[#This Row],[Away Differential]]</f>
        <v>0.36192047709305197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0.57818993924019513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-0.4068113735564976</v>
      </c>
      <c r="H1156" t="s">
        <v>33</v>
      </c>
      <c r="I1156">
        <f>VLOOKUP(Table4[[#This Row],[Visitor]],'NHL Model'!$A$6:$B$38,2,FALSE)</f>
        <v>-0.40334472409778083</v>
      </c>
      <c r="J1156">
        <f>($B$1+Table4[[#This Row],[Home Differential]])-Table4[[#This Row],[Away Differential]]</f>
        <v>0.17483154419614658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0.5721045994954409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-1.429228083243411</v>
      </c>
      <c r="H1157" t="s">
        <v>38</v>
      </c>
      <c r="I1157">
        <f>VLOOKUP(Table4[[#This Row],[Visitor]],'NHL Model'!$A$6:$B$38,2,FALSE)</f>
        <v>-0.83680023888172561</v>
      </c>
      <c r="J1157">
        <f>($B$1+Table4[[#This Row],[Home Differential]])-Table4[[#This Row],[Away Differential]]</f>
        <v>-0.41412965070682206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0.54012653405327571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1.5385519346678582</v>
      </c>
      <c r="H1158" t="s">
        <v>40</v>
      </c>
      <c r="I1158">
        <f>VLOOKUP(Table4[[#This Row],[Visitor]],'NHL Model'!$A$6:$B$38,2,FALSE)</f>
        <v>7.2067135963786652E-2</v>
      </c>
      <c r="J1158">
        <f>($B$1+Table4[[#This Row],[Home Differential]])-Table4[[#This Row],[Away Differential]]</f>
        <v>1.644782992358935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0.80026327427350574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-0.51526168477192669</v>
      </c>
      <c r="H1159" t="s">
        <v>27</v>
      </c>
      <c r="I1159">
        <f>VLOOKUP(Table4[[#This Row],[Visitor]],'NHL Model'!$A$6:$B$38,2,FALSE)</f>
        <v>-0.5365514628281316</v>
      </c>
      <c r="J1159">
        <f>($B$1+Table4[[#This Row],[Home Differential]])-Table4[[#This Row],[Away Differential]]</f>
        <v>0.19958797171106823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0.59464472824499159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-0.83182649756544103</v>
      </c>
      <c r="H1160" t="s">
        <v>31</v>
      </c>
      <c r="I1160">
        <f>VLOOKUP(Table4[[#This Row],[Visitor]],'NHL Model'!$A$6:$B$38,2,FALSE)</f>
        <v>0.5301060565842276</v>
      </c>
      <c r="J1160">
        <f>($B$1+Table4[[#This Row],[Home Differential]])-Table4[[#This Row],[Away Differential]]</f>
        <v>-1.1836343604948052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0.61409504442779261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-0.12133880872417692</v>
      </c>
      <c r="H1161" t="s">
        <v>55</v>
      </c>
      <c r="I1161">
        <f>VLOOKUP(Table4[[#This Row],[Visitor]],'NHL Model'!$A$6:$B$38,2,FALSE)</f>
        <v>-0.14078840027135531</v>
      </c>
      <c r="J1161">
        <f>($B$1+Table4[[#This Row],[Home Differential]])-Table4[[#This Row],[Away Differential]]</f>
        <v>0.19774778520204173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0.56834323801725417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-1.3905198871921312</v>
      </c>
      <c r="H1162" t="s">
        <v>18</v>
      </c>
      <c r="I1162">
        <f>VLOOKUP(Table4[[#This Row],[Visitor]],'NHL Model'!$A$6:$B$38,2,FALSE)</f>
        <v>-0.59444373833461905</v>
      </c>
      <c r="J1162">
        <f>($B$1+Table4[[#This Row],[Home Differential]])-Table4[[#This Row],[Away Differential]]</f>
        <v>-0.61777795520264878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0.59564565564359406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-8.2927339771111427E-2</v>
      </c>
      <c r="H1163" t="s">
        <v>11</v>
      </c>
      <c r="I1163">
        <f>VLOOKUP(Table4[[#This Row],[Visitor]],'NHL Model'!$A$6:$B$38,2,FALSE)</f>
        <v>-0.16385680125706742</v>
      </c>
      <c r="J1163">
        <f>($B$1+Table4[[#This Row],[Home Differential]])-Table4[[#This Row],[Away Differential]]</f>
        <v>0.25922765514081936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0.5771551626876833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0.24618288254564977</v>
      </c>
      <c r="H1164" t="s">
        <v>39</v>
      </c>
      <c r="I1164">
        <f>VLOOKUP(Table4[[#This Row],[Visitor]],'NHL Model'!$A$6:$B$38,2,FALSE)</f>
        <v>0.16990542827764471</v>
      </c>
      <c r="J1164">
        <f>($B$1+Table4[[#This Row],[Home Differential]])-Table4[[#This Row],[Away Differential]]</f>
        <v>0.25457564792286841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0.52035935710671333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-1.6560580871558699</v>
      </c>
      <c r="H1165" t="s">
        <v>19</v>
      </c>
      <c r="I1165">
        <f>VLOOKUP(Table4[[#This Row],[Visitor]],'NHL Model'!$A$6:$B$38,2,FALSE)</f>
        <v>-0.64312007588488018</v>
      </c>
      <c r="J1165">
        <f>($B$1+Table4[[#This Row],[Home Differential]])-Table4[[#This Row],[Away Differential]]</f>
        <v>-0.83463981761612638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0.57962912750300277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-0.12437377019828177</v>
      </c>
      <c r="H1166" t="s">
        <v>36</v>
      </c>
      <c r="I1166">
        <f>VLOOKUP(Table4[[#This Row],[Visitor]],'NHL Model'!$A$6:$B$38,2,FALSE)</f>
        <v>-0.4314038989751332</v>
      </c>
      <c r="J1166">
        <f>($B$1+Table4[[#This Row],[Home Differential]])-Table4[[#This Row],[Away Differential]]</f>
        <v>0.48532832243171475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0.609562226171799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-6.1930983208684394E-4</v>
      </c>
      <c r="H1167" t="s">
        <v>22</v>
      </c>
      <c r="I1167">
        <f>VLOOKUP(Table4[[#This Row],[Visitor]],'NHL Model'!$A$6:$B$38,2,FALSE)</f>
        <v>-2.6005603564376825E-2</v>
      </c>
      <c r="J1167">
        <f>($B$1+Table4[[#This Row],[Home Differential]])-Table4[[#This Row],[Away Differential]]</f>
        <v>0.20368448738715333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0.56919414698140891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0.73055531763635684</v>
      </c>
      <c r="H1168" t="s">
        <v>18</v>
      </c>
      <c r="I1168">
        <f>VLOOKUP(Table4[[#This Row],[Visitor]],'NHL Model'!$A$6:$B$38,2,FALSE)</f>
        <v>-0.59444373833461905</v>
      </c>
      <c r="J1168">
        <f>($B$1+Table4[[#This Row],[Home Differential]])-Table4[[#This Row],[Away Differential]]</f>
        <v>1.5032972496258392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0.76092250487211932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-0.4068113735564976</v>
      </c>
      <c r="H1169" t="s">
        <v>21</v>
      </c>
      <c r="I1169">
        <f>VLOOKUP(Table4[[#This Row],[Visitor]],'NHL Model'!$A$6:$B$38,2,FALSE)</f>
        <v>-1.6459316139111148E-2</v>
      </c>
      <c r="J1169">
        <f>($B$1+Table4[[#This Row],[Home Differential]])-Table4[[#This Row],[Away Differential]]</f>
        <v>-0.21205386376252311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0.48334777986734873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0.54693303419816819</v>
      </c>
      <c r="H1170" t="s">
        <v>10</v>
      </c>
      <c r="I1170">
        <f>VLOOKUP(Table4[[#This Row],[Visitor]],'NHL Model'!$A$6:$B$38,2,FALSE)</f>
        <v>0.26494263732175571</v>
      </c>
      <c r="J1170">
        <f>($B$1+Table4[[#This Row],[Home Differential]])-Table4[[#This Row],[Away Differential]]</f>
        <v>0.4602885905312758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0.70233691168869261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-0.33401712526814992</v>
      </c>
      <c r="H1171" t="s">
        <v>11</v>
      </c>
      <c r="I1171">
        <f>VLOOKUP(Table4[[#This Row],[Visitor]],'NHL Model'!$A$6:$B$38,2,FALSE)</f>
        <v>-0.16385680125706742</v>
      </c>
      <c r="J1171">
        <f>($B$1+Table4[[#This Row],[Home Differential]])-Table4[[#This Row],[Away Differential]]</f>
        <v>8.137869643780854E-3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0.5411664028299048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-0.5365514628281316</v>
      </c>
      <c r="H1172" t="s">
        <v>39</v>
      </c>
      <c r="I1172">
        <f>VLOOKUP(Table4[[#This Row],[Visitor]],'NHL Model'!$A$6:$B$38,2,FALSE)</f>
        <v>0.16990542827764471</v>
      </c>
      <c r="J1172">
        <f>($B$1+Table4[[#This Row],[Home Differential]])-Table4[[#This Row],[Away Differential]]</f>
        <v>-0.52815869745091293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0.62570111421192076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-0.12437377019828177</v>
      </c>
      <c r="H1173" t="s">
        <v>29</v>
      </c>
      <c r="I1173">
        <f>VLOOKUP(Table4[[#This Row],[Visitor]],'NHL Model'!$A$6:$B$38,2,FALSE)</f>
        <v>-1.3905198871921312</v>
      </c>
      <c r="J1173">
        <f>($B$1+Table4[[#This Row],[Home Differential]])-Table4[[#This Row],[Away Differential]]</f>
        <v>1.4444443106487128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0.74703255339904728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0.5301060565842276</v>
      </c>
      <c r="H1174" t="s">
        <v>19</v>
      </c>
      <c r="I1174">
        <f>VLOOKUP(Table4[[#This Row],[Visitor]],'NHL Model'!$A$6:$B$38,2,FALSE)</f>
        <v>-0.64312007588488018</v>
      </c>
      <c r="J1174">
        <f>($B$1+Table4[[#This Row],[Home Differential]])-Table4[[#This Row],[Away Differential]]</f>
        <v>1.3515243261239711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0.84447352856806646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1.5385519346678582</v>
      </c>
      <c r="H1175" t="s">
        <v>16</v>
      </c>
      <c r="I1175">
        <f>VLOOKUP(Table4[[#This Row],[Visitor]],'NHL Model'!$A$6:$B$38,2,FALSE)</f>
        <v>-1.429228083243411</v>
      </c>
      <c r="J1175">
        <f>($B$1+Table4[[#This Row],[Home Differential]])-Table4[[#This Row],[Away Differential]]</f>
        <v>3.1460782115661328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-8.2927339771111427E-2</v>
      </c>
      <c r="H1176" t="s">
        <v>14</v>
      </c>
      <c r="I1176">
        <f>VLOOKUP(Table4[[#This Row],[Visitor]],'NHL Model'!$A$6:$B$38,2,FALSE)</f>
        <v>0.24618288254564977</v>
      </c>
      <c r="J1176">
        <f>($B$1+Table4[[#This Row],[Home Differential]])-Table4[[#This Row],[Away Differential]]</f>
        <v>-0.15081202866189786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0.4816159246479641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-0.40334472409778083</v>
      </c>
      <c r="H1177" t="s">
        <v>35</v>
      </c>
      <c r="I1177">
        <f>VLOOKUP(Table4[[#This Row],[Visitor]],'NHL Model'!$A$6:$B$38,2,FALSE)</f>
        <v>-1.6560580871558699</v>
      </c>
      <c r="J1177">
        <f>($B$1+Table4[[#This Row],[Home Differential]])-Table4[[#This Row],[Away Differential]]</f>
        <v>1.4310115567129524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0.74510723351928498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-6.1930983208684394E-4</v>
      </c>
      <c r="H1178" t="s">
        <v>38</v>
      </c>
      <c r="I1178">
        <f>VLOOKUP(Table4[[#This Row],[Visitor]],'NHL Model'!$A$6:$B$38,2,FALSE)</f>
        <v>-0.83680023888172561</v>
      </c>
      <c r="J1178">
        <f>($B$1+Table4[[#This Row],[Home Differential]])-Table4[[#This Row],[Away Differential]]</f>
        <v>1.014479122704502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0.66463630795258544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-1.6459316139111148E-2</v>
      </c>
      <c r="H1179" t="s">
        <v>39</v>
      </c>
      <c r="I1179">
        <f>VLOOKUP(Table4[[#This Row],[Visitor]],'NHL Model'!$A$6:$B$38,2,FALSE)</f>
        <v>0.16990542827764471</v>
      </c>
      <c r="J1179">
        <f>($B$1+Table4[[#This Row],[Home Differential]])-Table4[[#This Row],[Away Differential]]</f>
        <v>-8.0665507618924992E-3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0.5011561806772652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-0.67384018791748512</v>
      </c>
      <c r="H1180" t="s">
        <v>30</v>
      </c>
      <c r="I1180">
        <f>VLOOKUP(Table4[[#This Row],[Visitor]],'NHL Model'!$A$6:$B$38,2,FALSE)</f>
        <v>-8.2927339771111427E-2</v>
      </c>
      <c r="J1180">
        <f>($B$1+Table4[[#This Row],[Home Differential]])-Table4[[#This Row],[Away Differential]]</f>
        <v>-0.41261465449151036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0.55914015850903809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-0.4068113735564976</v>
      </c>
      <c r="H1181" t="s">
        <v>25</v>
      </c>
      <c r="I1181">
        <f>VLOOKUP(Table4[[#This Row],[Visitor]],'NHL Model'!$A$6:$B$38,2,FALSE)</f>
        <v>0.73055531763635684</v>
      </c>
      <c r="J1181">
        <f>($B$1+Table4[[#This Row],[Home Differential]])-Table4[[#This Row],[Away Differential]]</f>
        <v>-0.95906849753799106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0.69498564427051246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0.26494263732175571</v>
      </c>
      <c r="H1182" t="s">
        <v>40</v>
      </c>
      <c r="I1182">
        <f>VLOOKUP(Table4[[#This Row],[Visitor]],'NHL Model'!$A$6:$B$38,2,FALSE)</f>
        <v>7.2067135963786652E-2</v>
      </c>
      <c r="J1182">
        <f>($B$1+Table4[[#This Row],[Home Differential]])-Table4[[#This Row],[Away Differential]]</f>
        <v>0.37117369501283237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0.5268846262616611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-0.83182649756544103</v>
      </c>
      <c r="H1183" t="s">
        <v>32</v>
      </c>
      <c r="I1183">
        <f>VLOOKUP(Table4[[#This Row],[Visitor]],'NHL Model'!$A$6:$B$38,2,FALSE)</f>
        <v>-0.39497219926686861</v>
      </c>
      <c r="J1183">
        <f>($B$1+Table4[[#This Row],[Home Differential]])-Table4[[#This Row],[Away Differential]]</f>
        <v>-0.25855610464370909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0.46102204283259918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-0.16385680125706742</v>
      </c>
      <c r="H1184" t="s">
        <v>36</v>
      </c>
      <c r="I1184">
        <f>VLOOKUP(Table4[[#This Row],[Visitor]],'NHL Model'!$A$6:$B$38,2,FALSE)</f>
        <v>-0.4314038989751332</v>
      </c>
      <c r="J1184">
        <f>($B$1+Table4[[#This Row],[Home Differential]])-Table4[[#This Row],[Away Differential]]</f>
        <v>0.44584529137292916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0.66735138961549911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-0.33401712526814992</v>
      </c>
      <c r="H1185" t="s">
        <v>24</v>
      </c>
      <c r="I1185">
        <f>VLOOKUP(Table4[[#This Row],[Visitor]],'NHL Model'!$A$6:$B$38,2,FALSE)</f>
        <v>0.54693303419816819</v>
      </c>
      <c r="J1185">
        <f>($B$1+Table4[[#This Row],[Home Differential]])-Table4[[#This Row],[Away Differential]]</f>
        <v>-0.70265196581145473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0.62702706616352266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0.24618288254564977</v>
      </c>
      <c r="H1186" t="s">
        <v>26</v>
      </c>
      <c r="I1186">
        <f>VLOOKUP(Table4[[#This Row],[Visitor]],'NHL Model'!$A$6:$B$38,2,FALSE)</f>
        <v>-0.51526168477192669</v>
      </c>
      <c r="J1186">
        <f>($B$1+Table4[[#This Row],[Home Differential]])-Table4[[#This Row],[Away Differential]]</f>
        <v>0.93974276097243981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0.66410532257314081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-0.12437377019828177</v>
      </c>
      <c r="H1187" t="s">
        <v>18</v>
      </c>
      <c r="I1187">
        <f>VLOOKUP(Table4[[#This Row],[Visitor]],'NHL Model'!$A$6:$B$38,2,FALSE)</f>
        <v>-0.59444373833461905</v>
      </c>
      <c r="J1187">
        <f>($B$1+Table4[[#This Row],[Home Differential]])-Table4[[#This Row],[Away Differential]]</f>
        <v>0.6483681617912006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0.58583137441220579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-2.6005603564376825E-2</v>
      </c>
      <c r="H1188" t="s">
        <v>27</v>
      </c>
      <c r="I1188">
        <f>VLOOKUP(Table4[[#This Row],[Visitor]],'NHL Model'!$A$6:$B$38,2,FALSE)</f>
        <v>-0.5365514628281316</v>
      </c>
      <c r="J1188">
        <f>($B$1+Table4[[#This Row],[Home Differential]])-Table4[[#This Row],[Away Differential]]</f>
        <v>0.68884405291861817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0.63873218518576269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1.5385519346678582</v>
      </c>
      <c r="H1189" t="s">
        <v>38</v>
      </c>
      <c r="I1189">
        <f>VLOOKUP(Table4[[#This Row],[Visitor]],'NHL Model'!$A$6:$B$38,2,FALSE)</f>
        <v>-0.83680023888172561</v>
      </c>
      <c r="J1189">
        <f>($B$1+Table4[[#This Row],[Home Differential]])-Table4[[#This Row],[Away Differential]]</f>
        <v>2.553650367204447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0.97471097869994061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-0.12133880872417692</v>
      </c>
      <c r="H1190" t="s">
        <v>35</v>
      </c>
      <c r="I1190">
        <f>VLOOKUP(Table4[[#This Row],[Visitor]],'NHL Model'!$A$6:$B$38,2,FALSE)</f>
        <v>-1.6560580871558699</v>
      </c>
      <c r="J1190">
        <f>($B$1+Table4[[#This Row],[Home Differential]])-Table4[[#This Row],[Away Differential]]</f>
        <v>1.7130174720865563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0.78552720977106016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-0.40334472409778083</v>
      </c>
      <c r="H1191" t="s">
        <v>31</v>
      </c>
      <c r="I1191">
        <f>VLOOKUP(Table4[[#This Row],[Visitor]],'NHL Model'!$A$6:$B$38,2,FALSE)</f>
        <v>0.5301060565842276</v>
      </c>
      <c r="J1191">
        <f>($B$1+Table4[[#This Row],[Home Differential]])-Table4[[#This Row],[Away Differential]]</f>
        <v>-0.75515258702714505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0.58900543423207785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0.73055531763635684</v>
      </c>
      <c r="H1192" t="s">
        <v>28</v>
      </c>
      <c r="I1192">
        <f>VLOOKUP(Table4[[#This Row],[Visitor]],'NHL Model'!$A$6:$B$38,2,FALSE)</f>
        <v>-0.4068113735564976</v>
      </c>
      <c r="J1192">
        <f>($B$1+Table4[[#This Row],[Home Differential]])-Table4[[#This Row],[Away Differential]]</f>
        <v>1.3156648848477177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0.76000313849177359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0.16990542827764471</v>
      </c>
      <c r="H1193" t="s">
        <v>40</v>
      </c>
      <c r="I1193">
        <f>VLOOKUP(Table4[[#This Row],[Visitor]],'NHL Model'!$A$6:$B$38,2,FALSE)</f>
        <v>7.2067135963786652E-2</v>
      </c>
      <c r="J1193">
        <f>($B$1+Table4[[#This Row],[Home Differential]])-Table4[[#This Row],[Away Differential]]</f>
        <v>0.27613648596872142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0.53957870951152787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-0.83182649756544103</v>
      </c>
      <c r="H1194" t="s">
        <v>10</v>
      </c>
      <c r="I1194">
        <f>VLOOKUP(Table4[[#This Row],[Visitor]],'NHL Model'!$A$6:$B$38,2,FALSE)</f>
        <v>0.26494263732175571</v>
      </c>
      <c r="J1194">
        <f>($B$1+Table4[[#This Row],[Home Differential]])-Table4[[#This Row],[Away Differential]]</f>
        <v>-0.91847094123233342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0.57608910722881768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-0.16385680125706742</v>
      </c>
      <c r="H1195" t="s">
        <v>21</v>
      </c>
      <c r="I1195">
        <f>VLOOKUP(Table4[[#This Row],[Visitor]],'NHL Model'!$A$6:$B$38,2,FALSE)</f>
        <v>-1.6459316139111148E-2</v>
      </c>
      <c r="J1195">
        <f>($B$1+Table4[[#This Row],[Home Differential]])-Table4[[#This Row],[Away Differential]]</f>
        <v>3.090070853690708E-2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0.60787728191171198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-0.12133880872417692</v>
      </c>
      <c r="H1196" t="s">
        <v>29</v>
      </c>
      <c r="I1196">
        <f>VLOOKUP(Table4[[#This Row],[Visitor]],'NHL Model'!$A$6:$B$38,2,FALSE)</f>
        <v>-1.3905198871921312</v>
      </c>
      <c r="J1196">
        <f>($B$1+Table4[[#This Row],[Home Differential]])-Table4[[#This Row],[Away Differential]]</f>
        <v>1.4474792721228176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0.74746755516326857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-0.55929037526767655</v>
      </c>
      <c r="H1197" t="s">
        <v>38</v>
      </c>
      <c r="I1197">
        <f>VLOOKUP(Table4[[#This Row],[Visitor]],'NHL Model'!$A$6:$B$38,2,FALSE)</f>
        <v>-0.83680023888172561</v>
      </c>
      <c r="J1197">
        <f>($B$1+Table4[[#This Row],[Home Differential]])-Table4[[#This Row],[Away Differential]]</f>
        <v>0.45580805726891238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0.5845618486365658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0.54693303419816819</v>
      </c>
      <c r="H1198" t="s">
        <v>22</v>
      </c>
      <c r="I1198">
        <f>VLOOKUP(Table4[[#This Row],[Visitor]],'NHL Model'!$A$6:$B$38,2,FALSE)</f>
        <v>-2.6005603564376825E-2</v>
      </c>
      <c r="J1198">
        <f>($B$1+Table4[[#This Row],[Home Differential]])-Table4[[#This Row],[Away Differential]]</f>
        <v>0.75123683141740838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0.7631056688720137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-0.33401712526814992</v>
      </c>
      <c r="H1199" t="s">
        <v>18</v>
      </c>
      <c r="I1199">
        <f>VLOOKUP(Table4[[#This Row],[Visitor]],'NHL Model'!$A$6:$B$38,2,FALSE)</f>
        <v>-0.59444373833461905</v>
      </c>
      <c r="J1199">
        <f>($B$1+Table4[[#This Row],[Home Differential]])-Table4[[#This Row],[Away Differential]]</f>
        <v>0.43872480672133252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0.55578314148049435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-0.4314038989751332</v>
      </c>
      <c r="H1200" t="s">
        <v>23</v>
      </c>
      <c r="I1200">
        <f>VLOOKUP(Table4[[#This Row],[Visitor]],'NHL Model'!$A$6:$B$38,2,FALSE)</f>
        <v>-0.67384018791748512</v>
      </c>
      <c r="J1200">
        <f>($B$1+Table4[[#This Row],[Home Differential]])-Table4[[#This Row],[Away Differential]]</f>
        <v>0.42073448259721524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0.60279945464525431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-0.5365514628281316</v>
      </c>
      <c r="H1201" t="s">
        <v>26</v>
      </c>
      <c r="I1201">
        <f>VLOOKUP(Table4[[#This Row],[Visitor]],'NHL Model'!$A$6:$B$38,2,FALSE)</f>
        <v>-0.51526168477192669</v>
      </c>
      <c r="J1201">
        <f>($B$1+Table4[[#This Row],[Home Differential]])-Table4[[#This Row],[Away Differential]]</f>
        <v>0.15700841559865841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0.51791689832725718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-0.39497219926686861</v>
      </c>
      <c r="H1202" t="s">
        <v>55</v>
      </c>
      <c r="I1202">
        <f>VLOOKUP(Table4[[#This Row],[Visitor]],'NHL Model'!$A$6:$B$38,2,FALSE)</f>
        <v>-0.14078840027135531</v>
      </c>
      <c r="J1202">
        <f>($B$1+Table4[[#This Row],[Home Differential]])-Table4[[#This Row],[Away Differential]]</f>
        <v>-7.5885605340649948E-2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0.44483896637067194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-0.40334472409778083</v>
      </c>
      <c r="H1203" t="s">
        <v>19</v>
      </c>
      <c r="I1203">
        <f>VLOOKUP(Table4[[#This Row],[Visitor]],'NHL Model'!$A$6:$B$38,2,FALSE)</f>
        <v>-0.64312007588488018</v>
      </c>
      <c r="J1203">
        <f>($B$1+Table4[[#This Row],[Home Differential]])-Table4[[#This Row],[Away Differential]]</f>
        <v>0.41807354544196274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0.59992258267303478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-0.12437377019828177</v>
      </c>
      <c r="H1204" t="s">
        <v>14</v>
      </c>
      <c r="I1204">
        <f>VLOOKUP(Table4[[#This Row],[Visitor]],'NHL Model'!$A$6:$B$38,2,FALSE)</f>
        <v>0.24618288254564977</v>
      </c>
      <c r="J1204">
        <f>($B$1+Table4[[#This Row],[Home Differential]])-Table4[[#This Row],[Away Differential]]</f>
        <v>-0.19225845908906819</v>
      </c>
      <c r="K1204" t="str">
        <f>IF(Table4[[#This Row],[HomeIce Differential]]&gt;0,Table4[[#This Row],[Home]],Table4[[#This Row],[Visitor]])</f>
        <v>Pittsburgh Penguins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0.48755645157403116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-6.1930983208684394E-4</v>
      </c>
      <c r="H1205" t="s">
        <v>16</v>
      </c>
      <c r="I1205">
        <f>VLOOKUP(Table4[[#This Row],[Visitor]],'NHL Model'!$A$6:$B$38,2,FALSE)</f>
        <v>-1.429228083243411</v>
      </c>
      <c r="J1205">
        <f>($B$1+Table4[[#This Row],[Home Differential]])-Table4[[#This Row],[Away Differential]]</f>
        <v>1.6069069670661875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0.77031836534910858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0.5301060565842276</v>
      </c>
      <c r="H1206" t="s">
        <v>35</v>
      </c>
      <c r="I1206">
        <f>VLOOKUP(Table4[[#This Row],[Visitor]],'NHL Model'!$A$6:$B$38,2,FALSE)</f>
        <v>-1.6560580871558699</v>
      </c>
      <c r="J1206">
        <f>($B$1+Table4[[#This Row],[Home Differential]])-Table4[[#This Row],[Away Differential]]</f>
        <v>2.3644623373949609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0.98965817941431666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-8.2927339771111427E-2</v>
      </c>
      <c r="H1207" t="s">
        <v>27</v>
      </c>
      <c r="I1207">
        <f>VLOOKUP(Table4[[#This Row],[Visitor]],'NHL Model'!$A$6:$B$38,2,FALSE)</f>
        <v>-0.5365514628281316</v>
      </c>
      <c r="J1207">
        <f>($B$1+Table4[[#This Row],[Home Differential]])-Table4[[#This Row],[Away Differential]]</f>
        <v>0.63192231671188348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0.63057357892873456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0.5301060565842276</v>
      </c>
      <c r="H1208" t="s">
        <v>16</v>
      </c>
      <c r="I1208">
        <f>VLOOKUP(Table4[[#This Row],[Visitor]],'NHL Model'!$A$6:$B$38,2,FALSE)</f>
        <v>-1.429228083243411</v>
      </c>
      <c r="J1208">
        <f>($B$1+Table4[[#This Row],[Home Differential]])-Table4[[#This Row],[Away Differential]]</f>
        <v>2.137632333482502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0.95714657993532981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0.73055531763635684</v>
      </c>
      <c r="H1209" t="s">
        <v>30</v>
      </c>
      <c r="I1209">
        <f>VLOOKUP(Table4[[#This Row],[Visitor]],'NHL Model'!$A$6:$B$38,2,FALSE)</f>
        <v>-8.2927339771111427E-2</v>
      </c>
      <c r="J1209">
        <f>($B$1+Table4[[#This Row],[Home Differential]])-Table4[[#This Row],[Away Differential]]</f>
        <v>0.9917808510623316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0.69215218994181837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-0.4068113735564976</v>
      </c>
      <c r="H1210" t="s">
        <v>40</v>
      </c>
      <c r="I1210">
        <f>VLOOKUP(Table4[[#This Row],[Visitor]],'NHL Model'!$A$6:$B$38,2,FALSE)</f>
        <v>7.2067135963786652E-2</v>
      </c>
      <c r="J1210">
        <f>($B$1+Table4[[#This Row],[Home Differential]])-Table4[[#This Row],[Away Differential]]</f>
        <v>-0.30058031586542089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0.56231301881030638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0.16990542827764471</v>
      </c>
      <c r="H1211" t="s">
        <v>12</v>
      </c>
      <c r="I1211">
        <f>VLOOKUP(Table4[[#This Row],[Visitor]],'NHL Model'!$A$6:$B$38,2,FALSE)</f>
        <v>1.5385519346678582</v>
      </c>
      <c r="J1211">
        <f>($B$1+Table4[[#This Row],[Home Differential]])-Table4[[#This Row],[Away Differential]]</f>
        <v>-1.1903483127353502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0.67061291238647225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-0.83182649756544103</v>
      </c>
      <c r="H1212" t="s">
        <v>20</v>
      </c>
      <c r="I1212">
        <f>VLOOKUP(Table4[[#This Row],[Visitor]],'NHL Model'!$A$6:$B$38,2,FALSE)</f>
        <v>-6.1930983208684394E-4</v>
      </c>
      <c r="J1212">
        <f>($B$1+Table4[[#This Row],[Home Differential]])-Table4[[#This Row],[Away Differential]]</f>
        <v>-0.6529089940784909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0.53802604893050854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-0.12133880872417692</v>
      </c>
      <c r="H1213" t="s">
        <v>19</v>
      </c>
      <c r="I1213">
        <f>VLOOKUP(Table4[[#This Row],[Visitor]],'NHL Model'!$A$6:$B$38,2,FALSE)</f>
        <v>-0.64312007588488018</v>
      </c>
      <c r="J1213">
        <f>($B$1+Table4[[#This Row],[Home Differential]])-Table4[[#This Row],[Away Differential]]</f>
        <v>0.7000794608155666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0.64034255892480996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0.54693303419816819</v>
      </c>
      <c r="H1214" t="s">
        <v>18</v>
      </c>
      <c r="I1214">
        <f>VLOOKUP(Table4[[#This Row],[Visitor]],'NHL Model'!$A$6:$B$38,2,FALSE)</f>
        <v>-0.59444373833461905</v>
      </c>
      <c r="J1214">
        <f>($B$1+Table4[[#This Row],[Home Differential]])-Table4[[#This Row],[Away Differential]]</f>
        <v>1.3196749661876506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0.80079981843120362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-0.33401712526814992</v>
      </c>
      <c r="H1215" t="s">
        <v>26</v>
      </c>
      <c r="I1215">
        <f>VLOOKUP(Table4[[#This Row],[Visitor]],'NHL Model'!$A$6:$B$38,2,FALSE)</f>
        <v>-0.51526168477192669</v>
      </c>
      <c r="J1215">
        <f>($B$1+Table4[[#This Row],[Home Differential]])-Table4[[#This Row],[Away Differential]]</f>
        <v>0.35954275315864015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0.54443395853753818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-0.4314038989751332</v>
      </c>
      <c r="H1216" t="s">
        <v>34</v>
      </c>
      <c r="I1216">
        <f>VLOOKUP(Table4[[#This Row],[Visitor]],'NHL Model'!$A$6:$B$38,2,FALSE)</f>
        <v>-0.55929037526767655</v>
      </c>
      <c r="J1216">
        <f>($B$1+Table4[[#This Row],[Home Differential]])-Table4[[#This Row],[Away Differential]]</f>
        <v>0.30618466994740667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0.58638100221379885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0.24618288254564977</v>
      </c>
      <c r="H1217" t="s">
        <v>11</v>
      </c>
      <c r="I1217">
        <f>VLOOKUP(Table4[[#This Row],[Visitor]],'NHL Model'!$A$6:$B$38,2,FALSE)</f>
        <v>-0.16385680125706742</v>
      </c>
      <c r="J1217">
        <f>($B$1+Table4[[#This Row],[Home Differential]])-Table4[[#This Row],[Away Differential]]</f>
        <v>0.58833787745758048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0.66036347703834186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-0.39497219926686861</v>
      </c>
      <c r="H1218" t="s">
        <v>10</v>
      </c>
      <c r="I1218">
        <f>VLOOKUP(Table4[[#This Row],[Visitor]],'NHL Model'!$A$6:$B$38,2,FALSE)</f>
        <v>0.26494263732175571</v>
      </c>
      <c r="J1218">
        <f>($B$1+Table4[[#This Row],[Home Differential]])-Table4[[#This Row],[Away Differential]]</f>
        <v>-0.48161664293376094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0.52357568479453409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-0.40334472409778083</v>
      </c>
      <c r="H1219" t="s">
        <v>29</v>
      </c>
      <c r="I1219">
        <f>VLOOKUP(Table4[[#This Row],[Visitor]],'NHL Model'!$A$6:$B$38,2,FALSE)</f>
        <v>-1.3905198871921312</v>
      </c>
      <c r="J1219">
        <f>($B$1+Table4[[#This Row],[Home Differential]])-Table4[[#This Row],[Away Differential]]</f>
        <v>1.1654733567492137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0.70704757891149339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-0.12437377019828177</v>
      </c>
      <c r="H1220" t="s">
        <v>21</v>
      </c>
      <c r="I1220">
        <f>VLOOKUP(Table4[[#This Row],[Visitor]],'NHL Model'!$A$6:$B$38,2,FALSE)</f>
        <v>-1.6459316139111148E-2</v>
      </c>
      <c r="J1220">
        <f>($B$1+Table4[[#This Row],[Home Differential]])-Table4[[#This Row],[Away Differential]]</f>
        <v>7.0383739595692718E-2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0.55008811846801187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-0.83680023888172561</v>
      </c>
      <c r="H1221" t="s">
        <v>55</v>
      </c>
      <c r="I1221">
        <f>VLOOKUP(Table4[[#This Row],[Visitor]],'NHL Model'!$A$6:$B$38,2,FALSE)</f>
        <v>-0.14078840027135531</v>
      </c>
      <c r="J1221">
        <f>($B$1+Table4[[#This Row],[Home Differential]])-Table4[[#This Row],[Away Differential]]</f>
        <v>-0.51771364495550698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0.53420402230427932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-2.6005603564376825E-2</v>
      </c>
      <c r="H1222" t="s">
        <v>23</v>
      </c>
      <c r="I1222">
        <f>VLOOKUP(Table4[[#This Row],[Visitor]],'NHL Model'!$A$6:$B$38,2,FALSE)</f>
        <v>-0.67384018791748512</v>
      </c>
      <c r="J1222">
        <f>($B$1+Table4[[#This Row],[Home Differential]])-Table4[[#This Row],[Away Differential]]</f>
        <v>0.82613277800797169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0.65840981145256117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1.5385519346678582</v>
      </c>
      <c r="H1223" t="s">
        <v>35</v>
      </c>
      <c r="I1223">
        <f>VLOOKUP(Table4[[#This Row],[Visitor]],'NHL Model'!$A$6:$B$38,2,FALSE)</f>
        <v>-1.6560580871558699</v>
      </c>
      <c r="J1223">
        <f>($B$1+Table4[[#This Row],[Home Differential]])-Table4[[#This Row],[Away Differential]]</f>
        <v>3.3729082154785912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-0.51526168477192669</v>
      </c>
      <c r="H1224" t="s">
        <v>34</v>
      </c>
      <c r="I1224">
        <f>VLOOKUP(Table4[[#This Row],[Visitor]],'NHL Model'!$A$6:$B$38,2,FALSE)</f>
        <v>-0.55929037526767655</v>
      </c>
      <c r="J1224">
        <f>($B$1+Table4[[#This Row],[Home Differential]])-Table4[[#This Row],[Away Differential]]</f>
        <v>0.22232688415061319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0.59790390208033461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-0.59444373833461905</v>
      </c>
      <c r="H1225" t="s">
        <v>24</v>
      </c>
      <c r="I1225">
        <f>VLOOKUP(Table4[[#This Row],[Visitor]],'NHL Model'!$A$6:$B$38,2,FALSE)</f>
        <v>0.54693303419816819</v>
      </c>
      <c r="J1225">
        <f>($B$1+Table4[[#This Row],[Home Differential]])-Table4[[#This Row],[Away Differential]]</f>
        <v>-0.96307857887792392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0.66435407578149974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-0.33401712526814992</v>
      </c>
      <c r="H1226" t="s">
        <v>22</v>
      </c>
      <c r="I1226">
        <f>VLOOKUP(Table4[[#This Row],[Visitor]],'NHL Model'!$A$6:$B$38,2,FALSE)</f>
        <v>-2.6005603564376825E-2</v>
      </c>
      <c r="J1226">
        <f>($B$1+Table4[[#This Row],[Home Differential]])-Table4[[#This Row],[Away Differential]]</f>
        <v>-0.12971332804890973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0.47859184277155919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-0.4314038989751332</v>
      </c>
      <c r="H1227" t="s">
        <v>25</v>
      </c>
      <c r="I1227">
        <f>VLOOKUP(Table4[[#This Row],[Visitor]],'NHL Model'!$A$6:$B$38,2,FALSE)</f>
        <v>0.73055531763635684</v>
      </c>
      <c r="J1227">
        <f>($B$1+Table4[[#This Row],[Home Differential]])-Table4[[#This Row],[Away Differential]]</f>
        <v>-0.98366102295662672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0.70303216863037998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-0.5365514628281316</v>
      </c>
      <c r="H1228" t="s">
        <v>21</v>
      </c>
      <c r="I1228">
        <f>VLOOKUP(Table4[[#This Row],[Visitor]],'NHL Model'!$A$6:$B$38,2,FALSE)</f>
        <v>-1.6459316139111148E-2</v>
      </c>
      <c r="J1228">
        <f>($B$1+Table4[[#This Row],[Home Differential]])-Table4[[#This Row],[Away Differential]]</f>
        <v>-0.34179395303415711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0.50649393098706819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0.24618288254564977</v>
      </c>
      <c r="H1229" t="s">
        <v>11</v>
      </c>
      <c r="I1229">
        <f>VLOOKUP(Table4[[#This Row],[Visitor]],'NHL Model'!$A$6:$B$38,2,FALSE)</f>
        <v>-0.16385680125706742</v>
      </c>
      <c r="J1229">
        <f>($B$1+Table4[[#This Row],[Home Differential]])-Table4[[#This Row],[Away Differential]]</f>
        <v>0.58833787745758048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0.66036347703834186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-0.67384018791748512</v>
      </c>
      <c r="H1230" t="s">
        <v>37</v>
      </c>
      <c r="I1230">
        <f>VLOOKUP(Table4[[#This Row],[Visitor]],'NHL Model'!$A$6:$B$38,2,FALSE)</f>
        <v>-0.12437377019828177</v>
      </c>
      <c r="J1230">
        <f>($B$1+Table4[[#This Row],[Home Differential]])-Table4[[#This Row],[Away Differential]]</f>
        <v>-0.37116822406434002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0.55778678754627387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-0.12133880872417692</v>
      </c>
      <c r="H1231" t="s">
        <v>29</v>
      </c>
      <c r="I1231">
        <f>VLOOKUP(Table4[[#This Row],[Visitor]],'NHL Model'!$A$6:$B$38,2,FALSE)</f>
        <v>-1.3905198871921312</v>
      </c>
      <c r="J1231">
        <f>($B$1+Table4[[#This Row],[Home Differential]])-Table4[[#This Row],[Away Differential]]</f>
        <v>1.4474792721228176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0.74746755516326857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-0.40334472409778083</v>
      </c>
      <c r="H1232" t="s">
        <v>10</v>
      </c>
      <c r="I1232">
        <f>VLOOKUP(Table4[[#This Row],[Visitor]],'NHL Model'!$A$6:$B$38,2,FALSE)</f>
        <v>0.26494263732175571</v>
      </c>
      <c r="J1232">
        <f>($B$1+Table4[[#This Row],[Home Differential]])-Table4[[#This Row],[Away Differential]]</f>
        <v>-0.48998916776467316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0.55099949703310291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7.2067135963786652E-2</v>
      </c>
      <c r="H1233" t="s">
        <v>32</v>
      </c>
      <c r="I1233">
        <f>VLOOKUP(Table4[[#This Row],[Visitor]],'NHL Model'!$A$6:$B$38,2,FALSE)</f>
        <v>-0.39497219926686861</v>
      </c>
      <c r="J1233">
        <f>($B$1+Table4[[#This Row],[Home Differential]])-Table4[[#This Row],[Away Differential]]</f>
        <v>0.64533752888551854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0.6685332509029237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0.5301060565842276</v>
      </c>
      <c r="H1234" t="s">
        <v>29</v>
      </c>
      <c r="I1234">
        <f>VLOOKUP(Table4[[#This Row],[Visitor]],'NHL Model'!$A$6:$B$38,2,FALSE)</f>
        <v>-1.3905198871921312</v>
      </c>
      <c r="J1234">
        <f>($B$1+Table4[[#This Row],[Home Differential]])-Table4[[#This Row],[Away Differential]]</f>
        <v>2.0989241374312222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0.95159852480652507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0.73055531763635684</v>
      </c>
      <c r="H1235" t="s">
        <v>21</v>
      </c>
      <c r="I1235">
        <f>VLOOKUP(Table4[[#This Row],[Visitor]],'NHL Model'!$A$6:$B$38,2,FALSE)</f>
        <v>-1.6459316139111148E-2</v>
      </c>
      <c r="J1235">
        <f>($B$1+Table4[[#This Row],[Home Differential]])-Table4[[#This Row],[Away Differential]]</f>
        <v>0.92531282743033128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0.72434128832401057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0.16990542827764471</v>
      </c>
      <c r="H1236" t="s">
        <v>16</v>
      </c>
      <c r="I1236">
        <f>VLOOKUP(Table4[[#This Row],[Visitor]],'NHL Model'!$A$6:$B$38,2,FALSE)</f>
        <v>-1.429228083243411</v>
      </c>
      <c r="J1236">
        <f>($B$1+Table4[[#This Row],[Home Differential]])-Table4[[#This Row],[Away Differential]]</f>
        <v>1.777431705175919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0.82079745327265674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-0.51526168477192669</v>
      </c>
      <c r="H1237" t="s">
        <v>28</v>
      </c>
      <c r="I1237">
        <f>VLOOKUP(Table4[[#This Row],[Visitor]],'NHL Model'!$A$6:$B$38,2,FALSE)</f>
        <v>-0.4068113735564976</v>
      </c>
      <c r="J1237">
        <f>($B$1+Table4[[#This Row],[Home Differential]])-Table4[[#This Row],[Away Differential]]</f>
        <v>6.9847882439434239E-2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0.55546585938637716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-0.55929037526767655</v>
      </c>
      <c r="H1238" t="s">
        <v>32</v>
      </c>
      <c r="I1238">
        <f>VLOOKUP(Table4[[#This Row],[Visitor]],'NHL Model'!$A$6:$B$38,2,FALSE)</f>
        <v>-0.39497219926686861</v>
      </c>
      <c r="J1238">
        <f>($B$1+Table4[[#This Row],[Home Differential]])-Table4[[#This Row],[Away Differential]]</f>
        <v>1.3980017654055377E-2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0.54200375932124589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-0.59444373833461905</v>
      </c>
      <c r="H1239" t="s">
        <v>11</v>
      </c>
      <c r="I1239">
        <f>VLOOKUP(Table4[[#This Row],[Visitor]],'NHL Model'!$A$6:$B$38,2,FALSE)</f>
        <v>-0.16385680125706742</v>
      </c>
      <c r="J1239">
        <f>($B$1+Table4[[#This Row],[Home Differential]])-Table4[[#This Row],[Away Differential]]</f>
        <v>-0.25228874342268831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0.49616060678807233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0.54693303419816819</v>
      </c>
      <c r="H1240" t="s">
        <v>27</v>
      </c>
      <c r="I1240">
        <f>VLOOKUP(Table4[[#This Row],[Visitor]],'NHL Model'!$A$6:$B$38,2,FALSE)</f>
        <v>-0.5365514628281316</v>
      </c>
      <c r="J1240">
        <f>($B$1+Table4[[#This Row],[Home Differential]])-Table4[[#This Row],[Away Differential]]</f>
        <v>1.2617826906811631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0.83628233071452884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-0.4314038989751332</v>
      </c>
      <c r="H1241" t="s">
        <v>37</v>
      </c>
      <c r="I1241">
        <f>VLOOKUP(Table4[[#This Row],[Visitor]],'NHL Model'!$A$6:$B$38,2,FALSE)</f>
        <v>-0.12437377019828177</v>
      </c>
      <c r="J1241">
        <f>($B$1+Table4[[#This Row],[Home Differential]])-Table4[[#This Row],[Away Differential]]</f>
        <v>-0.12873193512198811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0.52303833544860689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-1.6560580871558699</v>
      </c>
      <c r="H1242" t="s">
        <v>12</v>
      </c>
      <c r="I1242">
        <f>VLOOKUP(Table4[[#This Row],[Visitor]],'NHL Model'!$A$6:$B$38,2,FALSE)</f>
        <v>1.5385519346678582</v>
      </c>
      <c r="J1242">
        <f>($B$1+Table4[[#This Row],[Home Differential]])-Table4[[#This Row],[Away Differential]]</f>
        <v>-3.016311828168865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0.95864449541949615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-0.14078840027135531</v>
      </c>
      <c r="H1243" t="s">
        <v>17</v>
      </c>
      <c r="I1243">
        <f>VLOOKUP(Table4[[#This Row],[Visitor]],'NHL Model'!$A$6:$B$38,2,FALSE)</f>
        <v>-0.83182649756544103</v>
      </c>
      <c r="J1243">
        <f>($B$1+Table4[[#This Row],[Home Differential]])-Table4[[#This Row],[Away Differential]]</f>
        <v>0.86933629094894904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0.73287468752424201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-0.83680023888172561</v>
      </c>
      <c r="H1244" t="s">
        <v>20</v>
      </c>
      <c r="I1244">
        <f>VLOOKUP(Table4[[#This Row],[Visitor]],'NHL Model'!$A$6:$B$38,2,FALSE)</f>
        <v>-6.1930983208684394E-4</v>
      </c>
      <c r="J1244">
        <f>($B$1+Table4[[#This Row],[Home Differential]])-Table4[[#This Row],[Away Differential]]</f>
        <v>-0.65788273539477549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0.57506372280455198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-0.33401712526814992</v>
      </c>
      <c r="H1245" t="s">
        <v>23</v>
      </c>
      <c r="I1245">
        <f>VLOOKUP(Table4[[#This Row],[Visitor]],'NHL Model'!$A$6:$B$38,2,FALSE)</f>
        <v>-0.67384018791748512</v>
      </c>
      <c r="J1245">
        <f>($B$1+Table4[[#This Row],[Home Differential]])-Table4[[#This Row],[Away Differential]]</f>
        <v>0.51812125630419859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0.61426244533775454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-0.40334472409778083</v>
      </c>
      <c r="H1246" t="s">
        <v>17</v>
      </c>
      <c r="I1246">
        <f>VLOOKUP(Table4[[#This Row],[Visitor]],'NHL Model'!$A$6:$B$38,2,FALSE)</f>
        <v>-0.83182649756544103</v>
      </c>
      <c r="J1246">
        <f>($B$1+Table4[[#This Row],[Home Differential]])-Table4[[#This Row],[Away Differential]]</f>
        <v>0.60677996712252358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0.6269699198637485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-0.64312007588488018</v>
      </c>
      <c r="H1247" t="s">
        <v>22</v>
      </c>
      <c r="I1247">
        <f>VLOOKUP(Table4[[#This Row],[Visitor]],'NHL Model'!$A$6:$B$38,2,FALSE)</f>
        <v>-2.6005603564376825E-2</v>
      </c>
      <c r="J1247">
        <f>($B$1+Table4[[#This Row],[Home Differential]])-Table4[[#This Row],[Away Differential]]</f>
        <v>-0.43881627866564005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0.52289564365718888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0.5301060565842276</v>
      </c>
      <c r="H1248" t="s">
        <v>33</v>
      </c>
      <c r="I1248">
        <f>VLOOKUP(Table4[[#This Row],[Visitor]],'NHL Model'!$A$6:$B$38,2,FALSE)</f>
        <v>-0.40334472409778083</v>
      </c>
      <c r="J1248">
        <f>($B$1+Table4[[#This Row],[Home Differential]])-Table4[[#This Row],[Away Differential]]</f>
        <v>1.1117489743368718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0.81010646923827911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-0.67384018791748512</v>
      </c>
      <c r="H1249" t="s">
        <v>28</v>
      </c>
      <c r="I1249">
        <f>VLOOKUP(Table4[[#This Row],[Visitor]],'NHL Model'!$A$6:$B$38,2,FALSE)</f>
        <v>-0.4068113735564976</v>
      </c>
      <c r="J1249">
        <f>($B$1+Table4[[#This Row],[Home Differential]])-Table4[[#This Row],[Away Differential]]</f>
        <v>-8.8730620706124197E-2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0.49097865095287163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0.26494263732175571</v>
      </c>
      <c r="H1250" t="s">
        <v>25</v>
      </c>
      <c r="I1250">
        <f>VLOOKUP(Table4[[#This Row],[Visitor]],'NHL Model'!$A$6:$B$38,2,FALSE)</f>
        <v>0.73055531763635684</v>
      </c>
      <c r="J1250">
        <f>($B$1+Table4[[#This Row],[Home Differential]])-Table4[[#This Row],[Away Differential]]</f>
        <v>-0.2873144866597378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0.60569698409408279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1.5385519346678582</v>
      </c>
      <c r="H1251" t="s">
        <v>16</v>
      </c>
      <c r="I1251">
        <f>VLOOKUP(Table4[[#This Row],[Visitor]],'NHL Model'!$A$6:$B$38,2,FALSE)</f>
        <v>-1.429228083243411</v>
      </c>
      <c r="J1251">
        <f>($B$1+Table4[[#This Row],[Home Differential]])-Table4[[#This Row],[Away Differential]]</f>
        <v>3.1460782115661328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0.16990542827764471</v>
      </c>
      <c r="H1252" t="s">
        <v>34</v>
      </c>
      <c r="I1252">
        <f>VLOOKUP(Table4[[#This Row],[Visitor]],'NHL Model'!$A$6:$B$38,2,FALSE)</f>
        <v>-0.55929037526767655</v>
      </c>
      <c r="J1252">
        <f>($B$1+Table4[[#This Row],[Home Differential]])-Table4[[#This Row],[Away Differential]]</f>
        <v>0.90749399720018464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0.69610907058281524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-0.51526168477192669</v>
      </c>
      <c r="H1253" t="s">
        <v>27</v>
      </c>
      <c r="I1253">
        <f>VLOOKUP(Table4[[#This Row],[Visitor]],'NHL Model'!$A$6:$B$38,2,FALSE)</f>
        <v>-0.5365514628281316</v>
      </c>
      <c r="J1253">
        <f>($B$1+Table4[[#This Row],[Home Differential]])-Table4[[#This Row],[Away Differential]]</f>
        <v>0.19958797171106823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0.59464472824499159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-0.12133880872417692</v>
      </c>
      <c r="H1254" t="s">
        <v>38</v>
      </c>
      <c r="I1254">
        <f>VLOOKUP(Table4[[#This Row],[Visitor]],'NHL Model'!$A$6:$B$38,2,FALSE)</f>
        <v>-0.83680023888172561</v>
      </c>
      <c r="J1254">
        <f>($B$1+Table4[[#This Row],[Home Differential]])-Table4[[#This Row],[Away Differential]]</f>
        <v>0.89375962381241203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0.64733355289555017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-0.59444373833461905</v>
      </c>
      <c r="H1255" t="s">
        <v>37</v>
      </c>
      <c r="I1255">
        <f>VLOOKUP(Table4[[#This Row],[Visitor]],'NHL Model'!$A$6:$B$38,2,FALSE)</f>
        <v>-0.12437377019828177</v>
      </c>
      <c r="J1255">
        <f>($B$1+Table4[[#This Row],[Home Differential]])-Table4[[#This Row],[Away Differential]]</f>
        <v>-0.29177177448147396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0.54891911068717136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0.54693303419816819</v>
      </c>
      <c r="H1256" t="s">
        <v>14</v>
      </c>
      <c r="I1256">
        <f>VLOOKUP(Table4[[#This Row],[Visitor]],'NHL Model'!$A$6:$B$38,2,FALSE)</f>
        <v>0.24618288254564977</v>
      </c>
      <c r="J1256">
        <f>($B$1+Table4[[#This Row],[Home Differential]])-Table4[[#This Row],[Away Differential]]</f>
        <v>0.47904834530738172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0.7240928271378303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-8.2927339771111427E-2</v>
      </c>
      <c r="H1257" t="s">
        <v>19</v>
      </c>
      <c r="I1257">
        <f>VLOOKUP(Table4[[#This Row],[Visitor]],'NHL Model'!$A$6:$B$38,2,FALSE)</f>
        <v>-0.64312007588488018</v>
      </c>
      <c r="J1257">
        <f>($B$1+Table4[[#This Row],[Home Differential]])-Table4[[#This Row],[Away Differential]]</f>
        <v>0.73849092976863207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0.64584808408665573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-0.4314038989751332</v>
      </c>
      <c r="H1258" t="s">
        <v>11</v>
      </c>
      <c r="I1258">
        <f>VLOOKUP(Table4[[#This Row],[Visitor]],'NHL Model'!$A$6:$B$38,2,FALSE)</f>
        <v>-0.16385680125706742</v>
      </c>
      <c r="J1258">
        <f>($B$1+Table4[[#This Row],[Home Differential]])-Table4[[#This Row],[Away Differential]]</f>
        <v>-8.9248904063202461E-2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0.47029658786259532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-0.39497219926686861</v>
      </c>
      <c r="H1259" t="s">
        <v>20</v>
      </c>
      <c r="I1259">
        <f>VLOOKUP(Table4[[#This Row],[Visitor]],'NHL Model'!$A$6:$B$38,2,FALSE)</f>
        <v>-6.1930983208684394E-4</v>
      </c>
      <c r="J1259">
        <f>($B$1+Table4[[#This Row],[Home Differential]])-Table4[[#This Row],[Away Differential]]</f>
        <v>-0.2160546957799184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0.48551262649622506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-1.6560580871558699</v>
      </c>
      <c r="H1260" t="s">
        <v>40</v>
      </c>
      <c r="I1260">
        <f>VLOOKUP(Table4[[#This Row],[Visitor]],'NHL Model'!$A$6:$B$38,2,FALSE)</f>
        <v>7.2067135963786652E-2</v>
      </c>
      <c r="J1260">
        <f>($B$1+Table4[[#This Row],[Home Differential]])-Table4[[#This Row],[Away Differential]]</f>
        <v>-1.5498270294647931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0.74845287352149592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-0.14078840027135531</v>
      </c>
      <c r="H1261" t="s">
        <v>29</v>
      </c>
      <c r="I1261">
        <f>VLOOKUP(Table4[[#This Row],[Visitor]],'NHL Model'!$A$6:$B$38,2,FALSE)</f>
        <v>-1.3905198871921312</v>
      </c>
      <c r="J1261">
        <f>($B$1+Table4[[#This Row],[Home Differential]])-Table4[[#This Row],[Away Differential]]</f>
        <v>1.4280296805756392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0.81295234657198689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-1.6459316139111148E-2</v>
      </c>
      <c r="H1262" t="s">
        <v>37</v>
      </c>
      <c r="I1262">
        <f>VLOOKUP(Table4[[#This Row],[Visitor]],'NHL Model'!$A$6:$B$38,2,FALSE)</f>
        <v>-0.12437377019828177</v>
      </c>
      <c r="J1262">
        <f>($B$1+Table4[[#This Row],[Home Differential]])-Table4[[#This Row],[Away Differential]]</f>
        <v>0.28621264771403399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0.58647747367302849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0.26494263732175571</v>
      </c>
      <c r="H1263" t="s">
        <v>35</v>
      </c>
      <c r="I1263">
        <f>VLOOKUP(Table4[[#This Row],[Visitor]],'NHL Model'!$A$6:$B$38,2,FALSE)</f>
        <v>-1.6560580871558699</v>
      </c>
      <c r="J1263">
        <f>($B$1+Table4[[#This Row],[Home Differential]])-Table4[[#This Row],[Away Differential]]</f>
        <v>2.0992989181324888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0.84089302312640457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1.5385519346678582</v>
      </c>
      <c r="H1264" t="s">
        <v>20</v>
      </c>
      <c r="I1264">
        <f>VLOOKUP(Table4[[#This Row],[Visitor]],'NHL Model'!$A$6:$B$38,2,FALSE)</f>
        <v>-6.1930983208684394E-4</v>
      </c>
      <c r="J1264">
        <f>($B$1+Table4[[#This Row],[Home Differential]])-Table4[[#This Row],[Away Differential]]</f>
        <v>1.7174694381548083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0.85486096332137185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0.16990542827764471</v>
      </c>
      <c r="H1265" t="s">
        <v>15</v>
      </c>
      <c r="I1265">
        <f>VLOOKUP(Table4[[#This Row],[Visitor]],'NHL Model'!$A$6:$B$38,2,FALSE)</f>
        <v>-0.33401712526814992</v>
      </c>
      <c r="J1265">
        <f>($B$1+Table4[[#This Row],[Home Differential]])-Table4[[#This Row],[Away Differential]]</f>
        <v>0.68222074720065806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0.52085978824763024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-0.51526168477192669</v>
      </c>
      <c r="H1266" t="s">
        <v>24</v>
      </c>
      <c r="I1266">
        <f>VLOOKUP(Table4[[#This Row],[Visitor]],'NHL Model'!$A$6:$B$38,2,FALSE)</f>
        <v>0.54693303419816819</v>
      </c>
      <c r="J1266">
        <f>($B$1+Table4[[#This Row],[Home Differential]])-Table4[[#This Row],[Away Differential]]</f>
        <v>-0.88389652531523155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0.6266891033648595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-0.12133880872417692</v>
      </c>
      <c r="H1267" t="s">
        <v>17</v>
      </c>
      <c r="I1267">
        <f>VLOOKUP(Table4[[#This Row],[Visitor]],'NHL Model'!$A$6:$B$38,2,FALSE)</f>
        <v>-0.83182649756544103</v>
      </c>
      <c r="J1267">
        <f>($B$1+Table4[[#This Row],[Home Differential]])-Table4[[#This Row],[Away Differential]]</f>
        <v>0.88878588249612744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0.6673898961155238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-0.59444373833461905</v>
      </c>
      <c r="H1268" t="s">
        <v>28</v>
      </c>
      <c r="I1268">
        <f>VLOOKUP(Table4[[#This Row],[Visitor]],'NHL Model'!$A$6:$B$38,2,FALSE)</f>
        <v>-0.4068113735564976</v>
      </c>
      <c r="J1268">
        <f>($B$1+Table4[[#This Row],[Home Differential]])-Table4[[#This Row],[Away Differential]]</f>
        <v>-9.3341711232581281E-3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0.4821070997803551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-1.3905198871921312</v>
      </c>
      <c r="H1269" t="s">
        <v>34</v>
      </c>
      <c r="I1269">
        <f>VLOOKUP(Table4[[#This Row],[Visitor]],'NHL Model'!$A$6:$B$38,2,FALSE)</f>
        <v>-0.55929037526767655</v>
      </c>
      <c r="J1269">
        <f>($B$1+Table4[[#This Row],[Home Differential]])-Table4[[#This Row],[Away Differential]]</f>
        <v>-0.65293131826959128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0.55358480421778933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-8.2927339771111427E-2</v>
      </c>
      <c r="H1270" t="s">
        <v>36</v>
      </c>
      <c r="I1270">
        <f>VLOOKUP(Table4[[#This Row],[Visitor]],'NHL Model'!$A$6:$B$38,2,FALSE)</f>
        <v>-0.4314038989751332</v>
      </c>
      <c r="J1270">
        <f>($B$1+Table4[[#This Row],[Home Differential]])-Table4[[#This Row],[Away Differential]]</f>
        <v>0.52677475285888509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0.61550275309786606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0.24618288254564977</v>
      </c>
      <c r="H1271" t="s">
        <v>22</v>
      </c>
      <c r="I1271">
        <f>VLOOKUP(Table4[[#This Row],[Visitor]],'NHL Model'!$A$6:$B$38,2,FALSE)</f>
        <v>-2.6005603564376825E-2</v>
      </c>
      <c r="J1271">
        <f>($B$1+Table4[[#This Row],[Home Differential]])-Table4[[#This Row],[Away Differential]]</f>
        <v>0.45048667976488993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0.64060523143687798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-0.39497219926686861</v>
      </c>
      <c r="H1272" t="s">
        <v>16</v>
      </c>
      <c r="I1272">
        <f>VLOOKUP(Table4[[#This Row],[Visitor]],'NHL Model'!$A$6:$B$38,2,FALSE)</f>
        <v>-1.429228083243411</v>
      </c>
      <c r="J1272">
        <f>($B$1+Table4[[#This Row],[Home Differential]])-Table4[[#This Row],[Away Differential]]</f>
        <v>1.2125540776314057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0.73983340590414715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-0.40334472409778083</v>
      </c>
      <c r="H1273" t="s">
        <v>38</v>
      </c>
      <c r="I1273">
        <f>VLOOKUP(Table4[[#This Row],[Visitor]],'NHL Model'!$A$6:$B$38,2,FALSE)</f>
        <v>-0.83680023888172561</v>
      </c>
      <c r="J1273">
        <f>($B$1+Table4[[#This Row],[Home Differential]])-Table4[[#This Row],[Away Differential]]</f>
        <v>0.61175370843880816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0.60691357664377488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-0.64312007588488018</v>
      </c>
      <c r="H1274" t="s">
        <v>11</v>
      </c>
      <c r="I1274">
        <f>VLOOKUP(Table4[[#This Row],[Visitor]],'NHL Model'!$A$6:$B$38,2,FALSE)</f>
        <v>-0.16385680125706742</v>
      </c>
      <c r="J1274">
        <f>($B$1+Table4[[#This Row],[Home Differential]])-Table4[[#This Row],[Away Differential]]</f>
        <v>-0.30096508097294944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0.50313739805572499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-0.14078840027135531</v>
      </c>
      <c r="H1275" t="s">
        <v>25</v>
      </c>
      <c r="I1275">
        <f>VLOOKUP(Table4[[#This Row],[Visitor]],'NHL Model'!$A$6:$B$38,2,FALSE)</f>
        <v>0.73055531763635684</v>
      </c>
      <c r="J1275">
        <f>($B$1+Table4[[#This Row],[Home Differential]])-Table4[[#This Row],[Away Differential]]</f>
        <v>-0.69304552425284882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0.59428387804067073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7.2067135963786652E-2</v>
      </c>
      <c r="H1276" t="s">
        <v>27</v>
      </c>
      <c r="I1276">
        <f>VLOOKUP(Table4[[#This Row],[Visitor]],'NHL Model'!$A$6:$B$38,2,FALSE)</f>
        <v>-0.5365514628281316</v>
      </c>
      <c r="J1276">
        <f>($B$1+Table4[[#This Row],[Home Differential]])-Table4[[#This Row],[Away Differential]]</f>
        <v>0.78691679244678159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0.68882584108958234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0.5301060565842276</v>
      </c>
      <c r="H1277" t="s">
        <v>38</v>
      </c>
      <c r="I1277">
        <f>VLOOKUP(Table4[[#This Row],[Visitor]],'NHL Model'!$A$6:$B$38,2,FALSE)</f>
        <v>-0.83680023888172561</v>
      </c>
      <c r="J1277">
        <f>($B$1+Table4[[#This Row],[Home Differential]])-Table4[[#This Row],[Away Differential]]</f>
        <v>1.5452044891208165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0.85305348158752126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-0.4068113735564976</v>
      </c>
      <c r="H1278" t="s">
        <v>21</v>
      </c>
      <c r="I1278">
        <f>VLOOKUP(Table4[[#This Row],[Visitor]],'NHL Model'!$A$6:$B$38,2,FALSE)</f>
        <v>-1.6459316139111148E-2</v>
      </c>
      <c r="J1278">
        <f>($B$1+Table4[[#This Row],[Home Differential]])-Table4[[#This Row],[Away Differential]]</f>
        <v>-0.21205386376252311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0.48334777986734873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-1.429228083243411</v>
      </c>
      <c r="H1279" t="s">
        <v>55</v>
      </c>
      <c r="I1279">
        <f>VLOOKUP(Table4[[#This Row],[Visitor]],'NHL Model'!$A$6:$B$38,2,FALSE)</f>
        <v>-0.14078840027135531</v>
      </c>
      <c r="J1279">
        <f>($B$1+Table4[[#This Row],[Home Differential]])-Table4[[#This Row],[Away Differential]]</f>
        <v>-1.1101414893171924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0.61911684893157171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0.54693303419816819</v>
      </c>
      <c r="H1280" t="s">
        <v>36</v>
      </c>
      <c r="I1280">
        <f>VLOOKUP(Table4[[#This Row],[Visitor]],'NHL Model'!$A$6:$B$38,2,FALSE)</f>
        <v>-0.4314038989751332</v>
      </c>
      <c r="J1280">
        <f>($B$1+Table4[[#This Row],[Home Differential]])-Table4[[#This Row],[Away Differential]]</f>
        <v>1.1566351268281647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0.82121150488366035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-8.2927339771111427E-2</v>
      </c>
      <c r="H1281" t="s">
        <v>18</v>
      </c>
      <c r="I1281">
        <f>VLOOKUP(Table4[[#This Row],[Visitor]],'NHL Model'!$A$6:$B$38,2,FALSE)</f>
        <v>-0.59444373833461905</v>
      </c>
      <c r="J1281">
        <f>($B$1+Table4[[#This Row],[Home Differential]])-Table4[[#This Row],[Away Differential]]</f>
        <v>0.68981459221837094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0.59177190133827284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-2.6005603564376825E-2</v>
      </c>
      <c r="H1282" t="s">
        <v>14</v>
      </c>
      <c r="I1282">
        <f>VLOOKUP(Table4[[#This Row],[Visitor]],'NHL Model'!$A$6:$B$38,2,FALSE)</f>
        <v>0.24618288254564977</v>
      </c>
      <c r="J1282">
        <f>($B$1+Table4[[#This Row],[Home Differential]])-Table4[[#This Row],[Away Differential]]</f>
        <v>-9.3890292455163255E-2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0.47345731839093597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0.26494263732175571</v>
      </c>
      <c r="H1283" t="s">
        <v>23</v>
      </c>
      <c r="I1283">
        <f>VLOOKUP(Table4[[#This Row],[Visitor]],'NHL Model'!$A$6:$B$38,2,FALSE)</f>
        <v>-0.67384018791748512</v>
      </c>
      <c r="J1283">
        <f>($B$1+Table4[[#This Row],[Home Differential]])-Table4[[#This Row],[Away Differential]]</f>
        <v>1.1170810188941043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0.70011149338903167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-0.83182649756544103</v>
      </c>
      <c r="H1284" t="s">
        <v>12</v>
      </c>
      <c r="I1284">
        <f>VLOOKUP(Table4[[#This Row],[Visitor]],'NHL Model'!$A$6:$B$38,2,FALSE)</f>
        <v>1.5385519346678582</v>
      </c>
      <c r="J1284">
        <f>($B$1+Table4[[#This Row],[Home Differential]])-Table4[[#This Row],[Away Differential]]</f>
        <v>-2.1920802385784359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0.8039873106576223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-0.16385680125706742</v>
      </c>
      <c r="H1285" t="s">
        <v>15</v>
      </c>
      <c r="I1285">
        <f>VLOOKUP(Table4[[#This Row],[Visitor]],'NHL Model'!$A$6:$B$38,2,FALSE)</f>
        <v>-0.33401712526814992</v>
      </c>
      <c r="J1285">
        <f>($B$1+Table4[[#This Row],[Home Differential]])-Table4[[#This Row],[Away Differential]]</f>
        <v>0.34845851766594582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0.51102248816796736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-1.3905198871921312</v>
      </c>
      <c r="H1286" t="s">
        <v>33</v>
      </c>
      <c r="I1286">
        <f>VLOOKUP(Table4[[#This Row],[Visitor]],'NHL Model'!$A$6:$B$38,2,FALSE)</f>
        <v>-0.40334472409778083</v>
      </c>
      <c r="J1286">
        <f>($B$1+Table4[[#This Row],[Home Differential]])-Table4[[#This Row],[Away Differential]]</f>
        <v>-0.80887696943948706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0.57593653222499841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-0.5365514628281316</v>
      </c>
      <c r="H1287" t="s">
        <v>25</v>
      </c>
      <c r="I1287">
        <f>VLOOKUP(Table4[[#This Row],[Visitor]],'NHL Model'!$A$6:$B$38,2,FALSE)</f>
        <v>0.73055531763635684</v>
      </c>
      <c r="J1287">
        <f>($B$1+Table4[[#This Row],[Home Differential]])-Table4[[#This Row],[Away Differential]]</f>
        <v>-1.0888085868096251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0.71810299446124837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-0.39497219926686861</v>
      </c>
      <c r="H1288" t="s">
        <v>13</v>
      </c>
      <c r="I1288">
        <f>VLOOKUP(Table4[[#This Row],[Visitor]],'NHL Model'!$A$6:$B$38,2,FALSE)</f>
        <v>-0.12133880872417692</v>
      </c>
      <c r="J1288">
        <f>($B$1+Table4[[#This Row],[Home Differential]])-Table4[[#This Row],[Away Differential]]</f>
        <v>-9.5335196887828336E-2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0.54937870260802102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-1.6560580871558699</v>
      </c>
      <c r="H1289" t="s">
        <v>34</v>
      </c>
      <c r="I1289">
        <f>VLOOKUP(Table4[[#This Row],[Visitor]],'NHL Model'!$A$6:$B$38,2,FALSE)</f>
        <v>-0.55929037526767655</v>
      </c>
      <c r="J1289">
        <f>($B$1+Table4[[#This Row],[Home Differential]])-Table4[[#This Row],[Away Differential]]</f>
        <v>-0.91846951823333001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0.59164445882558092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-0.12437377019828177</v>
      </c>
      <c r="H1290" t="s">
        <v>26</v>
      </c>
      <c r="I1290">
        <f>VLOOKUP(Table4[[#This Row],[Visitor]],'NHL Model'!$A$6:$B$38,2,FALSE)</f>
        <v>-0.51526168477192669</v>
      </c>
      <c r="J1290">
        <f>($B$1+Table4[[#This Row],[Home Differential]])-Table4[[#This Row],[Away Differential]]</f>
        <v>0.56918610822850824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0.57448219146924973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-0.64312007588488018</v>
      </c>
      <c r="H1291" t="s">
        <v>39</v>
      </c>
      <c r="I1291">
        <f>VLOOKUP(Table4[[#This Row],[Visitor]],'NHL Model'!$A$6:$B$38,2,FALSE)</f>
        <v>0.16990542827764471</v>
      </c>
      <c r="J1291">
        <f>($B$1+Table4[[#This Row],[Home Differential]])-Table4[[#This Row],[Away Differential]]</f>
        <v>-0.63472731050766162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0.6434618072151459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-6.1930983208684394E-4</v>
      </c>
      <c r="H1292" t="s">
        <v>40</v>
      </c>
      <c r="I1292">
        <f>VLOOKUP(Table4[[#This Row],[Visitor]],'NHL Model'!$A$6:$B$38,2,FALSE)</f>
        <v>7.2067135963786652E-2</v>
      </c>
      <c r="J1292">
        <f>($B$1+Table4[[#This Row],[Home Differential]])-Table4[[#This Row],[Away Differential]]</f>
        <v>0.10561174785898984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0.48882156796335202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-1.6459316139111148E-2</v>
      </c>
      <c r="H1293" t="s">
        <v>24</v>
      </c>
      <c r="I1293">
        <f>VLOOKUP(Table4[[#This Row],[Visitor]],'NHL Model'!$A$6:$B$38,2,FALSE)</f>
        <v>0.54693303419816819</v>
      </c>
      <c r="J1293">
        <f>($B$1+Table4[[#This Row],[Home Differential]])-Table4[[#This Row],[Away Differential]]</f>
        <v>-0.38509415668241598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0.52887984940920718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-0.4068113735564976</v>
      </c>
      <c r="H1294" t="s">
        <v>22</v>
      </c>
      <c r="I1294">
        <f>VLOOKUP(Table4[[#This Row],[Visitor]],'NHL Model'!$A$6:$B$38,2,FALSE)</f>
        <v>-2.6005603564376825E-2</v>
      </c>
      <c r="J1294">
        <f>($B$1+Table4[[#This Row],[Home Differential]])-Table4[[#This Row],[Away Differential]]</f>
        <v>-0.20250757633725741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0.48197950817520824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-1.429228083243411</v>
      </c>
      <c r="H1295" t="s">
        <v>12</v>
      </c>
      <c r="I1295">
        <f>VLOOKUP(Table4[[#This Row],[Visitor]],'NHL Model'!$A$6:$B$38,2,FALSE)</f>
        <v>1.5385519346678582</v>
      </c>
      <c r="J1295">
        <f>($B$1+Table4[[#This Row],[Home Differential]])-Table4[[#This Row],[Away Differential]]</f>
        <v>-2.7894818242564057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0.92613289594050907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-0.55929037526767655</v>
      </c>
      <c r="H1296" t="s">
        <v>31</v>
      </c>
      <c r="I1296">
        <f>VLOOKUP(Table4[[#This Row],[Visitor]],'NHL Model'!$A$6:$B$38,2,FALSE)</f>
        <v>0.5301060565842276</v>
      </c>
      <c r="J1296">
        <f>($B$1+Table4[[#This Row],[Home Differential]])-Table4[[#This Row],[Away Differential]]</f>
        <v>-0.91109823819704083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0.61135716223928693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-8.2927339771111427E-2</v>
      </c>
      <c r="H1297" t="s">
        <v>25</v>
      </c>
      <c r="I1297">
        <f>VLOOKUP(Table4[[#This Row],[Visitor]],'NHL Model'!$A$6:$B$38,2,FALSE)</f>
        <v>0.73055531763635684</v>
      </c>
      <c r="J1297">
        <f>($B$1+Table4[[#This Row],[Home Differential]])-Table4[[#This Row],[Away Differential]]</f>
        <v>-0.63518446375260496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0.65555727228758143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-0.5365514628281316</v>
      </c>
      <c r="H1298" t="s">
        <v>18</v>
      </c>
      <c r="I1298">
        <f>VLOOKUP(Table4[[#This Row],[Visitor]],'NHL Model'!$A$6:$B$38,2,FALSE)</f>
        <v>-0.59444373833461905</v>
      </c>
      <c r="J1298">
        <f>($B$1+Table4[[#This Row],[Home Differential]])-Table4[[#This Row],[Away Differential]]</f>
        <v>0.23619046916135078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0.52926608127021324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-1.6560580871558699</v>
      </c>
      <c r="H1299" t="s">
        <v>14</v>
      </c>
      <c r="I1299">
        <f>VLOOKUP(Table4[[#This Row],[Visitor]],'NHL Model'!$A$6:$B$38,2,FALSE)</f>
        <v>0.24618288254564977</v>
      </c>
      <c r="J1299">
        <f>($B$1+Table4[[#This Row],[Home Differential]])-Table4[[#This Row],[Away Differential]]</f>
        <v>-1.7239427760466564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0.70709313623762249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-0.14078840027135531</v>
      </c>
      <c r="H1300" t="s">
        <v>40</v>
      </c>
      <c r="I1300">
        <f>VLOOKUP(Table4[[#This Row],[Visitor]],'NHL Model'!$A$6:$B$38,2,FALSE)</f>
        <v>7.2067135963786652E-2</v>
      </c>
      <c r="J1300">
        <f>($B$1+Table4[[#This Row],[Home Differential]])-Table4[[#This Row],[Away Differential]]</f>
        <v>-3.4557342580278608E-2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0.46147485142444045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-0.83680023888172561</v>
      </c>
      <c r="H1301" t="s">
        <v>13</v>
      </c>
      <c r="I1301">
        <f>VLOOKUP(Table4[[#This Row],[Visitor]],'NHL Model'!$A$6:$B$38,2,FALSE)</f>
        <v>-0.12133880872417692</v>
      </c>
      <c r="J1301">
        <f>($B$1+Table4[[#This Row],[Home Differential]])-Table4[[#This Row],[Away Differential]]</f>
        <v>-0.53716323650268538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0.63878948978727468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-0.67384018791748512</v>
      </c>
      <c r="H1302" t="s">
        <v>39</v>
      </c>
      <c r="I1302">
        <f>VLOOKUP(Table4[[#This Row],[Visitor]],'NHL Model'!$A$6:$B$38,2,FALSE)</f>
        <v>0.16990542827764471</v>
      </c>
      <c r="J1302">
        <f>($B$1+Table4[[#This Row],[Home Differential]])-Table4[[#This Row],[Away Differential]]</f>
        <v>-0.66544742254026645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0.64537874047871924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0.26494263732175571</v>
      </c>
      <c r="H1303" t="s">
        <v>33</v>
      </c>
      <c r="I1303">
        <f>VLOOKUP(Table4[[#This Row],[Visitor]],'NHL Model'!$A$6:$B$38,2,FALSE)</f>
        <v>-0.40334472409778083</v>
      </c>
      <c r="J1303">
        <f>($B$1+Table4[[#This Row],[Home Differential]])-Table4[[#This Row],[Away Differential]]</f>
        <v>0.84658555507439992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0.66134131295036713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-0.16385680125706742</v>
      </c>
      <c r="H1304" t="s">
        <v>26</v>
      </c>
      <c r="I1304">
        <f>VLOOKUP(Table4[[#This Row],[Visitor]],'NHL Model'!$A$6:$B$38,2,FALSE)</f>
        <v>-0.51526168477192669</v>
      </c>
      <c r="J1304">
        <f>($B$1+Table4[[#This Row],[Home Differential]])-Table4[[#This Row],[Away Differential]]</f>
        <v>0.52970307716972265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0.63344459442541645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-0.4314038989751332</v>
      </c>
      <c r="H1305" t="s">
        <v>19</v>
      </c>
      <c r="I1305">
        <f>VLOOKUP(Table4[[#This Row],[Visitor]],'NHL Model'!$A$6:$B$38,2,FALSE)</f>
        <v>-0.64312007588488018</v>
      </c>
      <c r="J1305">
        <f>($B$1+Table4[[#This Row],[Home Differential]])-Table4[[#This Row],[Away Differential]]</f>
        <v>0.3900143705646103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0.59839633353637711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-0.12437377019828177</v>
      </c>
      <c r="H1306" t="s">
        <v>15</v>
      </c>
      <c r="I1306">
        <f>VLOOKUP(Table4[[#This Row],[Visitor]],'NHL Model'!$A$6:$B$38,2,FALSE)</f>
        <v>-0.33401712526814992</v>
      </c>
      <c r="J1306">
        <f>($B$1+Table4[[#This Row],[Home Differential]])-Table4[[#This Row],[Away Differential]]</f>
        <v>0.38794154872473152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0.45319411772074197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-6.1930983208684394E-4</v>
      </c>
      <c r="H1307" t="s">
        <v>32</v>
      </c>
      <c r="I1307">
        <f>VLOOKUP(Table4[[#This Row],[Visitor]],'NHL Model'!$A$6:$B$38,2,FALSE)</f>
        <v>-0.39497219926686861</v>
      </c>
      <c r="J1307">
        <f>($B$1+Table4[[#This Row],[Home Differential]])-Table4[[#This Row],[Away Differential]]</f>
        <v>0.57265108308964507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0.62207821863726542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-1.429228083243411</v>
      </c>
      <c r="H1308" t="s">
        <v>13</v>
      </c>
      <c r="I1308">
        <f>VLOOKUP(Table4[[#This Row],[Visitor]],'NHL Model'!$A$6:$B$38,2,FALSE)</f>
        <v>-0.12133880872417692</v>
      </c>
      <c r="J1308">
        <f>($B$1+Table4[[#This Row],[Home Differential]])-Table4[[#This Row],[Away Differential]]</f>
        <v>-1.1295910808643708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0.72370231641456706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1.5385519346678582</v>
      </c>
      <c r="H1309" t="s">
        <v>32</v>
      </c>
      <c r="I1309">
        <f>VLOOKUP(Table4[[#This Row],[Visitor]],'NHL Model'!$A$6:$B$38,2,FALSE)</f>
        <v>-0.39497219926686861</v>
      </c>
      <c r="J1309">
        <f>($B$1+Table4[[#This Row],[Home Differential]])-Table4[[#This Row],[Away Differential]]</f>
        <v>2.1118223275895902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0.93105425419731158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-0.83182649756544103</v>
      </c>
      <c r="H1310" t="s">
        <v>38</v>
      </c>
      <c r="I1310">
        <f>VLOOKUP(Table4[[#This Row],[Visitor]],'NHL Model'!$A$6:$B$38,2,FALSE)</f>
        <v>-0.83680023888172561</v>
      </c>
      <c r="J1310">
        <f>($B$1+Table4[[#This Row],[Home Differential]])-Table4[[#This Row],[Away Differential]]</f>
        <v>0.18327193497114791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0.58182396644806011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-1.3905198871921312</v>
      </c>
      <c r="H1311" t="s">
        <v>31</v>
      </c>
      <c r="I1311">
        <f>VLOOKUP(Table4[[#This Row],[Visitor]],'NHL Model'!$A$6:$B$38,2,FALSE)</f>
        <v>0.5301060565842276</v>
      </c>
      <c r="J1311">
        <f>($B$1+Table4[[#This Row],[Home Differential]])-Table4[[#This Row],[Away Differential]]</f>
        <v>-1.7423277501214955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0.73049748980032381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-0.14078840027135531</v>
      </c>
      <c r="H1312" t="s">
        <v>35</v>
      </c>
      <c r="I1312">
        <f>VLOOKUP(Table4[[#This Row],[Visitor]],'NHL Model'!$A$6:$B$38,2,FALSE)</f>
        <v>-1.6560580871558699</v>
      </c>
      <c r="J1312">
        <f>($B$1+Table4[[#This Row],[Home Differential]])-Table4[[#This Row],[Away Differential]]</f>
        <v>1.6935678805393779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0.85101200117977849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7.2067135963786652E-2</v>
      </c>
      <c r="H1313" t="s">
        <v>33</v>
      </c>
      <c r="I1313">
        <f>VLOOKUP(Table4[[#This Row],[Visitor]],'NHL Model'!$A$6:$B$38,2,FALSE)</f>
        <v>-0.40334472409778083</v>
      </c>
      <c r="J1313">
        <f>($B$1+Table4[[#This Row],[Home Differential]])-Table4[[#This Row],[Away Differential]]</f>
        <v>0.65371005371643087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0.66973328691771628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8" priority="9" operator="containsText" text="NO">
      <formula>NOT(ISERROR(SEARCH("NO",M2)))</formula>
    </cfRule>
    <cfRule type="containsText" dxfId="1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6" priority="3" operator="containsText" text="YES">
      <formula>NOT(ISERROR(SEARCH("YES",R1)))</formula>
    </cfRule>
    <cfRule type="containsText" dxfId="1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2" sqref="M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19</v>
      </c>
      <c r="C2">
        <f>COUNTIF(NHL2025_26Results[Winning Team],Standings!A2)</f>
        <v>12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25</v>
      </c>
      <c r="G2">
        <f>COUNTIFS('NHL2025-26Results'!$D:$D,A2,'NHL2025-26Results'!$G:$G,A2)</f>
        <v>6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0.8571428571428571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2.2857142857142856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21</v>
      </c>
      <c r="C3">
        <f>COUNTIF(NHL2025_26Results[Winning Team],Standings!A3)</f>
        <v>12</v>
      </c>
      <c r="D3">
        <f>COUNTIFS('NHL2025-26Results'!$H:$H,A3,'NHL2025-26Results'!$F:$F,"")</f>
        <v>9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5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3.1111111111111112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3.7777777777777777</v>
      </c>
    </row>
    <row r="4" spans="1:18" x14ac:dyDescent="0.2">
      <c r="A4" s="4" t="s">
        <v>23</v>
      </c>
      <c r="B4">
        <f>SUM(Table1[[#This Row],[W]:[OTL]])</f>
        <v>19</v>
      </c>
      <c r="C4">
        <f>COUNTIF(NHL2025_26Results[Winning Team],Standings!A4)</f>
        <v>7</v>
      </c>
      <c r="D4">
        <f>COUNTIFS('NHL2025-26Results'!$H:$H,A4,'NHL2025-26Results'!$F:$F,"")</f>
        <v>8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18</v>
      </c>
      <c r="G4">
        <f>COUNTIFS('NHL2025-26Results'!$D:$D,A4,'NHL2025-26Results'!$G:$G,A4)</f>
        <v>6</v>
      </c>
      <c r="H4">
        <f>COUNTIFS('NHL2025-26Results'!$D:$D,A4,'NHL2025-26Results'!$H:$H,A4,'NHL2025-26Results'!$F:$F,"")</f>
        <v>3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0.54545454545454541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3.7777777777777777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2.9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20</v>
      </c>
      <c r="C5">
        <f>COUNTIF(NHL2025_26Results[Winning Team],Standings!A5)</f>
        <v>5</v>
      </c>
      <c r="D5">
        <f>COUNTIFS('NHL2025-26Results'!$H:$H,A5,'NHL2025-26Results'!$F:$F,"")</f>
        <v>12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13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2</v>
      </c>
      <c r="K5">
        <f>COUNTIFS('NHL2025-26Results'!$B:$B,A5,'NHL2025-26Results'!$H:$H,A5,'NHL2025-26Results'!$F:$F,"")</f>
        <v>8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0.18181818181818182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2.2000000000000002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3.6363636363636362</v>
      </c>
    </row>
    <row r="6" spans="1:18" x14ac:dyDescent="0.2">
      <c r="A6" s="4" t="s">
        <v>25</v>
      </c>
      <c r="B6">
        <f>SUM(Table1[[#This Row],[W]:[OTL]])</f>
        <v>19</v>
      </c>
      <c r="C6">
        <f>COUNTIF(NHL2025_26Results[Winning Team],Standings!A6)</f>
        <v>13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1</v>
      </c>
      <c r="F6" s="3">
        <f>(Table1[[#This Row],[W]]*2)+Table1[[#This Row],[OTL]]</f>
        <v>27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7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0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0.7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3.3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2.5555555555555554</v>
      </c>
    </row>
    <row r="7" spans="1:18" x14ac:dyDescent="0.2">
      <c r="A7" s="4" t="s">
        <v>10</v>
      </c>
      <c r="B7">
        <f>SUM(Table1[[#This Row],[W]:[OTL]])</f>
        <v>18</v>
      </c>
      <c r="C7">
        <f>COUNTIF(NHL2025_26Results[Winning Team],Standings!A7)</f>
        <v>9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22</v>
      </c>
      <c r="G7">
        <f>COUNTIFS('NHL2025-26Results'!$D:$D,A7,'NHL2025-26Results'!$G:$G,A7)</f>
        <v>4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2.875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19</v>
      </c>
      <c r="C9">
        <f>COUNTIF(NHL2025_26Results[Winning Team],Standings!A9)</f>
        <v>10</v>
      </c>
      <c r="D9">
        <f>COUNTIFS('NHL2025-26Results'!$H:$H,A9,'NHL2025-26Results'!$F:$F,"")</f>
        <v>7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22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4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0.5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3.4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3.2</v>
      </c>
    </row>
    <row r="10" spans="1:18" x14ac:dyDescent="0.2">
      <c r="A10" s="4" t="s">
        <v>39</v>
      </c>
      <c r="B10">
        <f>SUM(Table1[[#This Row],[W]:[OTL]])</f>
        <v>19</v>
      </c>
      <c r="C10">
        <f>COUNTIF(NHL2025_26Results[Winning Team],Standings!A10)</f>
        <v>12</v>
      </c>
      <c r="D10">
        <f>COUNTIFS('NHL2025-26Results'!$H:$H,A10,'NHL2025-26Results'!$F:$F,"")</f>
        <v>4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3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3.1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3.2222222222222223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19</v>
      </c>
      <c r="C11">
        <f>COUNTIF(NHL2025_26Results[Winning Team],Standings!A11)</f>
        <v>11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23</v>
      </c>
      <c r="G11">
        <f>COUNTIFS('NHL2025-26Results'!$D:$D,A11,'NHL2025-26Results'!$G:$G,A11)</f>
        <v>6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21</v>
      </c>
      <c r="C12">
        <f>COUNTIF(NHL2025_26Results[Winning Team],Standings!A12)</f>
        <v>9</v>
      </c>
      <c r="D12">
        <f>COUNTIFS('NHL2025-26Results'!$H:$H,A12,'NHL2025-26Results'!$F:$F,"")</f>
        <v>8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7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0.30769230769230771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2.5384615384615383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3.5833333333333335</v>
      </c>
    </row>
    <row r="13" spans="1:18" x14ac:dyDescent="0.2">
      <c r="A13" s="4" t="s">
        <v>11</v>
      </c>
      <c r="B13">
        <f>SUM(Table1[[#This Row],[W]:[OTL]])</f>
        <v>19</v>
      </c>
      <c r="C13">
        <f>COUNTIF(NHL2025_26Results[Winning Team],Standings!A13)</f>
        <v>10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21</v>
      </c>
      <c r="G13">
        <f>COUNTIFS('NHL2025-26Results'!$D:$D,A13,'NHL2025-26Results'!$G:$G,A13)</f>
        <v>7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0.7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3.8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20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0.69230769230769229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3.1538461538461537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2.6666666666666665</v>
      </c>
    </row>
    <row r="15" spans="1:18" x14ac:dyDescent="0.2">
      <c r="A15" s="4" t="s">
        <v>34</v>
      </c>
      <c r="B15">
        <f>SUM(Table1[[#This Row],[W]:[OTL]])</f>
        <v>20</v>
      </c>
      <c r="C15">
        <f>COUNTIF(NHL2025_26Results[Winning Team],Standings!A15)</f>
        <v>9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22</v>
      </c>
      <c r="G15">
        <f>COUNTIFS('NHL2025-26Results'!$D:$D,A15,'NHL2025-26Results'!$G:$G,A15)</f>
        <v>6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2.9166666666666665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3.8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19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23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18</v>
      </c>
      <c r="C18">
        <f>COUNTIF(NHL2025_26Results[Winning Team],Standings!A18)</f>
        <v>13</v>
      </c>
      <c r="D18">
        <f>COUNTIFS('NHL2025-26Results'!$H:$H,A18,'NHL2025-26Results'!$F:$F,"")</f>
        <v>4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3.4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</v>
      </c>
    </row>
    <row r="19" spans="1:18" x14ac:dyDescent="0.2">
      <c r="A19" s="4" t="s">
        <v>30</v>
      </c>
      <c r="B19">
        <f>SUM(Table1[[#This Row],[W]:[OTL]])</f>
        <v>19</v>
      </c>
      <c r="C19">
        <f>COUNTIF(NHL2025_26Results[Winning Team],Standings!A19)</f>
        <v>10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22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6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0.54545454545454541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3.0909090909090908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3.5</v>
      </c>
    </row>
    <row r="20" spans="1:18" x14ac:dyDescent="0.2">
      <c r="A20" s="4" t="s">
        <v>15</v>
      </c>
      <c r="B20">
        <f>SUM(Table1[[#This Row],[W]:[OTL]])</f>
        <v>20</v>
      </c>
      <c r="C20">
        <f>COUNTIF(NHL2025_26Results[Winning Team],Standings!A20)</f>
        <v>10</v>
      </c>
      <c r="D20">
        <f>COUNTIFS('NHL2025-26Results'!$H:$H,A20,'NHL2025-26Results'!$F:$F,"")</f>
        <v>8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1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0.81818181818181823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3.4545454545454546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2.3333333333333335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19</v>
      </c>
      <c r="C24">
        <f>COUNTIF(NHL2025_26Results[Winning Team],Standings!A24)</f>
        <v>8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19</v>
      </c>
      <c r="G24">
        <f>COUNTIFS('NHL2025-26Results'!$D:$D,A24,'NHL2025-26Results'!$G:$G,A24)</f>
        <v>4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3.1111111111111112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3.2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18</v>
      </c>
      <c r="C25">
        <f>COUNTIF(NHL2025_26Results[Winning Team],Standings!A25)</f>
        <v>9</v>
      </c>
      <c r="D25">
        <f>COUNTIFS('NHL2025-26Results'!$H:$H,A25,'NHL2025-26Results'!$F:$F,"")</f>
        <v>4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3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3.7142857142857144</v>
      </c>
    </row>
    <row r="26" spans="1:18" x14ac:dyDescent="0.2">
      <c r="A26" s="4" t="s">
        <v>35</v>
      </c>
      <c r="B26">
        <f>SUM(Table1[[#This Row],[W]:[OTL]])</f>
        <v>19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4</v>
      </c>
      <c r="F26" s="3">
        <f>(Table1[[#This Row],[W]]*2)+Table1[[#This Row],[OTL]]</f>
        <v>16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0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0.42857142857142855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3.1428571428571428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4.166666666666667</v>
      </c>
    </row>
    <row r="27" spans="1:18" x14ac:dyDescent="0.2">
      <c r="A27" s="4" t="s">
        <v>37</v>
      </c>
      <c r="B27">
        <f>SUM(Table1[[#This Row],[W]:[OTL]])</f>
        <v>18</v>
      </c>
      <c r="C27">
        <f>COUNTIF(NHL2025_26Results[Winning Team],Standings!A27)</f>
        <v>9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20</v>
      </c>
      <c r="G27">
        <f>COUNTIFS('NHL2025-26Results'!$D:$D,A27,'NHL2025-26Results'!$G:$G,A27)</f>
        <v>4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0.44444444444444442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2.7777777777777777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3.6666666666666665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19</v>
      </c>
      <c r="C28">
        <f>COUNTIF(NHL2025_26Results[Winning Team],Standings!A28)</f>
        <v>8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18</v>
      </c>
      <c r="G28">
        <f>COUNTIFS('NHL2025-26Results'!$D:$D,A28,'NHL2025-26Results'!$G:$G,A28)</f>
        <v>7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0.53846153846153844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3.4615384615384617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19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2</v>
      </c>
      <c r="F29" s="3">
        <f>(Table1[[#This Row],[W]]*2)+Table1[[#This Row],[OTL]]</f>
        <v>22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1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2.9166666666666665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3.3333333333333335</v>
      </c>
    </row>
    <row r="30" spans="1:18" x14ac:dyDescent="0.2">
      <c r="A30" s="4" t="s">
        <v>38</v>
      </c>
      <c r="B30">
        <f>SUM(Table1[[#This Row],[W]:[OTL]])</f>
        <v>21</v>
      </c>
      <c r="C30">
        <f>COUNTIF(NHL2025_26Results[Winning Team],Standings!A30)</f>
        <v>9</v>
      </c>
      <c r="D30">
        <f>COUNTIFS('NHL2025-26Results'!$H:$H,A30,'NHL2025-26Results'!$F:$F,"")</f>
        <v>10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18</v>
      </c>
      <c r="C31">
        <f>COUNTIF(NHL2025_26Results[Winning Team],Standings!A31)</f>
        <v>8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22</v>
      </c>
      <c r="G31">
        <f>COUNTIFS('NHL2025-26Results'!$D:$D,A31,'NHL2025-26Results'!$G:$G,A31)</f>
        <v>4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3.7777777777777777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19</v>
      </c>
      <c r="C32">
        <f>COUNTIF(NHL2025_26Results[Winning Team],Standings!A32)</f>
        <v>9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20</v>
      </c>
      <c r="G32">
        <f>COUNTIFS('NHL2025-26Results'!$D:$D,A32,'NHL2025-26Results'!$G:$G,A32)</f>
        <v>5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2.8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2.6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18</v>
      </c>
      <c r="C33">
        <f>COUNTIF(NHL2025_26Results[Winning Team],Standings!A33)</f>
        <v>11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22</v>
      </c>
      <c r="G33">
        <f>COUNTIFS('NHL2025-26Results'!$D:$D,A33,'NHL2025-26Results'!$G:$G,A33)</f>
        <v>5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0.625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4.1428571428571432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2.75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R15"/>
  <sheetViews>
    <sheetView tabSelected="1" topLeftCell="G1" workbookViewId="0">
      <selection activeCell="K6" sqref="K6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5" width="21" bestFit="1" customWidth="1"/>
    <col min="6" max="6" width="19.6640625" bestFit="1" customWidth="1"/>
    <col min="7" max="7" width="19.1640625" bestFit="1" customWidth="1"/>
    <col min="8" max="8" width="15.83203125" bestFit="1" customWidth="1"/>
    <col min="9" max="9" width="25.83203125" bestFit="1" customWidth="1"/>
    <col min="10" max="10" width="25.33203125" bestFit="1" customWidth="1"/>
    <col min="11" max="11" width="23.1640625" bestFit="1" customWidth="1"/>
    <col min="12" max="12" width="18" bestFit="1" customWidth="1"/>
    <col min="13" max="13" width="19.83203125" bestFit="1" customWidth="1"/>
    <col min="14" max="14" width="15.1640625" bestFit="1" customWidth="1"/>
    <col min="15" max="15" width="12.6640625" bestFit="1" customWidth="1"/>
    <col min="16" max="16" width="14.83203125" bestFit="1" customWidth="1"/>
    <col min="17" max="17" width="15.6640625" bestFit="1" customWidth="1"/>
    <col min="18" max="18" width="20.1640625" bestFit="1" customWidth="1"/>
  </cols>
  <sheetData>
    <row r="1" spans="1:18" x14ac:dyDescent="0.2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</row>
    <row r="2" spans="1:18" x14ac:dyDescent="0.2">
      <c r="A2" s="1">
        <v>45978</v>
      </c>
      <c r="B2" s="2">
        <v>0.91666666666666663</v>
      </c>
      <c r="C2" s="17" t="s">
        <v>31</v>
      </c>
      <c r="D2" s="17" t="s">
        <v>55</v>
      </c>
      <c r="E2" s="17" t="s">
        <v>31</v>
      </c>
      <c r="F2" s="12">
        <v>0.96</v>
      </c>
      <c r="G2" s="12">
        <v>0.04</v>
      </c>
      <c r="H2" s="12">
        <v>0.96</v>
      </c>
      <c r="I2">
        <v>5</v>
      </c>
      <c r="J2">
        <v>4</v>
      </c>
      <c r="K2" s="17" t="s">
        <v>31</v>
      </c>
      <c r="L2" s="12">
        <v>0.7555164205687791</v>
      </c>
      <c r="M2">
        <v>0.80245089249636459</v>
      </c>
      <c r="N2" s="17" t="s">
        <v>60</v>
      </c>
      <c r="O2" s="17" t="s">
        <v>60</v>
      </c>
      <c r="P2" s="17" t="s">
        <v>60</v>
      </c>
      <c r="Q2" s="17" t="s">
        <v>278</v>
      </c>
      <c r="R2" s="17" t="s">
        <v>279</v>
      </c>
    </row>
    <row r="3" spans="1:18" x14ac:dyDescent="0.2">
      <c r="A3" s="1">
        <v>45978</v>
      </c>
      <c r="B3" s="2">
        <v>0.79166666666666663</v>
      </c>
      <c r="C3" s="17" t="s">
        <v>21</v>
      </c>
      <c r="D3" s="17" t="s">
        <v>25</v>
      </c>
      <c r="E3" s="17" t="s">
        <v>21</v>
      </c>
      <c r="F3" s="12">
        <v>0.54633258733827395</v>
      </c>
      <c r="G3" s="12">
        <v>0.453667412661726</v>
      </c>
      <c r="H3" s="12">
        <v>0.54633258733827395</v>
      </c>
      <c r="I3">
        <v>4</v>
      </c>
      <c r="J3">
        <v>3</v>
      </c>
      <c r="K3" s="17" t="s">
        <v>25</v>
      </c>
      <c r="L3" s="12">
        <v>0.54325534193164859</v>
      </c>
      <c r="M3">
        <v>-0.46907548361279577</v>
      </c>
      <c r="N3" s="17" t="s">
        <v>60</v>
      </c>
      <c r="O3" s="17" t="s">
        <v>60</v>
      </c>
      <c r="P3" s="17" t="s">
        <v>60</v>
      </c>
      <c r="Q3" s="17" t="s">
        <v>278</v>
      </c>
      <c r="R3" s="17" t="s">
        <v>279</v>
      </c>
    </row>
    <row r="4" spans="1:18" x14ac:dyDescent="0.2">
      <c r="A4" s="1">
        <v>45978</v>
      </c>
      <c r="B4" s="2">
        <v>0.79166666666666663</v>
      </c>
      <c r="C4" s="17" t="s">
        <v>23</v>
      </c>
      <c r="D4" s="17" t="s">
        <v>17</v>
      </c>
      <c r="E4" s="17" t="s">
        <v>23</v>
      </c>
      <c r="F4" s="12">
        <v>0.55495661976911981</v>
      </c>
      <c r="G4" s="12">
        <v>0.44504338023088019</v>
      </c>
      <c r="H4" s="12">
        <v>0.55495661976911981</v>
      </c>
      <c r="I4">
        <v>4</v>
      </c>
      <c r="J4">
        <v>3</v>
      </c>
      <c r="K4" s="17" t="s">
        <v>17</v>
      </c>
      <c r="L4" s="12">
        <v>0.4719106254189383</v>
      </c>
      <c r="M4">
        <v>-8.5960885212215593E-2</v>
      </c>
      <c r="N4" s="17" t="s">
        <v>60</v>
      </c>
      <c r="O4" s="17" t="s">
        <v>60</v>
      </c>
      <c r="P4" s="17" t="s">
        <v>60</v>
      </c>
      <c r="Q4" s="17" t="s">
        <v>278</v>
      </c>
      <c r="R4" s="17" t="s">
        <v>279</v>
      </c>
    </row>
    <row r="5" spans="1:18" x14ac:dyDescent="0.2">
      <c r="A5" s="1">
        <v>45978</v>
      </c>
      <c r="B5" s="2">
        <v>0.8125</v>
      </c>
      <c r="C5" s="17" t="s">
        <v>28</v>
      </c>
      <c r="D5" s="17" t="s">
        <v>18</v>
      </c>
      <c r="E5" s="17" t="s">
        <v>18</v>
      </c>
      <c r="F5" s="12">
        <v>0.2902847010086092</v>
      </c>
      <c r="G5" s="12">
        <v>0.70971529899139052</v>
      </c>
      <c r="H5" s="12">
        <v>0.70971529899139052</v>
      </c>
      <c r="I5">
        <v>3</v>
      </c>
      <c r="J5">
        <v>4</v>
      </c>
      <c r="K5" s="17" t="s">
        <v>28</v>
      </c>
      <c r="L5" s="12">
        <v>0.50213932370766312</v>
      </c>
      <c r="M5">
        <v>0.2787267808677179</v>
      </c>
      <c r="N5" s="17" t="s">
        <v>60</v>
      </c>
      <c r="O5" s="17" t="s">
        <v>60</v>
      </c>
      <c r="P5" s="17" t="s">
        <v>60</v>
      </c>
      <c r="Q5" s="17" t="s">
        <v>278</v>
      </c>
      <c r="R5" s="17" t="s">
        <v>279</v>
      </c>
    </row>
    <row r="6" spans="1:18" x14ac:dyDescent="0.2">
      <c r="A6" s="1">
        <v>45978</v>
      </c>
      <c r="B6" s="2">
        <v>0.79166666666666663</v>
      </c>
      <c r="C6" s="17" t="s">
        <v>11</v>
      </c>
      <c r="D6" s="17" t="s">
        <v>38</v>
      </c>
      <c r="E6" s="17" t="s">
        <v>38</v>
      </c>
      <c r="F6" s="12">
        <v>0.42337768959435612</v>
      </c>
      <c r="G6" s="12">
        <v>0.57662231040564371</v>
      </c>
      <c r="H6" s="12">
        <v>0.57662231040564371</v>
      </c>
      <c r="I6">
        <v>4</v>
      </c>
      <c r="J6">
        <v>5</v>
      </c>
      <c r="K6" s="17" t="s">
        <v>11</v>
      </c>
      <c r="L6" s="12">
        <v>0.6292170229473768</v>
      </c>
      <c r="M6">
        <v>0.57172190182435711</v>
      </c>
      <c r="N6" s="17" t="s">
        <v>60</v>
      </c>
      <c r="O6" s="17" t="s">
        <v>60</v>
      </c>
      <c r="P6" s="17" t="s">
        <v>60</v>
      </c>
      <c r="Q6" s="17" t="s">
        <v>278</v>
      </c>
      <c r="R6" s="17" t="s">
        <v>279</v>
      </c>
    </row>
    <row r="7" spans="1:18" x14ac:dyDescent="0.2">
      <c r="A7" s="1">
        <v>45978</v>
      </c>
      <c r="B7" s="2">
        <v>0.79166666666666663</v>
      </c>
      <c r="C7" s="17" t="s">
        <v>22</v>
      </c>
      <c r="D7" s="17" t="s">
        <v>13</v>
      </c>
      <c r="E7" s="17" t="s">
        <v>13</v>
      </c>
      <c r="F7" s="12">
        <v>0.15496954461946719</v>
      </c>
      <c r="G7" s="12">
        <v>0.8450304553805329</v>
      </c>
      <c r="H7" s="12">
        <v>0.8450304553805329</v>
      </c>
      <c r="I7">
        <v>1</v>
      </c>
      <c r="J7">
        <v>4</v>
      </c>
      <c r="K7" s="17" t="s">
        <v>22</v>
      </c>
      <c r="L7" s="12">
        <v>0.44309117868583608</v>
      </c>
      <c r="M7">
        <v>0.17672317847452751</v>
      </c>
      <c r="N7" s="17" t="s">
        <v>60</v>
      </c>
      <c r="O7" s="17" t="s">
        <v>60</v>
      </c>
      <c r="P7" s="17" t="s">
        <v>60</v>
      </c>
      <c r="Q7" s="17" t="s">
        <v>278</v>
      </c>
      <c r="R7" s="17" t="s">
        <v>279</v>
      </c>
    </row>
    <row r="8" spans="1:18" x14ac:dyDescent="0.2">
      <c r="A8" s="1">
        <v>45979</v>
      </c>
      <c r="B8" s="2">
        <v>0.85416666666666663</v>
      </c>
      <c r="C8" s="17" t="s">
        <v>10</v>
      </c>
      <c r="D8" s="17" t="s">
        <v>16</v>
      </c>
      <c r="E8" s="17" t="s">
        <v>10</v>
      </c>
      <c r="F8" s="18">
        <v>0.66520562770562774</v>
      </c>
      <c r="G8" s="18">
        <v>0.33479437229437226</v>
      </c>
      <c r="H8" s="18">
        <v>0.66520562770562774</v>
      </c>
      <c r="I8">
        <v>5</v>
      </c>
      <c r="J8">
        <v>4</v>
      </c>
      <c r="K8" s="17" t="s">
        <v>10</v>
      </c>
      <c r="L8" s="18">
        <v>0.80838142364741761</v>
      </c>
      <c r="M8">
        <v>1.8724689142200299</v>
      </c>
      <c r="N8" s="17" t="s">
        <v>60</v>
      </c>
      <c r="O8" s="17" t="s">
        <v>60</v>
      </c>
      <c r="P8" s="17" t="s">
        <v>60</v>
      </c>
      <c r="Q8" s="17" t="s">
        <v>278</v>
      </c>
      <c r="R8" s="17" t="s">
        <v>279</v>
      </c>
    </row>
    <row r="9" spans="1:18" x14ac:dyDescent="0.2">
      <c r="A9" s="1">
        <v>45979</v>
      </c>
      <c r="B9" s="2">
        <v>0.83333333333333337</v>
      </c>
      <c r="C9" s="17" t="s">
        <v>39</v>
      </c>
      <c r="D9" s="17" t="s">
        <v>30</v>
      </c>
      <c r="E9" s="17" t="s">
        <v>39</v>
      </c>
      <c r="F9" s="18">
        <v>0.60157562977957713</v>
      </c>
      <c r="G9" s="18">
        <v>0.39842437022042282</v>
      </c>
      <c r="H9" s="18">
        <v>0.60157562977957713</v>
      </c>
      <c r="I9">
        <v>4</v>
      </c>
      <c r="J9">
        <v>3</v>
      </c>
      <c r="K9" s="17" t="s">
        <v>39</v>
      </c>
      <c r="L9" s="18">
        <v>0.58560362912245234</v>
      </c>
      <c r="M9">
        <v>0.43113096170361953</v>
      </c>
      <c r="N9" s="17" t="s">
        <v>60</v>
      </c>
      <c r="O9" s="17" t="s">
        <v>60</v>
      </c>
      <c r="P9" s="17" t="s">
        <v>60</v>
      </c>
      <c r="Q9" s="17" t="s">
        <v>278</v>
      </c>
      <c r="R9" s="17" t="s">
        <v>279</v>
      </c>
    </row>
    <row r="10" spans="1:18" x14ac:dyDescent="0.2">
      <c r="A10" s="1">
        <v>45979</v>
      </c>
      <c r="B10" s="2">
        <v>0.79166666666666663</v>
      </c>
      <c r="C10" s="17" t="s">
        <v>26</v>
      </c>
      <c r="D10" s="17" t="s">
        <v>32</v>
      </c>
      <c r="E10" s="17" t="s">
        <v>26</v>
      </c>
      <c r="F10" s="18">
        <v>0.51584464840714839</v>
      </c>
      <c r="G10" s="18">
        <v>0.4841553515928515</v>
      </c>
      <c r="H10" s="18">
        <v>0.51584464840714839</v>
      </c>
      <c r="I10">
        <v>4</v>
      </c>
      <c r="J10">
        <v>3</v>
      </c>
      <c r="K10" s="17" t="s">
        <v>26</v>
      </c>
      <c r="L10" s="18">
        <v>0.57435213805833296</v>
      </c>
      <c r="M10">
        <v>5.8008708149805244E-2</v>
      </c>
      <c r="N10" s="17" t="s">
        <v>60</v>
      </c>
      <c r="O10" s="17" t="s">
        <v>60</v>
      </c>
      <c r="P10" s="17" t="s">
        <v>60</v>
      </c>
      <c r="Q10" s="17" t="s">
        <v>278</v>
      </c>
      <c r="R10" s="17" t="s">
        <v>279</v>
      </c>
    </row>
    <row r="11" spans="1:18" x14ac:dyDescent="0.2">
      <c r="A11" s="1">
        <v>45979</v>
      </c>
      <c r="B11" s="2">
        <v>0.91666666666666663</v>
      </c>
      <c r="C11" s="17" t="s">
        <v>33</v>
      </c>
      <c r="D11" s="17" t="s">
        <v>55</v>
      </c>
      <c r="E11" s="17" t="s">
        <v>33</v>
      </c>
      <c r="F11" s="18">
        <v>0.51422643535024792</v>
      </c>
      <c r="G11" s="18">
        <v>0.48577356464975202</v>
      </c>
      <c r="H11" s="18">
        <v>0.51422643535024792</v>
      </c>
      <c r="I11">
        <v>4</v>
      </c>
      <c r="J11">
        <v>3</v>
      </c>
      <c r="K11" s="17" t="s">
        <v>55</v>
      </c>
      <c r="L11" s="18">
        <v>0.47207673823452112</v>
      </c>
      <c r="M11">
        <v>-8.4258130171562168E-2</v>
      </c>
      <c r="N11" s="17" t="s">
        <v>60</v>
      </c>
      <c r="O11" s="17" t="s">
        <v>60</v>
      </c>
      <c r="P11" s="17" t="s">
        <v>60</v>
      </c>
      <c r="Q11" s="17" t="s">
        <v>278</v>
      </c>
      <c r="R11" s="17" t="s">
        <v>279</v>
      </c>
    </row>
    <row r="12" spans="1:18" x14ac:dyDescent="0.2">
      <c r="A12" s="1">
        <v>45979</v>
      </c>
      <c r="B12" s="2">
        <v>0.79166666666666663</v>
      </c>
      <c r="C12" s="17" t="s">
        <v>37</v>
      </c>
      <c r="D12" s="17" t="s">
        <v>24</v>
      </c>
      <c r="E12" s="17" t="s">
        <v>24</v>
      </c>
      <c r="F12" s="18">
        <v>0.33995158638964801</v>
      </c>
      <c r="G12" s="18">
        <v>0.66004841361035194</v>
      </c>
      <c r="H12" s="18">
        <v>0.66004841361035194</v>
      </c>
      <c r="I12">
        <v>3</v>
      </c>
      <c r="J12">
        <v>4</v>
      </c>
      <c r="K12" s="17" t="s">
        <v>24</v>
      </c>
      <c r="L12" s="18">
        <v>0.59697883323181122</v>
      </c>
      <c r="M12">
        <v>-0.49300861074158664</v>
      </c>
      <c r="N12" s="17" t="s">
        <v>60</v>
      </c>
      <c r="O12" s="17" t="s">
        <v>60</v>
      </c>
      <c r="P12" s="17" t="s">
        <v>60</v>
      </c>
      <c r="Q12" s="17" t="s">
        <v>278</v>
      </c>
      <c r="R12" s="17" t="s">
        <v>279</v>
      </c>
    </row>
    <row r="13" spans="1:18" x14ac:dyDescent="0.2">
      <c r="A13" s="1">
        <v>45979</v>
      </c>
      <c r="B13" s="2">
        <v>0.79166666666666663</v>
      </c>
      <c r="C13" s="17" t="s">
        <v>19</v>
      </c>
      <c r="D13" s="17" t="s">
        <v>35</v>
      </c>
      <c r="E13" s="17" t="s">
        <v>19</v>
      </c>
      <c r="F13" s="18">
        <v>0.59172835131345569</v>
      </c>
      <c r="G13" s="18">
        <v>0.40827164868654431</v>
      </c>
      <c r="H13" s="18">
        <v>0.59172835131345569</v>
      </c>
      <c r="I13">
        <v>4</v>
      </c>
      <c r="J13">
        <v>3</v>
      </c>
      <c r="K13" s="17" t="s">
        <v>19</v>
      </c>
      <c r="L13" s="18">
        <v>0.71074017418949764</v>
      </c>
      <c r="M13">
        <v>1.1912362049258531</v>
      </c>
      <c r="N13" s="17" t="s">
        <v>60</v>
      </c>
      <c r="O13" s="17" t="s">
        <v>60</v>
      </c>
      <c r="P13" s="17" t="s">
        <v>60</v>
      </c>
      <c r="Q13" s="17" t="s">
        <v>278</v>
      </c>
      <c r="R13" s="17" t="s">
        <v>279</v>
      </c>
    </row>
    <row r="14" spans="1:18" x14ac:dyDescent="0.2">
      <c r="A14" s="1">
        <v>45979</v>
      </c>
      <c r="B14" s="2">
        <v>0.91666666666666663</v>
      </c>
      <c r="C14" s="17" t="s">
        <v>20</v>
      </c>
      <c r="D14" s="17" t="s">
        <v>15</v>
      </c>
      <c r="E14" s="17" t="s">
        <v>15</v>
      </c>
      <c r="F14" s="18">
        <v>0.44074950592885381</v>
      </c>
      <c r="G14" s="18">
        <v>0.55925049407114624</v>
      </c>
      <c r="H14" s="18">
        <v>0.55925049407114624</v>
      </c>
      <c r="I14">
        <v>4</v>
      </c>
      <c r="J14">
        <v>5</v>
      </c>
      <c r="K14" s="17" t="s">
        <v>20</v>
      </c>
      <c r="L14" s="18">
        <v>0.47093187454199859</v>
      </c>
      <c r="M14">
        <v>0.51169600909092638</v>
      </c>
      <c r="N14" s="17" t="s">
        <v>60</v>
      </c>
      <c r="O14" s="17" t="s">
        <v>60</v>
      </c>
      <c r="P14" s="17" t="s">
        <v>60</v>
      </c>
      <c r="Q14" s="17" t="s">
        <v>278</v>
      </c>
      <c r="R14" s="17" t="s">
        <v>279</v>
      </c>
    </row>
    <row r="15" spans="1:18" x14ac:dyDescent="0.2">
      <c r="A15" s="1">
        <v>45979</v>
      </c>
      <c r="B15" s="2">
        <v>0.83333333333333337</v>
      </c>
      <c r="C15" s="17" t="s">
        <v>40</v>
      </c>
      <c r="D15" s="17" t="s">
        <v>28</v>
      </c>
      <c r="E15" s="17" t="s">
        <v>40</v>
      </c>
      <c r="F15" s="18">
        <v>0.6755580750420016</v>
      </c>
      <c r="G15" s="18">
        <v>0.3244419249579984</v>
      </c>
      <c r="H15" s="18">
        <v>0.6755580750420016</v>
      </c>
      <c r="I15">
        <v>4</v>
      </c>
      <c r="J15">
        <v>3</v>
      </c>
      <c r="K15" s="17" t="s">
        <v>40</v>
      </c>
      <c r="L15" s="18">
        <v>0.64974885182158759</v>
      </c>
      <c r="M15">
        <v>0.65717670317514765</v>
      </c>
      <c r="N15" s="17" t="s">
        <v>60</v>
      </c>
      <c r="O15" s="17" t="s">
        <v>60</v>
      </c>
      <c r="P15" s="17" t="s">
        <v>60</v>
      </c>
      <c r="Q15" s="17" t="s">
        <v>278</v>
      </c>
      <c r="R15" s="17" t="s">
        <v>279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NHL2025-26Results</vt:lpstr>
      <vt:lpstr>NHL Model</vt:lpstr>
      <vt:lpstr>NHL HomeIce Model</vt:lpstr>
      <vt:lpstr>Standings</vt:lpstr>
      <vt:lpstr>ML Prediction Model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2025-11-18T14:30:42Z</dcterms:modified>
</cp:coreProperties>
</file>