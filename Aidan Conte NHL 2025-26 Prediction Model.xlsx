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48" documentId="14_{BC0C37BD-5950-BD49-823D-87212FE79B51}" xr6:coauthVersionLast="47" xr6:coauthVersionMax="47" xr10:uidLastSave="{46487565-ABB1-B546-BE4A-FB76A3AE504A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Model'!$A$1:$T$197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2" i="1" l="1"/>
  <c r="H612" i="1" s="1"/>
  <c r="I612" i="1"/>
  <c r="G613" i="1"/>
  <c r="H613" i="1"/>
  <c r="I613" i="1"/>
  <c r="J613" i="1" s="1"/>
  <c r="G614" i="1"/>
  <c r="H614" i="1"/>
  <c r="I614" i="1"/>
  <c r="G615" i="1"/>
  <c r="H615" i="1"/>
  <c r="I615" i="1"/>
  <c r="J615" i="1" s="1"/>
  <c r="G616" i="1"/>
  <c r="H616" i="1"/>
  <c r="I616" i="1"/>
  <c r="G617" i="1"/>
  <c r="H617" i="1"/>
  <c r="I617" i="1"/>
  <c r="J617" i="1" s="1"/>
  <c r="G618" i="1"/>
  <c r="H618" i="1"/>
  <c r="I618" i="1"/>
  <c r="G619" i="1"/>
  <c r="H619" i="1"/>
  <c r="I619" i="1"/>
  <c r="J619" i="1" s="1"/>
  <c r="G620" i="1"/>
  <c r="H620" i="1"/>
  <c r="I620" i="1"/>
  <c r="G621" i="1"/>
  <c r="H621" i="1"/>
  <c r="I621" i="1"/>
  <c r="J621" i="1" s="1"/>
  <c r="G622" i="1"/>
  <c r="H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H608" i="1" s="1"/>
  <c r="I608" i="1"/>
  <c r="G609" i="1"/>
  <c r="I609" i="1"/>
  <c r="G610" i="1"/>
  <c r="I610" i="1"/>
  <c r="G611" i="1"/>
  <c r="H611" i="1" s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H602" i="1" s="1"/>
  <c r="I602" i="1"/>
  <c r="G603" i="1"/>
  <c r="H603" i="1" s="1"/>
  <c r="I603" i="1"/>
  <c r="G604" i="1"/>
  <c r="I604" i="1"/>
  <c r="G605" i="1"/>
  <c r="H605" i="1" s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16" i="1" l="1"/>
  <c r="J622" i="1"/>
  <c r="J618" i="1"/>
  <c r="J620" i="1"/>
  <c r="J614" i="1"/>
  <c r="J612" i="1"/>
  <c r="H609" i="1"/>
  <c r="H596" i="1"/>
  <c r="H607" i="1"/>
  <c r="J607" i="1" s="1"/>
  <c r="H594" i="1"/>
  <c r="J594" i="1" s="1"/>
  <c r="H610" i="1"/>
  <c r="H589" i="1"/>
  <c r="J589" i="1" s="1"/>
  <c r="J611" i="1"/>
  <c r="J609" i="1"/>
  <c r="J608" i="1"/>
  <c r="J610" i="1"/>
  <c r="H586" i="1"/>
  <c r="H587" i="1"/>
  <c r="J587" i="1" s="1"/>
  <c r="H604" i="1"/>
  <c r="J604" i="1" s="1"/>
  <c r="H591" i="1"/>
  <c r="H582" i="1"/>
  <c r="J582" i="1" s="1"/>
  <c r="H600" i="1"/>
  <c r="J600" i="1" s="1"/>
  <c r="H592" i="1"/>
  <c r="J592" i="1" s="1"/>
  <c r="H601" i="1"/>
  <c r="H593" i="1"/>
  <c r="J593" i="1" s="1"/>
  <c r="J596" i="1"/>
  <c r="H598" i="1"/>
  <c r="J598" i="1" s="1"/>
  <c r="J606" i="1"/>
  <c r="H595" i="1"/>
  <c r="J595" i="1" s="1"/>
  <c r="J603" i="1"/>
  <c r="J597" i="1"/>
  <c r="J601" i="1"/>
  <c r="J605" i="1"/>
  <c r="J602" i="1"/>
  <c r="H599" i="1"/>
  <c r="J599" i="1" s="1"/>
  <c r="H585" i="1"/>
  <c r="J585" i="1" s="1"/>
  <c r="H590" i="1"/>
  <c r="J590" i="1" s="1"/>
  <c r="H584" i="1"/>
  <c r="J584" i="1" s="1"/>
  <c r="J581" i="1"/>
  <c r="J591" i="1"/>
  <c r="J583" i="1"/>
  <c r="J586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96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36" i="4" l="1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<sst xmlns="http://schemas.openxmlformats.org/spreadsheetml/2006/main" count="21257" uniqueCount="2842">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</sst>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97" tableType="queryTable" totalsRowShown="0">
  <autoFilter ref="A1:T197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87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D618" t="s">
        <v>10</v>
      </c>
      <c r="F618" t="s">
        <v>60</v>
      </c>
    </row>
    <row r="619" spans="1:10" x14ac:dyDescent="0.2">
      <c r="A619" t="s">
        <v>77</v>
      </c>
      <c r="B619" t="s">
        <v>18</v>
      </c>
      <c r="D619" t="s">
        <v>11</v>
      </c>
      <c r="F619" t="s">
        <v>60</v>
      </c>
    </row>
    <row r="620" spans="1:10" x14ac:dyDescent="0.2">
      <c r="A620" t="s">
        <v>77</v>
      </c>
      <c r="B620" t="s">
        <v>25</v>
      </c>
      <c r="D620" t="s">
        <v>14</v>
      </c>
      <c r="F620" t="s">
        <v>60</v>
      </c>
    </row>
    <row r="621" spans="1:10" x14ac:dyDescent="0.2">
      <c r="A621" t="s">
        <v>77</v>
      </c>
      <c r="B621" t="s">
        <v>24</v>
      </c>
      <c r="D621" t="s">
        <v>19</v>
      </c>
      <c r="F621" t="s">
        <v>60</v>
      </c>
    </row>
    <row r="622" spans="1:10" x14ac:dyDescent="0.2">
      <c r="A622" t="s">
        <v>77</v>
      </c>
      <c r="B622" t="s">
        <v>27</v>
      </c>
      <c r="D622" t="s">
        <v>38</v>
      </c>
      <c r="F622" t="s">
        <v>60</v>
      </c>
    </row>
    <row r="623" spans="1:10" x14ac:dyDescent="0.2">
      <c r="A623" t="s">
        <v>78</v>
      </c>
      <c r="B623" t="s">
        <v>37</v>
      </c>
      <c r="D623" t="s">
        <v>31</v>
      </c>
      <c r="F623" t="s">
        <v>60</v>
      </c>
    </row>
    <row r="624" spans="1:10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6.8624820120302604E-2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3600.7940947289194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-4.3195749724159979E-4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0.7647394475909941</v>
      </c>
      <c r="J7">
        <f>(Table3[[#This Row],[HomeMargin]]-Table3[[#This Row],[HomeForecast]])^2</f>
        <v>5.5347527519790607E-2</v>
      </c>
    </row>
    <row r="8" spans="1:10" x14ac:dyDescent="0.2">
      <c r="A8" s="4" t="s">
        <v>21</v>
      </c>
      <c r="B8">
        <v>-6.6683170548020518E-2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-1.7094421896991414</v>
      </c>
      <c r="J8">
        <f>(Table3[[#This Row],[HomeMargin]]-Table3[[#This Row],[HomeForecast]])^2</f>
        <v>1.6655394617285468</v>
      </c>
    </row>
    <row r="9" spans="1:10" x14ac:dyDescent="0.2">
      <c r="A9" s="4" t="s">
        <v>23</v>
      </c>
      <c r="B9">
        <v>8.4418744674710666E-2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0.22997041758360934</v>
      </c>
      <c r="J9">
        <f>(Table3[[#This Row],[HomeMargin]]-Table3[[#This Row],[HomeForecast]])^2</f>
        <v>10.432708898465235</v>
      </c>
    </row>
    <row r="10" spans="1:10" x14ac:dyDescent="0.2">
      <c r="A10" s="4" t="s">
        <v>16</v>
      </c>
      <c r="B10">
        <v>-0.31883717525004912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0.55584699737229903</v>
      </c>
      <c r="J10">
        <f>(Table3[[#This Row],[HomeMargin]]-Table3[[#This Row],[HomeForecast]])^2</f>
        <v>2.4206598792323986</v>
      </c>
    </row>
    <row r="11" spans="1:10" x14ac:dyDescent="0.2">
      <c r="A11" s="4" t="s">
        <v>25</v>
      </c>
      <c r="B11">
        <v>0.64590845617425174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-5.4226750808034352E-2</v>
      </c>
      <c r="J11">
        <f>(Table3[[#This Row],[HomeMargin]]-Table3[[#This Row],[HomeForecast]])^2</f>
        <v>9.3283010453514024</v>
      </c>
    </row>
    <row r="12" spans="1:10" x14ac:dyDescent="0.2">
      <c r="A12" s="4" t="s">
        <v>10</v>
      </c>
      <c r="B12">
        <v>-0.45443544272009573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0.24930503339766605</v>
      </c>
      <c r="J12">
        <f>(Table3[[#This Row],[HomeMargin]]-Table3[[#This Row],[HomeForecast]])^2</f>
        <v>1.5607630664727437</v>
      </c>
    </row>
    <row r="13" spans="1:10" x14ac:dyDescent="0.2">
      <c r="A13" s="4" t="s">
        <v>12</v>
      </c>
      <c r="B13">
        <v>1.8165919516425306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0.58437621798953432</v>
      </c>
      <c r="J13">
        <f>(Table3[[#This Row],[HomeMargin]]-Table3[[#This Row],[HomeForecast]])^2</f>
        <v>6.679000436109888</v>
      </c>
    </row>
    <row r="14" spans="1:10" x14ac:dyDescent="0.2">
      <c r="A14" s="4" t="s">
        <v>28</v>
      </c>
      <c r="B14">
        <v>-0.16769781981623849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0.45637709229237783</v>
      </c>
      <c r="J14">
        <f>(Table3[[#This Row],[HomeMargin]]-Table3[[#This Row],[HomeForecast]])^2</f>
        <v>0.29552586578448997</v>
      </c>
    </row>
    <row r="15" spans="1:10" x14ac:dyDescent="0.2">
      <c r="A15" s="4" t="s">
        <v>39</v>
      </c>
      <c r="B15">
        <v>0.92184375119443818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9.3428374801585001E-2</v>
      </c>
      <c r="J15">
        <f>(Table3[[#This Row],[HomeMargin]]-Table3[[#This Row],[HomeForecast]])^2</f>
        <v>16.756155859630745</v>
      </c>
    </row>
    <row r="16" spans="1:10" x14ac:dyDescent="0.2">
      <c r="A16" s="4" t="s">
        <v>26</v>
      </c>
      <c r="B16">
        <v>-8.7991118744577684E-2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0.69837171853375057</v>
      </c>
      <c r="J16">
        <f>(Table3[[#This Row],[HomeMargin]]-Table3[[#This Row],[HomeForecast]])^2</f>
        <v>5.2974927460452808</v>
      </c>
    </row>
    <row r="17" spans="1:10" x14ac:dyDescent="0.2">
      <c r="A17" s="4" t="s">
        <v>17</v>
      </c>
      <c r="B17">
        <v>0.16838500200194736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1.7068244660496847</v>
      </c>
      <c r="J17">
        <f>(Table3[[#This Row],[HomeMargin]]-Table3[[#This Row],[HomeForecast]])^2</f>
        <v>0.49960082580642196</v>
      </c>
    </row>
    <row r="18" spans="1:10" x14ac:dyDescent="0.2">
      <c r="A18" s="4" t="s">
        <v>11</v>
      </c>
      <c r="B18">
        <v>0.24167918475059574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-1.2790326013800731E-2</v>
      </c>
      <c r="J18">
        <f>(Table3[[#This Row],[HomeMargin]]-Table3[[#This Row],[HomeForecast]])^2</f>
        <v>15.897840984329134</v>
      </c>
    </row>
    <row r="19" spans="1:10" x14ac:dyDescent="0.2">
      <c r="A19" s="4" t="s">
        <v>13</v>
      </c>
      <c r="B19">
        <v>3.852494182308655E-2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6.7689480130371404E-2</v>
      </c>
      <c r="J19">
        <f>(Table3[[#This Row],[HomeMargin]]-Table3[[#This Row],[HomeForecast]])^2</f>
        <v>0.86920290545957724</v>
      </c>
    </row>
    <row r="20" spans="1:10" x14ac:dyDescent="0.2">
      <c r="A20" s="4" t="s">
        <v>34</v>
      </c>
      <c r="B20">
        <v>0.65260146250136963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-6.8690538055282052E-2</v>
      </c>
      <c r="J20">
        <f>(Table3[[#This Row],[HomeMargin]]-Table3[[#This Row],[HomeForecast]])^2</f>
        <v>1.1420994661288881</v>
      </c>
    </row>
    <row r="21" spans="1:10" x14ac:dyDescent="0.2">
      <c r="A21" s="4" t="s">
        <v>18</v>
      </c>
      <c r="B21">
        <v>-6.5759726104743493E-3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-0.32151549748104052</v>
      </c>
      <c r="J21">
        <f>(Table3[[#This Row],[HomeMargin]]-Table3[[#This Row],[HomeForecast]])^2</f>
        <v>1.7464032100825622</v>
      </c>
    </row>
    <row r="22" spans="1:10" x14ac:dyDescent="0.2">
      <c r="A22" s="4" t="s">
        <v>29</v>
      </c>
      <c r="B22">
        <v>-0.30501317799182315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-0.28972581834355121</v>
      </c>
      <c r="J22">
        <f>(Table3[[#This Row],[HomeMargin]]-Table3[[#This Row],[HomeForecast]])^2</f>
        <v>5.242844323189046</v>
      </c>
    </row>
    <row r="23" spans="1:10" x14ac:dyDescent="0.2">
      <c r="A23" s="4" t="s">
        <v>24</v>
      </c>
      <c r="B23">
        <v>1.6161557760803764E-2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-0.36719948952276044</v>
      </c>
      <c r="J23">
        <f>(Table3[[#This Row],[HomeMargin]]-Table3[[#This Row],[HomeForecast]])^2</f>
        <v>0.40043648606025506</v>
      </c>
    </row>
    <row r="24" spans="1:10" x14ac:dyDescent="0.2">
      <c r="A24" s="4" t="s">
        <v>30</v>
      </c>
      <c r="B24">
        <v>0.28840991013146466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-1.5013341118176231</v>
      </c>
      <c r="J24">
        <f>(Table3[[#This Row],[HomeMargin]]-Table3[[#This Row],[HomeForecast]])^2</f>
        <v>12.240662997130981</v>
      </c>
    </row>
    <row r="25" spans="1:10" x14ac:dyDescent="0.2">
      <c r="A25" s="4" t="s">
        <v>15</v>
      </c>
      <c r="B25">
        <v>5.9615189993428262E-2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0.79222490754903963</v>
      </c>
      <c r="J25">
        <f>(Table3[[#This Row],[HomeMargin]]-Table3[[#This Row],[HomeForecast]])^2</f>
        <v>3.2120701192391632</v>
      </c>
    </row>
    <row r="26" spans="1:10" x14ac:dyDescent="0.2">
      <c r="A26" s="4" t="s">
        <v>36</v>
      </c>
      <c r="B26">
        <v>5.0237013717083105E-2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-2.4791651416936011E-2</v>
      </c>
      <c r="J26">
        <f>(Table3[[#This Row],[HomeMargin]]-Table3[[#This Row],[HomeForecast]])^2</f>
        <v>16.198947837315465</v>
      </c>
    </row>
    <row r="27" spans="1:10" x14ac:dyDescent="0.2">
      <c r="A27" s="4" t="s">
        <v>27</v>
      </c>
      <c r="B27">
        <v>0.24261452474052697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-0.91314394316961411</v>
      </c>
      <c r="J27">
        <f>(Table3[[#This Row],[HomeMargin]]-Table3[[#This Row],[HomeForecast]])^2</f>
        <v>7.543974608123223E-3</v>
      </c>
    </row>
    <row r="28" spans="1:10" x14ac:dyDescent="0.2">
      <c r="A28" s="4" t="s">
        <v>14</v>
      </c>
      <c r="B28">
        <v>-0.10173040746987846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-8.247709510242858E-2</v>
      </c>
      <c r="J28">
        <f>(Table3[[#This Row],[HomeMargin]]-Table3[[#This Row],[HomeForecast]])^2</f>
        <v>4.3367108516262487</v>
      </c>
    </row>
    <row r="29" spans="1:10" x14ac:dyDescent="0.2">
      <c r="A29" s="4" t="s">
        <v>33</v>
      </c>
      <c r="B29">
        <v>-0.21661915454261307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0.47191875155402735</v>
      </c>
      <c r="J29">
        <f>(Table3[[#This Row],[HomeMargin]]-Table3[[#This Row],[HomeForecast]])^2</f>
        <v>0.27886980496025715</v>
      </c>
    </row>
    <row r="30" spans="1:10" x14ac:dyDescent="0.2">
      <c r="A30" s="4" t="s">
        <v>32</v>
      </c>
      <c r="B30">
        <v>-0.35878259596109546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0.66714511430680967</v>
      </c>
      <c r="J30">
        <f>(Table3[[#This Row],[HomeMargin]]-Table3[[#This Row],[HomeForecast]])^2</f>
        <v>7.1136630607706861</v>
      </c>
    </row>
    <row r="31" spans="1:10" x14ac:dyDescent="0.2">
      <c r="A31" s="4" t="s">
        <v>35</v>
      </c>
      <c r="B31">
        <v>-0.91735746943655616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-0.37923464998931883</v>
      </c>
      <c r="J31">
        <f>(Table3[[#This Row],[HomeMargin]]-Table3[[#This Row],[HomeForecast]])^2</f>
        <v>0.38534961977388343</v>
      </c>
    </row>
    <row r="32" spans="1:10" x14ac:dyDescent="0.2">
      <c r="A32" s="4" t="s">
        <v>37</v>
      </c>
      <c r="B32">
        <v>0.77383710114582016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0.96337302056839502</v>
      </c>
      <c r="J32">
        <f>(Table3[[#This Row],[HomeMargin]]-Table3[[#This Row],[HomeForecast]])^2</f>
        <v>3.8548336178958631</v>
      </c>
    </row>
    <row r="33" spans="1:10" x14ac:dyDescent="0.2">
      <c r="A33" s="4" t="s">
        <v>19</v>
      </c>
      <c r="B33">
        <v>-0.12942754353881131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0.11006124491453623</v>
      </c>
      <c r="J33">
        <f>(Table3[[#This Row],[HomeMargin]]-Table3[[#This Row],[HomeForecast]])^2</f>
        <v>8.3517460081449197</v>
      </c>
    </row>
    <row r="34" spans="1:10" x14ac:dyDescent="0.2">
      <c r="A34" t="s">
        <v>55</v>
      </c>
      <c r="B34">
        <v>0.17839230571314843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0.64926346890953779</v>
      </c>
      <c r="J34">
        <f>(Table3[[#This Row],[HomeMargin]]-Table3[[#This Row],[HomeForecast]])^2</f>
        <v>1.8244891764222952</v>
      </c>
    </row>
    <row r="35" spans="1:10" x14ac:dyDescent="0.2">
      <c r="A35" s="4" t="s">
        <v>38</v>
      </c>
      <c r="B35">
        <v>-0.41225364678728776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0.26006699115381526</v>
      </c>
      <c r="J35">
        <f>(Table3[[#This Row],[HomeMargin]]-Table3[[#This Row],[HomeForecast]])^2</f>
        <v>13.987098910657277</v>
      </c>
    </row>
    <row r="36" spans="1:10" x14ac:dyDescent="0.2">
      <c r="A36" s="4" t="s">
        <v>20</v>
      </c>
      <c r="B36">
        <v>0.21920515510044997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0.88892410243791065</v>
      </c>
      <c r="J36">
        <f>(Table3[[#This Row],[HomeMargin]]-Table3[[#This Row],[HomeForecast]])^2</f>
        <v>15.123730674522511</v>
      </c>
    </row>
    <row r="37" spans="1:10" x14ac:dyDescent="0.2">
      <c r="A37" s="4" t="s">
        <v>22</v>
      </c>
      <c r="B37">
        <v>0.44906822732121116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-0.41478066358466897</v>
      </c>
      <c r="J37">
        <f>(Table3[[#This Row],[HomeMargin]]-Table3[[#This Row],[HomeForecast]])^2</f>
        <v>0.34248167171440047</v>
      </c>
    </row>
    <row r="38" spans="1:10" x14ac:dyDescent="0.2">
      <c r="A38" s="4" t="s">
        <v>40</v>
      </c>
      <c r="B38">
        <v>-5.9925012095478535E-2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-9.2033497069443915E-2</v>
      </c>
      <c r="J38">
        <f>(Table3[[#This Row],[HomeMargin]]-Table3[[#This Row],[HomeForecast]])^2</f>
        <v>3.6403361763050559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-9.2720777343004129E-2</v>
      </c>
      <c r="J39">
        <f>(Table3[[#This Row],[HomeMargin]]-Table3[[#This Row],[HomeForecast]])^2</f>
        <v>24.081389369121052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-0.50936293094124285</v>
      </c>
      <c r="J40">
        <f>(Table3[[#This Row],[HomeMargin]]-Table3[[#This Row],[HomeForecast]])^2</f>
        <v>2.2781764572995389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-0.14756237692506888</v>
      </c>
      <c r="J41">
        <f>(Table3[[#This Row],[HomeMargin]]-Table3[[#This Row],[HomeForecast]])^2</f>
        <v>0.72664990123363826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0.82630036350531899</v>
      </c>
      <c r="J42">
        <f>(Table3[[#This Row],[HomeMargin]]-Table3[[#This Row],[HomeForecast]])^2</f>
        <v>7.9879737447502981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-2.9825133798262481E-2</v>
      </c>
      <c r="J43">
        <f>(Table3[[#This Row],[HomeMargin]]-Table3[[#This Row],[HomeForecast]])^2</f>
        <v>1.0605398062026092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-0.32082821720748028</v>
      </c>
      <c r="J44">
        <f>(Table3[[#This Row],[HomeMargin]]-Table3[[#This Row],[HomeForecast]])^2</f>
        <v>0.46127431054156953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-0.77189545157353812</v>
      </c>
      <c r="J45">
        <f>(Table3[[#This Row],[HomeMargin]]-Table3[[#This Row],[HomeForecast]])^2</f>
        <v>5.2031685012840098E-2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-1.6635483868475174</v>
      </c>
      <c r="J46">
        <f>(Table3[[#This Row],[HomeMargin]]-Table3[[#This Row],[HomeForecast]])^2</f>
        <v>0.11319968799290782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-0.11523455745673965</v>
      </c>
      <c r="J47">
        <f>(Table3[[#This Row],[HomeMargin]]-Table3[[#This Row],[HomeForecast]])^2</f>
        <v>0.78280988831877141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-0.56420292831294161</v>
      </c>
      <c r="J48">
        <f>(Table3[[#This Row],[HomeMargin]]-Table3[[#This Row],[HomeForecast]])^2</f>
        <v>6.5751366575686641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0.68270134079858569</v>
      </c>
      <c r="J49">
        <f>(Table3[[#This Row],[HomeMargin]]-Table3[[#This Row],[HomeForecast]])^2</f>
        <v>0.10067843913101526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0.41695974234724575</v>
      </c>
      <c r="J50">
        <f>(Table3[[#This Row],[HomeMargin]]-Table3[[#This Row],[HomeForecast]])^2</f>
        <v>11.675613880821755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0.42387501182920884</v>
      </c>
      <c r="J51">
        <f>(Table3[[#This Row],[HomeMargin]]-Table3[[#This Row],[HomeForecast]])^2</f>
        <v>11.722920096628465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6.956016011023386E-2</v>
      </c>
      <c r="J52">
        <f>(Table3[[#This Row],[HomeMargin]]-Table3[[#This Row],[HomeForecast]])^2</f>
        <v>8.5874776552131564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2.7188395326068981E-2</v>
      </c>
      <c r="J53">
        <f>(Table3[[#This Row],[HomeMargin]]-Table3[[#This Row],[HomeForecast]])^2</f>
        <v>1.0551159994925445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0.57372864276957103</v>
      </c>
      <c r="J54">
        <f>(Table3[[#This Row],[HomeMargin]]-Table3[[#This Row],[HomeForecast]])^2</f>
        <v>12.77153641215164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0.16992327009293945</v>
      </c>
      <c r="J55">
        <f>(Table3[[#This Row],[HomeMargin]]-Table3[[#This Row],[HomeForecast]])^2</f>
        <v>0.6890273775331992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-0.46941751023019646</v>
      </c>
      <c r="J56">
        <f>(Table3[[#This Row],[HomeMargin]]-Table3[[#This Row],[HomeForecast]])^2</f>
        <v>2.3426827579899308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0.33786710881337112</v>
      </c>
      <c r="J57">
        <f>(Table3[[#This Row],[HomeMargin]]-Table3[[#This Row],[HomeForecast]])^2</f>
        <v>7.0869515303376804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0.42083144347092372</v>
      </c>
      <c r="J58">
        <f>(Table3[[#This Row],[HomeMargin]]-Table3[[#This Row],[HomeForecast]])^2</f>
        <v>0.33543621687197384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-4.0144991888216491E-2</v>
      </c>
      <c r="J59">
        <f>(Table3[[#This Row],[HomeMargin]]-Table3[[#This Row],[HomeForecast]])^2</f>
        <v>3.8410316528208392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-0.79390279059656221</v>
      </c>
      <c r="J60">
        <f>(Table3[[#This Row],[HomeMargin]]-Table3[[#This Row],[HomeForecast]])^2</f>
        <v>10.279059316144512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0.24421045457331444</v>
      </c>
      <c r="J61">
        <f>(Table3[[#This Row],[HomeMargin]]-Table3[[#This Row],[HomeForecast]])^2</f>
        <v>7.5943760186830183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-0.25614405370430637</v>
      </c>
      <c r="J62">
        <f>(Table3[[#This Row],[HomeMargin]]-Table3[[#This Row],[HomeForecast]])^2</f>
        <v>1.577897883656687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0.10280655107793016</v>
      </c>
      <c r="J63">
        <f>(Table3[[#This Row],[HomeMargin]]-Table3[[#This Row],[HomeForecast]])^2</f>
        <v>15.188116778321097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-0.26104548337487082</v>
      </c>
      <c r="J64">
        <f>(Table3[[#This Row],[HomeMargin]]-Table3[[#This Row],[HomeForecast]])^2</f>
        <v>10.634417644639646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-0.39429720659615786</v>
      </c>
      <c r="J65">
        <f>(Table3[[#This Row],[HomeMargin]]-Table3[[#This Row],[HomeForecast]])^2</f>
        <v>21.212498221167955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0.56585430108350021</v>
      </c>
      <c r="J66">
        <f>(Table3[[#This Row],[HomeMargin]]-Table3[[#This Row],[HomeForecast]])^2</f>
        <v>2.0567738857206956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-0.57771559355119073</v>
      </c>
      <c r="J67">
        <f>(Table3[[#This Row],[HomeMargin]]-Table3[[#This Row],[HomeForecast]])^2</f>
        <v>5.86746174572506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-1.9156649513384665</v>
      </c>
      <c r="J68">
        <f>(Table3[[#This Row],[HomeMargin]]-Table3[[#This Row],[HomeForecast]])^2</f>
        <v>1.1757824977558102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1.4027222181020285</v>
      </c>
      <c r="J69">
        <f>(Table3[[#This Row],[HomeMargin]]-Table3[[#This Row],[HomeForecast]])^2</f>
        <v>11.578518493565189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0.20888016941326762</v>
      </c>
      <c r="J70">
        <f>(Table3[[#This Row],[HomeMargin]]-Table3[[#This Row],[HomeForecast]])^2</f>
        <v>4.8791516028271857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0.3670620255016514</v>
      </c>
      <c r="J71">
        <f>(Table3[[#This Row],[HomeMargin]]-Table3[[#This Row],[HomeForecast]])^2</f>
        <v>0.40061047956207213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-0.15689280686948937</v>
      </c>
      <c r="J72">
        <f>(Table3[[#This Row],[HomeMargin]]-Table3[[#This Row],[HomeForecast]])^2</f>
        <v>4.6521865803253446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0.18864972824981988</v>
      </c>
      <c r="J73">
        <f>(Table3[[#This Row],[HomeMargin]]-Table3[[#This Row],[HomeForecast]])^2</f>
        <v>3.2809898069694516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0.47764442979848121</v>
      </c>
      <c r="J74">
        <f>(Table3[[#This Row],[HomeMargin]]-Table3[[#This Row],[HomeForecast]])^2</f>
        <v>0.27285534172055381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0.37116435695630812</v>
      </c>
      <c r="J75">
        <f>(Table3[[#This Row],[HomeMargin]]-Table3[[#This Row],[HomeForecast]])^2</f>
        <v>11.36474912161264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-0.12041791341193697</v>
      </c>
      <c r="J76">
        <f>(Table3[[#This Row],[HomeMargin]]-Table3[[#This Row],[HomeForecast]])^2</f>
        <v>1.2553363006943588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0.35451314576877313</v>
      </c>
      <c r="J77">
        <f>(Table3[[#This Row],[HomeMargin]]-Table3[[#This Row],[HomeForecast]])^2</f>
        <v>0.41665327898532512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2.6443024187494613E-2</v>
      </c>
      <c r="J78">
        <f>(Table3[[#This Row],[HomeMargin]]-Table3[[#This Row],[HomeForecast]])^2</f>
        <v>1.0535852819031697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-0.79320339977009524</v>
      </c>
      <c r="J79">
        <f>(Table3[[#This Row],[HomeMargin]]-Table3[[#This Row],[HomeForecast]])^2</f>
        <v>3.2155784329470283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0.46363628037606408</v>
      </c>
      <c r="J80">
        <f>(Table3[[#This Row],[HomeMargin]]-Table3[[#This Row],[HomeForecast]])^2</f>
        <v>6.4331409182245691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-0.13490841505985585</v>
      </c>
      <c r="J81">
        <f>(Table3[[#This Row],[HomeMargin]]-Table3[[#This Row],[HomeForecast]])^2</f>
        <v>17.097467600932809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-8.8635619955582473E-2</v>
      </c>
      <c r="J82">
        <f>(Table3[[#This Row],[HomeMargin]]-Table3[[#This Row],[HomeForecast]])^2</f>
        <v>9.5396699928584052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-0.87291010084175602</v>
      </c>
      <c r="J83">
        <f>(Table3[[#This Row],[HomeMargin]]-Table3[[#This Row],[HomeForecast]])^2</f>
        <v>3.5077922458350761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1.9518999423108536</v>
      </c>
      <c r="J84">
        <f>(Table3[[#This Row],[HomeMargin]]-Table3[[#This Row],[HomeForecast]])^2</f>
        <v>1.098513730927992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-0.53875869423086264</v>
      </c>
      <c r="J85">
        <f>(Table3[[#This Row],[HomeMargin]]-Table3[[#This Row],[HomeForecast]])^2</f>
        <v>0.21274354214761887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2.433657516399991E-3</v>
      </c>
      <c r="J86">
        <f>(Table3[[#This Row],[HomeMargin]]-Table3[[#This Row],[HomeForecast]])^2</f>
        <v>1.0048732377217069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-8.3598624120841E-2</v>
      </c>
      <c r="J87">
        <f>(Table3[[#This Row],[HomeMargin]]-Table3[[#This Row],[HomeForecast]])^2</f>
        <v>4.3413832264382624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-0.16954807629407895</v>
      </c>
      <c r="J88">
        <f>(Table3[[#This Row],[HomeMargin]]-Table3[[#This Row],[HomeForecast]])^2</f>
        <v>0.68965039758686486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-0.34136211764054003</v>
      </c>
      <c r="J89">
        <f>(Table3[[#This Row],[HomeMargin]]-Table3[[#This Row],[HomeForecast]])^2</f>
        <v>1.7992523306411143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-4.6263926952432005E-2</v>
      </c>
      <c r="J90">
        <f>(Table3[[#This Row],[HomeMargin]]-Table3[[#This Row],[HomeForecast]])^2</f>
        <v>8.7245567892224685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-1.7705764005106919</v>
      </c>
      <c r="J91">
        <f>(Table3[[#This Row],[HomeMargin]]-Table3[[#This Row],[HomeForecast]])^2</f>
        <v>14.217246392088166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0.29797987254258673</v>
      </c>
      <c r="J92">
        <f>(Table3[[#This Row],[HomeMargin]]-Table3[[#This Row],[HomeForecast]])^2</f>
        <v>1.6847517495256701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0.60666715047080166</v>
      </c>
      <c r="J93">
        <f>(Table3[[#This Row],[HomeMargin]]-Table3[[#This Row],[HomeForecast]])^2</f>
        <v>19.301373526752343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0.31371298601664721</v>
      </c>
      <c r="J94">
        <f>(Table3[[#This Row],[HomeMargin]]-Table3[[#This Row],[HomeForecast]])^2</f>
        <v>7.2161379214955979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-0.38537866510255153</v>
      </c>
      <c r="J95">
        <f>(Table3[[#This Row],[HomeMargin]]-Table3[[#This Row],[HomeForecast]])^2</f>
        <v>1.9192740457213275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-0.18775130062622244</v>
      </c>
      <c r="J96">
        <f>(Table3[[#This Row],[HomeMargin]]-Table3[[#This Row],[HomeForecast]])^2</f>
        <v>4.7862557533917283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0.31370029638147157</v>
      </c>
      <c r="J97">
        <f>(Table3[[#This Row],[HomeMargin]]-Table3[[#This Row],[HomeForecast]])^2</f>
        <v>0.47100728318687995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0.9299466942288015</v>
      </c>
      <c r="J98">
        <f>(Table3[[#This Row],[HomeMargin]]-Table3[[#This Row],[HomeForecast]])^2</f>
        <v>3.724694242564679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-0.19028734303426795</v>
      </c>
      <c r="J99">
        <f>(Table3[[#This Row],[HomeMargin]]-Table3[[#This Row],[HomeForecast]])^2</f>
        <v>0.65563458685050524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-2.2369897164882413E-2</v>
      </c>
      <c r="J100">
        <f>(Table3[[#This Row],[HomeMargin]]-Table3[[#This Row],[HomeForecast]])^2</f>
        <v>4.089980000958696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-0.52436145238763876</v>
      </c>
      <c r="J101">
        <f>(Table3[[#This Row],[HomeMargin]]-Table3[[#This Row],[HomeForecast]])^2</f>
        <v>2.1775091231995187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0.67002194082192501</v>
      </c>
      <c r="J102">
        <f>(Table3[[#This Row],[HomeMargin]]-Table3[[#This Row],[HomeForecast]])^2</f>
        <v>5.4287977562512291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-0.35807848095349915</v>
      </c>
      <c r="J103">
        <f>(Table3[[#This Row],[HomeMargin]]-Table3[[#This Row],[HomeForecast]])^2</f>
        <v>11.276691084242961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-0.23973753517831364</v>
      </c>
      <c r="J104">
        <f>(Table3[[#This Row],[HomeMargin]]-Table3[[#This Row],[HomeForecast]])^2</f>
        <v>0.57799901541674592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1.1581663911309792</v>
      </c>
      <c r="J105">
        <f>(Table3[[#This Row],[HomeMargin]]-Table3[[#This Row],[HomeForecast]])^2</f>
        <v>26.606680518593194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-0.23595640037427895</v>
      </c>
      <c r="J106">
        <f>(Table3[[#This Row],[HomeMargin]]-Table3[[#This Row],[HomeForecast]])^2</f>
        <v>7.6399370206319137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0.57365388479438029</v>
      </c>
      <c r="J107">
        <f>(Table3[[#This Row],[HomeMargin]]-Table3[[#This Row],[HomeForecast]])^2</f>
        <v>0.18177100995092355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-4.9523168164561648E-2</v>
      </c>
      <c r="J108">
        <f>(Table3[[#This Row],[HomeMargin]]-Table3[[#This Row],[HomeForecast]])^2</f>
        <v>0.90340620785593229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0.3791480594377119</v>
      </c>
      <c r="J109">
        <f>(Table3[[#This Row],[HomeMargin]]-Table3[[#This Row],[HomeForecast]])^2</f>
        <v>13.110568775473688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-0.88725759113934011</v>
      </c>
      <c r="J110">
        <f>(Table3[[#This Row],[HomeMargin]]-Table3[[#This Row],[HomeForecast]])^2</f>
        <v>1.2710850755704202E-2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-7.6964281179312463E-2</v>
      </c>
      <c r="J111">
        <f>(Table3[[#This Row],[HomeMargin]]-Table3[[#This Row],[HomeForecast]])^2</f>
        <v>8.5441378135015729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-1.5695748258090796</v>
      </c>
      <c r="J112">
        <f>(Table3[[#This Row],[HomeMargin]]-Table3[[#This Row],[HomeForecast]])^2</f>
        <v>6.602714785431762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0.87647564340260931</v>
      </c>
      <c r="J113">
        <f>(Table3[[#This Row],[HomeMargin]]-Table3[[#This Row],[HomeForecast]])^2</f>
        <v>4.5093556930623615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0.24103468353959095</v>
      </c>
      <c r="J114">
        <f>(Table3[[#This Row],[HomeMargin]]-Table3[[#This Row],[HomeForecast]])^2</f>
        <v>3.093958984510667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-0.24363638251927214</v>
      </c>
      <c r="J115">
        <f>(Table3[[#This Row],[HomeMargin]]-Table3[[#This Row],[HomeForecast]])^2</f>
        <v>0.57208592184853291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-0.56781508462026331</v>
      </c>
      <c r="J116">
        <f>(Table3[[#This Row],[HomeMargin]]-Table3[[#This Row],[HomeForecast]])^2</f>
        <v>12.729304478043895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2.3736070695236861E-3</v>
      </c>
      <c r="J117">
        <f>(Table3[[#This Row],[HomeMargin]]-Table3[[#This Row],[HomeForecast]])^2</f>
        <v>4.0095000622886143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1.2393083155885813</v>
      </c>
      <c r="J118">
        <f>(Table3[[#This Row],[HomeMargin]]-Table3[[#This Row],[HomeForecast]])^2</f>
        <v>5.0145017322641694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0.95194362949165423</v>
      </c>
      <c r="J119">
        <f>(Table3[[#This Row],[HomeMargin]]-Table3[[#This Row],[HomeForecast]])^2</f>
        <v>3.8100839327130527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0.24358579473272432</v>
      </c>
      <c r="J120">
        <f>(Table3[[#This Row],[HomeMargin]]-Table3[[#This Row],[HomeForecast]])^2</f>
        <v>0.57216244993012422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0.41203441234077687</v>
      </c>
      <c r="J121">
        <f>(Table3[[#This Row],[HomeMargin]]-Table3[[#This Row],[HomeForecast]])^2</f>
        <v>5.8179100063161169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0.17586528891576722</v>
      </c>
      <c r="J122">
        <f>(Table3[[#This Row],[HomeMargin]]-Table3[[#This Row],[HomeForecast]])^2</f>
        <v>0.67919802201389179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0.4450258489963449</v>
      </c>
      <c r="J123">
        <f>(Table3[[#This Row],[HomeMargin]]-Table3[[#This Row],[HomeForecast]])^2</f>
        <v>20.747789516311471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0.34485916465634392</v>
      </c>
      <c r="J124">
        <f>(Table3[[#This Row],[HomeMargin]]-Table3[[#This Row],[HomeForecast]])^2</f>
        <v>1.8086461727601593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-0.12375269090314125</v>
      </c>
      <c r="J125">
        <f>(Table3[[#This Row],[HomeMargin]]-Table3[[#This Row],[HomeForecast]])^2</f>
        <v>1.2628201103120509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-1.0271249550294019</v>
      </c>
      <c r="J126">
        <f>(Table3[[#This Row],[HomeMargin]]-Table3[[#This Row],[HomeForecast]])^2</f>
        <v>3.8922359430677393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1.2968973639862185</v>
      </c>
      <c r="J127">
        <f>(Table3[[#This Row],[HomeMargin]]-Table3[[#This Row],[HomeForecast]])^2</f>
        <v>5.275737500686839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0.36748240398591953</v>
      </c>
      <c r="J128">
        <f>(Table3[[#This Row],[HomeMargin]]-Table3[[#This Row],[HomeForecast]])^2</f>
        <v>11.339937741154788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0.28247110833382461</v>
      </c>
      <c r="J129">
        <f>(Table3[[#This Row],[HomeMargin]]-Table3[[#This Row],[HomeForecast]])^2</f>
        <v>2.9499054937080404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-0.54814122701714707</v>
      </c>
      <c r="J130">
        <f>(Table3[[#This Row],[HomeMargin]]-Table3[[#This Row],[HomeForecast]])^2</f>
        <v>11.915328988618686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0.30140553242371942</v>
      </c>
      <c r="J131">
        <f>(Table3[[#This Row],[HomeMargin]]-Table3[[#This Row],[HomeForecast]])^2</f>
        <v>2.8852231652807481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0.32753698327487318</v>
      </c>
      <c r="J132">
        <f>(Table3[[#This Row],[HomeMargin]]-Table3[[#This Row],[HomeForecast]])^2</f>
        <v>2.797132542313312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-1.8146503020702485</v>
      </c>
      <c r="J133">
        <f>(Table3[[#This Row],[HomeMargin]]-Table3[[#This Row],[HomeForecast]])^2</f>
        <v>7.9222563229441398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0.34456011514048901</v>
      </c>
      <c r="J134">
        <f>(Table3[[#This Row],[HomeMargin]]-Table3[[#This Row],[HomeForecast]])^2</f>
        <v>0.429601442664649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0.89799117081228108</v>
      </c>
      <c r="J135">
        <f>(Table3[[#This Row],[HomeMargin]]-Table3[[#This Row],[HomeForecast]])^2</f>
        <v>1.2144234596076873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9.1098849770448409E-2</v>
      </c>
      <c r="J136">
        <f>(Table3[[#This Row],[HomeMargin]]-Table3[[#This Row],[HomeForecast]])^2</f>
        <v>8.461705901806809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0.54283397690852375</v>
      </c>
      <c r="J137">
        <f>(Table3[[#This Row],[HomeMargin]]-Table3[[#This Row],[HomeForecast]])^2</f>
        <v>20.637340541754515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-0.27491329969460709</v>
      </c>
      <c r="J138">
        <f>(Table3[[#This Row],[HomeMargin]]-Table3[[#This Row],[HomeForecast]])^2</f>
        <v>1.625403921738191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2.2829434729364939E-2</v>
      </c>
      <c r="J139">
        <f>(Table3[[#This Row],[HomeMargin]]-Table3[[#This Row],[HomeForecast]])^2</f>
        <v>0.95486231363133245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0.13459223246666263</v>
      </c>
      <c r="J140">
        <f>(Table3[[#This Row],[HomeMargin]]-Table3[[#This Row],[HomeForecast]])^2</f>
        <v>1.2872995339736855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-0.45854277784274022</v>
      </c>
      <c r="J141">
        <f>(Table3[[#This Row],[HomeMargin]]-Table3[[#This Row],[HomeForecast]])^2</f>
        <v>2.127347034797217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0.8428938787633643</v>
      </c>
      <c r="J142">
        <f>(Table3[[#This Row],[HomeMargin]]-Table3[[#This Row],[HomeForecast]])^2</f>
        <v>2.4682333330020473E-2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-0.14522146809321937</v>
      </c>
      <c r="J143">
        <f>(Table3[[#This Row],[HomeMargin]]-Table3[[#This Row],[HomeForecast]])^2</f>
        <v>1.3115322109815886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-0.33705285405651081</v>
      </c>
      <c r="J144">
        <f>(Table3[[#This Row],[HomeMargin]]-Table3[[#This Row],[HomeForecast]])^2</f>
        <v>0.43949891831461801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0.46745603372443068</v>
      </c>
      <c r="J145">
        <f>(Table3[[#This Row],[HomeMargin]]-Table3[[#This Row],[HomeForecast]])^2</f>
        <v>41.827987548158546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-0.30982754512317473</v>
      </c>
      <c r="J146">
        <f>(Table3[[#This Row],[HomeMargin]]-Table3[[#This Row],[HomeForecast]])^2</f>
        <v>18.574613468702449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-0.42433556442287967</v>
      </c>
      <c r="J147">
        <f>(Table3[[#This Row],[HomeMargin]]-Table3[[#This Row],[HomeForecast]])^2</f>
        <v>2.4827184135425653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0.93784543716428526</v>
      </c>
      <c r="J148">
        <f>(Table3[[#This Row],[HomeMargin]]-Table3[[#This Row],[HomeForecast]])^2</f>
        <v>3.7552449383384396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-1.7318055737614242</v>
      </c>
      <c r="J149">
        <f>(Table3[[#This Row],[HomeMargin]]-Table3[[#This Row],[HomeForecast]])^2</f>
        <v>7.4627616928339844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-1.1582321090659586</v>
      </c>
      <c r="J150">
        <f>(Table3[[#This Row],[HomeMargin]]-Table3[[#This Row],[HomeForecast]])^2</f>
        <v>2.5037400339461429E-2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0.62325676616567272</v>
      </c>
      <c r="J151">
        <f>(Table3[[#This Row],[HomeMargin]]-Table3[[#This Row],[HomeForecast]])^2</f>
        <v>0.1419354642399466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-0.51201382866893252</v>
      </c>
      <c r="J152">
        <f>(Table3[[#This Row],[HomeMargin]]-Table3[[#This Row],[HomeForecast]])^2</f>
        <v>2.2861858180860843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-0.16969249768832437</v>
      </c>
      <c r="J153">
        <f>(Table3[[#This Row],[HomeMargin]]-Table3[[#This Row],[HomeForecast]])^2</f>
        <v>0.68941054839505322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0.18554500438540622</v>
      </c>
      <c r="J154">
        <f>(Table3[[#This Row],[HomeMargin]]-Table3[[#This Row],[HomeForecast]])^2</f>
        <v>23.178976904798319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0.88425188208698025</v>
      </c>
      <c r="J155">
        <f>(Table3[[#This Row],[HomeMargin]]-Table3[[#This Row],[HomeForecast]])^2</f>
        <v>4.4763900984524856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-0.28646826055918256</v>
      </c>
      <c r="J156">
        <f>(Table3[[#This Row],[HomeMargin]]-Table3[[#This Row],[HomeForecast]])^2</f>
        <v>10.800873627662899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0.32074138461125179</v>
      </c>
      <c r="J157">
        <f>(Table3[[#This Row],[HomeMargin]]-Table3[[#This Row],[HomeForecast]])^2</f>
        <v>1.7443578050248463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0.49532812119410435</v>
      </c>
      <c r="J158">
        <f>(Table3[[#This Row],[HomeMargin]]-Table3[[#This Row],[HomeForecast]])^2</f>
        <v>12.217318674810308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-0.43604763631687626</v>
      </c>
      <c r="J159">
        <f>(Table3[[#This Row],[HomeMargin]]-Table3[[#This Row],[HomeForecast]])^2</f>
        <v>19.678518631672542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1.8690552140020293</v>
      </c>
      <c r="J160">
        <f>(Table3[[#This Row],[HomeMargin]]-Table3[[#This Row],[HomeForecast]])^2</f>
        <v>4.5409256809719372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0.54140034399352954</v>
      </c>
      <c r="J161">
        <f>(Table3[[#This Row],[HomeMargin]]-Table3[[#This Row],[HomeForecast]])^2</f>
        <v>0.21031364448925305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5.8617516409101539E-2</v>
      </c>
      <c r="J162">
        <f>(Table3[[#This Row],[HomeMargin]]-Table3[[#This Row],[HomeForecast]])^2</f>
        <v>8.6517309147753618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0.31073596236814</v>
      </c>
      <c r="J163">
        <f>(Table3[[#This Row],[HomeMargin]]-Table3[[#This Row],[HomeForecast]])^2</f>
        <v>1.7180287630451343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0.78115129471715072</v>
      </c>
      <c r="J164">
        <f>(Table3[[#This Row],[HomeMargin]]-Table3[[#This Row],[HomeForecast]])^2</f>
        <v>3.1724999346725817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-1.0102254590173407</v>
      </c>
      <c r="J165">
        <f>(Table3[[#This Row],[HomeMargin]]-Table3[[#This Row],[HomeForecast]])^2</f>
        <v>3.9592027239427523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0.4129697523307081</v>
      </c>
      <c r="J166">
        <f>(Table3[[#This Row],[HomeMargin]]-Table3[[#This Row],[HomeForecast]])^2</f>
        <v>0.34460451167867018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-0.28358180323031851</v>
      </c>
      <c r="J167">
        <f>(Table3[[#This Row],[HomeMargin]]-Table3[[#This Row],[HomeForecast]])^2</f>
        <v>0.51325503266272199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-0.18651927624539702</v>
      </c>
      <c r="J168">
        <f>(Table3[[#This Row],[HomeMargin]]-Table3[[#This Row],[HomeForecast]])^2</f>
        <v>0.66175088792031278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-0.76074153057167593</v>
      </c>
      <c r="J169">
        <f>(Table3[[#This Row],[HomeMargin]]-Table3[[#This Row],[HomeForecast]])^2</f>
        <v>5.014278492906481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0.25803445183154039</v>
      </c>
      <c r="J170">
        <f>(Table3[[#This Row],[HomeMargin]]-Table3[[#This Row],[HomeForecast]])^2</f>
        <v>0.55051287466892274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-0.40324401666041337</v>
      </c>
      <c r="J171">
        <f>(Table3[[#This Row],[HomeMargin]]-Table3[[#This Row],[HomeForecast]])^2</f>
        <v>2.5496296703307699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3.035454384287542E-2</v>
      </c>
      <c r="J172">
        <f>(Table3[[#This Row],[HomeMargin]]-Table3[[#This Row],[HomeForecast]])^2</f>
        <v>8.8187941352746559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-8.247709510242858E-2</v>
      </c>
      <c r="J173">
        <f>(Table3[[#This Row],[HomeMargin]]-Table3[[#This Row],[HomeForecast]])^2</f>
        <v>1.1717566614213921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0.42612336616308966</v>
      </c>
      <c r="J174">
        <f>(Table3[[#This Row],[HomeMargin]]-Table3[[#This Row],[HomeForecast]])^2</f>
        <v>12.772594193885446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0.1773946321288217</v>
      </c>
      <c r="J175">
        <f>(Table3[[#This Row],[HomeMargin]]-Table3[[#This Row],[HomeForecast]])^2</f>
        <v>1.3862581197657635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0.19514088068796684</v>
      </c>
      <c r="J176">
        <f>(Table3[[#This Row],[HomeMargin]]-Table3[[#This Row],[HomeForecast]])^2</f>
        <v>1.4283617246916092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0.8229566900915507</v>
      </c>
      <c r="J177">
        <f>(Table3[[#This Row],[HomeMargin]]-Table3[[#This Row],[HomeForecast]])^2</f>
        <v>14.614997854315744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0.43769900908743486</v>
      </c>
      <c r="J178">
        <f>(Table3[[#This Row],[HomeMargin]]-Table3[[#This Row],[HomeForecast]])^2</f>
        <v>0.31618240438125267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0.61625252285265275</v>
      </c>
      <c r="J179">
        <f>(Table3[[#This Row],[HomeMargin]]-Table3[[#This Row],[HomeForecast]])^2</f>
        <v>5.6822520348063419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-0.16415589218311424</v>
      </c>
      <c r="J180">
        <f>(Table3[[#This Row],[HomeMargin]]-Table3[[#This Row],[HomeForecast]])^2</f>
        <v>10.011882510037118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-0.43647900252896582</v>
      </c>
      <c r="J181">
        <f>(Table3[[#This Row],[HomeMargin]]-Table3[[#This Row],[HomeForecast]])^2</f>
        <v>0.31755591459074939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-7.9381829928315439E-2</v>
      </c>
      <c r="J182">
        <f>(Table3[[#This Row],[HomeMargin]]-Table3[[#This Row],[HomeForecast]])^2</f>
        <v>1.1650651347793992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0.46313525074491979</v>
      </c>
      <c r="J183">
        <f>(Table3[[#This Row],[HomeMargin]]-Table3[[#This Row],[HomeForecast]])^2</f>
        <v>6.4356827560130414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0.15618398136763867</v>
      </c>
      <c r="J184">
        <f>(Table3[[#This Row],[HomeMargin]]-Table3[[#This Row],[HomeForecast]])^2</f>
        <v>8.0872895478300144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-1.5287619764217779</v>
      </c>
      <c r="J185">
        <f>(Table3[[#This Row],[HomeMargin]]-Table3[[#This Row],[HomeForecast]])^2</f>
        <v>0.22206527486590899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0.22928313731004912</v>
      </c>
      <c r="J186">
        <f>(Table3[[#This Row],[HomeMargin]]-Table3[[#This Row],[HomeForecast]])^2</f>
        <v>4.9697033062949361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-0.6439668066019697</v>
      </c>
      <c r="J187">
        <f>(Table3[[#This Row],[HomeMargin]]-Table3[[#This Row],[HomeForecast]])^2</f>
        <v>2.7026268612090782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-0.29602466252619786</v>
      </c>
      <c r="J188">
        <f>(Table3[[#This Row],[HomeMargin]]-Table3[[#This Row],[HomeForecast]])^2</f>
        <v>1.6796799258761452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0.8182844697406203</v>
      </c>
      <c r="J189">
        <f>(Table3[[#This Row],[HomeMargin]]-Table3[[#This Row],[HomeForecast]])^2</f>
        <v>3.3020533937447541E-2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0.6914452648423457</v>
      </c>
      <c r="J190">
        <f>(Table3[[#This Row],[HomeMargin]]-Table3[[#This Row],[HomeForecast]])^2</f>
        <v>9.5206024588210189E-2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-0.6115397463235398</v>
      </c>
      <c r="J191">
        <f>(Table3[[#This Row],[HomeMargin]]-Table3[[#This Row],[HomeForecast]])^2</f>
        <v>2.5970603539805395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9.0988204182585394E-2</v>
      </c>
      <c r="J192">
        <f>(Table3[[#This Row],[HomeMargin]]-Table3[[#This Row],[HomeForecast]])^2</f>
        <v>9.5542080783958845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1.1334799294089599</v>
      </c>
      <c r="J193">
        <f>(Table3[[#This Row],[HomeMargin]]-Table3[[#This Row],[HomeForecast]])^2</f>
        <v>3.4838971739191811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1.1811833792745148E-2</v>
      </c>
      <c r="J194">
        <f>(Table3[[#This Row],[HomeMargin]]-Table3[[#This Row],[HomeForecast]])^2</f>
        <v>0.97651585183205702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8.2448817378528577E-2</v>
      </c>
      <c r="J195">
        <f>(Table3[[#This Row],[HomeMargin]]-Table3[[#This Row],[HomeForecast]])^2</f>
        <v>3.6770025379730038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0.44066688839964091</v>
      </c>
      <c r="J196">
        <f>(Table3[[#This Row],[HomeMargin]]-Table3[[#This Row],[HomeForecast]])^2</f>
        <v>11.838188636929665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-0.34977296583422107</v>
      </c>
      <c r="J197">
        <f>(Table3[[#This Row],[HomeMargin]]-Table3[[#This Row],[HomeForecast]])^2</f>
        <v>0.42279519596002513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-1.9645862860648411</v>
      </c>
      <c r="J198">
        <f>(Table3[[#This Row],[HomeMargin]]-Table3[[#This Row],[HomeForecast]])^2</f>
        <v>8.7887718475237264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0.11043021549470253</v>
      </c>
      <c r="J199">
        <f>(Table3[[#This Row],[HomeMargin]]-Table3[[#This Row],[HomeForecast]])^2</f>
        <v>8.3496135395259916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5.2031304862257238E-2</v>
      </c>
      <c r="J200">
        <f>(Table3[[#This Row],[HomeMargin]]-Table3[[#This Row],[HomeForecast]])^2</f>
        <v>8.6905194275121254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0.52473255006800579</v>
      </c>
      <c r="J201">
        <f>(Table3[[#This Row],[HomeMargin]]-Table3[[#This Row],[HomeForecast]])^2</f>
        <v>0.22587914896486064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0.63007652011087867</v>
      </c>
      <c r="J202">
        <f>(Table3[[#This Row],[HomeMargin]]-Table3[[#This Row],[HomeForecast]])^2</f>
        <v>2.6571494614167919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-6.0003215677732785E-2</v>
      </c>
      <c r="J203">
        <f>(Table3[[#This Row],[HomeMargin]]-Table3[[#This Row],[HomeForecast]])^2</f>
        <v>0.88359395453620293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-0.52681997531236913</v>
      </c>
      <c r="J204">
        <f>(Table3[[#This Row],[HomeMargin]]-Table3[[#This Row],[HomeForecast]])^2</f>
        <v>2.1702593851386482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0.17586528891576722</v>
      </c>
      <c r="J205">
        <f>(Table3[[#This Row],[HomeMargin]]-Table3[[#This Row],[HomeForecast]])^2</f>
        <v>1.3826591776769608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0.1642776668793029</v>
      </c>
      <c r="J206">
        <f>(Table3[[#This Row],[HomeMargin]]-Table3[[#This Row],[HomeForecast]])^2</f>
        <v>3.3698764843180955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-1.017117651318201</v>
      </c>
      <c r="J207">
        <f>(Table3[[#This Row],[HomeMargin]]-Table3[[#This Row],[HomeForecast]])^2</f>
        <v>4.0687636192594558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4.0927684051369762E-2</v>
      </c>
      <c r="J208">
        <f>(Table3[[#This Row],[HomeMargin]]-Table3[[#This Row],[HomeForecast]])^2</f>
        <v>0.91981970721906936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-0.17348632212753473</v>
      </c>
      <c r="J209">
        <f>(Table3[[#This Row],[HomeMargin]]-Table3[[#This Row],[HomeForecast]])^2</f>
        <v>17.417988080985619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-2.534874091813516E-2</v>
      </c>
      <c r="J210">
        <f>(Table3[[#This Row],[HomeMargin]]-Table3[[#This Row],[HomeForecast]])^2</f>
        <v>0.94994507682986429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1.1113796706170129</v>
      </c>
      <c r="J211">
        <f>(Table3[[#This Row],[HomeMargin]]-Table3[[#This Row],[HomeForecast]])^2</f>
        <v>1.2405431026754293E-2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0.82208356931279336</v>
      </c>
      <c r="J212">
        <f>(Table3[[#This Row],[HomeMargin]]-Table3[[#This Row],[HomeForecast]])^2</f>
        <v>3.1654256308475605E-2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0.1670747740388677</v>
      </c>
      <c r="J213">
        <f>(Table3[[#This Row],[HomeMargin]]-Table3[[#This Row],[HomeForecast]])^2</f>
        <v>8.025465335886933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1.0262394606134952</v>
      </c>
      <c r="J214">
        <f>(Table3[[#This Row],[HomeMargin]]-Table3[[#This Row],[HomeForecast]])^2</f>
        <v>6.8850929328716833E-4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-0.18056567723069872</v>
      </c>
      <c r="J215">
        <f>(Table3[[#This Row],[HomeMargin]]-Table3[[#This Row],[HomeForecast]])^2</f>
        <v>0.6714726093323834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0.42371790079978777</v>
      </c>
      <c r="J216">
        <f>(Table3[[#This Row],[HomeMargin]]-Table3[[#This Row],[HomeForecast]])^2</f>
        <v>2.0269726610577545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-0.51766844606052087</v>
      </c>
      <c r="J217">
        <f>(Table3[[#This Row],[HomeMargin]]-Table3[[#This Row],[HomeForecast]])^2</f>
        <v>6.1619699436835882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0.37582109396533026</v>
      </c>
      <c r="J218">
        <f>(Table3[[#This Row],[HomeMargin]]-Table3[[#This Row],[HomeForecast]])^2</f>
        <v>0.38959930673863707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-8.2514535313507997E-2</v>
      </c>
      <c r="J219">
        <f>(Table3[[#This Row],[HomeMargin]]-Table3[[#This Row],[HomeForecast]])^2</f>
        <v>16.666924931046069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-7.3538621298179757E-2</v>
      </c>
      <c r="J220">
        <f>(Table3[[#This Row],[HomeMargin]]-Table3[[#This Row],[HomeForecast]])^2</f>
        <v>24.270021715840635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-0.23919502913165713</v>
      </c>
      <c r="J221">
        <f>(Table3[[#This Row],[HomeMargin]]-Table3[[#This Row],[HomeForecast]])^2</f>
        <v>5.0139943784879231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0.1108066160531106</v>
      </c>
      <c r="J222">
        <f>(Table3[[#This Row],[HomeMargin]]-Table3[[#This Row],[HomeForecast]])^2</f>
        <v>9.6771178024798044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1.4350505168780701</v>
      </c>
      <c r="J223">
        <f>(Table3[[#This Row],[HomeMargin]]-Table3[[#This Row],[HomeForecast]])^2</f>
        <v>12.708864817211316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-4.8295364144801019E-2</v>
      </c>
      <c r="J224">
        <f>(Table3[[#This Row],[HomeMargin]]-Table3[[#This Row],[HomeForecast]])^2</f>
        <v>1.0989231704874809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1.0704010342315695</v>
      </c>
      <c r="J225">
        <f>(Table3[[#This Row],[HomeMargin]]-Table3[[#This Row],[HomeForecast]])^2</f>
        <v>16.568164579473429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6.1931813793184687E-2</v>
      </c>
      <c r="J226">
        <f>(Table3[[#This Row],[HomeMargin]]-Table3[[#This Row],[HomeForecast]])^2</f>
        <v>0.87997192197334428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0.99090052881198232</v>
      </c>
      <c r="J227">
        <f>(Table3[[#This Row],[HomeMargin]]-Table3[[#This Row],[HomeForecast]])^2</f>
        <v>8.9454859732477967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-0.13452942280720659</v>
      </c>
      <c r="J228">
        <f>(Table3[[#This Row],[HomeMargin]]-Table3[[#This Row],[HomeForecast]])^2</f>
        <v>8.2109216287575997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9.1362350491580716E-2</v>
      </c>
      <c r="J229">
        <f>(Table3[[#This Row],[HomeMargin]]-Table3[[#This Row],[HomeForecast]])^2</f>
        <v>0.82562237810418504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-0.47900288261204749</v>
      </c>
      <c r="J230">
        <f>(Table3[[#This Row],[HomeMargin]]-Table3[[#This Row],[HomeForecast]])^2</f>
        <v>2.3134322311024613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-0.48217381467078702</v>
      </c>
      <c r="J231">
        <f>(Table3[[#This Row],[HomeMargin]]-Table3[[#This Row],[HomeForecast]])^2</f>
        <v>6.161186846237328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-0.48600712592506756</v>
      </c>
      <c r="J232">
        <f>(Table3[[#This Row],[HomeMargin]]-Table3[[#This Row],[HomeForecast]])^2</f>
        <v>6.3201601708995394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0.20422308759034924</v>
      </c>
      <c r="J233">
        <f>(Table3[[#This Row],[HomeMargin]]-Table3[[#This Row],[HomeForecast]])^2</f>
        <v>17.675491770227726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-7.8981488617703349E-2</v>
      </c>
      <c r="J234">
        <f>(Table3[[#This Row],[HomeMargin]]-Table3[[#This Row],[HomeForecast]])^2</f>
        <v>8.532349143838049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-0.29556673224960239</v>
      </c>
      <c r="J235">
        <f>(Table3[[#This Row],[HomeMargin]]-Table3[[#This Row],[HomeForecast]])^2</f>
        <v>7.3139592997150942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-8.8069322326831928E-2</v>
      </c>
      <c r="J236">
        <f>(Table3[[#This Row],[HomeMargin]]-Table3[[#This Row],[HomeForecast]])^2</f>
        <v>1.1838948501887712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0.63011453161984365</v>
      </c>
      <c r="J237">
        <f>(Table3[[#This Row],[HomeMargin]]-Table3[[#This Row],[HomeForecast]])^2</f>
        <v>5.6163571332394335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-1.5795821295202805</v>
      </c>
      <c r="J238">
        <f>(Table3[[#This Row],[HomeMargin]]-Table3[[#This Row],[HomeForecast]])^2</f>
        <v>41.22176563157533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-0.11634345820332018</v>
      </c>
      <c r="J239">
        <f>(Table3[[#This Row],[HomeMargin]]-Table3[[#This Row],[HomeForecast]])^2</f>
        <v>16.944283465893271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0.18651678535098482</v>
      </c>
      <c r="J240">
        <f>(Table3[[#This Row],[HomeMargin]]-Table3[[#This Row],[HomeForecast]])^2</f>
        <v>0.66175494051569572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-1.1582321090659586</v>
      </c>
      <c r="J241">
        <f>(Table3[[#This Row],[HomeMargin]]-Table3[[#This Row],[HomeForecast]])^2</f>
        <v>2.5037400339461429E-2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-0.16016990001773379</v>
      </c>
      <c r="J242">
        <f>(Table3[[#This Row],[HomeMargin]]-Table3[[#This Row],[HomeForecast]])^2</f>
        <v>23.423955396694353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0.26100233114374649</v>
      </c>
      <c r="J243">
        <f>(Table3[[#This Row],[HomeMargin]]-Table3[[#This Row],[HomeForecast]])^2</f>
        <v>1.5901268791499632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-0.38967351917290621</v>
      </c>
      <c r="J244">
        <f>(Table3[[#This Row],[HomeMargin]]-Table3[[#This Row],[HomeForecast]])^2</f>
        <v>5.7105395282362217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-0.48995005335515812</v>
      </c>
      <c r="J245">
        <f>(Table3[[#This Row],[HomeMargin]]-Table3[[#This Row],[HomeForecast]])^2</f>
        <v>0.26015094807240596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0.39339369394491158</v>
      </c>
      <c r="J246">
        <f>(Table3[[#This Row],[HomeMargin]]-Table3[[#This Row],[HomeForecast]])^2</f>
        <v>0.36797121054579951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5.8804471295118149E-3</v>
      </c>
      <c r="J247">
        <f>(Table3[[#This Row],[HomeMargin]]-Table3[[#This Row],[HomeForecast]])^2</f>
        <v>4.0235563681764912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-0.17593100685074664</v>
      </c>
      <c r="J248">
        <f>(Table3[[#This Row],[HomeMargin]]-Table3[[#This Row],[HomeForecast]])^2</f>
        <v>1.3828137328730108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0.28826193271799422</v>
      </c>
      <c r="J249">
        <f>(Table3[[#This Row],[HomeMargin]]-Table3[[#This Row],[HomeForecast]])^2</f>
        <v>1.659618807290302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0.12811787471853953</v>
      </c>
      <c r="J250">
        <f>(Table3[[#This Row],[HomeMargin]]-Table3[[#This Row],[HomeForecast]])^2</f>
        <v>8.2477069415111597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1.3492511672758363</v>
      </c>
      <c r="J251">
        <f>(Table3[[#This Row],[HomeMargin]]-Table3[[#This Row],[HomeForecast]])^2</f>
        <v>0.12197637784353417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0.43506914409582065</v>
      </c>
      <c r="J252">
        <f>(Table3[[#This Row],[HomeMargin]]-Table3[[#This Row],[HomeForecast]])^2</f>
        <v>19.669838312910837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1.0400634578717214</v>
      </c>
      <c r="J253">
        <f>(Table3[[#This Row],[HomeMargin]]-Table3[[#This Row],[HomeForecast]])^2</f>
        <v>0.92147816491319645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-5.9530471875762714E-2</v>
      </c>
      <c r="J254">
        <f>(Table3[[#This Row],[HomeMargin]]-Table3[[#This Row],[HomeForecast]])^2</f>
        <v>4.241665764584801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-7.163052917266241E-2</v>
      </c>
      <c r="J255">
        <f>(Table3[[#This Row],[HomeMargin]]-Table3[[#This Row],[HomeForecast]])^2</f>
        <v>0.86186987436423079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-0.70671117959276042</v>
      </c>
      <c r="J256">
        <f>(Table3[[#This Row],[HomeMargin]]-Table3[[#This Row],[HomeForecast]])^2</f>
        <v>8.601833217587003E-2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-2.1602207783095158</v>
      </c>
      <c r="J257">
        <f>(Table3[[#This Row],[HomeMargin]]-Table3[[#This Row],[HomeForecast]])^2</f>
        <v>1.3461122544211386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0.40470764193848846</v>
      </c>
      <c r="J258">
        <f>(Table3[[#This Row],[HomeMargin]]-Table3[[#This Row],[HomeForecast]])^2</f>
        <v>0.35437299156643481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-0.20362353225035829</v>
      </c>
      <c r="J259">
        <f>(Table3[[#This Row],[HomeMargin]]-Table3[[#This Row],[HomeForecast]])^2</f>
        <v>0.63421547838539605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0.43325318810555402</v>
      </c>
      <c r="J260">
        <f>(Table3[[#This Row],[HomeMargin]]-Table3[[#This Row],[HomeForecast]])^2</f>
        <v>6.588189196370303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4.6150790470156855E-2</v>
      </c>
      <c r="J261">
        <f>(Table3[[#This Row],[HomeMargin]]-Table3[[#This Row],[HomeForecast]])^2</f>
        <v>1.0944314764013339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0.13136919311109341</v>
      </c>
      <c r="J262">
        <f>(Table3[[#This Row],[HomeMargin]]-Table3[[#This Row],[HomeForecast]])^2</f>
        <v>3.491781092454286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0.26546504897334317</v>
      </c>
      <c r="J263">
        <f>(Table3[[#This Row],[HomeMargin]]-Table3[[#This Row],[HomeForecast]])^2</f>
        <v>10.663261986066477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1.8856487292600748</v>
      </c>
      <c r="J264">
        <f>(Table3[[#This Row],[HomeMargin]]-Table3[[#This Row],[HomeForecast]])^2</f>
        <v>1.2417787545996861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0.93784543716428526</v>
      </c>
      <c r="J265">
        <f>(Table3[[#This Row],[HomeMargin]]-Table3[[#This Row],[HomeForecast]])^2</f>
        <v>3.7552449383384396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2.3523905686741703E-2</v>
      </c>
      <c r="J266">
        <f>(Table3[[#This Row],[HomeMargin]]-Table3[[#This Row],[HomeForecast]])^2</f>
        <v>16.18874461963269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-0.80298191735705249</v>
      </c>
      <c r="J267">
        <f>(Table3[[#This Row],[HomeMargin]]-Table3[[#This Row],[HomeForecast]])^2</f>
        <v>3.8816124888303292E-2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-0.12245995602455434</v>
      </c>
      <c r="J268">
        <f>(Table3[[#This Row],[HomeMargin]]-Table3[[#This Row],[HomeForecast]])^2</f>
        <v>0.77007652878042721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-0.52989547406620452</v>
      </c>
      <c r="J269">
        <f>(Table3[[#This Row],[HomeMargin]]-Table3[[#This Row],[HomeForecast]])^2</f>
        <v>2.3405801615682567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-0.28370381457150662</v>
      </c>
      <c r="J270">
        <f>(Table3[[#This Row],[HomeMargin]]-Table3[[#This Row],[HomeForecast]])^2</f>
        <v>2.9456725961163968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-0.4019721803605969</v>
      </c>
      <c r="J271">
        <f>(Table3[[#This Row],[HomeMargin]]-Table3[[#This Row],[HomeForecast]])^2</f>
        <v>0.35763727306265847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0.14285434285888224</v>
      </c>
      <c r="J272">
        <f>(Table3[[#This Row],[HomeMargin]]-Table3[[#This Row],[HomeForecast]])^2</f>
        <v>1.3061160489914074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0.78284673127269444</v>
      </c>
      <c r="J273">
        <f>(Table3[[#This Row],[HomeMargin]]-Table3[[#This Row],[HomeForecast]])^2</f>
        <v>22.875622854845894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0.16259838115874037</v>
      </c>
      <c r="J274">
        <f>(Table3[[#This Row],[HomeMargin]]-Table3[[#This Row],[HomeForecast]])^2</f>
        <v>8.0508479466030014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-0.26745800169788325</v>
      </c>
      <c r="J275">
        <f>(Table3[[#This Row],[HomeMargin]]-Table3[[#This Row],[HomeForecast]])^2</f>
        <v>1.6064497860679912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-3.3593200587133415E-2</v>
      </c>
      <c r="J276">
        <f>(Table3[[#This Row],[HomeMargin]]-Table3[[#This Row],[HomeForecast]])^2</f>
        <v>4.1355013054742207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1.8007980270881225</v>
      </c>
      <c r="J277">
        <f>(Table3[[#This Row],[HomeMargin]]-Table3[[#This Row],[HomeForecast]])^2</f>
        <v>1.4380853718357394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-1.8934341127033481E-2</v>
      </c>
      <c r="J278">
        <f>(Table3[[#This Row],[HomeMargin]]-Table3[[#This Row],[HomeForecast]])^2</f>
        <v>9.113964556036116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-0.13876422245031278</v>
      </c>
      <c r="J279">
        <f>(Table3[[#This Row],[HomeMargin]]-Table3[[#This Row],[HomeForecast]])^2</f>
        <v>9.8518408441341183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-0.85979490368460998</v>
      </c>
      <c r="J280">
        <f>(Table3[[#This Row],[HomeMargin]]-Table3[[#This Row],[HomeForecast]])^2</f>
        <v>37.702118624817494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0.18554500438540622</v>
      </c>
      <c r="J281">
        <f>(Table3[[#This Row],[HomeMargin]]-Table3[[#This Row],[HomeForecast]])^2</f>
        <v>3.2922469311107561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-0.23023276374531429</v>
      </c>
      <c r="J282">
        <f>(Table3[[#This Row],[HomeMargin]]-Table3[[#This Row],[HomeForecast]])^2</f>
        <v>4.9739381804830618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-9.9327665241595253E-2</v>
      </c>
      <c r="J283">
        <f>(Table3[[#This Row],[HomeMargin]]-Table3[[#This Row],[HomeForecast]])^2</f>
        <v>0.81121065459915576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-5.7993491071206549E-4</v>
      </c>
      <c r="J284">
        <f>(Table3[[#This Row],[HomeMargin]]-Table3[[#This Row],[HomeForecast]])^2</f>
        <v>0.99884046650307656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1.1267869230818421</v>
      </c>
      <c r="J285">
        <f>(Table3[[#This Row],[HomeMargin]]-Table3[[#This Row],[HomeForecast]])^2</f>
        <v>1.6074923864560955E-2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-0.13465795040164208</v>
      </c>
      <c r="J286">
        <f>(Table3[[#This Row],[HomeMargin]]-Table3[[#This Row],[HomeForecast]])^2</f>
        <v>1.2874486644096552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-1.0913471740567806</v>
      </c>
      <c r="J287">
        <f>(Table3[[#This Row],[HomeMargin]]-Table3[[#This Row],[HomeForecast]])^2</f>
        <v>8.3443062081597734E-3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-4.139278429801363E-2</v>
      </c>
      <c r="J288">
        <f>(Table3[[#This Row],[HomeMargin]]-Table3[[#This Row],[HomeForecast]])^2</f>
        <v>0.91892779399591462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0.54614827429260693</v>
      </c>
      <c r="J289">
        <f>(Table3[[#This Row],[HomeMargin]]-Table3[[#This Row],[HomeForecast]])^2</f>
        <v>2.3905744860980063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-0.15868818968936416</v>
      </c>
      <c r="J290">
        <f>(Table3[[#This Row],[HomeMargin]]-Table3[[#This Row],[HomeForecast]])^2</f>
        <v>0.70780556216815926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-0.19028734303426795</v>
      </c>
      <c r="J291">
        <f>(Table3[[#This Row],[HomeMargin]]-Table3[[#This Row],[HomeForecast]])^2</f>
        <v>0.65563458685050524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-0.25638307906098184</v>
      </c>
      <c r="J292">
        <f>(Table3[[#This Row],[HomeMargin]]-Table3[[#This Row],[HomeForecast]])^2</f>
        <v>1.5784984413507532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0.74785404657421384</v>
      </c>
      <c r="J293">
        <f>(Table3[[#This Row],[HomeMargin]]-Table3[[#This Row],[HomeForecast]])^2</f>
        <v>10.576453302383714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-0.10378504329898575</v>
      </c>
      <c r="J294">
        <f>(Table3[[#This Row],[HomeMargin]]-Table3[[#This Row],[HomeForecast]])^2</f>
        <v>0.80320124861460085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-0.46353309627492179</v>
      </c>
      <c r="J295">
        <f>(Table3[[#This Row],[HomeMargin]]-Table3[[#This Row],[HomeForecast]])^2</f>
        <v>2.3607305462425288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0.72165824011891377</v>
      </c>
      <c r="J296">
        <f>(Table3[[#This Row],[HomeMargin]]-Table3[[#This Row],[HomeForecast]])^2</f>
        <v>1.6341576550558727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0.12873201805784878</v>
      </c>
      <c r="J297">
        <f>(Table3[[#This Row],[HomeMargin]]-Table3[[#This Row],[HomeForecast]])^2</f>
        <v>1.274035968588944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8.0336892014299166E-2</v>
      </c>
      <c r="J298">
        <f>(Table3[[#This Row],[HomeMargin]]-Table3[[#This Row],[HomeForecast]])^2</f>
        <v>1.1671278002471157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-7.3538621298179757E-2</v>
      </c>
      <c r="J299">
        <f>(Table3[[#This Row],[HomeMargin]]-Table3[[#This Row],[HomeForecast]])^2</f>
        <v>9.4466396566115147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-1.0679378044167036</v>
      </c>
      <c r="J300">
        <f>(Table3[[#This Row],[HomeMargin]]-Table3[[#This Row],[HomeForecast]])^2</f>
        <v>3.7328643276021478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0.50153148968071004</v>
      </c>
      <c r="J301">
        <f>(Table3[[#This Row],[HomeMargin]]-Table3[[#This Row],[HomeForecast]])^2</f>
        <v>2.2545968145027726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1.5968068616313684</v>
      </c>
      <c r="J302">
        <f>(Table3[[#This Row],[HomeMargin]]-Table3[[#This Row],[HomeForecast]])^2</f>
        <v>1.9689509835648096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0.5020211275212223</v>
      </c>
      <c r="J303">
        <f>(Table3[[#This Row],[HomeMargin]]-Table3[[#This Row],[HomeForecast]])^2</f>
        <v>0.24798295743523474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0.21623112885830856</v>
      </c>
      <c r="J304">
        <f>(Table3[[#This Row],[HomeMargin]]-Table3[[#This Row],[HomeForecast]])^2</f>
        <v>1.4792181588039555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0.27190759064224729</v>
      </c>
      <c r="J305">
        <f>(Table3[[#This Row],[HomeMargin]]-Table3[[#This Row],[HomeForecast]])^2</f>
        <v>13.898673012710894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1.2547155680534106</v>
      </c>
      <c r="J306">
        <f>(Table3[[#This Row],[HomeMargin]]-Table3[[#This Row],[HomeForecast]])^2</f>
        <v>27.612035701142876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-0.11019944309008743</v>
      </c>
      <c r="J307">
        <f>(Table3[[#This Row],[HomeMargin]]-Table3[[#This Row],[HomeForecast]])^2</f>
        <v>1.2325428034375403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-0.6439668066019697</v>
      </c>
      <c r="J308">
        <f>(Table3[[#This Row],[HomeMargin]]-Table3[[#This Row],[HomeForecast]])^2</f>
        <v>1.8388260215972598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-1.5341437206934094E-2</v>
      </c>
      <c r="J309">
        <f>(Table3[[#This Row],[HomeMargin]]-Table3[[#This Row],[HomeForecast]])^2</f>
        <v>16.122966857351045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-9.2497027085461536E-2</v>
      </c>
      <c r="J310">
        <f>(Table3[[#This Row],[HomeMargin]]-Table3[[#This Row],[HomeForecast]])^2</f>
        <v>1.1935497541905715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0.7225576516581862</v>
      </c>
      <c r="J311">
        <f>(Table3[[#This Row],[HomeMargin]]-Table3[[#This Row],[HomeForecast]])^2</f>
        <v>5.1867436500206754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0.47916810561842726</v>
      </c>
      <c r="J312">
        <f>(Table3[[#This Row],[HomeMargin]]-Table3[[#This Row],[HomeForecast]])^2</f>
        <v>0.27126586220509774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-6.6973447349744031E-2</v>
      </c>
      <c r="J313">
        <f>(Table3[[#This Row],[HomeMargin]]-Table3[[#This Row],[HomeForecast]])^2</f>
        <v>9.4063261267483718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0.70205866118327609</v>
      </c>
      <c r="J314">
        <f>(Table3[[#This Row],[HomeMargin]]-Table3[[#This Row],[HomeForecast]])^2</f>
        <v>2.8970036861090067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0.33941629733682038</v>
      </c>
      <c r="J315">
        <f>(Table3[[#This Row],[HomeMargin]]-Table3[[#This Row],[HomeForecast]])^2</f>
        <v>2.7575382335505552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-0.32638664013545893</v>
      </c>
      <c r="J316">
        <f>(Table3[[#This Row],[HomeMargin]]-Table3[[#This Row],[HomeForecast]])^2</f>
        <v>1.7593015191298313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0.82630036350531899</v>
      </c>
      <c r="J317">
        <f>(Table3[[#This Row],[HomeMargin]]-Table3[[#This Row],[HomeForecast]])^2</f>
        <v>10.072369382686471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0.85655474601804749</v>
      </c>
      <c r="J318">
        <f>(Table3[[#This Row],[HomeMargin]]-Table3[[#This Row],[HomeForecast]])^2</f>
        <v>2.0576540889946864E-2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0.22821478522732433</v>
      </c>
      <c r="J319">
        <f>(Table3[[#This Row],[HomeMargin]]-Table3[[#This Row],[HomeForecast]])^2</f>
        <v>0.59565241774170519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0.17639762784106255</v>
      </c>
      <c r="J320">
        <f>(Table3[[#This Row],[HomeMargin]]-Table3[[#This Row],[HomeForecast]])^2</f>
        <v>7.9727303560615796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0.13487603317108152</v>
      </c>
      <c r="J321">
        <f>(Table3[[#This Row],[HomeMargin]]-Table3[[#This Row],[HomeForecast]])^2</f>
        <v>0.74843947798180355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0.47188074004506242</v>
      </c>
      <c r="J322">
        <f>(Table3[[#This Row],[HomeMargin]]-Table3[[#This Row],[HomeForecast]])^2</f>
        <v>19.997717353185973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7.5317826447420466E-2</v>
      </c>
      <c r="J323">
        <f>(Table3[[#This Row],[HomeMargin]]-Table3[[#This Row],[HomeForecast]])^2</f>
        <v>0.85503712208592286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0.34930804543956639</v>
      </c>
      <c r="J324">
        <f>(Table3[[#This Row],[HomeMargin]]-Table3[[#This Row],[HomeForecast]])^2</f>
        <v>7.0261678379714114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1.7955848905977893E-2</v>
      </c>
      <c r="J325">
        <f>(Table3[[#This Row],[HomeMargin]]-Table3[[#This Row],[HomeForecast]])^2</f>
        <v>1.0362341103218902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-2.7028026638697689E-2</v>
      </c>
      <c r="J326">
        <f>(Table3[[#This Row],[HomeMargin]]-Table3[[#This Row],[HomeForecast]])^2</f>
        <v>0.94667446094658669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1.8256015817694049</v>
      </c>
      <c r="J327">
        <f>(Table3[[#This Row],[HomeMargin]]-Table3[[#This Row],[HomeForecast]])^2</f>
        <v>1.3792116447425238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-0.30777620875573974</v>
      </c>
      <c r="J328">
        <f>(Table3[[#This Row],[HomeMargin]]-Table3[[#This Row],[HomeForecast]])^2</f>
        <v>22.016964107118664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0.29414244711009463</v>
      </c>
      <c r="J329">
        <f>(Table3[[#This Row],[HomeMargin]]-Table3[[#This Row],[HomeForecast]])^2</f>
        <v>0.49823488497172558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-0.3870193798113829</v>
      </c>
      <c r="J330">
        <f>(Table3[[#This Row],[HomeMargin]]-Table3[[#This Row],[HomeForecast]])^2</f>
        <v>13.053628961858525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1.2285968142973858</v>
      </c>
      <c r="J331">
        <f>(Table3[[#This Row],[HomeMargin]]-Table3[[#This Row],[HomeForecast]])^2</f>
        <v>5.2256503506913472E-2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-0.18651927624539702</v>
      </c>
      <c r="J332">
        <f>(Table3[[#This Row],[HomeMargin]]-Table3[[#This Row],[HomeForecast]])^2</f>
        <v>1.4078279929019009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0.67407691926417534</v>
      </c>
      <c r="J333">
        <f>(Table3[[#This Row],[HomeMargin]]-Table3[[#This Row],[HomeForecast]])^2</f>
        <v>0.10622585455633088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0.10689509639772979</v>
      </c>
      <c r="J334">
        <f>(Table3[[#This Row],[HomeMargin]]-Table3[[#This Row],[HomeForecast]])^2</f>
        <v>1.2252167544293395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2.7811970733001068E-2</v>
      </c>
      <c r="J335">
        <f>(Table3[[#This Row],[HomeMargin]]-Table3[[#This Row],[HomeForecast]])^2</f>
        <v>9.167645330114059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-1.2654725778614233</v>
      </c>
      <c r="J336">
        <f>(Table3[[#This Row],[HomeMargin]]-Table3[[#This Row],[HomeForecast]])^2</f>
        <v>0.53953053387354288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0.60747900751510897</v>
      </c>
      <c r="J337">
        <f>(Table3[[#This Row],[HomeMargin]]-Table3[[#This Row],[HomeForecast]])^2</f>
        <v>29.079282654390234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0.17383293249140969</v>
      </c>
      <c r="J338">
        <f>(Table3[[#This Row],[HomeMargin]]-Table3[[#This Row],[HomeForecast]])^2</f>
        <v>1.3778837534013821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-0.68570704985094544</v>
      </c>
      <c r="J339">
        <f>(Table3[[#This Row],[HomeMargin]]-Table3[[#This Row],[HomeForecast]])^2</f>
        <v>18.613123659705831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-0.63720864814942768</v>
      </c>
      <c r="J340">
        <f>(Table3[[#This Row],[HomeMargin]]-Table3[[#This Row],[HomeForecast]])^2</f>
        <v>0.13161756497756577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-0.15101229247738895</v>
      </c>
      <c r="J341">
        <f>(Table3[[#This Row],[HomeMargin]]-Table3[[#This Row],[HomeForecast]])^2</f>
        <v>1.3248292974340543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-1.1720561063241846</v>
      </c>
      <c r="J342">
        <f>(Table3[[#This Row],[HomeMargin]]-Table3[[#This Row],[HomeForecast]])^2</f>
        <v>4.7178277290201773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0.14833152119196341</v>
      </c>
      <c r="J343">
        <f>(Table3[[#This Row],[HomeMargin]]-Table3[[#This Row],[HomeForecast]])^2</f>
        <v>0.72533919779519518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0.14191900286895101</v>
      </c>
      <c r="J344">
        <f>(Table3[[#This Row],[HomeMargin]]-Table3[[#This Row],[HomeForecast]])^2</f>
        <v>9.8716550205890226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0.19147639104863956</v>
      </c>
      <c r="J345">
        <f>(Table3[[#This Row],[HomeMargin]]-Table3[[#This Row],[HomeForecast]])^2</f>
        <v>7.887804862037175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-2.0529803095140511</v>
      </c>
      <c r="J346">
        <f>(Table3[[#This Row],[HomeMargin]]-Table3[[#This Row],[HomeForecast]])^2</f>
        <v>0.89684629416810246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1.2743921996883234</v>
      </c>
      <c r="J347">
        <f>(Table3[[#This Row],[HomeMargin]]-Table3[[#This Row],[HomeForecast]])^2</f>
        <v>5.1728598780030906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0.29507778710002586</v>
      </c>
      <c r="J348">
        <f>(Table3[[#This Row],[HomeMargin]]-Table3[[#This Row],[HomeForecast]])^2</f>
        <v>7.3166041778396922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0.3256770086115196</v>
      </c>
      <c r="J349">
        <f>(Table3[[#This Row],[HomeMargin]]-Table3[[#This Row],[HomeForecast]])^2</f>
        <v>1.7574195311611873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-0.19823134813939358</v>
      </c>
      <c r="J350">
        <f>(Table3[[#This Row],[HomeMargin]]-Table3[[#This Row],[HomeForecast]])^2</f>
        <v>0.64283297110637427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0.18740193584002277</v>
      </c>
      <c r="J351">
        <f>(Table3[[#This Row],[HomeMargin]]-Table3[[#This Row],[HomeForecast]])^2</f>
        <v>0.66031561387654247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-0.25614405370430637</v>
      </c>
      <c r="J352">
        <f>(Table3[[#This Row],[HomeMargin]]-Table3[[#This Row],[HomeForecast]])^2</f>
        <v>3.0410335614308495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-0.4928648913792385</v>
      </c>
      <c r="J353">
        <f>(Table3[[#This Row],[HomeMargin]]-Table3[[#This Row],[HomeForecast]])^2</f>
        <v>12.200105149429699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-2.2024025742423237</v>
      </c>
      <c r="J354">
        <f>(Table3[[#This Row],[HomeMargin]]-Table3[[#This Row],[HomeForecast]])^2</f>
        <v>1.4457719505445668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0.71581732621286265</v>
      </c>
      <c r="J355">
        <f>(Table3[[#This Row],[HomeMargin]]-Table3[[#This Row],[HomeForecast]])^2</f>
        <v>8.0759792080806525E-2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-8.1311163874289952E-2</v>
      </c>
      <c r="J356">
        <f>(Table3[[#This Row],[HomeMargin]]-Table3[[#This Row],[HomeForecast]])^2</f>
        <v>4.3318561608677522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-2.4791651416936011E-2</v>
      </c>
      <c r="J357">
        <f>(Table3[[#This Row],[HomeMargin]]-Table3[[#This Row],[HomeForecast]])^2</f>
        <v>8.8518647174783638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-0.64390165447654557</v>
      </c>
      <c r="J358">
        <f>(Table3[[#This Row],[HomeMargin]]-Table3[[#This Row],[HomeForecast]])^2</f>
        <v>5.5511994137783596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5.6912748226306049E-2</v>
      </c>
      <c r="J359">
        <f>(Table3[[#This Row],[HomeMargin]]-Table3[[#This Row],[HomeForecast]])^2</f>
        <v>0.88941356445805875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0.17277749662568403</v>
      </c>
      <c r="J360">
        <f>(Table3[[#This Row],[HomeMargin]]-Table3[[#This Row],[HomeForecast]])^2</f>
        <v>0.68429707008887009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-0.47806754262211626</v>
      </c>
      <c r="J361">
        <f>(Table3[[#This Row],[HomeMargin]]-Table3[[#This Row],[HomeForecast]])^2</f>
        <v>20.447873149087584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1.0455974795502869</v>
      </c>
      <c r="J362">
        <f>(Table3[[#This Row],[HomeMargin]]-Table3[[#This Row],[HomeForecast]])^2</f>
        <v>2.0791301413388341E-3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0.59984739652559571</v>
      </c>
      <c r="J363">
        <f>(Table3[[#This Row],[HomeMargin]]-Table3[[#This Row],[HomeForecast]])^2</f>
        <v>5.7607325199649599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2.7811970733001068E-2</v>
      </c>
      <c r="J364">
        <f>(Table3[[#This Row],[HomeMargin]]-Table3[[#This Row],[HomeForecast]])^2</f>
        <v>15.778277739852046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0.68539086725775222</v>
      </c>
      <c r="J365">
        <f>(Table3[[#This Row],[HomeMargin]]-Table3[[#This Row],[HomeForecast]])^2</f>
        <v>10.986633702858317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-0.68483392907218821</v>
      </c>
      <c r="J366">
        <f>(Table3[[#This Row],[HomeMargin]]-Table3[[#This Row],[HomeForecast]])^2</f>
        <v>18.620658219686568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0.48044650941034878</v>
      </c>
      <c r="J367">
        <f>(Table3[[#This Row],[HomeMargin]]-Table3[[#This Row],[HomeForecast]])^2</f>
        <v>2.1917218672252856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0.65491808630112602</v>
      </c>
      <c r="J368">
        <f>(Table3[[#This Row],[HomeMargin]]-Table3[[#This Row],[HomeForecast]])^2</f>
        <v>7.0485900449688339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3.035454384287542E-2</v>
      </c>
      <c r="J369">
        <f>(Table3[[#This Row],[HomeMargin]]-Table3[[#This Row],[HomeForecast]])^2</f>
        <v>1.0616304860176597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-1.0384120851011627</v>
      </c>
      <c r="J370">
        <f>(Table3[[#This Row],[HomeMargin]]-Table3[[#This Row],[HomeForecast]])^2</f>
        <v>1.4754882818189634E-3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2.1018359263054465</v>
      </c>
      <c r="J371">
        <f>(Table3[[#This Row],[HomeMargin]]-Table3[[#This Row],[HomeForecast]])^2</f>
        <v>15.195683145442917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0.28564687936754807</v>
      </c>
      <c r="J372">
        <f>(Table3[[#This Row],[HomeMargin]]-Table3[[#This Row],[HomeForecast]])^2</f>
        <v>10.795475415897707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6.7689480130371404E-2</v>
      </c>
      <c r="J373">
        <f>(Table3[[#This Row],[HomeMargin]]-Table3[[#This Row],[HomeForecast]])^2</f>
        <v>4.2753397862418066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1.0021438473176625</v>
      </c>
      <c r="J374">
        <f>(Table3[[#This Row],[HomeMargin]]-Table3[[#This Row],[HomeForecast]])^2</f>
        <v>4.596081321448627E-6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0.42371790079978777</v>
      </c>
      <c r="J375">
        <f>(Table3[[#This Row],[HomeMargin]]-Table3[[#This Row],[HomeForecast]])^2</f>
        <v>5.8744084626573292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-0.11752433202428653</v>
      </c>
      <c r="J376">
        <f>(Table3[[#This Row],[HomeMargin]]-Table3[[#This Row],[HomeForecast]])^2</f>
        <v>4.4839092967149012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-1.2120015270352309</v>
      </c>
      <c r="J377">
        <f>(Table3[[#This Row],[HomeMargin]]-Table3[[#This Row],[HomeForecast]])^2</f>
        <v>4.4944647465269737E-2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1.1612990965161718</v>
      </c>
      <c r="J378">
        <f>(Table3[[#This Row],[HomeMargin]]-Table3[[#This Row],[HomeForecast]])^2</f>
        <v>8.0582228194399033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0.25359309844392536</v>
      </c>
      <c r="J379">
        <f>(Table3[[#This Row],[HomeMargin]]-Table3[[#This Row],[HomeForecast]])^2</f>
        <v>1.5714956564662412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0.23759296150366949</v>
      </c>
      <c r="J380">
        <f>(Table3[[#This Row],[HomeMargin]]-Table3[[#This Row],[HomeForecast]])^2</f>
        <v>1.5316363383634228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0.5776180595369923</v>
      </c>
      <c r="J381">
        <f>(Table3[[#This Row],[HomeMargin]]-Table3[[#This Row],[HomeForecast]])^2</f>
        <v>0.17840650362929578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2.9667920799974448E-2</v>
      </c>
      <c r="J382">
        <f>(Table3[[#This Row],[HomeMargin]]-Table3[[#This Row],[HomeForecast]])^2</f>
        <v>0.94154434392464459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-5.7673540421146176E-2</v>
      </c>
      <c r="J383">
        <f>(Table3[[#This Row],[HomeMargin]]-Table3[[#This Row],[HomeForecast]])^2</f>
        <v>15.54193791389554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0.1368820070342095</v>
      </c>
      <c r="J384">
        <f>(Table3[[#This Row],[HomeMargin]]-Table3[[#This Row],[HomeForecast]])^2</f>
        <v>26.387556754191809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0.77445828839003283</v>
      </c>
      <c r="J385">
        <f>(Table3[[#This Row],[HomeMargin]]-Table3[[#This Row],[HomeForecast]])^2</f>
        <v>10.404119333335757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2.6574077739425772E-3</v>
      </c>
      <c r="J386">
        <f>(Table3[[#This Row],[HomeMargin]]-Table3[[#This Row],[HomeForecast]])^2</f>
        <v>1.0053218773639621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-8.0797444607970004E-2</v>
      </c>
      <c r="J387">
        <f>(Table3[[#This Row],[HomeMargin]]-Table3[[#This Row],[HomeForecast]])^2</f>
        <v>0.84493333783923796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0.8120762656015923</v>
      </c>
      <c r="J388">
        <f>(Table3[[#This Row],[HomeMargin]]-Table3[[#This Row],[HomeForecast]])^2</f>
        <v>3.5315329950243286E-2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-0.79320339977009524</v>
      </c>
      <c r="J389">
        <f>(Table3[[#This Row],[HomeMargin]]-Table3[[#This Row],[HomeForecast]])^2</f>
        <v>4.8699512347862655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0.62914118012094744</v>
      </c>
      <c r="J390">
        <f>(Table3[[#This Row],[HomeMargin]]-Table3[[#This Row],[HomeForecast]])^2</f>
        <v>6.9123833450077674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-1.0953656690208584</v>
      </c>
      <c r="J391">
        <f>(Table3[[#This Row],[HomeMargin]]-Table3[[#This Row],[HomeForecast]])^2</f>
        <v>4.3905572869112293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0.11442020551124027</v>
      </c>
      <c r="J392">
        <f>(Table3[[#This Row],[HomeMargin]]-Table3[[#This Row],[HomeForecast]])^2</f>
        <v>1.2419323944517149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0.26425931236497729</v>
      </c>
      <c r="J393">
        <f>(Table3[[#This Row],[HomeMargin]]-Table3[[#This Row],[HomeForecast]])^2</f>
        <v>0.54131435944165618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-0.8989696630333367</v>
      </c>
      <c r="J394">
        <f>(Table3[[#This Row],[HomeMargin]]-Table3[[#This Row],[HomeForecast]])^2</f>
        <v>3.6060857811209446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0.29440594783122692</v>
      </c>
      <c r="J395">
        <f>(Table3[[#This Row],[HomeMargin]]-Table3[[#This Row],[HomeForecast]])^2</f>
        <v>10.853110549105766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0.64712059098032504</v>
      </c>
      <c r="J396">
        <f>(Table3[[#This Row],[HomeMargin]]-Table3[[#This Row],[HomeForecast]])^2</f>
        <v>1.8302826953494249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8.9932768316859771E-2</v>
      </c>
      <c r="J397">
        <f>(Table3[[#This Row],[HomeMargin]]-Table3[[#This Row],[HomeForecast]])^2</f>
        <v>0.82822236618341438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1.8917927443733076</v>
      </c>
      <c r="J398">
        <f>(Table3[[#This Row],[HomeMargin]]-Table3[[#This Row],[HomeForecast]])^2</f>
        <v>9.6609523439304148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0.51940340873067692</v>
      </c>
      <c r="J399">
        <f>(Table3[[#This Row],[HomeMargin]]-Table3[[#This Row],[HomeForecast]])^2</f>
        <v>0.23097308353969279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0.63680753794696154</v>
      </c>
      <c r="J400">
        <f>(Table3[[#This Row],[HomeMargin]]-Table3[[#This Row],[HomeForecast]])^2</f>
        <v>2.6791389162799941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-0.15782814685942059</v>
      </c>
      <c r="J401">
        <f>(Table3[[#This Row],[HomeMargin]]-Table3[[#This Row],[HomeForecast]])^2</f>
        <v>3.3935971365033968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-0.176463345776042</v>
      </c>
      <c r="J402">
        <f>(Table3[[#This Row],[HomeMargin]]-Table3[[#This Row],[HomeForecast]])^2</f>
        <v>7.9723592377462227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-0.64559709103208929</v>
      </c>
      <c r="J403">
        <f>(Table3[[#This Row],[HomeMargin]]-Table3[[#This Row],[HomeForecast]])^2</f>
        <v>5.5432130577565593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9.6321956189235447E-2</v>
      </c>
      <c r="J404">
        <f>(Table3[[#This Row],[HomeMargin]]-Table3[[#This Row],[HomeForecast]])^2</f>
        <v>25.972497481136479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-0.45854277784274022</v>
      </c>
      <c r="J405">
        <f>(Table3[[#This Row],[HomeMargin]]-Table3[[#This Row],[HomeForecast]])^2</f>
        <v>12.541919256369816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-1.0271249550294019</v>
      </c>
      <c r="J406">
        <f>(Table3[[#This Row],[HomeMargin]]-Table3[[#This Row],[HomeForecast]])^2</f>
        <v>4.1092355833029552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0.50444912976336564</v>
      </c>
      <c r="J407">
        <f>(Table3[[#This Row],[HomeMargin]]-Table3[[#This Row],[HomeForecast]])^2</f>
        <v>0.24557066499228561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1.0333704515446034</v>
      </c>
      <c r="J408">
        <f>(Table3[[#This Row],[HomeMargin]]-Table3[[#This Row],[HomeForecast]])^2</f>
        <v>1.1135870362907225E-3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-0.38537866510255153</v>
      </c>
      <c r="J409">
        <f>(Table3[[#This Row],[HomeMargin]]-Table3[[#This Row],[HomeForecast]])^2</f>
        <v>5.6900313759264307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0.94023155759765764</v>
      </c>
      <c r="J410">
        <f>(Table3[[#This Row],[HomeMargin]]-Table3[[#This Row],[HomeForecast]])^2</f>
        <v>16.481719805925941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-9.2033497069443915E-2</v>
      </c>
      <c r="J411">
        <f>(Table3[[#This Row],[HomeMargin]]-Table3[[#This Row],[HomeForecast]])^2</f>
        <v>8.4562691821661673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0.21296857689049181</v>
      </c>
      <c r="J412">
        <f>(Table3[[#This Row],[HomeMargin]]-Table3[[#This Row],[HomeForecast]])^2</f>
        <v>14.341606999618826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0.25248419769734487</v>
      </c>
      <c r="J413">
        <f>(Table3[[#This Row],[HomeMargin]]-Table3[[#This Row],[HomeForecast]])^2</f>
        <v>5.07368506087625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0.4129697523307081</v>
      </c>
      <c r="J414">
        <f>(Table3[[#This Row],[HomeMargin]]-Table3[[#This Row],[HomeForecast]])^2</f>
        <v>19.474302034985755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-0.32638664013545893</v>
      </c>
      <c r="J415">
        <f>(Table3[[#This Row],[HomeMargin]]-Table3[[#This Row],[HomeForecast]])^2</f>
        <v>11.064848079671666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-0.84830069181901202</v>
      </c>
      <c r="J416">
        <f>(Table3[[#This Row],[HomeMargin]]-Table3[[#This Row],[HomeForecast]])^2</f>
        <v>4.6298099128265431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2.2974704185501209</v>
      </c>
      <c r="J417">
        <f>(Table3[[#This Row],[HomeMargin]]-Table3[[#This Row],[HomeForecast]])^2</f>
        <v>8.8488649912384115E-2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4.7316871923745438E-2</v>
      </c>
      <c r="J418">
        <f>(Table3[[#This Row],[HomeMargin]]-Table3[[#This Row],[HomeForecast]])^2</f>
        <v>0.9076051425211572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-0.41559164037911966</v>
      </c>
      <c r="J419">
        <f>(Table3[[#This Row],[HomeMargin]]-Table3[[#This Row],[HomeForecast]])^2</f>
        <v>0.34153313079476821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0.43973154840970968</v>
      </c>
      <c r="J420">
        <f>(Table3[[#This Row],[HomeMargin]]-Table3[[#This Row],[HomeForecast]])^2</f>
        <v>11.83175312512506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-0.341918465377822</v>
      </c>
      <c r="J421">
        <f>(Table3[[#This Row],[HomeMargin]]-Table3[[#This Row],[HomeForecast]])^2</f>
        <v>2.7492343754550368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1.1811833792745148E-2</v>
      </c>
      <c r="J422">
        <f>(Table3[[#This Row],[HomeMargin]]-Table3[[#This Row],[HomeForecast]])^2</f>
        <v>9.0710105221740189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8.2448817378528577E-2</v>
      </c>
      <c r="J423">
        <f>(Table3[[#This Row],[HomeMargin]]-Table3[[#This Row],[HomeForecast]])^2</f>
        <v>15.347207268458888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-0.41680237089405292</v>
      </c>
      <c r="J424">
        <f>(Table3[[#This Row],[HomeMargin]]-Table3[[#This Row],[HomeForecast]])^2</f>
        <v>2.0073289581710094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-0.7936037410807073</v>
      </c>
      <c r="J425">
        <f>(Table3[[#This Row],[HomeMargin]]-Table3[[#This Row],[HomeForecast]])^2</f>
        <v>3.2170143800187088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0.74226541794084833</v>
      </c>
      <c r="J426">
        <f>(Table3[[#This Row],[HomeMargin]]-Table3[[#This Row],[HomeForecast]])^2</f>
        <v>6.6427114789205585E-2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-0.11019944309008743</v>
      </c>
      <c r="J427">
        <f>(Table3[[#This Row],[HomeMargin]]-Table3[[#This Row],[HomeForecast]])^2</f>
        <v>47.469351713996147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0.12197385960530679</v>
      </c>
      <c r="J428">
        <f>(Table3[[#This Row],[HomeMargin]]-Table3[[#This Row],[HomeForecast]])^2</f>
        <v>0.77092990321640142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-0.83705737331333185</v>
      </c>
      <c r="J429">
        <f>(Table3[[#This Row],[HomeMargin]]-Table3[[#This Row],[HomeForecast]])^2</f>
        <v>4.6783208063382231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0.22682060018611894</v>
      </c>
      <c r="J430">
        <f>(Table3[[#This Row],[HomeMargin]]-Table3[[#This Row],[HomeForecast]])^2</f>
        <v>7.6905239835520769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-0.59706256174352168</v>
      </c>
      <c r="J431">
        <f>(Table3[[#This Row],[HomeMargin]]-Table3[[#This Row],[HomeForecast]])^2</f>
        <v>29.191732961713473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0.91929911900883821</v>
      </c>
      <c r="J432">
        <f>(Table3[[#This Row],[HomeMargin]]-Table3[[#This Row],[HomeForecast]])^2</f>
        <v>4.3293161561573976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0.84396081983336568</v>
      </c>
      <c r="J433">
        <f>(Table3[[#This Row],[HomeMargin]]-Table3[[#This Row],[HomeForecast]])^2</f>
        <v>23.463956424080731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-1.1081880951358203E-2</v>
      </c>
      <c r="J434">
        <f>(Table3[[#This Row],[HomeMargin]]-Table3[[#This Row],[HomeForecast]])^2</f>
        <v>1.0222865699881365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-0.90281381763111612</v>
      </c>
      <c r="J435">
        <f>(Table3[[#This Row],[HomeMargin]]-Table3[[#This Row],[HomeForecast]])^2</f>
        <v>15.231955695092369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0.59579241808334538</v>
      </c>
      <c r="J436">
        <f>(Table3[[#This Row],[HomeMargin]]-Table3[[#This Row],[HomeForecast]])^2</f>
        <v>19.397044424612147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0.61531718286272152</v>
      </c>
      <c r="J437">
        <f>(Table3[[#This Row],[HomeMargin]]-Table3[[#This Row],[HomeForecast]])^2</f>
        <v>2.6092496012515589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0.56158520466348483</v>
      </c>
      <c r="J438">
        <f>(Table3[[#This Row],[HomeMargin]]-Table3[[#This Row],[HomeForecast]])^2</f>
        <v>2.4385483514238979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-1.4595572213907633</v>
      </c>
      <c r="J439">
        <f>(Table3[[#This Row],[HomeMargin]]-Table3[[#This Row],[HomeForecast]])^2</f>
        <v>19.887650610858508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5.9246643843957454E-2</v>
      </c>
      <c r="J440">
        <f>(Table3[[#This Row],[HomeMargin]]-Table3[[#This Row],[HomeForecast]])^2</f>
        <v>4.2404967401826035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0.94419232873600123</v>
      </c>
      <c r="J441">
        <f>(Table3[[#This Row],[HomeMargin]]-Table3[[#This Row],[HomeForecast]])^2</f>
        <v>3.7798838111159156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-0.38087536469815014</v>
      </c>
      <c r="J442">
        <f>(Table3[[#This Row],[HomeMargin]]-Table3[[#This Row],[HomeForecast]])^2</f>
        <v>1.9068167728302494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1.2070877258573538</v>
      </c>
      <c r="J443">
        <f>(Table3[[#This Row],[HomeMargin]]-Table3[[#This Row],[HomeForecast]])^2</f>
        <v>3.2145344227713553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-0.13441877721934359</v>
      </c>
      <c r="J444">
        <f>(Table3[[#This Row],[HomeMargin]]-Table3[[#This Row],[HomeForecast]])^2</f>
        <v>8.2115557443530811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-0.52202113238013359</v>
      </c>
      <c r="J445">
        <f>(Table3[[#This Row],[HomeMargin]]-Table3[[#This Row],[HomeForecast]])^2</f>
        <v>6.1403792683706353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-7.5718936649886603E-2</v>
      </c>
      <c r="J446">
        <f>(Table3[[#This Row],[HomeMargin]]-Table3[[#This Row],[HomeForecast]])^2</f>
        <v>9.4600469772667104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-1.4219908188521677E-2</v>
      </c>
      <c r="J447">
        <f>(Table3[[#This Row],[HomeMargin]]-Table3[[#This Row],[HomeForecast]])^2</f>
        <v>9.0855216549200186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1.0195464542863775</v>
      </c>
      <c r="J448">
        <f>(Table3[[#This Row],[HomeMargin]]-Table3[[#This Row],[HomeForecast]])^2</f>
        <v>3.9221962467296594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-0.42860466084289495</v>
      </c>
      <c r="J449">
        <f>(Table3[[#This Row],[HomeMargin]]-Table3[[#This Row],[HomeForecast]])^2</f>
        <v>5.8981205986678331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0.29693483421772848</v>
      </c>
      <c r="J450">
        <f>(Table3[[#This Row],[HomeMargin]]-Table3[[#This Row],[HomeForecast]])^2</f>
        <v>13.712691622030082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0.47800182468713687</v>
      </c>
      <c r="J451">
        <f>(Table3[[#This Row],[HomeMargin]]-Table3[[#This Row],[HomeForecast]])^2</f>
        <v>0.27248209502995852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0.56158520466348483</v>
      </c>
      <c r="J452">
        <f>(Table3[[#This Row],[HomeMargin]]-Table3[[#This Row],[HomeForecast]])^2</f>
        <v>29.576355486135107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-1.6883519415287997</v>
      </c>
      <c r="J453">
        <f>(Table3[[#This Row],[HomeMargin]]-Table3[[#This Row],[HomeForecast]])^2</f>
        <v>0.47382839540646815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1.036219303273942</v>
      </c>
      <c r="J454">
        <f>(Table3[[#This Row],[HomeMargin]]-Table3[[#This Row],[HomeForecast]])^2</f>
        <v>4.1461890510254173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-0.20216665709621515</v>
      </c>
      <c r="J455">
        <f>(Table3[[#This Row],[HomeMargin]]-Table3[[#This Row],[HomeForecast]])^2</f>
        <v>0.63653804304902828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0.55405201113465807</v>
      </c>
      <c r="J456">
        <f>(Table3[[#This Row],[HomeMargin]]-Table3[[#This Row],[HomeForecast]])^2</f>
        <v>6.5231816755809913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-5.4226750808034352E-2</v>
      </c>
      <c r="J457">
        <f>(Table3[[#This Row],[HomeMargin]]-Table3[[#This Row],[HomeForecast]])^2</f>
        <v>0.89448703888712811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-0.99623028916835477</v>
      </c>
      <c r="J458">
        <f>(Table3[[#This Row],[HomeMargin]]-Table3[[#This Row],[HomeForecast]])^2</f>
        <v>8.9773959457298833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0.52262830534315674</v>
      </c>
      <c r="J459">
        <f>(Table3[[#This Row],[HomeMargin]]-Table3[[#This Row],[HomeForecast]])^2</f>
        <v>30.001600681427977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0.93115243083716737</v>
      </c>
      <c r="J460">
        <f>(Table3[[#This Row],[HomeMargin]]-Table3[[#This Row],[HomeForecast]])^2</f>
        <v>15.453959434476969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1.0921989787846191</v>
      </c>
      <c r="J461">
        <f>(Table3[[#This Row],[HomeMargin]]-Table3[[#This Row],[HomeForecast]])^2</f>
        <v>8.5006516889266498E-3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2.1894094739433712E-2</v>
      </c>
      <c r="J462">
        <f>(Table3[[#This Row],[HomeMargin]]-Table3[[#This Row],[HomeForecast]])^2</f>
        <v>8.8691147829478574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0.97940631694638447</v>
      </c>
      <c r="J463">
        <f>(Table3[[#This Row],[HomeMargin]]-Table3[[#This Row],[HomeForecast]])^2</f>
        <v>3.9180493675672508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-9.0965144986719093E-2</v>
      </c>
      <c r="J464">
        <f>(Table3[[#This Row],[HomeMargin]]-Table3[[#This Row],[HomeForecast]])^2</f>
        <v>0.82634436762901675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-1.5053526067817011</v>
      </c>
      <c r="J465">
        <f>(Table3[[#This Row],[HomeMargin]]-Table3[[#This Row],[HomeForecast]])^2</f>
        <v>0.25538125718106064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0.68539086725775222</v>
      </c>
      <c r="J466">
        <f>(Table3[[#This Row],[HomeMargin]]-Table3[[#This Row],[HomeForecast]])^2</f>
        <v>1.7281971718893248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-0.33463109980445715</v>
      </c>
      <c r="J467">
        <f>(Table3[[#This Row],[HomeMargin]]-Table3[[#This Row],[HomeForecast]])^2</f>
        <v>11.119764571783083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-0.94275923834216246</v>
      </c>
      <c r="J468">
        <f>(Table3[[#This Row],[HomeMargin]]-Table3[[#This Row],[HomeForecast]])^2</f>
        <v>4.2322395514265194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-0.83463982456432884</v>
      </c>
      <c r="J469">
        <f>(Table3[[#This Row],[HomeMargin]]-Table3[[#This Row],[HomeForecast]])^2</f>
        <v>8.0351829350060893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0.20849218401036448</v>
      </c>
      <c r="J470">
        <f>(Table3[[#This Row],[HomeMargin]]-Table3[[#This Row],[HomeForecast]])^2</f>
        <v>4.8774377268348692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-0.25563770792240748</v>
      </c>
      <c r="J471">
        <f>(Table3[[#This Row],[HomeMargin]]-Table3[[#This Row],[HomeForecast]])^2</f>
        <v>14.020248974332562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0.88223109611079287</v>
      </c>
      <c r="J472">
        <f>(Table3[[#This Row],[HomeMargin]]-Table3[[#This Row],[HomeForecast]])^2</f>
        <v>4.4849451302800931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0.1525910774475393</v>
      </c>
      <c r="J473">
        <f>(Table3[[#This Row],[HomeMargin]]-Table3[[#This Row],[HomeForecast]])^2</f>
        <v>1.3284661918116794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-0.71178825363599185</v>
      </c>
      <c r="J474">
        <f>(Table3[[#This Row],[HomeMargin]]-Table3[[#This Row],[HomeForecast]])^2</f>
        <v>18.388759981654257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-2.0529803095140511</v>
      </c>
      <c r="J475">
        <f>(Table3[[#This Row],[HomeMargin]]-Table3[[#This Row],[HomeForecast]])^2</f>
        <v>9.3206887702805119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0.13782957515131727</v>
      </c>
      <c r="J476">
        <f>(Table3[[#This Row],[HomeMargin]]-Table3[[#This Row],[HomeForecast]])^2</f>
        <v>0.74333784148375814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0.10270027607658196</v>
      </c>
      <c r="J477">
        <f>(Table3[[#This Row],[HomeMargin]]-Table3[[#This Row],[HomeForecast]])^2</f>
        <v>1.2159478988593704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0.52785849940344265</v>
      </c>
      <c r="J478">
        <f>(Table3[[#This Row],[HomeMargin]]-Table3[[#This Row],[HomeForecast]])^2</f>
        <v>6.1114835989717982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-3.2673629852334261E-2</v>
      </c>
      <c r="J479">
        <f>(Table3[[#This Row],[HomeMargin]]-Table3[[#This Row],[HomeForecast]])^2</f>
        <v>0.93572030638305892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-0.78204947876823305</v>
      </c>
      <c r="J480">
        <f>(Table3[[#This Row],[HomeMargin]]-Table3[[#This Row],[HomeForecast]])^2</f>
        <v>4.9193045146322678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-0.91314394316961411</v>
      </c>
      <c r="J481">
        <f>(Table3[[#This Row],[HomeMargin]]-Table3[[#This Row],[HomeForecast]])^2</f>
        <v>7.543974608123223E-3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-0.1622212363851688</v>
      </c>
      <c r="J482">
        <f>(Table3[[#This Row],[HomeMargin]]-Table3[[#This Row],[HomeForecast]])^2</f>
        <v>0.70187325676399515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-0.44542581259322139</v>
      </c>
      <c r="J483">
        <f>(Table3[[#This Row],[HomeMargin]]-Table3[[#This Row],[HomeForecast]])^2</f>
        <v>11.870959030083659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-0.32868271766387935</v>
      </c>
      <c r="J484">
        <f>(Table3[[#This Row],[HomeMargin]]-Table3[[#This Row],[HomeForecast]])^2</f>
        <v>1.7653977642186722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5.3379410828552909E-3</v>
      </c>
      <c r="J485">
        <f>(Table3[[#This Row],[HomeMargin]]-Table3[[#This Row],[HomeForecast]])^2</f>
        <v>1.0107043757807148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-0.149310013413019</v>
      </c>
      <c r="J486">
        <f>(Table3[[#This Row],[HomeMargin]]-Table3[[#This Row],[HomeForecast]])^2</f>
        <v>8.1264333996272828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1.6435375870122375</v>
      </c>
      <c r="J487">
        <f>(Table3[[#This Row],[HomeMargin]]-Table3[[#This Row],[HomeForecast]])^2</f>
        <v>5.5529151038241089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0.32500094086682763</v>
      </c>
      <c r="J488">
        <f>(Table3[[#This Row],[HomeMargin]]-Table3[[#This Row],[HomeForecast]])^2</f>
        <v>7.1556199663633571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-0.20061746857276597</v>
      </c>
      <c r="J489">
        <f>(Table3[[#This Row],[HomeMargin]]-Table3[[#This Row],[HomeForecast]])^2</f>
        <v>10.243952180133139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-0.68905072326471384</v>
      </c>
      <c r="J490">
        <f>(Table3[[#This Row],[HomeMargin]]-Table3[[#This Row],[HomeForecast]])^2</f>
        <v>10.962385113113914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0.68096911156503559</v>
      </c>
      <c r="J491">
        <f>(Table3[[#This Row],[HomeMargin]]-Table3[[#This Row],[HomeForecast]])^2</f>
        <v>18.654027815255319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0.35746668774900886</v>
      </c>
      <c r="J492">
        <f>(Table3[[#This Row],[HomeMargin]]-Table3[[#This Row],[HomeForecast]])^2</f>
        <v>6.9829823063561935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9.2034189760379637E-2</v>
      </c>
      <c r="J493">
        <f>(Table3[[#This Row],[HomeMargin]]-Table3[[#This Row],[HomeForecast]])^2</f>
        <v>1.1925386716056088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-2.6529614739101509E-2</v>
      </c>
      <c r="J494">
        <f>(Table3[[#This Row],[HomeMargin]]-Table3[[#This Row],[HomeForecast]])^2</f>
        <v>3.8945853615017993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0.15581643112410437</v>
      </c>
      <c r="J495">
        <f>(Table3[[#This Row],[HomeMargin]]-Table3[[#This Row],[HomeForecast]])^2</f>
        <v>1.3359116224564616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-0.4280475713416958</v>
      </c>
      <c r="J496">
        <f>(Table3[[#This Row],[HomeMargin]]-Table3[[#This Row],[HomeForecast]])^2</f>
        <v>0.32712958064813258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7.5382978572844594E-2</v>
      </c>
      <c r="J497">
        <f>(Table3[[#This Row],[HomeMargin]]-Table3[[#This Row],[HomeForecast]])^2</f>
        <v>9.4579804648955808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-0.12821540873273796</v>
      </c>
      <c r="J498">
        <f>(Table3[[#This Row],[HomeMargin]]-Table3[[#This Row],[HomeForecast]])^2</f>
        <v>0.76000837357102713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-0.39429720659615786</v>
      </c>
      <c r="J499">
        <f>(Table3[[#This Row],[HomeMargin]]-Table3[[#This Row],[HomeForecast]])^2</f>
        <v>1.944064700321849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0.60579972179454655</v>
      </c>
      <c r="J500">
        <f>(Table3[[#This Row],[HomeMargin]]-Table3[[#This Row],[HomeForecast]])^2</f>
        <v>1.9437944157481637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-0.31827815479638588</v>
      </c>
      <c r="J501">
        <f>(Table3[[#This Row],[HomeMargin]]-Table3[[#This Row],[HomeForecast]])^2</f>
        <v>0.4647446742278204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-0.29781950385521549</v>
      </c>
      <c r="J502">
        <f>(Table3[[#This Row],[HomeMargin]]-Table3[[#This Row],[HomeForecast]])^2</f>
        <v>13.706140426034844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2.1902299497546562</v>
      </c>
      <c r="J503">
        <f>(Table3[[#This Row],[HomeMargin]]-Table3[[#This Row],[HomeForecast]])^2</f>
        <v>3.6187433783659038E-2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0.74878938656414507</v>
      </c>
      <c r="J504">
        <f>(Table3[[#This Row],[HomeMargin]]-Table3[[#This Row],[HomeForecast]])^2</f>
        <v>22.551000637944266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0.42598693719343828</v>
      </c>
      <c r="J505">
        <f>(Table3[[#This Row],[HomeMargin]]-Table3[[#This Row],[HomeForecast]])^2</f>
        <v>2.0334387450463232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0.6709892689045891</v>
      </c>
      <c r="J506">
        <f>(Table3[[#This Row],[HomeMargin]]-Table3[[#This Row],[HomeForecast]])^2</f>
        <v>0.10824806117593679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8.521833537834797E-2</v>
      </c>
      <c r="J507">
        <f>(Table3[[#This Row],[HomeMargin]]-Table3[[#This Row],[HomeForecast]])^2</f>
        <v>8.4959521524145689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-0.41680237089405292</v>
      </c>
      <c r="J508">
        <f>(Table3[[#This Row],[HomeMargin]]-Table3[[#This Row],[HomeForecast]])^2</f>
        <v>2.0073289581710094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0.13481598272420522</v>
      </c>
      <c r="J509">
        <f>(Table3[[#This Row],[HomeMargin]]-Table3[[#This Row],[HomeForecast]])^2</f>
        <v>0.7485433837494827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-0.33466911131342214</v>
      </c>
      <c r="J510">
        <f>(Table3[[#This Row],[HomeMargin]]-Table3[[#This Row],[HomeForecast]])^2</f>
        <v>0.44266519144047145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0.18351356719303721</v>
      </c>
      <c r="J511">
        <f>(Table3[[#This Row],[HomeMargin]]-Table3[[#This Row],[HomeForecast]])^2</f>
        <v>1.4007043637299879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-0.22918772542045607</v>
      </c>
      <c r="J512">
        <f>(Table3[[#This Row],[HomeMargin]]-Table3[[#This Row],[HomeForecast]])^2</f>
        <v>7.6774006609606653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-0.44036841929638709</v>
      </c>
      <c r="J513">
        <f>(Table3[[#This Row],[HomeMargin]]-Table3[[#This Row],[HomeForecast]])^2</f>
        <v>19.716871699084695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0.47191875155402735</v>
      </c>
      <c r="J514">
        <f>(Table3[[#This Row],[HomeMargin]]-Table3[[#This Row],[HomeForecast]])^2</f>
        <v>0.27886980496025715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0.78790945316969274</v>
      </c>
      <c r="J515">
        <f>(Table3[[#This Row],[HomeMargin]]-Table3[[#This Row],[HomeForecast]])^2</f>
        <v>10.317525681036621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-0.10633615449211911</v>
      </c>
      <c r="J516">
        <f>(Table3[[#This Row],[HomeMargin]]-Table3[[#This Row],[HomeForecast]])^2</f>
        <v>9.6493243047048871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0.49704002466839414</v>
      </c>
      <c r="J517">
        <f>(Table3[[#This Row],[HomeMargin]]-Table3[[#This Row],[HomeForecast]])^2</f>
        <v>2.2411288354591461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-0.21149789306272429</v>
      </c>
      <c r="J518">
        <f>(Table3[[#This Row],[HomeMargin]]-Table3[[#This Row],[HomeForecast]])^2</f>
        <v>0.62173557264452306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-0.3745765205155035</v>
      </c>
      <c r="J519">
        <f>(Table3[[#This Row],[HomeMargin]]-Table3[[#This Row],[HomeForecast]])^2</f>
        <v>2.6420014876594879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0.95194362949165423</v>
      </c>
      <c r="J520">
        <f>(Table3[[#This Row],[HomeMargin]]-Table3[[#This Row],[HomeForecast]])^2</f>
        <v>4.1945348967798184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0.12867196761097247</v>
      </c>
      <c r="J521">
        <f>(Table3[[#This Row],[HomeMargin]]-Table3[[#This Row],[HomeForecast]])^2</f>
        <v>9.7885882809147144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-0.54371947132443044</v>
      </c>
      <c r="J522">
        <f>(Table3[[#This Row],[HomeMargin]]-Table3[[#This Row],[HomeForecast]])^2</f>
        <v>6.0333140355507355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0.60078273651552694</v>
      </c>
      <c r="J523">
        <f>(Table3[[#This Row],[HomeMargin]]-Table3[[#This Row],[HomeForecast]])^2</f>
        <v>12.965636315588247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-4.1537205692259035E-2</v>
      </c>
      <c r="J524">
        <f>(Table3[[#This Row],[HomeMargin]]-Table3[[#This Row],[HomeForecast]])^2</f>
        <v>0.91865092807220294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-0.17645065614086636</v>
      </c>
      <c r="J525">
        <f>(Table3[[#This Row],[HomeMargin]]-Table3[[#This Row],[HomeForecast]])^2</f>
        <v>10.089838770897741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-9.8641042198694281E-2</v>
      </c>
      <c r="J526">
        <f>(Table3[[#This Row],[HomeMargin]]-Table3[[#This Row],[HomeForecast]])^2</f>
        <v>1.2070121396034332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-0.30777620875573974</v>
      </c>
      <c r="J527">
        <f>(Table3[[#This Row],[HomeMargin]]-Table3[[#This Row],[HomeForecast]])^2</f>
        <v>1.7102786121875364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0.27215805530046105</v>
      </c>
      <c r="J528">
        <f>(Table3[[#This Row],[HomeMargin]]-Table3[[#This Row],[HomeForecast]])^2</f>
        <v>22.352489454060315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-0.18056567723069872</v>
      </c>
      <c r="J529">
        <f>(Table3[[#This Row],[HomeMargin]]-Table3[[#This Row],[HomeForecast]])^2</f>
        <v>7.9492099004095884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0.54049365690101858</v>
      </c>
      <c r="J530">
        <f>(Table3[[#This Row],[HomeMargin]]-Table3[[#This Row],[HomeForecast]])^2</f>
        <v>12.535095334556347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-0.20149058935152322</v>
      </c>
      <c r="J531">
        <f>(Table3[[#This Row],[HomeMargin]]-Table3[[#This Row],[HomeForecast]])^2</f>
        <v>3.234636100191131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-2.1067497274833236</v>
      </c>
      <c r="J532">
        <f>(Table3[[#This Row],[HomeMargin]]-Table3[[#This Row],[HomeForecast]])^2</f>
        <v>1.1395504317763845E-2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0.17084284082773865</v>
      </c>
      <c r="J533">
        <f>(Table3[[#This Row],[HomeMargin]]-Table3[[#This Row],[HomeForecast]])^2</f>
        <v>8.0041302312956617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0.39363271930158705</v>
      </c>
      <c r="J534">
        <f>(Table3[[#This Row],[HomeMargin]]-Table3[[#This Row],[HomeForecast]])^2</f>
        <v>0.36768127910158793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-0.19775860433742351</v>
      </c>
      <c r="J535">
        <f>(Table3[[#This Row],[HomeMargin]]-Table3[[#This Row],[HomeForecast]])^2</f>
        <v>7.8525568395649445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0.27177906304781185</v>
      </c>
      <c r="J536">
        <f>(Table3[[#This Row],[HomeMargin]]-Table3[[#This Row],[HomeForecast]])^2</f>
        <v>0.53030573301552275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-0.88229681404577232</v>
      </c>
      <c r="J537">
        <f>(Table3[[#This Row],[HomeMargin]]-Table3[[#This Row],[HomeForecast]])^2</f>
        <v>4.4846667838006864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-0.78880763722077507</v>
      </c>
      <c r="J538">
        <f>(Table3[[#This Row],[HomeMargin]]-Table3[[#This Row],[HomeForecast]])^2</f>
        <v>3.1998327629793719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0.27166841745994885</v>
      </c>
      <c r="J539">
        <f>(Table3[[#This Row],[HomeMargin]]-Table3[[#This Row],[HomeForecast]])^2</f>
        <v>1.6171405639650906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-0.16644335242966529</v>
      </c>
      <c r="J540">
        <f>(Table3[[#This Row],[HomeMargin]]-Table3[[#This Row],[HomeForecast]])^2</f>
        <v>3.3619299798493643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-8.9570959945513701E-2</v>
      </c>
      <c r="J541">
        <f>(Table3[[#This Row],[HomeMargin]]-Table3[[#This Row],[HomeForecast]])^2</f>
        <v>4.3663067966476161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-0.75167446219730549</v>
      </c>
      <c r="J542">
        <f>(Table3[[#This Row],[HomeMargin]]-Table3[[#This Row],[HomeForecast]])^2</f>
        <v>5.0549677239357749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0.10857024083134897</v>
      </c>
      <c r="J543">
        <f>(Table3[[#This Row],[HomeMargin]]-Table3[[#This Row],[HomeForecast]])^2</f>
        <v>3.5775065338687813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0.51648429022992404</v>
      </c>
      <c r="J544">
        <f>(Table3[[#This Row],[HomeMargin]]-Table3[[#This Row],[HomeForecast]])^2</f>
        <v>6.1678502806747657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0.22059224130726418</v>
      </c>
      <c r="J545">
        <f>(Table3[[#This Row],[HomeMargin]]-Table3[[#This Row],[HomeForecast]])^2</f>
        <v>14.283923006466848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-1.0698380856167486</v>
      </c>
      <c r="J546">
        <f>(Table3[[#This Row],[HomeMargin]]-Table3[[#This Row],[HomeForecast]])^2</f>
        <v>0.86520118696911508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-0.90834783930968188</v>
      </c>
      <c r="J547">
        <f>(Table3[[#This Row],[HomeMargin]]-Table3[[#This Row],[HomeForecast]])^2</f>
        <v>8.4001185592038931E-3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0.80393697944303621</v>
      </c>
      <c r="J548">
        <f>(Table3[[#This Row],[HomeMargin]]-Table3[[#This Row],[HomeForecast]])^2</f>
        <v>3.2541886258020654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0.64712059098032504</v>
      </c>
      <c r="J549">
        <f>(Table3[[#This Row],[HomeMargin]]-Table3[[#This Row],[HomeForecast]])^2</f>
        <v>11.241800331428124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-0.85365088857137716</v>
      </c>
      <c r="J550">
        <f>(Table3[[#This Row],[HomeMargin]]-Table3[[#This Row],[HomeForecast]])^2</f>
        <v>17.192210953844928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1.9451417838583118</v>
      </c>
      <c r="J551">
        <f>(Table3[[#This Row],[HomeMargin]]-Table3[[#This Row],[HomeForecast]])^2</f>
        <v>0.89329299159487185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-0.33560445130335337</v>
      </c>
      <c r="J552">
        <f>(Table3[[#This Row],[HomeMargin]]-Table3[[#This Row],[HomeForecast]])^2</f>
        <v>1.7838392503413316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0.76928837703905506</v>
      </c>
      <c r="J553">
        <f>(Table3[[#This Row],[HomeMargin]]-Table3[[#This Row],[HomeForecast]])^2</f>
        <v>14.207534869281714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0.23085556807264726</v>
      </c>
      <c r="J554">
        <f>(Table3[[#This Row],[HomeMargin]]-Table3[[#This Row],[HomeForecast]])^2</f>
        <v>1.5150054294554389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0.2358906824392995</v>
      </c>
      <c r="J555">
        <f>(Table3[[#This Row],[HomeMargin]]-Table3[[#This Row],[HomeForecast]])^2</f>
        <v>0.58386304918307952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0.41419529635956986</v>
      </c>
      <c r="J556">
        <f>(Table3[[#This Row],[HomeMargin]]-Table3[[#This Row],[HomeForecast]])^2</f>
        <v>1.9999483362455317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-0.13536634533645139</v>
      </c>
      <c r="J557">
        <f>(Table3[[#This Row],[HomeMargin]]-Table3[[#This Row],[HomeForecast]])^2</f>
        <v>1.2890567381226501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-0.46941751023019646</v>
      </c>
      <c r="J558">
        <f>(Table3[[#This Row],[HomeMargin]]-Table3[[#This Row],[HomeForecast]])^2</f>
        <v>12.036857860291894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1.2276614743074545</v>
      </c>
      <c r="J559">
        <f>(Table3[[#This Row],[HomeMargin]]-Table3[[#This Row],[HomeForecast]])^2</f>
        <v>27.328444489958393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0.55284128061972482</v>
      </c>
      <c r="J560">
        <f>(Table3[[#This Row],[HomeMargin]]-Table3[[#This Row],[HomeForecast]])^2</f>
        <v>5.9885857978389092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0.16377925497970672</v>
      </c>
      <c r="J561">
        <f>(Table3[[#This Row],[HomeMargin]]-Table3[[#This Row],[HomeForecast]])^2</f>
        <v>14.716589604524055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-0.10696081433270924</v>
      </c>
      <c r="J562">
        <f>(Table3[[#This Row],[HomeMargin]]-Table3[[#This Row],[HomeForecast]])^2</f>
        <v>4.4392838731335535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-0.1143745146267961</v>
      </c>
      <c r="J563">
        <f>(Table3[[#This Row],[HomeMargin]]-Table3[[#This Row],[HomeForecast]])^2</f>
        <v>1.2418305588497072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0.57329727655748142</v>
      </c>
      <c r="J564">
        <f>(Table3[[#This Row],[HomeMargin]]-Table3[[#This Row],[HomeForecast]])^2</f>
        <v>2.0354806610782994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0.21078826153878499</v>
      </c>
      <c r="J565">
        <f>(Table3[[#This Row],[HomeMargin]]-Table3[[#This Row],[HomeForecast]])^2</f>
        <v>4.8875847373576828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0.19655346509187099</v>
      </c>
      <c r="J566">
        <f>(Table3[[#This Row],[HomeMargin]]-Table3[[#This Row],[HomeForecast]])^2</f>
        <v>3.2524194042721373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0.60568416618609144</v>
      </c>
      <c r="J567">
        <f>(Table3[[#This Row],[HomeMargin]]-Table3[[#This Row],[HomeForecast]])^2</f>
        <v>13.00095830628509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-4.8295364144801019E-2</v>
      </c>
      <c r="J568">
        <f>(Table3[[#This Row],[HomeMargin]]-Table3[[#This Row],[HomeForecast]])^2</f>
        <v>15.615969529039472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1.119896114853552</v>
      </c>
      <c r="J569">
        <f>(Table3[[#This Row],[HomeMargin]]-Table3[[#This Row],[HomeForecast]])^2</f>
        <v>8.294998389235662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-0.46843452594548624</v>
      </c>
      <c r="J570">
        <f>(Table3[[#This Row],[HomeMargin]]-Table3[[#This Row],[HomeForecast]])^2</f>
        <v>2.1562999569887449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1.7804667021800002E-2</v>
      </c>
      <c r="J571">
        <f>(Table3[[#This Row],[HomeMargin]]-Table3[[#This Row],[HomeForecast]])^2</f>
        <v>0.96470767212415731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-1.0953656690208584</v>
      </c>
      <c r="J572">
        <f>(Table3[[#This Row],[HomeMargin]]-Table3[[#This Row],[HomeForecast]])^2</f>
        <v>8.436900596702646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3.676332063956983E-4</v>
      </c>
      <c r="J573">
        <f>(Table3[[#This Row],[HomeMargin]]-Table3[[#This Row],[HomeForecast]])^2</f>
        <v>4.0014706679797563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-0.29600354786494881</v>
      </c>
      <c r="J574">
        <f>(Table3[[#This Row],[HomeMargin]]-Table3[[#This Row],[HomeForecast]])^2</f>
        <v>1.6796251960785344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-2.6529614739101509E-2</v>
      </c>
      <c r="J575">
        <f>(Table3[[#This Row],[HomeMargin]]-Table3[[#This Row],[HomeForecast]])^2</f>
        <v>1.0537630499364079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0.30694213792892955</v>
      </c>
      <c r="J576">
        <f>(Table3[[#This Row],[HomeMargin]]-Table3[[#This Row],[HomeForecast]])^2</f>
        <v>0.48032920017852293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0.42697545858415648</v>
      </c>
      <c r="J577">
        <f>(Table3[[#This Row],[HomeMargin]]-Table3[[#This Row],[HomeForecast]])^2</f>
        <v>5.8902098765697772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0.27484758175962765</v>
      </c>
      <c r="J578">
        <f>(Table3[[#This Row],[HomeMargin]]-Table3[[#This Row],[HomeForecast]])^2</f>
        <v>5.1749315202376245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0.72349299164811742</v>
      </c>
      <c r="J579">
        <f>(Table3[[#This Row],[HomeMargin]]-Table3[[#This Row],[HomeForecast]])^2</f>
        <v>5.1824841590752371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1.7598193907026789</v>
      </c>
      <c r="J580">
        <f>(Table3[[#This Row],[HomeMargin]]-Table3[[#This Row],[HomeForecast]])^2</f>
        <v>1.5380479436770746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8.5176221827564357E-3</v>
      </c>
      <c r="J581">
        <f>(Table3[[#This Row],[HomeMargin]]-Table3[[#This Row],[HomeForecast]])^2</f>
        <v>16.068213527349698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0.47285409154395858</v>
      </c>
      <c r="J582">
        <f>(Table3[[#This Row],[HomeMargin]]-Table3[[#This Row],[HomeForecast]])^2</f>
        <v>12.060715541153613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-0.62842514734032018</v>
      </c>
      <c r="J583">
        <f>(Table3[[#This Row],[HomeMargin]]-Table3[[#This Row],[HomeForecast]])^2</f>
        <v>1.8812175764484225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1.7068244660496847</v>
      </c>
      <c r="J584">
        <f>(Table3[[#This Row],[HomeMargin]]-Table3[[#This Row],[HomeForecast]])^2</f>
        <v>0.49960082580642196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-0.94121004981871326</v>
      </c>
      <c r="J585">
        <f>(Table3[[#This Row],[HomeMargin]]-Table3[[#This Row],[HomeForecast]])^2</f>
        <v>3.7682964575171711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0.55584699737229903</v>
      </c>
      <c r="J586">
        <f>(Table3[[#This Row],[HomeMargin]]-Table3[[#This Row],[HomeForecast]])^2</f>
        <v>11.862189905509407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0.46593235790448462</v>
      </c>
      <c r="J587">
        <f>(Table3[[#This Row],[HomeMargin]]-Table3[[#This Row],[HomeForecast]])^2</f>
        <v>2.1489576779514024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1.0262394606134952</v>
      </c>
      <c r="J588">
        <f>(Table3[[#This Row],[HomeMargin]]-Table3[[#This Row],[HomeForecast]])^2</f>
        <v>4.1056463517472679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0.34087317249096349</v>
      </c>
      <c r="J589">
        <f>(Table3[[#This Row],[HomeMargin]]-Table3[[#This Row],[HomeForecast]])^2</f>
        <v>0.43444817474212716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3.444308916267505E-2</v>
      </c>
      <c r="J590">
        <f>(Table3[[#This Row],[HomeMargin]]-Table3[[#This Row],[HomeForecast]])^2</f>
        <v>1.0700725047164181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4.0927684051369762E-2</v>
      </c>
      <c r="J591">
        <f>(Table3[[#This Row],[HomeMargin]]-Table3[[#This Row],[HomeForecast]])^2</f>
        <v>8.7561089710135906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0.50444912976336564</v>
      </c>
      <c r="J592">
        <f>(Table3[[#This Row],[HomeMargin]]-Table3[[#This Row],[HomeForecast]])^2</f>
        <v>20.209977626885362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0.45807785744808555</v>
      </c>
      <c r="J593">
        <f>(Table3[[#This Row],[HomeMargin]]-Table3[[#This Row],[HomeForecast]])^2</f>
        <v>19.87445818306891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0.21972673534303377</v>
      </c>
      <c r="J594">
        <f>(Table3[[#This Row],[HomeMargin]]-Table3[[#This Row],[HomeForecast]])^2</f>
        <v>7.7299194261663056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0.80252439503913198</v>
      </c>
      <c r="J595">
        <f>(Table3[[#This Row],[HomeMargin]]-Table3[[#This Row],[HomeForecast]])^2</f>
        <v>4.8288990343981322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-0.41859735713169388</v>
      </c>
      <c r="J596">
        <f>(Table3[[#This Row],[HomeMargin]]-Table3[[#This Row],[HomeForecast]])^2</f>
        <v>2.0124184616610266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1.4449040140348366</v>
      </c>
      <c r="J597">
        <f>(Table3[[#This Row],[HomeMargin]]-Table3[[#This Row],[HomeForecast]])^2</f>
        <v>5.9775556378436567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-0.46353309627492179</v>
      </c>
      <c r="J598">
        <f>(Table3[[#This Row],[HomeMargin]]-Table3[[#This Row],[HomeForecast]])^2</f>
        <v>2.3607305462425288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0.10758171944063076</v>
      </c>
      <c r="J599">
        <f>(Table3[[#This Row],[HomeMargin]]-Table3[[#This Row],[HomeForecast]])^2</f>
        <v>23.935756631951499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-0.36428184944010478</v>
      </c>
      <c r="J600">
        <f>(Table3[[#This Row],[HomeMargin]]-Table3[[#This Row],[HomeForecast]])^2</f>
        <v>0.4041375669512936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0.297419540258339</v>
      </c>
      <c r="J601">
        <f>(Table3[[#This Row],[HomeMargin]]-Table3[[#This Row],[HomeForecast]])^2</f>
        <v>2.8987802218941257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-0.54371947132443044</v>
      </c>
      <c r="J602">
        <f>(Table3[[#This Row],[HomeMargin]]-Table3[[#This Row],[HomeForecast]])^2</f>
        <v>2.383069806146179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-0.11103973713559182</v>
      </c>
      <c r="J603">
        <f>(Table3[[#This Row],[HomeMargin]]-Table3[[#This Row],[HomeForecast]])^2</f>
        <v>4.4564887717655095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-0.12700967212437206</v>
      </c>
      <c r="J604">
        <f>(Table3[[#This Row],[HomeMargin]]-Table3[[#This Row],[HomeForecast]])^2</f>
        <v>8.2540734240669096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-1.5287619764217779</v>
      </c>
      <c r="J605">
        <f>(Table3[[#This Row],[HomeMargin]]-Table3[[#This Row],[HomeForecast]])^2</f>
        <v>0.27958922770946482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-0.64390165447654557</v>
      </c>
      <c r="J606">
        <f>(Table3[[#This Row],[HomeMargin]]-Table3[[#This Row],[HomeForecast]])^2</f>
        <v>0.12680603168454155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-0.38748290982740052</v>
      </c>
      <c r="J607">
        <f>(Table3[[#This Row],[HomeMargin]]-Table3[[#This Row],[HomeForecast]])^2</f>
        <v>5.7000746447179109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-0.28408021512991466</v>
      </c>
      <c r="J608">
        <f>(Table3[[#This Row],[HomeMargin]]-Table3[[#This Row],[HomeForecast]])^2</f>
        <v>13.808059847588941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0.11006124491453623</v>
      </c>
      <c r="J609">
        <f>(Table3[[#This Row],[HomeMargin]]-Table3[[#This Row],[HomeForecast]])^2</f>
        <v>0.79199098780306521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-0.53277230058131986</v>
      </c>
      <c r="J610">
        <f>(Table3[[#This Row],[HomeMargin]]-Table3[[#This Row],[HomeForecast]])^2</f>
        <v>12.480480127754632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0.84903789387659712</v>
      </c>
      <c r="J611">
        <f>(Table3[[#This Row],[HomeMargin]]-Table3[[#This Row],[HomeForecast]])^2</f>
        <v>2.2789557485213555E-2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0.28481201716567406</v>
      </c>
      <c r="J612">
        <f>(Table3[[#This Row],[HomeMargin]]-Table3[[#This Row],[HomeForecast]])^2</f>
        <v>1.6507419194533284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0.65491808630112602</v>
      </c>
      <c r="J613">
        <f>(Table3[[#This Row],[HomeMargin]]-Table3[[#This Row],[HomeForecast]])^2</f>
        <v>0.11908152716207711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-0.18352918458172596</v>
      </c>
      <c r="J614">
        <f>(Table3[[#This Row],[HomeMargin]]-Table3[[#This Row],[HomeForecast]])^2</f>
        <v>1.4007413307566852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1.8466918299397466</v>
      </c>
      <c r="J615">
        <f>(Table3[[#This Row],[HomeMargin]]-Table3[[#This Row],[HomeForecast]])^2</f>
        <v>1.3301197351277305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-0.13876422245031278</v>
      </c>
      <c r="J616">
        <f>(Table3[[#This Row],[HomeMargin]]-Table3[[#This Row],[HomeForecast]])^2</f>
        <v>4.5743123992334915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0.28655965365362424</v>
      </c>
      <c r="J617">
        <f>(Table3[[#This Row],[HomeMargin]]-Table3[[#This Row],[HomeForecast]])^2</f>
        <v>10.80147435702383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0.12209587094649493</v>
      </c>
      <c r="J618">
        <f>(Table3[[#This Row],[HomeMargin]]-Table3[[#This Row],[HomeForecast]])^2</f>
        <v>1.2590991435951731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-0.93315139399096425</v>
      </c>
      <c r="J619">
        <f>(Table3[[#This Row],[HomeMargin]]-Table3[[#This Row],[HomeForecast]])^2</f>
        <v>1.1381659481434225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0.55203030382527418</v>
      </c>
      <c r="J620">
        <f>(Table3[[#This Row],[HomeMargin]]-Table3[[#This Row],[HomeForecast]])^2</f>
        <v>2.4087980639919726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-0.36477148728061703</v>
      </c>
      <c r="J621">
        <f>(Table3[[#This Row],[HomeMargin]]-Table3[[#This Row],[HomeForecast]])^2</f>
        <v>6.9444293142492119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-0.1596851939771233</v>
      </c>
      <c r="J622">
        <f>(Table3[[#This Row],[HomeMargin]]-Table3[[#This Row],[HomeForecast]])^2</f>
        <v>3.3867585852670183</v>
      </c>
    </row>
    <row r="623" spans="4:10" x14ac:dyDescent="0.2">
      <c r="D623" t="s">
        <v>30</v>
      </c>
      <c r="F623" t="s">
        <v>10</v>
      </c>
    </row>
    <row r="624" spans="4:10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75" zoomScaleNormal="60" workbookViewId="0">
      <pane ySplit="1" topLeftCell="A597" activePane="bottomLeft" state="frozen"/>
      <selection activeCell="I1" sqref="I1"/>
      <selection pane="bottomLeft" activeCell="O618" sqref="O618:O62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6.8624820120302604E-2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0.24167918475059574</v>
      </c>
      <c r="H2" t="s">
        <v>10</v>
      </c>
      <c r="I2">
        <f>VLOOKUP(Table4[[#This Row],[Visitor]],'NHL Model'!$A$6:$B$38,2,FALSE)</f>
        <v>-0.45443544272009573</v>
      </c>
      <c r="J2">
        <f>($B$1+Table4[[#This Row],[Home Differential]])-Table4[[#This Row],[Away Differential]]</f>
        <v>0.7647394475909941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0.63520121685105013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0.13307815218695454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3.852494182308655E-2</v>
      </c>
      <c r="H3" t="s">
        <v>12</v>
      </c>
      <c r="I3">
        <f>VLOOKUP(Table4[[#This Row],[Visitor]],'NHL Model'!$A$6:$B$38,2,FALSE)</f>
        <v>1.8165919516425306</v>
      </c>
      <c r="J3">
        <f>($B$1+Table4[[#This Row],[Home Differential]])-Table4[[#This Row],[Away Differential]]</f>
        <v>-1.7094421896991414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0.7337322829575551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7.08984971389955E-2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357</v>
      </c>
      <c r="V3">
        <f>COUNTIF(Table4[Locked Correct],"YES")</f>
        <v>339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5.9615189993428262E-2</v>
      </c>
      <c r="H4" t="s">
        <v>14</v>
      </c>
      <c r="I4">
        <f>VLOOKUP(Table4[[#This Row],[Visitor]],'NHL Model'!$A$6:$B$38,2,FALSE)</f>
        <v>-0.10173040746987846</v>
      </c>
      <c r="J4">
        <f>($B$1+Table4[[#This Row],[Home Differential]])-Table4[[#This Row],[Away Differential]]</f>
        <v>0.22997041758360934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0.55793641912720349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0.31129304778848649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259</v>
      </c>
      <c r="V4">
        <f>COUNTIF(Table4[Locked Correct],"NO")</f>
        <v>277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0.16838500200194736</v>
      </c>
      <c r="H5" t="s">
        <v>16</v>
      </c>
      <c r="I5">
        <f>VLOOKUP(Table4[[#This Row],[Visitor]],'NHL Model'!$A$6:$B$38,2,FALSE)</f>
        <v>-0.31883717525004912</v>
      </c>
      <c r="J5">
        <f>($B$1+Table4[[#This Row],[Home Differential]])-Table4[[#This Row],[Away Differential]]</f>
        <v>0.55584699737229903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0.63700937590520523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0.40578094499113909</v>
      </c>
      <c r="O5">
        <v>-4.1674767740132361E-3</v>
      </c>
      <c r="P5" s="11"/>
      <c r="Q5" t="s">
        <v>16</v>
      </c>
      <c r="R5" t="s">
        <v>248</v>
      </c>
      <c r="T5">
        <f>SUM(T3:T4)</f>
        <v>616</v>
      </c>
      <c r="V5">
        <f>SUM(V3:V4)</f>
        <v>616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-0.12942754353881131</v>
      </c>
      <c r="H6" t="s">
        <v>18</v>
      </c>
      <c r="I6">
        <f>VLOOKUP(Table4[[#This Row],[Visitor]],'NHL Model'!$A$6:$B$38,2,FALSE)</f>
        <v>-6.5759726104743493E-3</v>
      </c>
      <c r="J6">
        <f>($B$1+Table4[[#This Row],[Home Differential]])-Table4[[#This Row],[Away Differential]]</f>
        <v>-5.4226750808034352E-2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0.51053544946296847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0.26064644515835522</v>
      </c>
      <c r="O6">
        <v>-4.4363714293103977E-3</v>
      </c>
      <c r="P6" s="11"/>
      <c r="Q6" t="s">
        <v>18</v>
      </c>
      <c r="R6" t="s">
        <v>249</v>
      </c>
      <c r="T6" s="13">
        <f>T3/T5</f>
        <v>0.57954545454545459</v>
      </c>
      <c r="V6" s="13">
        <f>V3/V5</f>
        <v>0.55032467532467533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0.21920515510044997</v>
      </c>
      <c r="H7" t="s">
        <v>13</v>
      </c>
      <c r="I7">
        <f>VLOOKUP(Table4[[#This Row],[Visitor]],'NHL Model'!$A$6:$B$38,2,FALSE)</f>
        <v>3.852494182308655E-2</v>
      </c>
      <c r="J7">
        <f>($B$1+Table4[[#This Row],[Home Differential]])-Table4[[#This Row],[Away Differential]]</f>
        <v>0.24930503339766605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0.53495667899493204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0.28617864840128676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0.44906822732121116</v>
      </c>
      <c r="H8" t="s">
        <v>21</v>
      </c>
      <c r="I8">
        <f>VLOOKUP(Table4[[#This Row],[Visitor]],'NHL Model'!$A$6:$B$38,2,FALSE)</f>
        <v>-6.6683170548020518E-2</v>
      </c>
      <c r="J8">
        <f>($B$1+Table4[[#This Row],[Home Differential]])-Table4[[#This Row],[Away Differential]]</f>
        <v>0.58437621798953432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0.6086564200115524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0.37046263762127929</v>
      </c>
      <c r="O8">
        <v>-4.9858230986448791E-3</v>
      </c>
      <c r="P8" s="11"/>
      <c r="Q8" t="s">
        <v>21</v>
      </c>
      <c r="R8" t="s">
        <v>248</v>
      </c>
      <c r="T8">
        <f>SUM(Table4[Error])</f>
        <v>145.23235871956794</v>
      </c>
      <c r="V8">
        <f>COUNTIF(Table4[Locked Correct],"")</f>
        <v>696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-6.6683170548020518E-2</v>
      </c>
      <c r="H9" t="s">
        <v>10</v>
      </c>
      <c r="I9">
        <f>VLOOKUP(Table4[[#This Row],[Visitor]],'NHL Model'!$A$6:$B$38,2,FALSE)</f>
        <v>-0.45443544272009573</v>
      </c>
      <c r="J9">
        <f>($B$1+Table4[[#This Row],[Home Differential]])-Table4[[#This Row],[Away Differential]]</f>
        <v>0.45637709229237783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0.60407798045523731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0.15675424556040346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8.4418744674710666E-2</v>
      </c>
      <c r="H10" t="s">
        <v>15</v>
      </c>
      <c r="I10">
        <f>VLOOKUP(Table4[[#This Row],[Visitor]],'NHL Model'!$A$6:$B$38,2,FALSE)</f>
        <v>5.9615189993428262E-2</v>
      </c>
      <c r="J10">
        <f>($B$1+Table4[[#This Row],[Home Differential]])-Table4[[#This Row],[Away Differential]]</f>
        <v>9.3428374801585001E-2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0.51947352842376171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0.26985274673303278</v>
      </c>
      <c r="O10">
        <v>2.893763878885032E-2</v>
      </c>
      <c r="P10" s="11"/>
      <c r="Q10" t="s">
        <v>23</v>
      </c>
      <c r="R10" t="s">
        <v>249</v>
      </c>
      <c r="T10">
        <v>0.10969297276768342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0.64590845617425174</v>
      </c>
      <c r="H11" t="s">
        <v>24</v>
      </c>
      <c r="I11">
        <f>VLOOKUP(Table4[[#This Row],[Visitor]],'NHL Model'!$A$6:$B$38,2,FALSE)</f>
        <v>1.6161557760803764E-2</v>
      </c>
      <c r="J11">
        <f>($B$1+Table4[[#This Row],[Home Differential]])-Table4[[#This Row],[Away Differential]]</f>
        <v>0.69837171853375057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0.62917917683796598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0.13750808289056851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1.8165919516425306</v>
      </c>
      <c r="H12" t="s">
        <v>55</v>
      </c>
      <c r="I12">
        <f>VLOOKUP(Table4[[#This Row],[Visitor]],'NHL Model'!$A$6:$B$38,2,FALSE)</f>
        <v>0.17839230571314843</v>
      </c>
      <c r="J12">
        <f>($B$1+Table4[[#This Row],[Home Differential]])-Table4[[#This Row],[Away Differential]]</f>
        <v>1.7068244660496847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0.8462052328696501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2.3652830396678554E-2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-8.7991118744577684E-2</v>
      </c>
      <c r="H13" t="s">
        <v>18</v>
      </c>
      <c r="I13">
        <f>VLOOKUP(Table4[[#This Row],[Visitor]],'NHL Model'!$A$6:$B$38,2,FALSE)</f>
        <v>-6.5759726104743493E-3</v>
      </c>
      <c r="J13">
        <f>($B$1+Table4[[#This Row],[Home Differential]])-Table4[[#This Row],[Away Differential]]</f>
        <v>-1.2790326013800731E-2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0.47437598185609459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0.27628060844974456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0.24167918475059574</v>
      </c>
      <c r="H14" t="s">
        <v>27</v>
      </c>
      <c r="I14">
        <f>VLOOKUP(Table4[[#This Row],[Visitor]],'NHL Model'!$A$6:$B$38,2,FALSE)</f>
        <v>0.24261452474052697</v>
      </c>
      <c r="J14">
        <f>($B$1+Table4[[#This Row],[Home Differential]])-Table4[[#This Row],[Away Differential]]</f>
        <v>6.7689480130371404E-2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0.55310407264627848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0.19971596988534274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-0.30501317799182315</v>
      </c>
      <c r="H15" t="s">
        <v>28</v>
      </c>
      <c r="I15">
        <f>VLOOKUP(Table4[[#This Row],[Visitor]],'NHL Model'!$A$6:$B$38,2,FALSE)</f>
        <v>-0.16769781981623849</v>
      </c>
      <c r="J15">
        <f>($B$1+Table4[[#This Row],[Home Differential]])-Table4[[#This Row],[Away Differential]]</f>
        <v>-6.8690538055282052E-2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0.46753486932029559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0.21858885403034586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-0.10173040746987846</v>
      </c>
      <c r="H16" t="s">
        <v>30</v>
      </c>
      <c r="I16">
        <f>VLOOKUP(Table4[[#This Row],[Visitor]],'NHL Model'!$A$6:$B$38,2,FALSE)</f>
        <v>0.28840991013146466</v>
      </c>
      <c r="J16">
        <f>($B$1+Table4[[#This Row],[Home Differential]])-Table4[[#This Row],[Away Differential]]</f>
        <v>-0.32151549748104052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0.51603722147880671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0.266294413951567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-0.35878259596109546</v>
      </c>
      <c r="H17" t="s">
        <v>31</v>
      </c>
      <c r="I17">
        <f>VLOOKUP(Table4[[#This Row],[Visitor]],'NHL Model'!$A$6:$B$38,2,FALSE)</f>
        <v>-4.3195749724159979E-4</v>
      </c>
      <c r="J17">
        <f>($B$1+Table4[[#This Row],[Home Differential]])-Table4[[#This Row],[Away Differential]]</f>
        <v>-0.28972581834355121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0.49178088630165395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0.24184844013164028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-0.21661915454261307</v>
      </c>
      <c r="H18" t="s">
        <v>20</v>
      </c>
      <c r="I18">
        <f>VLOOKUP(Table4[[#This Row],[Visitor]],'NHL Model'!$A$6:$B$38,2,FALSE)</f>
        <v>0.21920515510044997</v>
      </c>
      <c r="J18">
        <f>($B$1+Table4[[#This Row],[Home Differential]])-Table4[[#This Row],[Away Differential]]</f>
        <v>-0.36719948952276044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0.52104843437375814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0.22939460221582827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-0.91735746943655616</v>
      </c>
      <c r="H19" t="s">
        <v>34</v>
      </c>
      <c r="I19">
        <f>VLOOKUP(Table4[[#This Row],[Visitor]],'NHL Model'!$A$6:$B$38,2,FALSE)</f>
        <v>0.65260146250136963</v>
      </c>
      <c r="J19">
        <f>($B$1+Table4[[#This Row],[Home Differential]])-Table4[[#This Row],[Away Differential]]</f>
        <v>-1.5013341118176231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0.69557383273083562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9.2675291318193256E-2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0.77383710114582016</v>
      </c>
      <c r="H20" t="s">
        <v>36</v>
      </c>
      <c r="I20">
        <f>VLOOKUP(Table4[[#This Row],[Visitor]],'NHL Model'!$A$6:$B$38,2,FALSE)</f>
        <v>5.0237013717083105E-2</v>
      </c>
      <c r="J20">
        <f>($B$1+Table4[[#This Row],[Home Differential]])-Table4[[#This Row],[Away Differential]]</f>
        <v>0.79222490754903963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0.61071102901918117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0.37296796096566714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-0.41225364678728776</v>
      </c>
      <c r="H21" t="s">
        <v>16</v>
      </c>
      <c r="I21">
        <f>VLOOKUP(Table4[[#This Row],[Visitor]],'NHL Model'!$A$6:$B$38,2,FALSE)</f>
        <v>-0.31883717525004912</v>
      </c>
      <c r="J21">
        <f>($B$1+Table4[[#This Row],[Home Differential]])-Table4[[#This Row],[Away Differential]]</f>
        <v>-2.4791651416936011E-2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0.46271946994374386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0.21410930786501928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-5.9925012095478535E-2</v>
      </c>
      <c r="H22" t="s">
        <v>39</v>
      </c>
      <c r="I22">
        <f>VLOOKUP(Table4[[#This Row],[Visitor]],'NHL Model'!$A$6:$B$38,2,FALSE)</f>
        <v>0.92184375119443818</v>
      </c>
      <c r="J22">
        <f>($B$1+Table4[[#This Row],[Home Differential]])-Table4[[#This Row],[Away Differential]]</f>
        <v>-0.91314394316961411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0.64638396108603757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0.12504430297720098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-6.6683170548020518E-2</v>
      </c>
      <c r="H23" t="s">
        <v>23</v>
      </c>
      <c r="I23">
        <f>VLOOKUP(Table4[[#This Row],[Visitor]],'NHL Model'!$A$6:$B$38,2,FALSE)</f>
        <v>8.4418744674710666E-2</v>
      </c>
      <c r="J23">
        <f>($B$1+Table4[[#This Row],[Home Differential]])-Table4[[#This Row],[Away Differential]]</f>
        <v>-8.247709510242858E-2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0.45503053724841347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0.2070527898285798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0.64590845617425174</v>
      </c>
      <c r="H24" t="s">
        <v>27</v>
      </c>
      <c r="I24">
        <f>VLOOKUP(Table4[[#This Row],[Visitor]],'NHL Model'!$A$6:$B$38,2,FALSE)</f>
        <v>0.24261452474052697</v>
      </c>
      <c r="J24">
        <f>($B$1+Table4[[#This Row],[Home Differential]])-Table4[[#This Row],[Away Differential]]</f>
        <v>0.47191875155402735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0.63181866420109534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0.1355574960306658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-0.31883717525004912</v>
      </c>
      <c r="H25" t="s">
        <v>35</v>
      </c>
      <c r="I25">
        <f>VLOOKUP(Table4[[#This Row],[Visitor]],'NHL Model'!$A$6:$B$38,2,FALSE)</f>
        <v>-0.91735746943655616</v>
      </c>
      <c r="J25">
        <f>($B$1+Table4[[#This Row],[Home Differential]])-Table4[[#This Row],[Away Differential]]</f>
        <v>0.66714511430680967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0.64372054994288697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0.41437614641877285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-0.45443544272009573</v>
      </c>
      <c r="H26" t="s">
        <v>18</v>
      </c>
      <c r="I26">
        <f>VLOOKUP(Table4[[#This Row],[Visitor]],'NHL Model'!$A$6:$B$38,2,FALSE)</f>
        <v>-6.5759726104743493E-3</v>
      </c>
      <c r="J26">
        <f>($B$1+Table4[[#This Row],[Home Differential]])-Table4[[#This Row],[Away Differential]]</f>
        <v>-0.37923464998931883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0.54869876761457059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0.20367280235260735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1.8165919516425306</v>
      </c>
      <c r="H27" t="s">
        <v>39</v>
      </c>
      <c r="I27">
        <f>VLOOKUP(Table4[[#This Row],[Visitor]],'NHL Model'!$A$6:$B$38,2,FALSE)</f>
        <v>0.92184375119443818</v>
      </c>
      <c r="J27">
        <f>($B$1+Table4[[#This Row],[Home Differential]])-Table4[[#This Row],[Away Differential]]</f>
        <v>0.96337302056839502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0.68329257903018548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0.46688874855772228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-8.7991118744577684E-2</v>
      </c>
      <c r="H28" t="s">
        <v>19</v>
      </c>
      <c r="I28">
        <f>VLOOKUP(Table4[[#This Row],[Visitor]],'NHL Model'!$A$6:$B$38,2,FALSE)</f>
        <v>-0.12942754353881131</v>
      </c>
      <c r="J28">
        <f>($B$1+Table4[[#This Row],[Home Differential]])-Table4[[#This Row],[Away Differential]]</f>
        <v>0.11006124491453623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0.58577109165486807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0.17158558850879971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0.16838500200194736</v>
      </c>
      <c r="H29" t="s">
        <v>38</v>
      </c>
      <c r="I29">
        <f>VLOOKUP(Table4[[#This Row],[Visitor]],'NHL Model'!$A$6:$B$38,2,FALSE)</f>
        <v>-0.41225364678728776</v>
      </c>
      <c r="J29">
        <f>($B$1+Table4[[#This Row],[Home Differential]])-Table4[[#This Row],[Away Differential]]</f>
        <v>0.64926346890953779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0.60520022253841743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0.15586686428371513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0.24167918475059574</v>
      </c>
      <c r="H30" t="s">
        <v>36</v>
      </c>
      <c r="I30">
        <f>VLOOKUP(Table4[[#This Row],[Visitor]],'NHL Model'!$A$6:$B$38,2,FALSE)</f>
        <v>5.0237013717083105E-2</v>
      </c>
      <c r="J30">
        <f>($B$1+Table4[[#This Row],[Home Differential]])-Table4[[#This Row],[Away Differential]]</f>
        <v>0.26006699115381526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0.55913976627636808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0.19435774567885536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0.65260146250136963</v>
      </c>
      <c r="H31" t="s">
        <v>28</v>
      </c>
      <c r="I31">
        <f>VLOOKUP(Table4[[#This Row],[Visitor]],'NHL Model'!$A$6:$B$38,2,FALSE)</f>
        <v>-0.16769781981623849</v>
      </c>
      <c r="J31">
        <f>($B$1+Table4[[#This Row],[Home Differential]])-Table4[[#This Row],[Away Differential]]</f>
        <v>0.88892410243791065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0.65979246438548056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0.43532609605986561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-0.30501317799182315</v>
      </c>
      <c r="H32" t="s">
        <v>55</v>
      </c>
      <c r="I32">
        <f>VLOOKUP(Table4[[#This Row],[Visitor]],'NHL Model'!$A$6:$B$38,2,FALSE)</f>
        <v>0.17839230571314843</v>
      </c>
      <c r="J32">
        <f>($B$1+Table4[[#This Row],[Home Differential]])-Table4[[#This Row],[Away Differential]]</f>
        <v>-0.41478066358466897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0.50549852403515483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0.24453170973141033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0.28840991013146466</v>
      </c>
      <c r="H33" t="s">
        <v>22</v>
      </c>
      <c r="I33">
        <f>VLOOKUP(Table4[[#This Row],[Visitor]],'NHL Model'!$A$6:$B$38,2,FALSE)</f>
        <v>0.44906822732121116</v>
      </c>
      <c r="J33">
        <f>($B$1+Table4[[#This Row],[Home Differential]])-Table4[[#This Row],[Away Differential]]</f>
        <v>-9.2033497069443915E-2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0.46333283795969565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0.28801164281239422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-0.10173040746987846</v>
      </c>
      <c r="H34" t="s">
        <v>15</v>
      </c>
      <c r="I34">
        <f>VLOOKUP(Table4[[#This Row],[Visitor]],'NHL Model'!$A$6:$B$38,2,FALSE)</f>
        <v>5.9615189993428262E-2</v>
      </c>
      <c r="J34">
        <f>($B$1+Table4[[#This Row],[Home Differential]])-Table4[[#This Row],[Away Differential]]</f>
        <v>-9.2720777343004129E-2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0.54007240740885365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0.21153339042668751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-0.35878259596109546</v>
      </c>
      <c r="H35" t="s">
        <v>20</v>
      </c>
      <c r="I35">
        <f>VLOOKUP(Table4[[#This Row],[Visitor]],'NHL Model'!$A$6:$B$38,2,FALSE)</f>
        <v>0.21920515510044997</v>
      </c>
      <c r="J35">
        <f>($B$1+Table4[[#This Row],[Home Differential]])-Table4[[#This Row],[Away Differential]]</f>
        <v>-0.50936293094124285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0.53664276488183593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0.28798545710002144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-0.21661915454261307</v>
      </c>
      <c r="H36" t="s">
        <v>31</v>
      </c>
      <c r="I36">
        <f>VLOOKUP(Table4[[#This Row],[Visitor]],'NHL Model'!$A$6:$B$38,2,FALSE)</f>
        <v>-4.3195749724159979E-4</v>
      </c>
      <c r="J36">
        <f>($B$1+Table4[[#This Row],[Home Differential]])-Table4[[#This Row],[Away Differential]]</f>
        <v>-0.14756237692506888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0.47618655579357622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0.2743805243313962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0.77383710114582016</v>
      </c>
      <c r="H37" t="s">
        <v>24</v>
      </c>
      <c r="I37">
        <f>VLOOKUP(Table4[[#This Row],[Visitor]],'NHL Model'!$A$6:$B$38,2,FALSE)</f>
        <v>1.6161557760803764E-2</v>
      </c>
      <c r="J37">
        <f>($B$1+Table4[[#This Row],[Home Differential]])-Table4[[#This Row],[Away Differential]]</f>
        <v>0.82630036350531899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0.60164178825969095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0.36197284138031882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-5.9925012095478535E-2</v>
      </c>
      <c r="H38" t="s">
        <v>13</v>
      </c>
      <c r="I38">
        <f>VLOOKUP(Table4[[#This Row],[Visitor]],'NHL Model'!$A$6:$B$38,2,FALSE)</f>
        <v>3.852494182308655E-2</v>
      </c>
      <c r="J38">
        <f>($B$1+Table4[[#This Row],[Home Differential]])-Table4[[#This Row],[Away Differential]]</f>
        <v>-2.9825133798262481E-2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0.49566193883393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0.24568075760861058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5.9615189993428262E-2</v>
      </c>
      <c r="H39" t="s">
        <v>22</v>
      </c>
      <c r="I39">
        <f>VLOOKUP(Table4[[#This Row],[Visitor]],'NHL Model'!$A$6:$B$38,2,FALSE)</f>
        <v>0.44906822732121116</v>
      </c>
      <c r="J39">
        <f>($B$1+Table4[[#This Row],[Home Differential]])-Table4[[#This Row],[Away Differential]]</f>
        <v>-0.32082821720748028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0.50248232051941277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0.24752384139574832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-6.6683170548020518E-2</v>
      </c>
      <c r="H40" t="s">
        <v>37</v>
      </c>
      <c r="I40">
        <f>VLOOKUP(Table4[[#This Row],[Visitor]],'NHL Model'!$A$6:$B$38,2,FALSE)</f>
        <v>0.77383710114582016</v>
      </c>
      <c r="J40">
        <f>($B$1+Table4[[#This Row],[Home Differential]])-Table4[[#This Row],[Away Differential]]</f>
        <v>-0.77189545157353812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0.60145003023888777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0.15884207839658349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8.4418744674710666E-2</v>
      </c>
      <c r="H41" t="s">
        <v>12</v>
      </c>
      <c r="I41">
        <f>VLOOKUP(Table4[[#This Row],[Visitor]],'NHL Model'!$A$6:$B$38,2,FALSE)</f>
        <v>1.8165919516425306</v>
      </c>
      <c r="J41">
        <f>($B$1+Table4[[#This Row],[Home Differential]])-Table4[[#This Row],[Away Differential]]</f>
        <v>-1.6635483868475174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0.68966642621241014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9.6306927019777472E-2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-0.16769781981623849</v>
      </c>
      <c r="H42" t="s">
        <v>24</v>
      </c>
      <c r="I42">
        <f>VLOOKUP(Table4[[#This Row],[Visitor]],'NHL Model'!$A$6:$B$38,2,FALSE)</f>
        <v>1.6161557760803764E-2</v>
      </c>
      <c r="J42">
        <f>($B$1+Table4[[#This Row],[Home Differential]])-Table4[[#This Row],[Away Differential]]</f>
        <v>-0.11523455745673965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0.50622383677023419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0.24381489937390832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-0.45443544272009573</v>
      </c>
      <c r="H43" t="s">
        <v>55</v>
      </c>
      <c r="I43">
        <f>VLOOKUP(Table4[[#This Row],[Visitor]],'NHL Model'!$A$6:$B$38,2,FALSE)</f>
        <v>0.17839230571314843</v>
      </c>
      <c r="J43">
        <f>($B$1+Table4[[#This Row],[Home Differential]])-Table4[[#This Row],[Away Differential]]</f>
        <v>-0.56420292831294161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0.52188909645087878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0.27236822899431468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0.65260146250136963</v>
      </c>
      <c r="H44" t="s">
        <v>13</v>
      </c>
      <c r="I44">
        <f>VLOOKUP(Table4[[#This Row],[Visitor]],'NHL Model'!$A$6:$B$38,2,FALSE)</f>
        <v>3.852494182308655E-2</v>
      </c>
      <c r="J44">
        <f>($B$1+Table4[[#This Row],[Home Differential]])-Table4[[#This Row],[Away Differential]]</f>
        <v>0.68270134079858569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0.604984626963321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0.15603714493530665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0.28840991013146466</v>
      </c>
      <c r="H45" t="s">
        <v>40</v>
      </c>
      <c r="I45">
        <f>VLOOKUP(Table4[[#This Row],[Visitor]],'NHL Model'!$A$6:$B$38,2,FALSE)</f>
        <v>-5.9925012095478535E-2</v>
      </c>
      <c r="J45">
        <f>($B$1+Table4[[#This Row],[Home Differential]])-Table4[[#This Row],[Away Differential]]</f>
        <v>0.41695974234724575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0.59975417416113175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0.35970506942370117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5.0237013717083105E-2</v>
      </c>
      <c r="H46" t="s">
        <v>29</v>
      </c>
      <c r="I46">
        <f>VLOOKUP(Table4[[#This Row],[Visitor]],'NHL Model'!$A$6:$B$38,2,FALSE)</f>
        <v>-0.30501317799182315</v>
      </c>
      <c r="J46">
        <f>($B$1+Table4[[#This Row],[Home Differential]])-Table4[[#This Row],[Away Differential]]</f>
        <v>0.42387501182920884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0.58649611012948288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0.34397768719701449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0.24261452474052697</v>
      </c>
      <c r="H47" t="s">
        <v>11</v>
      </c>
      <c r="I47">
        <f>VLOOKUP(Table4[[#This Row],[Visitor]],'NHL Model'!$A$6:$B$38,2,FALSE)</f>
        <v>0.24167918475059574</v>
      </c>
      <c r="J47">
        <f>($B$1+Table4[[#This Row],[Home Differential]])-Table4[[#This Row],[Away Differential]]</f>
        <v>6.956016011023386E-2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0.51532256844099522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0.23491221266263376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-0.12942754353881131</v>
      </c>
      <c r="H48" t="s">
        <v>26</v>
      </c>
      <c r="I48">
        <f>VLOOKUP(Table4[[#This Row],[Visitor]],'NHL Model'!$A$6:$B$38,2,FALSE)</f>
        <v>-8.7991118744577684E-2</v>
      </c>
      <c r="J48">
        <f>($B$1+Table4[[#This Row],[Home Differential]])-Table4[[#This Row],[Away Differential]]</f>
        <v>2.7188395326068981E-2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0.51191094733667097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0.26205281800312791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-0.41225364678728776</v>
      </c>
      <c r="H49" t="s">
        <v>35</v>
      </c>
      <c r="I49">
        <f>VLOOKUP(Table4[[#This Row],[Visitor]],'NHL Model'!$A$6:$B$38,2,FALSE)</f>
        <v>-0.91735746943655616</v>
      </c>
      <c r="J49">
        <f>($B$1+Table4[[#This Row],[Home Differential]])-Table4[[#This Row],[Away Differential]]</f>
        <v>0.57372864276957103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0.60293400038736256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0.36352940882310814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-4.3195749724159979E-4</v>
      </c>
      <c r="H50" t="s">
        <v>14</v>
      </c>
      <c r="I50">
        <f>VLOOKUP(Table4[[#This Row],[Visitor]],'NHL Model'!$A$6:$B$38,2,FALSE)</f>
        <v>-0.10173040746987846</v>
      </c>
      <c r="J50">
        <f>($B$1+Table4[[#This Row],[Home Differential]])-Table4[[#This Row],[Away Differential]]</f>
        <v>0.16992327009293945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0.59006796006747209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0.16804427736324365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-0.31883717525004912</v>
      </c>
      <c r="H51" t="s">
        <v>20</v>
      </c>
      <c r="I51">
        <f>VLOOKUP(Table4[[#This Row],[Visitor]],'NHL Model'!$A$6:$B$38,2,FALSE)</f>
        <v>0.21920515510044997</v>
      </c>
      <c r="J51">
        <f>($B$1+Table4[[#This Row],[Home Differential]])-Table4[[#This Row],[Away Differential]]</f>
        <v>-0.46941751023019646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0.50149180216635469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0.24851042330734885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0.92184375119443818</v>
      </c>
      <c r="H52" t="s">
        <v>34</v>
      </c>
      <c r="I52">
        <f>VLOOKUP(Table4[[#This Row],[Visitor]],'NHL Model'!$A$6:$B$38,2,FALSE)</f>
        <v>0.65260146250136963</v>
      </c>
      <c r="J52">
        <f>($B$1+Table4[[#This Row],[Home Differential]])-Table4[[#This Row],[Away Differential]]</f>
        <v>0.33786710881337112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0.54529694168380805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0.20675487124209826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-6.5759726104743493E-3</v>
      </c>
      <c r="H53" t="s">
        <v>32</v>
      </c>
      <c r="I53">
        <f>VLOOKUP(Table4[[#This Row],[Visitor]],'NHL Model'!$A$6:$B$38,2,FALSE)</f>
        <v>-0.35878259596109546</v>
      </c>
      <c r="J53">
        <f>($B$1+Table4[[#This Row],[Home Differential]])-Table4[[#This Row],[Away Differential]]</f>
        <v>0.42083144347092372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0.58616225206844097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0.1712616816130646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5.9615189993428262E-2</v>
      </c>
      <c r="H54" t="s">
        <v>17</v>
      </c>
      <c r="I54">
        <f>VLOOKUP(Table4[[#This Row],[Visitor]],'NHL Model'!$A$6:$B$38,2,FALSE)</f>
        <v>0.16838500200194736</v>
      </c>
      <c r="J54">
        <f>($B$1+Table4[[#This Row],[Home Differential]])-Table4[[#This Row],[Away Differential]]</f>
        <v>-4.0144991888216491E-2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0.46440362350195302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0.28686347851783761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-0.21661915454261307</v>
      </c>
      <c r="H55" t="s">
        <v>25</v>
      </c>
      <c r="I55">
        <f>VLOOKUP(Table4[[#This Row],[Visitor]],'NHL Model'!$A$6:$B$38,2,FALSE)</f>
        <v>0.64590845617425174</v>
      </c>
      <c r="J55">
        <f>($B$1+Table4[[#This Row],[Home Differential]])-Table4[[#This Row],[Away Differential]]</f>
        <v>-0.79390279059656221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0.61797358807712754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0.14594417940666424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-0.12942754353881131</v>
      </c>
      <c r="H56" t="s">
        <v>29</v>
      </c>
      <c r="I56">
        <f>VLOOKUP(Table4[[#This Row],[Visitor]],'NHL Model'!$A$6:$B$38,2,FALSE)</f>
        <v>-0.30501317799182315</v>
      </c>
      <c r="J56">
        <f>($B$1+Table4[[#This Row],[Home Differential]])-Table4[[#This Row],[Away Differential]]</f>
        <v>0.24421045457331444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0.56928364994743408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0.18551657420260451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0.44906822732121116</v>
      </c>
      <c r="H57" t="s">
        <v>37</v>
      </c>
      <c r="I57">
        <f>VLOOKUP(Table4[[#This Row],[Visitor]],'NHL Model'!$A$6:$B$38,2,FALSE)</f>
        <v>0.77383710114582016</v>
      </c>
      <c r="J57">
        <f>($B$1+Table4[[#This Row],[Home Differential]])-Table4[[#This Row],[Away Differential]]</f>
        <v>-0.25614405370430637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0.55441299218127471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0.30737376589939419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8.4418744674710666E-2</v>
      </c>
      <c r="H58" t="s">
        <v>36</v>
      </c>
      <c r="I58">
        <f>VLOOKUP(Table4[[#This Row],[Visitor]],'NHL Model'!$A$6:$B$38,2,FALSE)</f>
        <v>5.0237013717083105E-2</v>
      </c>
      <c r="J58">
        <f>($B$1+Table4[[#This Row],[Home Differential]])-Table4[[#This Row],[Away Differential]]</f>
        <v>0.10280655107793016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0.56941669109145177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0.18540198591063428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-8.7991118744577684E-2</v>
      </c>
      <c r="H59" t="s">
        <v>11</v>
      </c>
      <c r="I59">
        <f>VLOOKUP(Table4[[#This Row],[Visitor]],'NHL Model'!$A$6:$B$38,2,FALSE)</f>
        <v>0.24167918475059574</v>
      </c>
      <c r="J59">
        <f>($B$1+Table4[[#This Row],[Home Differential]])-Table4[[#This Row],[Away Differential]]</f>
        <v>-0.26104548337487082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0.49144477245433837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0.24151796437269643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-0.91735746943655616</v>
      </c>
      <c r="H60" t="s">
        <v>10</v>
      </c>
      <c r="I60">
        <f>VLOOKUP(Table4[[#This Row],[Visitor]],'NHL Model'!$A$6:$B$38,2,FALSE)</f>
        <v>-0.45443544272009573</v>
      </c>
      <c r="J60">
        <f>($B$1+Table4[[#This Row],[Home Differential]])-Table4[[#This Row],[Away Differential]]</f>
        <v>-0.39429720659615786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0.50325163274552598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0.2467589403699858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0.17839230571314843</v>
      </c>
      <c r="H61" t="s">
        <v>16</v>
      </c>
      <c r="I61">
        <f>VLOOKUP(Table4[[#This Row],[Visitor]],'NHL Model'!$A$6:$B$38,2,FALSE)</f>
        <v>-0.31883717525004912</v>
      </c>
      <c r="J61">
        <f>($B$1+Table4[[#This Row],[Home Differential]])-Table4[[#This Row],[Away Differential]]</f>
        <v>0.56585430108350021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0.60207024043922897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0.15834809354409304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-4.3195749724159979E-4</v>
      </c>
      <c r="H62" t="s">
        <v>25</v>
      </c>
      <c r="I62">
        <f>VLOOKUP(Table4[[#This Row],[Visitor]],'NHL Model'!$A$6:$B$38,2,FALSE)</f>
        <v>0.64590845617425174</v>
      </c>
      <c r="J62">
        <f>($B$1+Table4[[#This Row],[Home Differential]])-Table4[[#This Row],[Away Differential]]</f>
        <v>-0.57771559355119073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0.55513604675322981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0.19790393689834454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-0.16769781981623849</v>
      </c>
      <c r="H63" t="s">
        <v>12</v>
      </c>
      <c r="I63">
        <f>VLOOKUP(Table4[[#This Row],[Visitor]],'NHL Model'!$A$6:$B$38,2,FALSE)</f>
        <v>1.8165919516425306</v>
      </c>
      <c r="J63">
        <f>($B$1+Table4[[#This Row],[Home Differential]])-Table4[[#This Row],[Away Differential]]</f>
        <v>-1.9156649513384665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0.75635347073413406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5.9363631223302467E-2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0.92184375119443818</v>
      </c>
      <c r="H64" t="s">
        <v>38</v>
      </c>
      <c r="I64">
        <f>VLOOKUP(Table4[[#This Row],[Visitor]],'NHL Model'!$A$6:$B$38,2,FALSE)</f>
        <v>-0.41225364678728776</v>
      </c>
      <c r="J64">
        <f>($B$1+Table4[[#This Row],[Home Differential]])-Table4[[#This Row],[Away Differential]]</f>
        <v>1.4027222181020285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0.69045413592454885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0.4767269138153154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3.852494182308655E-2</v>
      </c>
      <c r="H65" t="s">
        <v>14</v>
      </c>
      <c r="I65">
        <f>VLOOKUP(Table4[[#This Row],[Visitor]],'NHL Model'!$A$6:$B$38,2,FALSE)</f>
        <v>-0.10173040746987846</v>
      </c>
      <c r="J65">
        <f>($B$1+Table4[[#This Row],[Home Differential]])-Table4[[#This Row],[Away Differential]]</f>
        <v>0.20888016941326762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0.55562296710899051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0.30871688157899835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-6.5759726104743493E-3</v>
      </c>
      <c r="H66" t="s">
        <v>29</v>
      </c>
      <c r="I66">
        <f>VLOOKUP(Table4[[#This Row],[Visitor]],'NHL Model'!$A$6:$B$38,2,FALSE)</f>
        <v>-0.30501317799182315</v>
      </c>
      <c r="J66">
        <f>($B$1+Table4[[#This Row],[Home Differential]])-Table4[[#This Row],[Away Differential]]</f>
        <v>0.3670620255016514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0.58026412476740341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0.1761782049572739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1.6161557760803764E-2</v>
      </c>
      <c r="H67" t="s">
        <v>11</v>
      </c>
      <c r="I67">
        <f>VLOOKUP(Table4[[#This Row],[Visitor]],'NHL Model'!$A$6:$B$38,2,FALSE)</f>
        <v>0.24167918475059574</v>
      </c>
      <c r="J67">
        <f>($B$1+Table4[[#This Row],[Home Differential]])-Table4[[#This Row],[Away Differential]]</f>
        <v>-0.15689280686948937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0.5141044483292686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0.26430338379194163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0.28840991013146466</v>
      </c>
      <c r="H68" t="s">
        <v>17</v>
      </c>
      <c r="I68">
        <f>VLOOKUP(Table4[[#This Row],[Visitor]],'NHL Model'!$A$6:$B$38,2,FALSE)</f>
        <v>0.16838500200194736</v>
      </c>
      <c r="J68">
        <f>($B$1+Table4[[#This Row],[Home Differential]])-Table4[[#This Row],[Away Differential]]</f>
        <v>0.18864972824981988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0.57471017000215341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0.18087143949959725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5.0237013717083105E-2</v>
      </c>
      <c r="H69" t="s">
        <v>32</v>
      </c>
      <c r="I69">
        <f>VLOOKUP(Table4[[#This Row],[Visitor]],'NHL Model'!$A$6:$B$38,2,FALSE)</f>
        <v>-0.35878259596109546</v>
      </c>
      <c r="J69">
        <f>($B$1+Table4[[#This Row],[Home Differential]])-Table4[[#This Row],[Away Differential]]</f>
        <v>0.47764442979848121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0.59239423743052055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0.16614245767984684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0.24261452474052697</v>
      </c>
      <c r="H70" t="s">
        <v>40</v>
      </c>
      <c r="I70">
        <f>VLOOKUP(Table4[[#This Row],[Visitor]],'NHL Model'!$A$6:$B$38,2,FALSE)</f>
        <v>-5.9925012095478535E-2</v>
      </c>
      <c r="J70">
        <f>($B$1+Table4[[#This Row],[Home Differential]])-Table4[[#This Row],[Away Differential]]</f>
        <v>0.37116435695630812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0.58526857714548763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0.34253930739390359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-0.12942754353881131</v>
      </c>
      <c r="H71" t="s">
        <v>15</v>
      </c>
      <c r="I71">
        <f>VLOOKUP(Table4[[#This Row],[Visitor]],'NHL Model'!$A$6:$B$38,2,FALSE)</f>
        <v>5.9615189993428262E-2</v>
      </c>
      <c r="J71">
        <f>($B$1+Table4[[#This Row],[Home Differential]])-Table4[[#This Row],[Away Differential]]</f>
        <v>-0.12041791341193697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0.54060625917060945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0.29225512745444016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0.21920515510044997</v>
      </c>
      <c r="H72" t="s">
        <v>21</v>
      </c>
      <c r="I72">
        <f>VLOOKUP(Table4[[#This Row],[Visitor]],'NHL Model'!$A$6:$B$38,2,FALSE)</f>
        <v>-6.6683170548020518E-2</v>
      </c>
      <c r="J72">
        <f>($B$1+Table4[[#This Row],[Home Differential]])-Table4[[#This Row],[Away Differential]]</f>
        <v>0.35451314576877313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0.57888760084459989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0.17733565272241703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-0.45443544272009573</v>
      </c>
      <c r="H73" t="s">
        <v>38</v>
      </c>
      <c r="I73">
        <f>VLOOKUP(Table4[[#This Row],[Visitor]],'NHL Model'!$A$6:$B$38,2,FALSE)</f>
        <v>-0.41225364678728776</v>
      </c>
      <c r="J73">
        <f>($B$1+Table4[[#This Row],[Home Differential]])-Table4[[#This Row],[Away Differential]]</f>
        <v>2.6443024187494613E-2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0.50038805111802376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0.25038820170169396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-8.7991118744577684E-2</v>
      </c>
      <c r="H74" t="s">
        <v>37</v>
      </c>
      <c r="I74">
        <f>VLOOKUP(Table4[[#This Row],[Visitor]],'NHL Model'!$A$6:$B$38,2,FALSE)</f>
        <v>0.77383710114582016</v>
      </c>
      <c r="J74">
        <f>($B$1+Table4[[#This Row],[Home Differential]])-Table4[[#This Row],[Away Differential]]</f>
        <v>-0.79320339977009524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0.58378303247860208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0.34080262900991259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0.17839230571314843</v>
      </c>
      <c r="H75" t="s">
        <v>33</v>
      </c>
      <c r="I75">
        <f>VLOOKUP(Table4[[#This Row],[Visitor]],'NHL Model'!$A$6:$B$38,2,FALSE)</f>
        <v>-0.21661915454261307</v>
      </c>
      <c r="J75">
        <f>($B$1+Table4[[#This Row],[Home Differential]])-Table4[[#This Row],[Away Differential]]</f>
        <v>0.46363628037606408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0.58356792225123344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0.17341567537815475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0.44906822732121116</v>
      </c>
      <c r="H76" t="s">
        <v>34</v>
      </c>
      <c r="I76">
        <f>VLOOKUP(Table4[[#This Row],[Visitor]],'NHL Model'!$A$6:$B$38,2,FALSE)</f>
        <v>0.65260146250136963</v>
      </c>
      <c r="J76">
        <f>($B$1+Table4[[#This Row],[Home Differential]])-Table4[[#This Row],[Away Differential]]</f>
        <v>-0.13490841505985585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0.54111429457297633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0.29280467979120978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8.4418744674710666E-2</v>
      </c>
      <c r="H77" t="s">
        <v>11</v>
      </c>
      <c r="I77">
        <f>VLOOKUP(Table4[[#This Row],[Visitor]],'NHL Model'!$A$6:$B$38,2,FALSE)</f>
        <v>0.24167918475059574</v>
      </c>
      <c r="J77">
        <f>($B$1+Table4[[#This Row],[Home Differential]])-Table4[[#This Row],[Away Differential]]</f>
        <v>-8.8635619955582473E-2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0.46755402994723921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0.21860677091990385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-0.16769781981623849</v>
      </c>
      <c r="H78" t="s">
        <v>37</v>
      </c>
      <c r="I78">
        <f>VLOOKUP(Table4[[#This Row],[Visitor]],'NHL Model'!$A$6:$B$38,2,FALSE)</f>
        <v>0.77383710114582016</v>
      </c>
      <c r="J78">
        <f>($B$1+Table4[[#This Row],[Home Differential]])-Table4[[#This Row],[Away Differential]]</f>
        <v>-0.87291010084175602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0.6266401348083015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0.39267785855256626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1.8165919516425306</v>
      </c>
      <c r="H79" t="s">
        <v>21</v>
      </c>
      <c r="I79">
        <f>VLOOKUP(Table4[[#This Row],[Visitor]],'NHL Model'!$A$6:$B$38,2,FALSE)</f>
        <v>-6.6683170548020518E-2</v>
      </c>
      <c r="J79">
        <f>($B$1+Table4[[#This Row],[Home Differential]])-Table4[[#This Row],[Away Differential]]</f>
        <v>1.9518999423108536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0.87308829041319347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1.6106582030245922E-2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3.852494182308655E-2</v>
      </c>
      <c r="H80" t="s">
        <v>25</v>
      </c>
      <c r="I80">
        <f>VLOOKUP(Table4[[#This Row],[Visitor]],'NHL Model'!$A$6:$B$38,2,FALSE)</f>
        <v>0.64590845617425174</v>
      </c>
      <c r="J80">
        <f>($B$1+Table4[[#This Row],[Home Differential]])-Table4[[#This Row],[Away Differential]]</f>
        <v>-0.53875869423086264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0.58998607366264966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0.16811141979057015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-6.5759726104743493E-3</v>
      </c>
      <c r="H81" t="s">
        <v>15</v>
      </c>
      <c r="I81">
        <f>VLOOKUP(Table4[[#This Row],[Visitor]],'NHL Model'!$A$6:$B$38,2,FALSE)</f>
        <v>5.9615189993428262E-2</v>
      </c>
      <c r="J81">
        <f>($B$1+Table4[[#This Row],[Home Differential]])-Table4[[#This Row],[Away Differential]]</f>
        <v>2.433657516399991E-3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0.47036536542290319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0.22124357698942126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1.6161557760803764E-2</v>
      </c>
      <c r="H82" t="s">
        <v>17</v>
      </c>
      <c r="I82">
        <f>VLOOKUP(Table4[[#This Row],[Visitor]],'NHL Model'!$A$6:$B$38,2,FALSE)</f>
        <v>0.16838500200194736</v>
      </c>
      <c r="J82">
        <f>($B$1+Table4[[#This Row],[Home Differential]])-Table4[[#This Row],[Away Differential]]</f>
        <v>-8.3598624120841E-2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0.46917018159910323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0.22012065930173549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5.0237013717083105E-2</v>
      </c>
      <c r="H83" t="s">
        <v>30</v>
      </c>
      <c r="I83">
        <f>VLOOKUP(Table4[[#This Row],[Visitor]],'NHL Model'!$A$6:$B$38,2,FALSE)</f>
        <v>0.28840991013146466</v>
      </c>
      <c r="J83">
        <f>($B$1+Table4[[#This Row],[Home Differential]])-Table4[[#This Row],[Away Differential]]</f>
        <v>-0.16954807629407895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0.49936746328497023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0.25063293681772558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0.24261452474052697</v>
      </c>
      <c r="H84" t="s">
        <v>34</v>
      </c>
      <c r="I84">
        <f>VLOOKUP(Table4[[#This Row],[Visitor]],'NHL Model'!$A$6:$B$38,2,FALSE)</f>
        <v>0.65260146250136963</v>
      </c>
      <c r="J84">
        <f>($B$1+Table4[[#This Row],[Home Differential]])-Table4[[#This Row],[Away Differential]]</f>
        <v>-0.34136211764054003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0.56376081494794672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0.31782625647077301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-0.21661915454261307</v>
      </c>
      <c r="H85" t="s">
        <v>14</v>
      </c>
      <c r="I85">
        <f>VLOOKUP(Table4[[#This Row],[Visitor]],'NHL Model'!$A$6:$B$38,2,FALSE)</f>
        <v>-0.10173040746987846</v>
      </c>
      <c r="J85">
        <f>($B$1+Table4[[#This Row],[Home Differential]])-Table4[[#This Row],[Away Differential]]</f>
        <v>-4.6263926952432005E-2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0.47236454730548744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0.27839917094014327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-0.91735746943655616</v>
      </c>
      <c r="H86" t="s">
        <v>39</v>
      </c>
      <c r="I86">
        <f>VLOOKUP(Table4[[#This Row],[Visitor]],'NHL Model'!$A$6:$B$38,2,FALSE)</f>
        <v>0.92184375119443818</v>
      </c>
      <c r="J86">
        <f>($B$1+Table4[[#This Row],[Home Differential]])-Table4[[#This Row],[Away Differential]]</f>
        <v>-1.7705764005106919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0.74043827627928027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0.54824884097943183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-0.12942754353881131</v>
      </c>
      <c r="H87" t="s">
        <v>32</v>
      </c>
      <c r="I87">
        <f>VLOOKUP(Table4[[#This Row],[Visitor]],'NHL Model'!$A$6:$B$38,2,FALSE)</f>
        <v>-0.35878259596109546</v>
      </c>
      <c r="J87">
        <f>($B$1+Table4[[#This Row],[Home Differential]])-Table4[[#This Row],[Away Differential]]</f>
        <v>0.29797987254258673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0.57518177724847164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0.33083407687871047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0.21920515510044997</v>
      </c>
      <c r="H88" t="s">
        <v>16</v>
      </c>
      <c r="I88">
        <f>VLOOKUP(Table4[[#This Row],[Visitor]],'NHL Model'!$A$6:$B$38,2,FALSE)</f>
        <v>-0.31883717525004912</v>
      </c>
      <c r="J88">
        <f>($B$1+Table4[[#This Row],[Home Differential]])-Table4[[#This Row],[Away Differential]]</f>
        <v>0.60666715047080166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0.60654712321564175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0.15480516624988741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-5.9925012095478535E-2</v>
      </c>
      <c r="H89" t="s">
        <v>29</v>
      </c>
      <c r="I89">
        <f>VLOOKUP(Table4[[#This Row],[Visitor]],'NHL Model'!$A$6:$B$38,2,FALSE)</f>
        <v>-0.30501317799182315</v>
      </c>
      <c r="J89">
        <f>($B$1+Table4[[#This Row],[Home Differential]])-Table4[[#This Row],[Away Differential]]</f>
        <v>0.31371298601664721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0.57441211003199277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0.18112505208742063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-0.45443544272009573</v>
      </c>
      <c r="H90" t="s">
        <v>31</v>
      </c>
      <c r="I90">
        <f>VLOOKUP(Table4[[#This Row],[Visitor]],'NHL Model'!$A$6:$B$38,2,FALSE)</f>
        <v>-4.3195749724159979E-4</v>
      </c>
      <c r="J90">
        <f>($B$1+Table4[[#This Row],[Home Differential]])-Table4[[#This Row],[Away Differential]]</f>
        <v>-0.38537866510255153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0.50227333141634034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0.25227849945206887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-8.7991118744577684E-2</v>
      </c>
      <c r="H91" t="s">
        <v>17</v>
      </c>
      <c r="I91">
        <f>VLOOKUP(Table4[[#This Row],[Visitor]],'NHL Model'!$A$6:$B$38,2,FALSE)</f>
        <v>0.16838500200194736</v>
      </c>
      <c r="J91">
        <f>($B$1+Table4[[#This Row],[Home Differential]])-Table4[[#This Row],[Away Differential]]</f>
        <v>-0.18775130062622244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0.44689685179300892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0.19971679614250257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0.17839230571314843</v>
      </c>
      <c r="H92" t="s">
        <v>21</v>
      </c>
      <c r="I92">
        <f>VLOOKUP(Table4[[#This Row],[Visitor]],'NHL Model'!$A$6:$B$38,2,FALSE)</f>
        <v>-6.6683170548020518E-2</v>
      </c>
      <c r="J92">
        <f>($B$1+Table4[[#This Row],[Home Differential]])-Table4[[#This Row],[Away Differential]]</f>
        <v>0.31370029638147157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0.574410718068187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0.18112623689523621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0.44906822732121116</v>
      </c>
      <c r="H93" t="s">
        <v>38</v>
      </c>
      <c r="I93">
        <f>VLOOKUP(Table4[[#This Row],[Visitor]],'NHL Model'!$A$6:$B$38,2,FALSE)</f>
        <v>-0.41225364678728776</v>
      </c>
      <c r="J93">
        <f>($B$1+Table4[[#This Row],[Home Differential]])-Table4[[#This Row],[Away Differential]]</f>
        <v>0.9299466942288015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0.60408330620211759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0.36491664083208136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-0.31883717525004912</v>
      </c>
      <c r="H94" t="s">
        <v>40</v>
      </c>
      <c r="I94">
        <f>VLOOKUP(Table4[[#This Row],[Visitor]],'NHL Model'!$A$6:$B$38,2,FALSE)</f>
        <v>-5.9925012095478535E-2</v>
      </c>
      <c r="J94">
        <f>($B$1+Table4[[#This Row],[Home Differential]])-Table4[[#This Row],[Away Differential]]</f>
        <v>-0.19028734303426795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0.4503337652503559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0.30213296962385089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-6.5759726104743493E-3</v>
      </c>
      <c r="H95" t="s">
        <v>23</v>
      </c>
      <c r="I95">
        <f>VLOOKUP(Table4[[#This Row],[Visitor]],'NHL Model'!$A$6:$B$38,2,FALSE)</f>
        <v>8.4418744674710666E-2</v>
      </c>
      <c r="J95">
        <f>($B$1+Table4[[#This Row],[Home Differential]])-Table4[[#This Row],[Away Differential]]</f>
        <v>-2.2369897164882413E-2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0.46245382052052336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0.21386353611402845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5.9615189993428262E-2</v>
      </c>
      <c r="H96" t="s">
        <v>34</v>
      </c>
      <c r="I96">
        <f>VLOOKUP(Table4[[#This Row],[Visitor]],'NHL Model'!$A$6:$B$38,2,FALSE)</f>
        <v>0.65260146250136963</v>
      </c>
      <c r="J96">
        <f>($B$1+Table4[[#This Row],[Home Differential]])-Table4[[#This Row],[Away Differential]]</f>
        <v>-0.52436145238763876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0.58840679740521107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0.16940896442223496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0.24261452474052697</v>
      </c>
      <c r="H97" t="s">
        <v>32</v>
      </c>
      <c r="I97">
        <f>VLOOKUP(Table4[[#This Row],[Visitor]],'NHL Model'!$A$6:$B$38,2,FALSE)</f>
        <v>-0.35878259596109546</v>
      </c>
      <c r="J97">
        <f>($B$1+Table4[[#This Row],[Home Differential]])-Table4[[#This Row],[Away Differential]]</f>
        <v>0.67002194082192501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0.61805115395387444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0.14588492099596692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0.21920515510044997</v>
      </c>
      <c r="H98" t="s">
        <v>25</v>
      </c>
      <c r="I98">
        <f>VLOOKUP(Table4[[#This Row],[Visitor]],'NHL Model'!$A$6:$B$38,2,FALSE)</f>
        <v>0.64590845617425174</v>
      </c>
      <c r="J98">
        <f>($B$1+Table4[[#This Row],[Home Differential]])-Table4[[#This Row],[Away Differential]]</f>
        <v>-0.35807848095349915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0.57016672394795653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0.32509009309754527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-6.6683170548020518E-2</v>
      </c>
      <c r="H99" t="s">
        <v>11</v>
      </c>
      <c r="I99">
        <f>VLOOKUP(Table4[[#This Row],[Visitor]],'NHL Model'!$A$6:$B$38,2,FALSE)</f>
        <v>0.24167918475059574</v>
      </c>
      <c r="J99">
        <f>($B$1+Table4[[#This Row],[Home Differential]])-Table4[[#This Row],[Away Differential]]</f>
        <v>-0.23973753517831364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0.5090561436073614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0.24102587012967575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0.92184375119443818</v>
      </c>
      <c r="H100" t="s">
        <v>28</v>
      </c>
      <c r="I100">
        <f>VLOOKUP(Table4[[#This Row],[Visitor]],'NHL Model'!$A$6:$B$38,2,FALSE)</f>
        <v>-0.16769781981623849</v>
      </c>
      <c r="J100">
        <f>($B$1+Table4[[#This Row],[Home Differential]])-Table4[[#This Row],[Away Differential]]</f>
        <v>1.1581663911309792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0.70563480697751146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0.49792048081818985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-0.30501317799182315</v>
      </c>
      <c r="H101" t="s">
        <v>31</v>
      </c>
      <c r="I101">
        <f>VLOOKUP(Table4[[#This Row],[Visitor]],'NHL Model'!$A$6:$B$38,2,FALSE)</f>
        <v>-4.3195749724159979E-4</v>
      </c>
      <c r="J101">
        <f>($B$1+Table4[[#This Row],[Home Differential]])-Table4[[#This Row],[Away Differential]]</f>
        <v>-0.23595640037427895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0.48588275900061639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0.2643165374928183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0.28840991013146466</v>
      </c>
      <c r="H102" t="s">
        <v>33</v>
      </c>
      <c r="I102">
        <f>VLOOKUP(Table4[[#This Row],[Visitor]],'NHL Model'!$A$6:$B$38,2,FALSE)</f>
        <v>-0.21661915454261307</v>
      </c>
      <c r="J102">
        <f>($B$1+Table4[[#This Row],[Home Differential]])-Table4[[#This Row],[Away Differential]]</f>
        <v>0.57365388479438029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0.60968838989088336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0.15234315298597109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5.0237013717083105E-2</v>
      </c>
      <c r="H103" t="s">
        <v>17</v>
      </c>
      <c r="I103">
        <f>VLOOKUP(Table4[[#This Row],[Visitor]],'NHL Model'!$A$6:$B$38,2,FALSE)</f>
        <v>0.16838500200194736</v>
      </c>
      <c r="J103">
        <f>($B$1+Table4[[#This Row],[Home Differential]])-Table4[[#This Row],[Away Differential]]</f>
        <v>-4.9523168164561648E-2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0.46543234353684471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0.28576257933651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-0.10173040746987846</v>
      </c>
      <c r="H104" t="s">
        <v>38</v>
      </c>
      <c r="I104">
        <f>VLOOKUP(Table4[[#This Row],[Visitor]],'NHL Model'!$A$6:$B$38,2,FALSE)</f>
        <v>-0.41225364678728776</v>
      </c>
      <c r="J104">
        <f>($B$1+Table4[[#This Row],[Home Differential]])-Table4[[#This Row],[Away Differential]]</f>
        <v>0.3791480594377119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0.53907731494475064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0.21244972159854059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-0.91735746943655616</v>
      </c>
      <c r="H105" t="s">
        <v>13</v>
      </c>
      <c r="I105">
        <f>VLOOKUP(Table4[[#This Row],[Visitor]],'NHL Model'!$A$6:$B$38,2,FALSE)</f>
        <v>3.852494182308655E-2</v>
      </c>
      <c r="J105">
        <f>($B$1+Table4[[#This Row],[Home Differential]])-Table4[[#This Row],[Away Differential]]</f>
        <v>-0.88725759113934011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0.58971625402717276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0.16833275220949542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-0.12942754353881131</v>
      </c>
      <c r="H106" t="s">
        <v>24</v>
      </c>
      <c r="I106">
        <f>VLOOKUP(Table4[[#This Row],[Visitor]],'NHL Model'!$A$6:$B$38,2,FALSE)</f>
        <v>1.6161557760803764E-2</v>
      </c>
      <c r="J106">
        <f>($B$1+Table4[[#This Row],[Home Differential]])-Table4[[#This Row],[Away Differential]]</f>
        <v>-7.6964281179312463E-2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0.49951386937091524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0.25048636695207327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0.17839230571314843</v>
      </c>
      <c r="H107" t="s">
        <v>12</v>
      </c>
      <c r="I107">
        <f>VLOOKUP(Table4[[#This Row],[Visitor]],'NHL Model'!$A$6:$B$38,2,FALSE)</f>
        <v>1.8165919516425306</v>
      </c>
      <c r="J107">
        <f>($B$1+Table4[[#This Row],[Home Differential]])-Table4[[#This Row],[Away Differential]]</f>
        <v>-1.5695748258090796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0.71838981601927487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0.51608392776020762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0.44906822732121116</v>
      </c>
      <c r="H108" t="s">
        <v>32</v>
      </c>
      <c r="I108">
        <f>VLOOKUP(Table4[[#This Row],[Visitor]],'NHL Model'!$A$6:$B$38,2,FALSE)</f>
        <v>-0.35878259596109546</v>
      </c>
      <c r="J108">
        <f>($B$1+Table4[[#This Row],[Home Differential]])-Table4[[#This Row],[Away Differential]]</f>
        <v>0.87647564340260931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0.64069767432884484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0.12909816123270085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8.4418744674710666E-2</v>
      </c>
      <c r="H109" t="s">
        <v>26</v>
      </c>
      <c r="I109">
        <f>VLOOKUP(Table4[[#This Row],[Visitor]],'NHL Model'!$A$6:$B$38,2,FALSE)</f>
        <v>-8.7991118744577684E-2</v>
      </c>
      <c r="J109">
        <f>($B$1+Table4[[#This Row],[Home Differential]])-Table4[[#This Row],[Away Differential]]</f>
        <v>0.24103468353959095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0.57189435643212094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0.18327444205466792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-0.31883717525004912</v>
      </c>
      <c r="H110" t="s">
        <v>18</v>
      </c>
      <c r="I110">
        <f>VLOOKUP(Table4[[#This Row],[Visitor]],'NHL Model'!$A$6:$B$38,2,FALSE)</f>
        <v>-6.5759726104743493E-3</v>
      </c>
      <c r="J110">
        <f>($B$1+Table4[[#This Row],[Home Differential]])-Table4[[#This Row],[Away Differential]]</f>
        <v>-0.24363638251927214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0.50291567526337955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0.24709282589886195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1.6161557760803764E-2</v>
      </c>
      <c r="H111" t="s">
        <v>34</v>
      </c>
      <c r="I111">
        <f>VLOOKUP(Table4[[#This Row],[Visitor]],'NHL Model'!$A$6:$B$38,2,FALSE)</f>
        <v>0.65260146250136963</v>
      </c>
      <c r="J111">
        <f>($B$1+Table4[[#This Row],[Home Differential]])-Table4[[#This Row],[Away Differential]]</f>
        <v>-0.56781508462026331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0.59317335550236128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0.35185462967793069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-6.6683170548020518E-2</v>
      </c>
      <c r="H112" t="s">
        <v>31</v>
      </c>
      <c r="I112">
        <f>VLOOKUP(Table4[[#This Row],[Visitor]],'NHL Model'!$A$6:$B$38,2,FALSE)</f>
        <v>-4.3195749724159979E-4</v>
      </c>
      <c r="J112">
        <f>($B$1+Table4[[#This Row],[Home Differential]])-Table4[[#This Row],[Away Differential]]</f>
        <v>2.3736070695236861E-3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0.55427698851425344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0.30722297999642983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1.8165919516425306</v>
      </c>
      <c r="H113" t="s">
        <v>25</v>
      </c>
      <c r="I113">
        <f>VLOOKUP(Table4[[#This Row],[Visitor]],'NHL Model'!$A$6:$B$38,2,FALSE)</f>
        <v>0.64590845617425174</v>
      </c>
      <c r="J113">
        <f>($B$1+Table4[[#This Row],[Home Differential]])-Table4[[#This Row],[Away Differential]]</f>
        <v>1.2393083155885813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0.72853600590521439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0.53076471190032259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0.92184375119443818</v>
      </c>
      <c r="H114" t="s">
        <v>13</v>
      </c>
      <c r="I114">
        <f>VLOOKUP(Table4[[#This Row],[Visitor]],'NHL Model'!$A$6:$B$38,2,FALSE)</f>
        <v>3.852494182308655E-2</v>
      </c>
      <c r="J114">
        <f>($B$1+Table4[[#This Row],[Home Differential]])-Table4[[#This Row],[Away Differential]]</f>
        <v>0.95194362949165423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0.65105927066090485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0.42387817391350935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0.16838500200194736</v>
      </c>
      <c r="H115" t="s">
        <v>18</v>
      </c>
      <c r="I115">
        <f>VLOOKUP(Table4[[#This Row],[Visitor]],'NHL Model'!$A$6:$B$38,2,FALSE)</f>
        <v>-6.5759726104743493E-3</v>
      </c>
      <c r="J115">
        <f>($B$1+Table4[[#This Row],[Home Differential]])-Table4[[#This Row],[Away Differential]]</f>
        <v>0.24358579473272432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0.55613141465409366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0.19701932105697614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0.24167918475059574</v>
      </c>
      <c r="H116" t="s">
        <v>14</v>
      </c>
      <c r="I116">
        <f>VLOOKUP(Table4[[#This Row],[Visitor]],'NHL Model'!$A$6:$B$38,2,FALSE)</f>
        <v>-0.10173040746987846</v>
      </c>
      <c r="J116">
        <f>($B$1+Table4[[#This Row],[Home Differential]])-Table4[[#This Row],[Away Differential]]</f>
        <v>0.41203441234077687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0.58925014300836864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0.34721573103538289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-0.30501317799182315</v>
      </c>
      <c r="H117" t="s">
        <v>38</v>
      </c>
      <c r="I117">
        <f>VLOOKUP(Table4[[#This Row],[Visitor]],'NHL Model'!$A$6:$B$38,2,FALSE)</f>
        <v>-0.41225364678728776</v>
      </c>
      <c r="J117">
        <f>($B$1+Table4[[#This Row],[Home Differential]])-Table4[[#This Row],[Away Differential]]</f>
        <v>0.17586528891576722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0.51677862353374771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0.23350289867393953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0.28840991013146466</v>
      </c>
      <c r="H118" t="s">
        <v>26</v>
      </c>
      <c r="I118">
        <f>VLOOKUP(Table4[[#This Row],[Visitor]],'NHL Model'!$A$6:$B$38,2,FALSE)</f>
        <v>-8.7991118744577684E-2</v>
      </c>
      <c r="J118">
        <f>($B$1+Table4[[#This Row],[Home Differential]])-Table4[[#This Row],[Away Differential]]</f>
        <v>0.4450258489963449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0.56936415354035064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0.1854472322560187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5.9615189993428262E-2</v>
      </c>
      <c r="H119" t="s">
        <v>33</v>
      </c>
      <c r="I119">
        <f>VLOOKUP(Table4[[#This Row],[Visitor]],'NHL Model'!$A$6:$B$38,2,FALSE)</f>
        <v>-0.21661915454261307</v>
      </c>
      <c r="J119">
        <f>($B$1+Table4[[#This Row],[Home Differential]])-Table4[[#This Row],[Away Differential]]</f>
        <v>0.34485916465634392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0.57053890733116619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0.32551464477864106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5.0237013717083105E-2</v>
      </c>
      <c r="H120" t="s">
        <v>27</v>
      </c>
      <c r="I120">
        <f>VLOOKUP(Table4[[#This Row],[Visitor]],'NHL Model'!$A$6:$B$38,2,FALSE)</f>
        <v>0.24261452474052697</v>
      </c>
      <c r="J120">
        <f>($B$1+Table4[[#This Row],[Home Differential]])-Table4[[#This Row],[Away Differential]]</f>
        <v>-0.12375269090314125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0.47923254211311916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0.22966382942020253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-0.91735746943655616</v>
      </c>
      <c r="H121" t="s">
        <v>55</v>
      </c>
      <c r="I121">
        <f>VLOOKUP(Table4[[#This Row],[Visitor]],'NHL Model'!$A$6:$B$38,2,FALSE)</f>
        <v>0.17839230571314843</v>
      </c>
      <c r="J121">
        <f>($B$1+Table4[[#This Row],[Home Differential]])-Table4[[#This Row],[Away Differential]]</f>
        <v>-1.0271249550294019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0.57266838972104828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0.18261230514360188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0.77383710114582016</v>
      </c>
      <c r="H122" t="s">
        <v>10</v>
      </c>
      <c r="I122">
        <f>VLOOKUP(Table4[[#This Row],[Visitor]],'NHL Model'!$A$6:$B$38,2,FALSE)</f>
        <v>-0.45443544272009573</v>
      </c>
      <c r="J122">
        <f>($B$1+Table4[[#This Row],[Home Differential]])-Table4[[#This Row],[Away Differential]]</f>
        <v>1.2968973639862185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0.68681498267576524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0.47171482042791169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-5.9925012095478535E-2</v>
      </c>
      <c r="H123" t="s">
        <v>32</v>
      </c>
      <c r="I123">
        <f>VLOOKUP(Table4[[#This Row],[Visitor]],'NHL Model'!$A$6:$B$38,2,FALSE)</f>
        <v>-0.35878259596109546</v>
      </c>
      <c r="J123">
        <f>($B$1+Table4[[#This Row],[Home Differential]])-Table4[[#This Row],[Away Differential]]</f>
        <v>0.36748240398591953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0.58031023733303033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0.336759971553518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8.4418744674710666E-2</v>
      </c>
      <c r="H124" t="s">
        <v>19</v>
      </c>
      <c r="I124">
        <f>VLOOKUP(Table4[[#This Row],[Visitor]],'NHL Model'!$A$6:$B$38,2,FALSE)</f>
        <v>-0.12942754353881131</v>
      </c>
      <c r="J124">
        <f>($B$1+Table4[[#This Row],[Home Differential]])-Table4[[#This Row],[Away Differential]]</f>
        <v>0.28247110833382461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0.60957718816885431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0.15242997199813818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-0.16769781981623849</v>
      </c>
      <c r="H125" t="s">
        <v>22</v>
      </c>
      <c r="I125">
        <f>VLOOKUP(Table4[[#This Row],[Visitor]],'NHL Model'!$A$6:$B$38,2,FALSE)</f>
        <v>0.44906822732121116</v>
      </c>
      <c r="J125">
        <f>($B$1+Table4[[#This Row],[Home Differential]])-Table4[[#This Row],[Away Differential]]</f>
        <v>-0.54814122701714707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0.52741696031420471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0.22333472939866597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1.6161557760803764E-2</v>
      </c>
      <c r="H126" t="s">
        <v>33</v>
      </c>
      <c r="I126">
        <f>VLOOKUP(Table4[[#This Row],[Visitor]],'NHL Model'!$A$6:$B$38,2,FALSE)</f>
        <v>-0.21661915454261307</v>
      </c>
      <c r="J126">
        <f>($B$1+Table4[[#This Row],[Home Differential]])-Table4[[#This Row],[Away Differential]]</f>
        <v>0.30140553242371942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0.56577234923401598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0.18855365268974539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-5.9925012095478535E-2</v>
      </c>
      <c r="H127" t="s">
        <v>16</v>
      </c>
      <c r="I127">
        <f>VLOOKUP(Table4[[#This Row],[Visitor]],'NHL Model'!$A$6:$B$38,2,FALSE)</f>
        <v>-0.31883717525004912</v>
      </c>
      <c r="J127">
        <f>($B$1+Table4[[#This Row],[Home Differential]])-Table4[[#This Row],[Away Differential]]</f>
        <v>0.32753698327487318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0.57592850538677987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0.17983663254349039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-6.6683170548020518E-2</v>
      </c>
      <c r="H128" t="s">
        <v>12</v>
      </c>
      <c r="I128">
        <f>VLOOKUP(Table4[[#This Row],[Visitor]],'NHL Model'!$A$6:$B$38,2,FALSE)</f>
        <v>1.8165919516425306</v>
      </c>
      <c r="J128">
        <f>($B$1+Table4[[#This Row],[Home Differential]])-Table4[[#This Row],[Away Differential]]</f>
        <v>-1.8146503020702485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0.7312181288579187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0.5346799519704758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0.92184375119443818</v>
      </c>
      <c r="H129" t="s">
        <v>25</v>
      </c>
      <c r="I129">
        <f>VLOOKUP(Table4[[#This Row],[Visitor]],'NHL Model'!$A$6:$B$38,2,FALSE)</f>
        <v>0.64590845617425174</v>
      </c>
      <c r="J129">
        <f>($B$1+Table4[[#This Row],[Home Differential]])-Table4[[#This Row],[Away Differential]]</f>
        <v>0.34456011514048901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0.54603111744458255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0.2060877463286144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-8.7991118744577684E-2</v>
      </c>
      <c r="H130" t="s">
        <v>35</v>
      </c>
      <c r="I130">
        <f>VLOOKUP(Table4[[#This Row],[Visitor]],'NHL Model'!$A$6:$B$38,2,FALSE)</f>
        <v>-0.91735746943655616</v>
      </c>
      <c r="J130">
        <f>($B$1+Table4[[#This Row],[Home Differential]])-Table4[[#This Row],[Away Differential]]</f>
        <v>0.89799117081228108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0.67220146755921228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0.10745187787033415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0.24167918475059574</v>
      </c>
      <c r="H131" t="s">
        <v>20</v>
      </c>
      <c r="I131">
        <f>VLOOKUP(Table4[[#This Row],[Visitor]],'NHL Model'!$A$6:$B$38,2,FALSE)</f>
        <v>0.21920515510044997</v>
      </c>
      <c r="J131">
        <f>($B$1+Table4[[#This Row],[Home Differential]])-Table4[[#This Row],[Away Differential]]</f>
        <v>9.1098849770448409E-2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0.54060514854499631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0.21104362954336492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0.65260146250136963</v>
      </c>
      <c r="H132" t="s">
        <v>55</v>
      </c>
      <c r="I132">
        <f>VLOOKUP(Table4[[#This Row],[Visitor]],'NHL Model'!$A$6:$B$38,2,FALSE)</f>
        <v>0.17839230571314843</v>
      </c>
      <c r="J132">
        <f>($B$1+Table4[[#This Row],[Home Differential]])-Table4[[#This Row],[Away Differential]]</f>
        <v>0.54283397690852375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0.62182880967062137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0.38667106853638183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-0.30501317799182315</v>
      </c>
      <c r="H133" t="s">
        <v>13</v>
      </c>
      <c r="I133">
        <f>VLOOKUP(Table4[[#This Row],[Visitor]],'NHL Model'!$A$6:$B$38,2,FALSE)</f>
        <v>3.852494182308655E-2</v>
      </c>
      <c r="J133">
        <f>($B$1+Table4[[#This Row],[Home Differential]])-Table4[[#This Row],[Away Differential]]</f>
        <v>-0.27491329969460709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0.5225463883412792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0.27305472796851499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0.24261452474052697</v>
      </c>
      <c r="H134" t="s">
        <v>30</v>
      </c>
      <c r="I134">
        <f>VLOOKUP(Table4[[#This Row],[Visitor]],'NHL Model'!$A$6:$B$38,2,FALSE)</f>
        <v>0.28840991013146466</v>
      </c>
      <c r="J134">
        <f>($B$1+Table4[[#This Row],[Home Differential]])-Table4[[#This Row],[Away Differential]]</f>
        <v>2.2829434729364939E-2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0.52631375237159372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0.22437866119227984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-0.10173040746987846</v>
      </c>
      <c r="H135" t="s">
        <v>28</v>
      </c>
      <c r="I135">
        <f>VLOOKUP(Table4[[#This Row],[Visitor]],'NHL Model'!$A$6:$B$38,2,FALSE)</f>
        <v>-0.16769781981623849</v>
      </c>
      <c r="J135">
        <f>($B$1+Table4[[#This Row],[Home Differential]])-Table4[[#This Row],[Away Differential]]</f>
        <v>0.13459223246666263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0.5547638220907074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0.30776289830069004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-0.35878259596109546</v>
      </c>
      <c r="H136" t="s">
        <v>17</v>
      </c>
      <c r="I136">
        <f>VLOOKUP(Table4[[#This Row],[Visitor]],'NHL Model'!$A$6:$B$38,2,FALSE)</f>
        <v>0.16838500200194736</v>
      </c>
      <c r="J136">
        <f>($B$1+Table4[[#This Row],[Home Differential]])-Table4[[#This Row],[Away Differential]]</f>
        <v>-0.45854277784274022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0.51029892044272163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0.26040498820500713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0.77383710114582016</v>
      </c>
      <c r="H137" t="s">
        <v>31</v>
      </c>
      <c r="I137">
        <f>VLOOKUP(Table4[[#This Row],[Visitor]],'NHL Model'!$A$6:$B$38,2,FALSE)</f>
        <v>-4.3195749724159979E-4</v>
      </c>
      <c r="J137">
        <f>($B$1+Table4[[#This Row],[Home Differential]])-Table4[[#This Row],[Away Differential]]</f>
        <v>0.8428938787633643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0.63701399073478138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0.13175884292228937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-0.12942754353881131</v>
      </c>
      <c r="H138" t="s">
        <v>23</v>
      </c>
      <c r="I138">
        <f>VLOOKUP(Table4[[#This Row],[Visitor]],'NHL Model'!$A$6:$B$38,2,FALSE)</f>
        <v>8.4418744674710666E-2</v>
      </c>
      <c r="J138">
        <f>($B$1+Table4[[#This Row],[Home Differential]])-Table4[[#This Row],[Away Differential]]</f>
        <v>-0.14522146809321937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0.47343429534049258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0.22414003200454877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-0.41225364678728776</v>
      </c>
      <c r="H139" t="s">
        <v>18</v>
      </c>
      <c r="I139">
        <f>VLOOKUP(Table4[[#This Row],[Visitor]],'NHL Model'!$A$6:$B$38,2,FALSE)</f>
        <v>-6.5759726104743493E-3</v>
      </c>
      <c r="J139">
        <f>($B$1+Table4[[#This Row],[Home Differential]])-Table4[[#This Row],[Away Differential]]</f>
        <v>-0.33705285405651081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0.54407172102202106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0.2078705955718218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0.44906822732121116</v>
      </c>
      <c r="H140" t="s">
        <v>36</v>
      </c>
      <c r="I140">
        <f>VLOOKUP(Table4[[#This Row],[Visitor]],'NHL Model'!$A$6:$B$38,2,FALSE)</f>
        <v>5.0237013717083105E-2</v>
      </c>
      <c r="J140">
        <f>($B$1+Table4[[#This Row],[Home Differential]])-Table4[[#This Row],[Away Differential]]</f>
        <v>0.46745603372443068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0.57508616578694716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0.33072409807953207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-0.31883717525004912</v>
      </c>
      <c r="H141" t="s">
        <v>15</v>
      </c>
      <c r="I141">
        <f>VLOOKUP(Table4[[#This Row],[Visitor]],'NHL Model'!$A$6:$B$38,2,FALSE)</f>
        <v>5.9615189993428262E-2</v>
      </c>
      <c r="J141">
        <f>($B$1+Table4[[#This Row],[Home Differential]])-Table4[[#This Row],[Away Differential]]</f>
        <v>-0.30982754512317473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0.5329958054599736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0.28408452863792605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-0.45443544272009573</v>
      </c>
      <c r="H142" t="s">
        <v>13</v>
      </c>
      <c r="I142">
        <f>VLOOKUP(Table4[[#This Row],[Visitor]],'NHL Model'!$A$6:$B$38,2,FALSE)</f>
        <v>3.852494182308655E-2</v>
      </c>
      <c r="J142">
        <f>($B$1+Table4[[#This Row],[Home Differential]])-Table4[[#This Row],[Away Differential]]</f>
        <v>-0.42433556442287967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0.53893696075700315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0.21257912615598926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0.65260146250136963</v>
      </c>
      <c r="H143" t="s">
        <v>33</v>
      </c>
      <c r="I143">
        <f>VLOOKUP(Table4[[#This Row],[Visitor]],'NHL Model'!$A$6:$B$38,2,FALSE)</f>
        <v>-0.21661915454261307</v>
      </c>
      <c r="J143">
        <f>($B$1+Table4[[#This Row],[Home Differential]])-Table4[[#This Row],[Away Differential]]</f>
        <v>0.93784543716428526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0.65793123377443896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0.43287350837595545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1.6161557760803764E-2</v>
      </c>
      <c r="H144" t="s">
        <v>12</v>
      </c>
      <c r="I144">
        <f>VLOOKUP(Table4[[#This Row],[Visitor]],'NHL Model'!$A$6:$B$38,2,FALSE)</f>
        <v>1.8165919516425306</v>
      </c>
      <c r="J144">
        <f>($B$1+Table4[[#This Row],[Home Differential]])-Table4[[#This Row],[Away Differential]]</f>
        <v>-1.7318055737614242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0.73618538903649233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0.54196892703081156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-0.30501317799182315</v>
      </c>
      <c r="H145" t="s">
        <v>39</v>
      </c>
      <c r="I145">
        <f>VLOOKUP(Table4[[#This Row],[Visitor]],'NHL Model'!$A$6:$B$38,2,FALSE)</f>
        <v>0.92184375119443818</v>
      </c>
      <c r="J145">
        <f>($B$1+Table4[[#This Row],[Home Differential]])-Table4[[#This Row],[Away Differential]]</f>
        <v>-1.1582321090659586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0.67326841059338682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0.10675353151617166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0.77383710114582016</v>
      </c>
      <c r="H146" t="s">
        <v>20</v>
      </c>
      <c r="I146">
        <f>VLOOKUP(Table4[[#This Row],[Visitor]],'NHL Model'!$A$6:$B$38,2,FALSE)</f>
        <v>0.21920515510044997</v>
      </c>
      <c r="J146">
        <f>($B$1+Table4[[#This Row],[Home Differential]])-Table4[[#This Row],[Away Differential]]</f>
        <v>0.62325676616567272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0.5921764112878094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0.16632007951009001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-0.41225364678728776</v>
      </c>
      <c r="H147" t="s">
        <v>17</v>
      </c>
      <c r="I147">
        <f>VLOOKUP(Table4[[#This Row],[Visitor]],'NHL Model'!$A$6:$B$38,2,FALSE)</f>
        <v>0.16838500200194736</v>
      </c>
      <c r="J147">
        <f>($B$1+Table4[[#This Row],[Home Differential]])-Table4[[#This Row],[Away Differential]]</f>
        <v>-0.51201382866893252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0.51616431896485859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0.26642560417245625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-5.9925012095478535E-2</v>
      </c>
      <c r="H148" t="s">
        <v>55</v>
      </c>
      <c r="I148">
        <f>VLOOKUP(Table4[[#This Row],[Visitor]],'NHL Model'!$A$6:$B$38,2,FALSE)</f>
        <v>0.17839230571314843</v>
      </c>
      <c r="J148">
        <f>($B$1+Table4[[#This Row],[Home Differential]])-Table4[[#This Row],[Away Differential]]</f>
        <v>-0.16969249768832437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0.47861407452780558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0.27184328328049667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5.0237013717083105E-2</v>
      </c>
      <c r="H149" t="s">
        <v>21</v>
      </c>
      <c r="I149">
        <f>VLOOKUP(Table4[[#This Row],[Visitor]],'NHL Model'!$A$6:$B$38,2,FALSE)</f>
        <v>-6.6683170548020518E-2</v>
      </c>
      <c r="J149">
        <f>($B$1+Table4[[#This Row],[Home Differential]])-Table4[[#This Row],[Away Differential]]</f>
        <v>0.18554500438540622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0.56035298311322812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0.19328949945743748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-0.10173040746987846</v>
      </c>
      <c r="H150" t="s">
        <v>35</v>
      </c>
      <c r="I150">
        <f>VLOOKUP(Table4[[#This Row],[Visitor]],'NHL Model'!$A$6:$B$38,2,FALSE)</f>
        <v>-0.91735746943655616</v>
      </c>
      <c r="J150">
        <f>($B$1+Table4[[#This Row],[Home Differential]])-Table4[[#This Row],[Away Differential]]</f>
        <v>0.88425188208698025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0.63699621762154002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0.13177174602106834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-6.6683170548020518E-2</v>
      </c>
      <c r="H151" t="s">
        <v>30</v>
      </c>
      <c r="I151">
        <f>VLOOKUP(Table4[[#This Row],[Visitor]],'NHL Model'!$A$6:$B$38,2,FALSE)</f>
        <v>0.28840991013146466</v>
      </c>
      <c r="J151">
        <f>($B$1+Table4[[#This Row],[Home Differential]])-Table4[[#This Row],[Away Differential]]</f>
        <v>-0.28646826055918256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0.49809022177099072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0.2480938690238747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8.4418744674710666E-2</v>
      </c>
      <c r="H152" t="s">
        <v>28</v>
      </c>
      <c r="I152">
        <f>VLOOKUP(Table4[[#This Row],[Visitor]],'NHL Model'!$A$6:$B$38,2,FALSE)</f>
        <v>-0.16769781981623849</v>
      </c>
      <c r="J152">
        <f>($B$1+Table4[[#This Row],[Home Differential]])-Table4[[#This Row],[Away Differential]]</f>
        <v>0.32074138461125179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0.61377516854236591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0.37671995751920967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0.64590845617425174</v>
      </c>
      <c r="H153" t="s">
        <v>20</v>
      </c>
      <c r="I153">
        <f>VLOOKUP(Table4[[#This Row],[Visitor]],'NHL Model'!$A$6:$B$38,2,FALSE)</f>
        <v>0.21920515510044997</v>
      </c>
      <c r="J153">
        <f>($B$1+Table4[[#This Row],[Home Differential]])-Table4[[#This Row],[Away Differential]]</f>
        <v>0.49532812119410435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0.61955140541356057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0.38384394394991811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-0.45443544272009573</v>
      </c>
      <c r="H154" t="s">
        <v>36</v>
      </c>
      <c r="I154">
        <f>VLOOKUP(Table4[[#This Row],[Visitor]],'NHL Model'!$A$6:$B$38,2,FALSE)</f>
        <v>5.0237013717083105E-2</v>
      </c>
      <c r="J154">
        <f>($B$1+Table4[[#This Row],[Home Differential]])-Table4[[#This Row],[Away Differential]]</f>
        <v>-0.43604763631687626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0.52860059226515055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0.27941858614306792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1.8165919516425306</v>
      </c>
      <c r="H155" t="s">
        <v>24</v>
      </c>
      <c r="I155">
        <f>VLOOKUP(Table4[[#This Row],[Visitor]],'NHL Model'!$A$6:$B$38,2,FALSE)</f>
        <v>1.6161557760803764E-2</v>
      </c>
      <c r="J155">
        <f>($B$1+Table4[[#This Row],[Home Differential]])-Table4[[#This Row],[Away Differential]]</f>
        <v>1.8690552140020293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0.83312139624454029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2.7848468391371731E-2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0.92184375119443818</v>
      </c>
      <c r="H156" t="s">
        <v>22</v>
      </c>
      <c r="I156">
        <f>VLOOKUP(Table4[[#This Row],[Visitor]],'NHL Model'!$A$6:$B$38,2,FALSE)</f>
        <v>0.44906822732121116</v>
      </c>
      <c r="J156">
        <f>($B$1+Table4[[#This Row],[Home Differential]])-Table4[[#This Row],[Away Differential]]</f>
        <v>0.54140034399352954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0.63081638461866818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0.13629654186603116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0.16838500200194736</v>
      </c>
      <c r="H157" t="s">
        <v>55</v>
      </c>
      <c r="I157">
        <f>VLOOKUP(Table4[[#This Row],[Visitor]],'NHL Model'!$A$6:$B$38,2,FALSE)</f>
        <v>0.17839230571314843</v>
      </c>
      <c r="J157">
        <f>($B$1+Table4[[#This Row],[Home Differential]])-Table4[[#This Row],[Away Differential]]</f>
        <v>5.8617516409101539E-2</v>
      </c>
      <c r="K157" t="str">
        <f>IF(Table4[[#This Row],[HomeIce Differential]]&gt;0,Table4[[#This Row],[Home]],Table4[[#This Row],[Visitor]])</f>
        <v>Edmonton Oilers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0.5824667959906199</v>
      </c>
      <c r="M157" t="str">
        <f>IF(OR((NHL2025_26Results[[#This Row],[Winning Team]]="")),"-",IF(Table4[[#This Row],[Predicted Winner]]=NHL2025_26Results[[#This Row],[Winning Team]],"YES","NO"))</f>
        <v>YES</v>
      </c>
      <c r="N157">
        <f>IF(Table4[[#This Row],[Adjusted Correct]]="-", "",IF(Table4[[#This Row],[Adjusted Correct]]="YES",(Table4[[#This Row],[Strength of Win]]-1)^2,(Table4[[#This Row],[Strength of Win]]-0)^2))</f>
        <v>0.17433397645033863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0.24167918475059574</v>
      </c>
      <c r="H158" t="s">
        <v>31</v>
      </c>
      <c r="I158">
        <f>VLOOKUP(Table4[[#This Row],[Visitor]],'NHL Model'!$A$6:$B$38,2,FALSE)</f>
        <v>-4.3195749724159979E-4</v>
      </c>
      <c r="J158">
        <f>($B$1+Table4[[#This Row],[Home Differential]])-Table4[[#This Row],[Away Differential]]</f>
        <v>0.31073596236814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0.58540022491006627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0.34269342332475616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0.65260146250136963</v>
      </c>
      <c r="H159" t="s">
        <v>40</v>
      </c>
      <c r="I159">
        <f>VLOOKUP(Table4[[#This Row],[Visitor]],'NHL Model'!$A$6:$B$38,2,FALSE)</f>
        <v>-5.9925012095478535E-2</v>
      </c>
      <c r="J159">
        <f>($B$1+Table4[[#This Row],[Home Differential]])-Table4[[#This Row],[Away Differential]]</f>
        <v>0.78115129471715072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0.64797054472307047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0.41986582682871265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-0.30501317799182315</v>
      </c>
      <c r="H160" t="s">
        <v>37</v>
      </c>
      <c r="I160">
        <f>VLOOKUP(Table4[[#This Row],[Visitor]],'NHL Model'!$A$6:$B$38,2,FALSE)</f>
        <v>0.77383710114582016</v>
      </c>
      <c r="J160">
        <f>($B$1+Table4[[#This Row],[Home Differential]])-Table4[[#This Row],[Away Differential]]</f>
        <v>-1.0102254590173407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0.64170266465324055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0.12837698051658819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0.24261452474052697</v>
      </c>
      <c r="H161" t="s">
        <v>14</v>
      </c>
      <c r="I161">
        <f>VLOOKUP(Table4[[#This Row],[Visitor]],'NHL Model'!$A$6:$B$38,2,FALSE)</f>
        <v>-0.10173040746987846</v>
      </c>
      <c r="J161">
        <f>($B$1+Table4[[#This Row],[Home Differential]])-Table4[[#This Row],[Away Differential]]</f>
        <v>0.4129697523307081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0.58257494406364163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0.1742436773234719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-0.35878259596109546</v>
      </c>
      <c r="H162" t="s">
        <v>18</v>
      </c>
      <c r="I162">
        <f>VLOOKUP(Table4[[#This Row],[Visitor]],'NHL Model'!$A$6:$B$38,2,FALSE)</f>
        <v>-6.5759726104743493E-3</v>
      </c>
      <c r="J162">
        <f>($B$1+Table4[[#This Row],[Home Differential]])-Table4[[#This Row],[Away Differential]]</f>
        <v>-0.28358180323031851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0.53820632249988409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0.21325340057908104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-0.21661915454261307</v>
      </c>
      <c r="H163" t="s">
        <v>13</v>
      </c>
      <c r="I163">
        <f>VLOOKUP(Table4[[#This Row],[Visitor]],'NHL Model'!$A$6:$B$38,2,FALSE)</f>
        <v>3.852494182308655E-2</v>
      </c>
      <c r="J163">
        <f>($B$1+Table4[[#This Row],[Home Differential]])-Table4[[#This Row],[Away Differential]]</f>
        <v>-0.18651927624539702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0.51285018513423908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0.23731494212374515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-0.91735746943655616</v>
      </c>
      <c r="H164" t="s">
        <v>26</v>
      </c>
      <c r="I164">
        <f>VLOOKUP(Table4[[#This Row],[Visitor]],'NHL Model'!$A$6:$B$38,2,FALSE)</f>
        <v>-8.7991118744577684E-2</v>
      </c>
      <c r="J164">
        <f>($B$1+Table4[[#This Row],[Home Differential]])-Table4[[#This Row],[Away Differential]]</f>
        <v>-0.76074153057167593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0.57703141559348059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0.17890242339485493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-0.12942754353881131</v>
      </c>
      <c r="H165" t="s">
        <v>16</v>
      </c>
      <c r="I165">
        <f>VLOOKUP(Table4[[#This Row],[Visitor]],'NHL Model'!$A$6:$B$38,2,FALSE)</f>
        <v>-0.31883717525004912</v>
      </c>
      <c r="J165">
        <f>($B$1+Table4[[#This Row],[Home Differential]])-Table4[[#This Row],[Away Differential]]</f>
        <v>0.25803445183154039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0.57080004530222117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0.1842126011125754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-0.41225364678728776</v>
      </c>
      <c r="H166" t="s">
        <v>15</v>
      </c>
      <c r="I166">
        <f>VLOOKUP(Table4[[#This Row],[Visitor]],'NHL Model'!$A$6:$B$38,2,FALSE)</f>
        <v>5.9615189993428262E-2</v>
      </c>
      <c r="J166">
        <f>($B$1+Table4[[#This Row],[Home Differential]])-Table4[[#This Row],[Away Differential]]</f>
        <v>-0.40324401666041337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0.57413462464303111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0.181361317927932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-0.16769781981623849</v>
      </c>
      <c r="H167" t="s">
        <v>19</v>
      </c>
      <c r="I167">
        <f>VLOOKUP(Table4[[#This Row],[Visitor]],'NHL Model'!$A$6:$B$38,2,FALSE)</f>
        <v>-0.12942754353881131</v>
      </c>
      <c r="J167">
        <f>($B$1+Table4[[#This Row],[Home Differential]])-Table4[[#This Row],[Away Differential]]</f>
        <v>3.035454384287542E-2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0.54332968015113203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0.20854778103086738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-6.6683170548020518E-2</v>
      </c>
      <c r="H168" t="s">
        <v>23</v>
      </c>
      <c r="I168">
        <f>VLOOKUP(Table4[[#This Row],[Visitor]],'NHL Model'!$A$6:$B$38,2,FALSE)</f>
        <v>8.4418744674710666E-2</v>
      </c>
      <c r="J168">
        <f>($B$1+Table4[[#This Row],[Home Differential]])-Table4[[#This Row],[Away Differential]]</f>
        <v>-8.247709510242858E-2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0.45503053724841347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0.2070527898285798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0.64590845617425174</v>
      </c>
      <c r="H169" t="s">
        <v>30</v>
      </c>
      <c r="I169">
        <f>VLOOKUP(Table4[[#This Row],[Visitor]],'NHL Model'!$A$6:$B$38,2,FALSE)</f>
        <v>0.28840991013146466</v>
      </c>
      <c r="J169">
        <f>($B$1+Table4[[#This Row],[Home Differential]])-Table4[[#This Row],[Away Differential]]</f>
        <v>0.42612336616308966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0.6119601301045493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0.15057494062847832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0.16838500200194736</v>
      </c>
      <c r="H170" t="s">
        <v>15</v>
      </c>
      <c r="I170">
        <f>VLOOKUP(Table4[[#This Row],[Visitor]],'NHL Model'!$A$6:$B$38,2,FALSE)</f>
        <v>5.9615189993428262E-2</v>
      </c>
      <c r="J170">
        <f>($B$1+Table4[[#This Row],[Home Differential]])-Table4[[#This Row],[Away Differential]]</f>
        <v>0.1773946321288217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0.52606687406665853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0.27674635599026559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3.852494182308655E-2</v>
      </c>
      <c r="H171" t="s">
        <v>26</v>
      </c>
      <c r="I171">
        <f>VLOOKUP(Table4[[#This Row],[Visitor]],'NHL Model'!$A$6:$B$38,2,FALSE)</f>
        <v>-8.7991118744577684E-2</v>
      </c>
      <c r="J171">
        <f>($B$1+Table4[[#This Row],[Home Differential]])-Table4[[#This Row],[Away Differential]]</f>
        <v>0.19514088068796684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0.52782216771393109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0.2785962407302332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0.65260146250136963</v>
      </c>
      <c r="H172" t="s">
        <v>14</v>
      </c>
      <c r="I172">
        <f>VLOOKUP(Table4[[#This Row],[Visitor]],'NHL Model'!$A$6:$B$38,2,FALSE)</f>
        <v>-0.10173040746987846</v>
      </c>
      <c r="J172">
        <f>($B$1+Table4[[#This Row],[Home Differential]])-Table4[[#This Row],[Away Differential]]</f>
        <v>0.8229566900915507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0.64532874557047626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0.41644918985956447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5.0237013717083105E-2</v>
      </c>
      <c r="H173" t="s">
        <v>16</v>
      </c>
      <c r="I173">
        <f>VLOOKUP(Table4[[#This Row],[Visitor]],'NHL Model'!$A$6:$B$38,2,FALSE)</f>
        <v>-0.31883717525004912</v>
      </c>
      <c r="J173">
        <f>($B$1+Table4[[#This Row],[Home Differential]])-Table4[[#This Row],[Away Differential]]</f>
        <v>0.43769900908743486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0.58801250548427009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0.16973369563734858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0.24261452474052697</v>
      </c>
      <c r="H174" t="s">
        <v>29</v>
      </c>
      <c r="I174">
        <f>VLOOKUP(Table4[[#This Row],[Visitor]],'NHL Model'!$A$6:$B$38,2,FALSE)</f>
        <v>-0.30501317799182315</v>
      </c>
      <c r="J174">
        <f>($B$1+Table4[[#This Row],[Home Differential]])-Table4[[#This Row],[Away Differential]]</f>
        <v>0.61625252285265275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0.61215302665283677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0.15042527473455514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-0.21661915454261307</v>
      </c>
      <c r="H175" t="s">
        <v>24</v>
      </c>
      <c r="I175">
        <f>VLOOKUP(Table4[[#This Row],[Visitor]],'NHL Model'!$A$6:$B$38,2,FALSE)</f>
        <v>1.6161557760803764E-2</v>
      </c>
      <c r="J175">
        <f>($B$1+Table4[[#This Row],[Home Differential]])-Table4[[#This Row],[Away Differential]]</f>
        <v>-0.16415589218311424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0.51159016340813313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0.26172449529596037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-0.91735746943655616</v>
      </c>
      <c r="H176" t="s">
        <v>38</v>
      </c>
      <c r="I176">
        <f>VLOOKUP(Table4[[#This Row],[Visitor]],'NHL Model'!$A$6:$B$38,2,FALSE)</f>
        <v>-0.41225364678728776</v>
      </c>
      <c r="J176">
        <f>($B$1+Table4[[#This Row],[Home Differential]])-Table4[[#This Row],[Away Differential]]</f>
        <v>-0.43647900252896582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0.55039124215214574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0.20214803513349044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0.77383710114582016</v>
      </c>
      <c r="H177" t="s">
        <v>39</v>
      </c>
      <c r="I177">
        <f>VLOOKUP(Table4[[#This Row],[Visitor]],'NHL Model'!$A$6:$B$38,2,FALSE)</f>
        <v>0.92184375119443818</v>
      </c>
      <c r="J177">
        <f>($B$1+Table4[[#This Row],[Home Differential]])-Table4[[#This Row],[Away Differential]]</f>
        <v>-7.9381829928315439E-2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0.5503742955752422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0.30291186522994407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-5.9925012095478535E-2</v>
      </c>
      <c r="H178" t="s">
        <v>10</v>
      </c>
      <c r="I178">
        <f>VLOOKUP(Table4[[#This Row],[Visitor]],'NHL Model'!$A$6:$B$38,2,FALSE)</f>
        <v>-0.45443544272009573</v>
      </c>
      <c r="J178">
        <f>($B$1+Table4[[#This Row],[Home Differential]])-Table4[[#This Row],[Away Differential]]</f>
        <v>0.46313525074491979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0.59080268244771672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0.16744244469198416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-4.3195749724159979E-4</v>
      </c>
      <c r="H179" t="s">
        <v>26</v>
      </c>
      <c r="I179">
        <f>VLOOKUP(Table4[[#This Row],[Visitor]],'NHL Model'!$A$6:$B$38,2,FALSE)</f>
        <v>-8.7991118744577684E-2</v>
      </c>
      <c r="J179">
        <f>($B$1+Table4[[#This Row],[Home Differential]])-Table4[[#This Row],[Away Differential]]</f>
        <v>0.15618398136763867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0.56258683066945414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0.19133028070379279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0.21920515510044997</v>
      </c>
      <c r="H180" t="s">
        <v>12</v>
      </c>
      <c r="I180">
        <f>VLOOKUP(Table4[[#This Row],[Visitor]],'NHL Model'!$A$6:$B$38,2,FALSE)</f>
        <v>1.8165919516425306</v>
      </c>
      <c r="J180">
        <f>($B$1+Table4[[#This Row],[Home Differential]])-Table4[[#This Row],[Away Differential]]</f>
        <v>-1.5287619764217779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0.71391293324286198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8.1845809765703145E-2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0.44906822732121116</v>
      </c>
      <c r="H181" t="s">
        <v>30</v>
      </c>
      <c r="I181">
        <f>VLOOKUP(Table4[[#This Row],[Visitor]],'NHL Model'!$A$6:$B$38,2,FALSE)</f>
        <v>0.28840991013146466</v>
      </c>
      <c r="J181">
        <f>($B$1+Table4[[#This Row],[Home Differential]])-Table4[[#This Row],[Away Differential]]</f>
        <v>0.22928313731004912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0.54896027274656412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0.30135738105398208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-6.6683170548020518E-2</v>
      </c>
      <c r="H182" t="s">
        <v>25</v>
      </c>
      <c r="I182">
        <f>VLOOKUP(Table4[[#This Row],[Visitor]],'NHL Model'!$A$6:$B$38,2,FALSE)</f>
        <v>0.64590845617425174</v>
      </c>
      <c r="J182">
        <f>($B$1+Table4[[#This Row],[Home Differential]])-Table4[[#This Row],[Away Differential]]</f>
        <v>-0.6439668066019697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0.58741715686981477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0.34505891618501655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8.4418744674710666E-2</v>
      </c>
      <c r="H183" t="s">
        <v>22</v>
      </c>
      <c r="I183">
        <f>VLOOKUP(Table4[[#This Row],[Visitor]],'NHL Model'!$A$6:$B$38,2,FALSE)</f>
        <v>0.44906822732121116</v>
      </c>
      <c r="J183">
        <f>($B$1+Table4[[#This Row],[Home Differential]])-Table4[[#This Row],[Away Differential]]</f>
        <v>-0.29602466252619786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0.46104325381647748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0.21256088188968489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-0.16769781981623849</v>
      </c>
      <c r="H184" t="s">
        <v>35</v>
      </c>
      <c r="I184">
        <f>VLOOKUP(Table4[[#This Row],[Visitor]],'NHL Model'!$A$6:$B$38,2,FALSE)</f>
        <v>-0.91735746943655616</v>
      </c>
      <c r="J184">
        <f>($B$1+Table4[[#This Row],[Home Differential]])-Table4[[#This Row],[Away Differential]]</f>
        <v>0.8182844697406203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0.62976005605547614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0.13707761609204416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0.16838500200194736</v>
      </c>
      <c r="H185" t="s">
        <v>10</v>
      </c>
      <c r="I185">
        <f>VLOOKUP(Table4[[#This Row],[Visitor]],'NHL Model'!$A$6:$B$38,2,FALSE)</f>
        <v>-0.45443544272009573</v>
      </c>
      <c r="J185">
        <f>($B$1+Table4[[#This Row],[Home Differential]])-Table4[[#This Row],[Away Differential]]</f>
        <v>0.6914452648423457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0.6518835529661422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0.12118506069547673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0.24167918475059574</v>
      </c>
      <c r="H186" t="s">
        <v>39</v>
      </c>
      <c r="I186">
        <f>VLOOKUP(Table4[[#This Row],[Visitor]],'NHL Model'!$A$6:$B$38,2,FALSE)</f>
        <v>0.92184375119443818</v>
      </c>
      <c r="J186">
        <f>($B$1+Table4[[#This Row],[Home Differential]])-Table4[[#This Row],[Away Differential]]</f>
        <v>-0.6115397463235398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0.60196533367005667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0.36236226294050267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3.852494182308655E-2</v>
      </c>
      <c r="H187" t="s">
        <v>24</v>
      </c>
      <c r="I187">
        <f>VLOOKUP(Table4[[#This Row],[Visitor]],'NHL Model'!$A$6:$B$38,2,FALSE)</f>
        <v>1.6161557760803764E-2</v>
      </c>
      <c r="J187">
        <f>($B$1+Table4[[#This Row],[Home Differential]])-Table4[[#This Row],[Away Differential]]</f>
        <v>9.0988204182585394E-2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0.51639735100634487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0.26666622412637014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0.65260146250136963</v>
      </c>
      <c r="H188" t="s">
        <v>38</v>
      </c>
      <c r="I188">
        <f>VLOOKUP(Table4[[#This Row],[Visitor]],'NHL Model'!$A$6:$B$38,2,FALSE)</f>
        <v>-0.41225364678728776</v>
      </c>
      <c r="J188">
        <f>($B$1+Table4[[#This Row],[Home Differential]])-Table4[[#This Row],[Away Differential]]</f>
        <v>1.1334799294089599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0.64433478302937286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0.12649774656276327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-6.5759726104743493E-3</v>
      </c>
      <c r="H189" t="s">
        <v>36</v>
      </c>
      <c r="I189">
        <f>VLOOKUP(Table4[[#This Row],[Visitor]],'NHL Model'!$A$6:$B$38,2,FALSE)</f>
        <v>5.0237013717083105E-2</v>
      </c>
      <c r="J189">
        <f>($B$1+Table4[[#This Row],[Home Differential]])-Table4[[#This Row],[Away Differential]]</f>
        <v>1.1811833792745148E-2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0.52052644439333329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0.22989489052609932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-0.30501317799182315</v>
      </c>
      <c r="H190" t="s">
        <v>16</v>
      </c>
      <c r="I190">
        <f>VLOOKUP(Table4[[#This Row],[Visitor]],'NHL Model'!$A$6:$B$38,2,FALSE)</f>
        <v>-0.31883717525004912</v>
      </c>
      <c r="J190">
        <f>($B$1+Table4[[#This Row],[Home Differential]])-Table4[[#This Row],[Away Differential]]</f>
        <v>8.2448817378528577E-2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0.54904405587943073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0.203361263537674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0.24261452474052697</v>
      </c>
      <c r="H191" t="s">
        <v>19</v>
      </c>
      <c r="I191">
        <f>VLOOKUP(Table4[[#This Row],[Visitor]],'NHL Model'!$A$6:$B$38,2,FALSE)</f>
        <v>-0.12942754353881131</v>
      </c>
      <c r="J191">
        <f>($B$1+Table4[[#This Row],[Home Differential]])-Table4[[#This Row],[Away Differential]]</f>
        <v>0.44066688839964091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0.59289251643438623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0.35152153604389896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-0.35878259596109546</v>
      </c>
      <c r="H192" t="s">
        <v>15</v>
      </c>
      <c r="I192">
        <f>VLOOKUP(Table4[[#This Row],[Visitor]],'NHL Model'!$A$6:$B$38,2,FALSE)</f>
        <v>5.9615189993428262E-2</v>
      </c>
      <c r="J192">
        <f>($B$1+Table4[[#This Row],[Home Differential]])-Table4[[#This Row],[Away Differential]]</f>
        <v>-0.34977296583422107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0.56826922612089414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0.18639146111425164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-0.21661915454261307</v>
      </c>
      <c r="H193" t="s">
        <v>12</v>
      </c>
      <c r="I193">
        <f>VLOOKUP(Table4[[#This Row],[Visitor]],'NHL Model'!$A$6:$B$38,2,FALSE)</f>
        <v>1.8165919516425306</v>
      </c>
      <c r="J193">
        <f>($B$1+Table4[[#This Row],[Home Differential]])-Table4[[#This Row],[Away Differential]]</f>
        <v>-1.9645862860648411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0.76171979737203299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0.58021704970849097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-5.9925012095478535E-2</v>
      </c>
      <c r="H194" t="s">
        <v>14</v>
      </c>
      <c r="I194">
        <f>VLOOKUP(Table4[[#This Row],[Visitor]],'NHL Model'!$A$6:$B$38,2,FALSE)</f>
        <v>-0.10173040746987846</v>
      </c>
      <c r="J194">
        <f>($B$1+Table4[[#This Row],[Home Differential]])-Table4[[#This Row],[Away Differential]]</f>
        <v>0.11043021549470253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0.54482369899482164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0.20718546499675675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-4.3195749724159979E-4</v>
      </c>
      <c r="H195" t="s">
        <v>24</v>
      </c>
      <c r="I195">
        <f>VLOOKUP(Table4[[#This Row],[Visitor]],'NHL Model'!$A$6:$B$38,2,FALSE)</f>
        <v>1.6161557760803764E-2</v>
      </c>
      <c r="J195">
        <f>($B$1+Table4[[#This Row],[Home Differential]])-Table4[[#This Row],[Away Differential]]</f>
        <v>5.2031304862257238E-2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0.55116201396186804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0.20145553771076635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0.28840991013146466</v>
      </c>
      <c r="H196" t="s">
        <v>28</v>
      </c>
      <c r="I196">
        <f>VLOOKUP(Table4[[#This Row],[Visitor]],'NHL Model'!$A$6:$B$38,2,FALSE)</f>
        <v>-0.16769781981623849</v>
      </c>
      <c r="J196">
        <f>($B$1+Table4[[#This Row],[Home Differential]])-Table4[[#This Row],[Away Differential]]</f>
        <v>0.52473255006800579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0.61157609382354183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0.15087313088937798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0.24261452474052697</v>
      </c>
      <c r="H197" t="s">
        <v>16</v>
      </c>
      <c r="I197">
        <f>VLOOKUP(Table4[[#This Row],[Visitor]],'NHL Model'!$A$6:$B$38,2,FALSE)</f>
        <v>-0.31883717525004912</v>
      </c>
      <c r="J197">
        <f>($B$1+Table4[[#This Row],[Home Differential]])-Table4[[#This Row],[Away Differential]]</f>
        <v>0.63007652011087867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0.61366942200762398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0.37659015950717128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-0.21661915454261307</v>
      </c>
      <c r="H198" t="s">
        <v>26</v>
      </c>
      <c r="I198">
        <f>VLOOKUP(Table4[[#This Row],[Visitor]],'NHL Model'!$A$6:$B$38,2,FALSE)</f>
        <v>-8.7991118744577684E-2</v>
      </c>
      <c r="J198">
        <f>($B$1+Table4[[#This Row],[Home Differential]])-Table4[[#This Row],[Away Differential]]</f>
        <v>-6.0003215677732785E-2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0.50016534670054691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0.24983468063898448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0.17839230571314843</v>
      </c>
      <c r="H199" t="s">
        <v>37</v>
      </c>
      <c r="I199">
        <f>VLOOKUP(Table4[[#This Row],[Visitor]],'NHL Model'!$A$6:$B$38,2,FALSE)</f>
        <v>0.77383710114582016</v>
      </c>
      <c r="J199">
        <f>($B$1+Table4[[#This Row],[Home Differential]])-Table4[[#This Row],[Away Differential]]</f>
        <v>-0.52681997531236913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0.58867648009344231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0.16918703802832036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-0.30501317799182315</v>
      </c>
      <c r="H200" t="s">
        <v>38</v>
      </c>
      <c r="I200">
        <f>VLOOKUP(Table4[[#This Row],[Visitor]],'NHL Model'!$A$6:$B$38,2,FALSE)</f>
        <v>-0.41225364678728776</v>
      </c>
      <c r="J200">
        <f>($B$1+Table4[[#This Row],[Home Differential]])-Table4[[#This Row],[Away Differential]]</f>
        <v>0.17586528891576722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0.51677862353374771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0.26706014574143494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-0.35878259596109546</v>
      </c>
      <c r="H201" t="s">
        <v>10</v>
      </c>
      <c r="I201">
        <f>VLOOKUP(Table4[[#This Row],[Visitor]],'NHL Model'!$A$6:$B$38,2,FALSE)</f>
        <v>-0.45443544272009573</v>
      </c>
      <c r="J201">
        <f>($B$1+Table4[[#This Row],[Home Differential]])-Table4[[#This Row],[Away Differential]]</f>
        <v>0.1642776668793029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0.55802010563933002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0.19534622701906898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-0.91735746943655616</v>
      </c>
      <c r="H202" t="s">
        <v>17</v>
      </c>
      <c r="I202">
        <f>VLOOKUP(Table4[[#This Row],[Visitor]],'NHL Model'!$A$6:$B$38,2,FALSE)</f>
        <v>0.16838500200194736</v>
      </c>
      <c r="J202">
        <f>($B$1+Table4[[#This Row],[Home Differential]])-Table4[[#This Row],[Away Differential]]</f>
        <v>-1.017117651318201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0.57157065882757752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0.32669301803259104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-0.12942754353881131</v>
      </c>
      <c r="H203" t="s">
        <v>14</v>
      </c>
      <c r="I203">
        <f>VLOOKUP(Table4[[#This Row],[Visitor]],'NHL Model'!$A$6:$B$38,2,FALSE)</f>
        <v>-0.10173040746987846</v>
      </c>
      <c r="J203">
        <f>($B$1+Table4[[#This Row],[Home Differential]])-Table4[[#This Row],[Away Differential]]</f>
        <v>4.0927684051369762E-2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0.53970074693772507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0.21187540236968821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-4.3195749724159979E-4</v>
      </c>
      <c r="H204" t="s">
        <v>11</v>
      </c>
      <c r="I204">
        <f>VLOOKUP(Table4[[#This Row],[Visitor]],'NHL Model'!$A$6:$B$38,2,FALSE)</f>
        <v>0.24167918475059574</v>
      </c>
      <c r="J204">
        <f>($B$1+Table4[[#This Row],[Home Differential]])-Table4[[#This Row],[Away Differential]]</f>
        <v>-0.17348632212753473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0.47686155570990602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0.22739694331407179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8.4418744674710666E-2</v>
      </c>
      <c r="H205" t="s">
        <v>55</v>
      </c>
      <c r="I205">
        <f>VLOOKUP(Table4[[#This Row],[Visitor]],'NHL Model'!$A$6:$B$38,2,FALSE)</f>
        <v>0.17839230571314843</v>
      </c>
      <c r="J205">
        <f>($B$1+Table4[[#This Row],[Home Differential]])-Table4[[#This Row],[Away Differential]]</f>
        <v>-2.534874091813516E-2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0.42418848617249327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0.331558899456325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1.8165919516425306</v>
      </c>
      <c r="H206" t="s">
        <v>37</v>
      </c>
      <c r="I206">
        <f>VLOOKUP(Table4[[#This Row],[Visitor]],'NHL Model'!$A$6:$B$38,2,FALSE)</f>
        <v>0.77383710114582016</v>
      </c>
      <c r="J206">
        <f>($B$1+Table4[[#This Row],[Home Differential]])-Table4[[#This Row],[Away Differential]]</f>
        <v>1.1113796706170129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0.71450313253614151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8.1508461331675983E-2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0.92184375119443818</v>
      </c>
      <c r="H207" t="s">
        <v>17</v>
      </c>
      <c r="I207">
        <f>VLOOKUP(Table4[[#This Row],[Visitor]],'NHL Model'!$A$6:$B$38,2,FALSE)</f>
        <v>0.16838500200194736</v>
      </c>
      <c r="J207">
        <f>($B$1+Table4[[#This Row],[Home Differential]])-Table4[[#This Row],[Away Differential]]</f>
        <v>0.82208356931279336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0.66876888315612293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0.10971405276564214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3.852494182308655E-2</v>
      </c>
      <c r="H208" t="s">
        <v>40</v>
      </c>
      <c r="I208">
        <f>VLOOKUP(Table4[[#This Row],[Visitor]],'NHL Model'!$A$6:$B$38,2,FALSE)</f>
        <v>-5.9925012095478535E-2</v>
      </c>
      <c r="J208">
        <f>($B$1+Table4[[#This Row],[Home Differential]])-Table4[[#This Row],[Away Differential]]</f>
        <v>0.1670747740388677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0.55832692863881239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0.19507510196562472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0.65260146250136963</v>
      </c>
      <c r="H209" t="s">
        <v>29</v>
      </c>
      <c r="I209">
        <f>VLOOKUP(Table4[[#This Row],[Visitor]],'NHL Model'!$A$6:$B$38,2,FALSE)</f>
        <v>-0.30501317799182315</v>
      </c>
      <c r="J209">
        <f>($B$1+Table4[[#This Row],[Home Differential]])-Table4[[#This Row],[Away Differential]]</f>
        <v>1.0262394606134952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0.67485499423041961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0.10571927477690046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-6.5759726104743493E-3</v>
      </c>
      <c r="H210" t="s">
        <v>27</v>
      </c>
      <c r="I210">
        <f>VLOOKUP(Table4[[#This Row],[Visitor]],'NHL Model'!$A$6:$B$38,2,FALSE)</f>
        <v>0.24261452474052697</v>
      </c>
      <c r="J210">
        <f>($B$1+Table4[[#This Row],[Home Differential]])-Table4[[#This Row],[Away Differential]]</f>
        <v>-0.18056567723069872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0.48546452747519875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0.26474675248632051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0.28840991013146466</v>
      </c>
      <c r="H211" t="s">
        <v>21</v>
      </c>
      <c r="I211">
        <f>VLOOKUP(Table4[[#This Row],[Visitor]],'NHL Model'!$A$6:$B$38,2,FALSE)</f>
        <v>-6.6683170548020518E-2</v>
      </c>
      <c r="J211">
        <f>($B$1+Table4[[#This Row],[Home Differential]])-Table4[[#This Row],[Away Differential]]</f>
        <v>0.42371790079978777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0.60049549665222612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0.36059484149960369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5.9615189993428262E-2</v>
      </c>
      <c r="H212" t="s">
        <v>25</v>
      </c>
      <c r="I212">
        <f>VLOOKUP(Table4[[#This Row],[Visitor]],'NHL Model'!$A$6:$B$38,2,FALSE)</f>
        <v>0.64590845617425174</v>
      </c>
      <c r="J212">
        <f>($B$1+Table4[[#This Row],[Home Differential]])-Table4[[#This Row],[Away Differential]]</f>
        <v>-0.51766844606052087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0.58767262164443668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0.17001386694157186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0.21920515510044997</v>
      </c>
      <c r="H213" t="s">
        <v>26</v>
      </c>
      <c r="I213">
        <f>VLOOKUP(Table4[[#This Row],[Visitor]],'NHL Model'!$A$6:$B$38,2,FALSE)</f>
        <v>-8.7991118744577684E-2</v>
      </c>
      <c r="J213">
        <f>($B$1+Table4[[#This Row],[Home Differential]])-Table4[[#This Row],[Away Differential]]</f>
        <v>0.37582109396533026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0.5476415174286241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0.20462819675427779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-0.31883717525004912</v>
      </c>
      <c r="H214" t="s">
        <v>28</v>
      </c>
      <c r="I214">
        <f>VLOOKUP(Table4[[#This Row],[Visitor]],'NHL Model'!$A$6:$B$38,2,FALSE)</f>
        <v>-0.16769781981623849</v>
      </c>
      <c r="J214">
        <f>($B$1+Table4[[#This Row],[Home Differential]])-Table4[[#This Row],[Away Differential]]</f>
        <v>-8.2514535313507997E-2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0.43851184558794576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0.19229263872094637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-0.35878259596109546</v>
      </c>
      <c r="H215" t="s">
        <v>33</v>
      </c>
      <c r="I215">
        <f>VLOOKUP(Table4[[#This Row],[Visitor]],'NHL Model'!$A$6:$B$38,2,FALSE)</f>
        <v>-0.21661915454261307</v>
      </c>
      <c r="J215">
        <f>($B$1+Table4[[#This Row],[Home Differential]])-Table4[[#This Row],[Away Differential]]</f>
        <v>-7.3538621298179757E-2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0.47535638960960241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0.27525091792347123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-0.12942754353881131</v>
      </c>
      <c r="H216" t="s">
        <v>55</v>
      </c>
      <c r="I216">
        <f>VLOOKUP(Table4[[#This Row],[Visitor]],'NHL Model'!$A$6:$B$38,2,FALSE)</f>
        <v>0.17839230571314843</v>
      </c>
      <c r="J216">
        <f>($B$1+Table4[[#This Row],[Home Differential]])-Table4[[#This Row],[Away Differential]]</f>
        <v>-0.23919502913165713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0.48374253461236416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0.23400683979319434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-0.41225364678728776</v>
      </c>
      <c r="H217" t="s">
        <v>10</v>
      </c>
      <c r="I217">
        <f>VLOOKUP(Table4[[#This Row],[Visitor]],'NHL Model'!$A$6:$B$38,2,FALSE)</f>
        <v>-0.45443544272009573</v>
      </c>
      <c r="J217">
        <f>($B$1+Table4[[#This Row],[Home Differential]])-Table4[[#This Row],[Away Differential]]</f>
        <v>0.1108066160531106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0.55215470711719306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0.30487482059167326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0.44906822732121116</v>
      </c>
      <c r="H218" t="s">
        <v>35</v>
      </c>
      <c r="I218">
        <f>VLOOKUP(Table4[[#This Row],[Visitor]],'NHL Model'!$A$6:$B$38,2,FALSE)</f>
        <v>-0.91735746943655616</v>
      </c>
      <c r="J218">
        <f>($B$1+Table4[[#This Row],[Home Differential]])-Table4[[#This Row],[Away Differential]]</f>
        <v>1.4350505168780701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0.70196941271370072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8.8822230958216453E-2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-6.6683170548020518E-2</v>
      </c>
      <c r="H219" t="s">
        <v>36</v>
      </c>
      <c r="I219">
        <f>VLOOKUP(Table4[[#This Row],[Visitor]],'NHL Model'!$A$6:$B$38,2,FALSE)</f>
        <v>5.0237013717083105E-2</v>
      </c>
      <c r="J219">
        <f>($B$1+Table4[[#This Row],[Home Differential]])-Table4[[#This Row],[Away Differential]]</f>
        <v>-4.8295364144801019E-2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0.47196432873060767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0.2227503275941331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8.4418744674710666E-2</v>
      </c>
      <c r="H220" t="s">
        <v>35</v>
      </c>
      <c r="I220">
        <f>VLOOKUP(Table4[[#This Row],[Visitor]],'NHL Model'!$A$6:$B$38,2,FALSE)</f>
        <v>-0.91735746943655616</v>
      </c>
      <c r="J220">
        <f>($B$1+Table4[[#This Row],[Home Differential]])-Table4[[#This Row],[Away Differential]]</f>
        <v>1.0704010342315695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0.69600756407319853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0.48442652924710755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0.64590845617425174</v>
      </c>
      <c r="H221" t="s">
        <v>34</v>
      </c>
      <c r="I221">
        <f>VLOOKUP(Table4[[#This Row],[Visitor]],'NHL Model'!$A$6:$B$38,2,FALSE)</f>
        <v>0.65260146250136963</v>
      </c>
      <c r="J221">
        <f>($B$1+Table4[[#This Row],[Home Differential]])-Table4[[#This Row],[Away Differential]]</f>
        <v>6.1931813793184687E-2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0.52221198696651228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0.22828138539848825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0.92184375119443818</v>
      </c>
      <c r="H222" t="s">
        <v>31</v>
      </c>
      <c r="I222">
        <f>VLOOKUP(Table4[[#This Row],[Visitor]],'NHL Model'!$A$6:$B$38,2,FALSE)</f>
        <v>-4.3195749724159979E-4</v>
      </c>
      <c r="J222">
        <f>($B$1+Table4[[#This Row],[Home Differential]])-Table4[[#This Row],[Away Differential]]</f>
        <v>0.99090052881198232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0.6872869172971906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0.4723633066878753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3.852494182308655E-2</v>
      </c>
      <c r="H223" t="s">
        <v>11</v>
      </c>
      <c r="I223">
        <f>VLOOKUP(Table4[[#This Row],[Visitor]],'NHL Model'!$A$6:$B$38,2,FALSE)</f>
        <v>0.24167918475059574</v>
      </c>
      <c r="J223">
        <f>($B$1+Table4[[#This Row],[Home Differential]])-Table4[[#This Row],[Away Differential]]</f>
        <v>-0.13452942280720659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0.51165134225033138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0.238484411525903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1.6161557760803764E-2</v>
      </c>
      <c r="H224" t="s">
        <v>18</v>
      </c>
      <c r="I224">
        <f>VLOOKUP(Table4[[#This Row],[Visitor]],'NHL Model'!$A$6:$B$38,2,FALSE)</f>
        <v>-6.5759726104743493E-3</v>
      </c>
      <c r="J224">
        <f>($B$1+Table4[[#This Row],[Home Differential]])-Table4[[#This Row],[Away Differential]]</f>
        <v>9.1362350491580716E-2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0.50292241634373425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0.24708612417355189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-0.30501317799182315</v>
      </c>
      <c r="H225" t="s">
        <v>27</v>
      </c>
      <c r="I225">
        <f>VLOOKUP(Table4[[#This Row],[Visitor]],'NHL Model'!$A$6:$B$38,2,FALSE)</f>
        <v>0.24261452474052697</v>
      </c>
      <c r="J225">
        <f>($B$1+Table4[[#This Row],[Home Differential]])-Table4[[#This Row],[Away Differential]]</f>
        <v>-0.47900288261204749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0.51820099171795853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0.23213028438155867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-0.10173040746987846</v>
      </c>
      <c r="H226" t="s">
        <v>22</v>
      </c>
      <c r="I226">
        <f>VLOOKUP(Table4[[#This Row],[Visitor]],'NHL Model'!$A$6:$B$38,2,FALSE)</f>
        <v>0.44906822732121116</v>
      </c>
      <c r="J226">
        <f>($B$1+Table4[[#This Row],[Home Differential]])-Table4[[#This Row],[Away Differential]]</f>
        <v>-0.48217381467078702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0.52018079874814094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0.27058806338625391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0.21920515510044997</v>
      </c>
      <c r="H227" t="s">
        <v>37</v>
      </c>
      <c r="I227">
        <f>VLOOKUP(Table4[[#This Row],[Visitor]],'NHL Model'!$A$6:$B$38,2,FALSE)</f>
        <v>0.77383710114582016</v>
      </c>
      <c r="J227">
        <f>($B$1+Table4[[#This Row],[Home Differential]])-Table4[[#This Row],[Away Differential]]</f>
        <v>-0.48600712592506756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0.58419959731702942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0.17288997487132049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-0.31883717525004912</v>
      </c>
      <c r="H228" t="s">
        <v>10</v>
      </c>
      <c r="I228">
        <f>VLOOKUP(Table4[[#This Row],[Visitor]],'NHL Model'!$A$6:$B$38,2,FALSE)</f>
        <v>-0.45443544272009573</v>
      </c>
      <c r="J228">
        <f>($B$1+Table4[[#This Row],[Home Differential]])-Table4[[#This Row],[Away Differential]]</f>
        <v>0.20422308759034924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0.59294125667271746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0.35157933386462142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-8.7991118744577684E-2</v>
      </c>
      <c r="H229" t="s">
        <v>15</v>
      </c>
      <c r="I229">
        <f>VLOOKUP(Table4[[#This Row],[Visitor]],'NHL Model'!$A$6:$B$38,2,FALSE)</f>
        <v>5.9615189993428262E-2</v>
      </c>
      <c r="J229">
        <f>($B$1+Table4[[#This Row],[Home Differential]])-Table4[[#This Row],[Away Differential]]</f>
        <v>-7.8981488617703349E-2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0.50444786267806929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0.24557192080433368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0.28840991013146466</v>
      </c>
      <c r="H230" t="s">
        <v>34</v>
      </c>
      <c r="I230">
        <f>VLOOKUP(Table4[[#This Row],[Visitor]],'NHL Model'!$A$6:$B$38,2,FALSE)</f>
        <v>0.65260146250136963</v>
      </c>
      <c r="J230">
        <f>($B$1+Table4[[#This Row],[Home Differential]])-Table4[[#This Row],[Away Differential]]</f>
        <v>-0.29556673224960239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0.54920011700162175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0.20322053451135152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-0.21661915454261307</v>
      </c>
      <c r="H231" t="s">
        <v>40</v>
      </c>
      <c r="I231">
        <f>VLOOKUP(Table4[[#This Row],[Visitor]],'NHL Model'!$A$6:$B$38,2,FALSE)</f>
        <v>-5.9925012095478535E-2</v>
      </c>
      <c r="J231">
        <f>($B$1+Table4[[#This Row],[Home Differential]])-Table4[[#This Row],[Away Differential]]</f>
        <v>-8.8069322326831928E-2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0.46966058577566555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0.22058106583114129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0.64590845617425174</v>
      </c>
      <c r="H232" t="s">
        <v>23</v>
      </c>
      <c r="I232">
        <f>VLOOKUP(Table4[[#This Row],[Visitor]],'NHL Model'!$A$6:$B$38,2,FALSE)</f>
        <v>8.4418744674710666E-2</v>
      </c>
      <c r="J232">
        <f>($B$1+Table4[[#This Row],[Home Differential]])-Table4[[#This Row],[Away Differential]]</f>
        <v>0.63011453161984365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0.6547047217430827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0.11922882918652195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0.16838500200194736</v>
      </c>
      <c r="H233" t="s">
        <v>12</v>
      </c>
      <c r="I233">
        <f>VLOOKUP(Table4[[#This Row],[Visitor]],'NHL Model'!$A$6:$B$38,2,FALSE)</f>
        <v>1.8165919516425306</v>
      </c>
      <c r="J233">
        <f>($B$1+Table4[[#This Row],[Home Differential]])-Table4[[#This Row],[Away Differential]]</f>
        <v>-1.5795821295202805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0.68307298108641501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0.10044273531745186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-6.5759726104743493E-3</v>
      </c>
      <c r="H234" t="s">
        <v>55</v>
      </c>
      <c r="I234">
        <f>VLOOKUP(Table4[[#This Row],[Visitor]],'NHL Model'!$A$6:$B$38,2,FALSE)</f>
        <v>0.17839230571314843</v>
      </c>
      <c r="J234">
        <f>($B$1+Table4[[#This Row],[Home Differential]])-Table4[[#This Row],[Away Differential]]</f>
        <v>-0.11634345820332018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0.47276205979239494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0.223503965179148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1.6161557760803764E-2</v>
      </c>
      <c r="H235" t="s">
        <v>14</v>
      </c>
      <c r="I235">
        <f>VLOOKUP(Table4[[#This Row],[Visitor]],'NHL Model'!$A$6:$B$38,2,FALSE)</f>
        <v>-0.10173040746987846</v>
      </c>
      <c r="J235">
        <f>($B$1+Table4[[#This Row],[Home Differential]])-Table4[[#This Row],[Away Differential]]</f>
        <v>0.18651678535098482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0.55316986103005328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0.1996571730919019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-0.30501317799182315</v>
      </c>
      <c r="H236" t="s">
        <v>39</v>
      </c>
      <c r="I236">
        <f>VLOOKUP(Table4[[#This Row],[Visitor]],'NHL Model'!$A$6:$B$38,2,FALSE)</f>
        <v>0.92184375119443818</v>
      </c>
      <c r="J236">
        <f>($B$1+Table4[[#This Row],[Home Differential]])-Table4[[#This Row],[Away Differential]]</f>
        <v>-1.1582321090659586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0.67326841059338682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0.10675353151617166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5.9615189993428262E-2</v>
      </c>
      <c r="H237" t="s">
        <v>30</v>
      </c>
      <c r="I237">
        <f>VLOOKUP(Table4[[#This Row],[Visitor]],'NHL Model'!$A$6:$B$38,2,FALSE)</f>
        <v>0.28840991013146466</v>
      </c>
      <c r="J237">
        <f>($B$1+Table4[[#This Row],[Home Differential]])-Table4[[#This Row],[Away Differential]]</f>
        <v>-0.16016990001773379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0.4983387432500786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0.25166401652391063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0.24261452474052697</v>
      </c>
      <c r="H238" t="s">
        <v>36</v>
      </c>
      <c r="I238">
        <f>VLOOKUP(Table4[[#This Row],[Visitor]],'NHL Model'!$A$6:$B$38,2,FALSE)</f>
        <v>5.0237013717083105E-2</v>
      </c>
      <c r="J238">
        <f>($B$1+Table4[[#This Row],[Home Differential]])-Table4[[#This Row],[Away Differential]]</f>
        <v>0.26100233114374649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0.55243964541197665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0.30518956182291052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-0.21661915454261307</v>
      </c>
      <c r="H239" t="s">
        <v>11</v>
      </c>
      <c r="I239">
        <f>VLOOKUP(Table4[[#This Row],[Visitor]],'NHL Model'!$A$6:$B$38,2,FALSE)</f>
        <v>0.24167918475059574</v>
      </c>
      <c r="J239">
        <f>($B$1+Table4[[#This Row],[Home Differential]])-Table4[[#This Row],[Away Differential]]</f>
        <v>-0.38967351917290621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0.53963885666480926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0.29121009562250255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-0.91735746943655616</v>
      </c>
      <c r="H240" t="s">
        <v>32</v>
      </c>
      <c r="I240">
        <f>VLOOKUP(Table4[[#This Row],[Visitor]],'NHL Model'!$A$6:$B$38,2,FALSE)</f>
        <v>-0.35878259596109546</v>
      </c>
      <c r="J240">
        <f>($B$1+Table4[[#This Row],[Home Differential]])-Table4[[#This Row],[Away Differential]]</f>
        <v>-0.48995005335515812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0.51374407786021237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0.2364448218160152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0.77383710114582016</v>
      </c>
      <c r="H241" t="s">
        <v>22</v>
      </c>
      <c r="I241">
        <f>VLOOKUP(Table4[[#This Row],[Visitor]],'NHL Model'!$A$6:$B$38,2,FALSE)</f>
        <v>0.44906822732121116</v>
      </c>
      <c r="J241">
        <f>($B$1+Table4[[#This Row],[Home Differential]])-Table4[[#This Row],[Away Differential]]</f>
        <v>0.39339369394491158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0.58042758802422989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0.17604100889116536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-0.12942754353881131</v>
      </c>
      <c r="H242" t="s">
        <v>21</v>
      </c>
      <c r="I242">
        <f>VLOOKUP(Table4[[#This Row],[Visitor]],'NHL Model'!$A$6:$B$38,2,FALSE)</f>
        <v>-6.6683170548020518E-2</v>
      </c>
      <c r="J242">
        <f>($B$1+Table4[[#This Row],[Home Differential]])-Table4[[#This Row],[Away Differential]]</f>
        <v>5.8804471295118149E-3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0.54314052293117931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0.29500162764995491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-0.41225364678728776</v>
      </c>
      <c r="H243" t="s">
        <v>28</v>
      </c>
      <c r="I243">
        <f>VLOOKUP(Table4[[#This Row],[Visitor]],'NHL Model'!$A$6:$B$38,2,FALSE)</f>
        <v>-0.16769781981623849</v>
      </c>
      <c r="J243">
        <f>($B$1+Table4[[#This Row],[Home Differential]])-Table4[[#This Row],[Away Differential]]</f>
        <v>-0.17593100685074664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0.47929839514347011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0.22972695158710602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0.21920515510044997</v>
      </c>
      <c r="H244" t="s">
        <v>31</v>
      </c>
      <c r="I244">
        <f>VLOOKUP(Table4[[#This Row],[Visitor]],'NHL Model'!$A$6:$B$38,2,FALSE)</f>
        <v>-4.3195749724159979E-4</v>
      </c>
      <c r="J244">
        <f>($B$1+Table4[[#This Row],[Home Differential]])-Table4[[#This Row],[Away Differential]]</f>
        <v>0.28826193271799422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0.57162030833559474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0.32674977690168039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-4.3195749724159979E-4</v>
      </c>
      <c r="H245" t="s">
        <v>40</v>
      </c>
      <c r="I245">
        <f>VLOOKUP(Table4[[#This Row],[Visitor]],'NHL Model'!$A$6:$B$38,2,FALSE)</f>
        <v>-5.9925012095478535E-2</v>
      </c>
      <c r="J245">
        <f>($B$1+Table4[[#This Row],[Home Differential]])-Table4[[#This Row],[Away Differential]]</f>
        <v>0.12811787471853953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0.59264572311728902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0.16593750689463635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0.92184375119443818</v>
      </c>
      <c r="H246" t="s">
        <v>32</v>
      </c>
      <c r="I246">
        <f>VLOOKUP(Table4[[#This Row],[Visitor]],'NHL Model'!$A$6:$B$38,2,FALSE)</f>
        <v>-0.35878259596109546</v>
      </c>
      <c r="J246">
        <f>($B$1+Table4[[#This Row],[Home Differential]])-Table4[[#This Row],[Away Differential]]</f>
        <v>1.3492511672758363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0.72659546412348819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7.475004023785084E-2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-8.7991118744577684E-2</v>
      </c>
      <c r="H247" t="s">
        <v>10</v>
      </c>
      <c r="I247">
        <f>VLOOKUP(Table4[[#This Row],[Visitor]],'NHL Model'!$A$6:$B$38,2,FALSE)</f>
        <v>-0.45443544272009573</v>
      </c>
      <c r="J247">
        <f>($B$1+Table4[[#This Row],[Home Differential]])-Table4[[#This Row],[Away Differential]]</f>
        <v>0.43506914409582065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0.62142217428904278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0.38616551869812149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0.65260146250136963</v>
      </c>
      <c r="H248" t="s">
        <v>16</v>
      </c>
      <c r="I248">
        <f>VLOOKUP(Table4[[#This Row],[Visitor]],'NHL Model'!$A$6:$B$38,2,FALSE)</f>
        <v>-0.31883717525004912</v>
      </c>
      <c r="J248">
        <f>($B$1+Table4[[#This Row],[Home Differential]])-Table4[[#This Row],[Away Differential]]</f>
        <v>1.0400634578717214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0.67637138958520682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0.10473547747900998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5.0237013717083105E-2</v>
      </c>
      <c r="H249" t="s">
        <v>55</v>
      </c>
      <c r="I249">
        <f>VLOOKUP(Table4[[#This Row],[Visitor]],'NHL Model'!$A$6:$B$38,2,FALSE)</f>
        <v>0.17839230571314843</v>
      </c>
      <c r="J249">
        <f>($B$1+Table4[[#This Row],[Home Differential]])-Table4[[#This Row],[Away Differential]]</f>
        <v>-5.9530471875762714E-2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0.46653007443031541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0.21765031034795565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-0.10173040746987846</v>
      </c>
      <c r="H250" t="s">
        <v>13</v>
      </c>
      <c r="I250">
        <f>VLOOKUP(Table4[[#This Row],[Visitor]],'NHL Model'!$A$6:$B$38,2,FALSE)</f>
        <v>3.852494182308655E-2</v>
      </c>
      <c r="J250">
        <f>($B$1+Table4[[#This Row],[Home Differential]])-Table4[[#This Row],[Away Differential]]</f>
        <v>-7.163052917266241E-2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0.50024769693027626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0.249752364423493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-0.12942754353881131</v>
      </c>
      <c r="H251" t="s">
        <v>25</v>
      </c>
      <c r="I251">
        <f>VLOOKUP(Table4[[#This Row],[Visitor]],'NHL Model'!$A$6:$B$38,2,FALSE)</f>
        <v>0.64590845617425174</v>
      </c>
      <c r="J251">
        <f>($B$1+Table4[[#This Row],[Home Differential]])-Table4[[#This Row],[Away Differential]]</f>
        <v>-0.70671117959276042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0.60590552965366862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0.15531045155755546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-0.41225364678728776</v>
      </c>
      <c r="H252" t="s">
        <v>12</v>
      </c>
      <c r="I252">
        <f>VLOOKUP(Table4[[#This Row],[Visitor]],'NHL Model'!$A$6:$B$38,2,FALSE)</f>
        <v>1.8165919516425306</v>
      </c>
      <c r="J252">
        <f>($B$1+Table4[[#This Row],[Home Differential]])-Table4[[#This Row],[Away Differential]]</f>
        <v>-2.1602207783095158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0.78317952640224764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4.7011117771153632E-2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0.16838500200194736</v>
      </c>
      <c r="H253" t="s">
        <v>28</v>
      </c>
      <c r="I253">
        <f>VLOOKUP(Table4[[#This Row],[Visitor]],'NHL Model'!$A$6:$B$38,2,FALSE)</f>
        <v>-0.16769781981623849</v>
      </c>
      <c r="J253">
        <f>($B$1+Table4[[#This Row],[Home Differential]])-Table4[[#This Row],[Away Differential]]</f>
        <v>0.40470764193848846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0.62043045070547909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0.14407304275164573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1.6161557760803764E-2</v>
      </c>
      <c r="H254" t="s">
        <v>30</v>
      </c>
      <c r="I254">
        <f>VLOOKUP(Table4[[#This Row],[Visitor]],'NHL Model'!$A$6:$B$38,2,FALSE)</f>
        <v>0.28840991013146466</v>
      </c>
      <c r="J254">
        <f>($B$1+Table4[[#This Row],[Home Differential]])-Table4[[#This Row],[Away Differential]]</f>
        <v>-0.20362353225035829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0.50310530134722875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0.24690434154922836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5.9615189993428262E-2</v>
      </c>
      <c r="H255" t="s">
        <v>29</v>
      </c>
      <c r="I255">
        <f>VLOOKUP(Table4[[#This Row],[Visitor]],'NHL Model'!$A$6:$B$38,2,FALSE)</f>
        <v>-0.30501317799182315</v>
      </c>
      <c r="J255">
        <f>($B$1+Table4[[#This Row],[Home Differential]])-Table4[[#This Row],[Away Differential]]</f>
        <v>0.43325318810555402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0.58752483016437462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0.17013576573092801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0.21920515510044997</v>
      </c>
      <c r="H256" t="s">
        <v>11</v>
      </c>
      <c r="I256">
        <f>VLOOKUP(Table4[[#This Row],[Visitor]],'NHL Model'!$A$6:$B$38,2,FALSE)</f>
        <v>0.24167918475059574</v>
      </c>
      <c r="J256">
        <f>($B$1+Table4[[#This Row],[Home Differential]])-Table4[[#This Row],[Away Differential]]</f>
        <v>4.6150790470156855E-2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0.50816800746436186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0.25823472381029972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-6.6683170548020518E-2</v>
      </c>
      <c r="H257" t="s">
        <v>19</v>
      </c>
      <c r="I257">
        <f>VLOOKUP(Table4[[#This Row],[Visitor]],'NHL Model'!$A$6:$B$38,2,FALSE)</f>
        <v>-0.12942754353881131</v>
      </c>
      <c r="J257">
        <f>($B$1+Table4[[#This Row],[Home Differential]])-Table4[[#This Row],[Away Differential]]</f>
        <v>0.13136919311109341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0.5684268978210627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0.18625534252435144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0.64590845617425174</v>
      </c>
      <c r="H258" t="s">
        <v>22</v>
      </c>
      <c r="I258">
        <f>VLOOKUP(Table4[[#This Row],[Visitor]],'NHL Model'!$A$6:$B$38,2,FALSE)</f>
        <v>0.44906822732121116</v>
      </c>
      <c r="J258">
        <f>($B$1+Table4[[#This Row],[Home Differential]])-Table4[[#This Row],[Away Differential]]</f>
        <v>0.26546504897334317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0.60757398294049791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0.36914614474618046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1.8165919516425306</v>
      </c>
      <c r="H259" t="s">
        <v>31</v>
      </c>
      <c r="I259">
        <f>VLOOKUP(Table4[[#This Row],[Visitor]],'NHL Model'!$A$6:$B$38,2,FALSE)</f>
        <v>-4.3195749724159979E-4</v>
      </c>
      <c r="J259">
        <f>($B$1+Table4[[#This Row],[Home Differential]])-Table4[[#This Row],[Away Differential]]</f>
        <v>1.8856487292600748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0.86582099790418843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1.8004004603427805E-2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0.65260146250136963</v>
      </c>
      <c r="H260" t="s">
        <v>33</v>
      </c>
      <c r="I260">
        <f>VLOOKUP(Table4[[#This Row],[Visitor]],'NHL Model'!$A$6:$B$38,2,FALSE)</f>
        <v>-0.21661915454261307</v>
      </c>
      <c r="J260">
        <f>($B$1+Table4[[#This Row],[Home Differential]])-Table4[[#This Row],[Away Differential]]</f>
        <v>0.93784543716428526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0.65793123377443896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0.43287350837595545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-6.5759726104743493E-3</v>
      </c>
      <c r="H261" t="s">
        <v>13</v>
      </c>
      <c r="I261">
        <f>VLOOKUP(Table4[[#This Row],[Visitor]],'NHL Model'!$A$6:$B$38,2,FALSE)</f>
        <v>3.852494182308655E-2</v>
      </c>
      <c r="J261">
        <f>($B$1+Table4[[#This Row],[Home Differential]])-Table4[[#This Row],[Away Differential]]</f>
        <v>2.3523905686741703E-2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0.5101900759014808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0.26029391354835874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5.0237013717083105E-2</v>
      </c>
      <c r="H262" t="s">
        <v>39</v>
      </c>
      <c r="I262">
        <f>VLOOKUP(Table4[[#This Row],[Visitor]],'NHL Model'!$A$6:$B$38,2,FALSE)</f>
        <v>0.92184375119443818</v>
      </c>
      <c r="J262">
        <f>($B$1+Table4[[#This Row],[Home Differential]])-Table4[[#This Row],[Away Differential]]</f>
        <v>-0.80298191735705249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0.63429996098854746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0.13373651853297791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-0.35878259596109546</v>
      </c>
      <c r="H263" t="s">
        <v>28</v>
      </c>
      <c r="I263">
        <f>VLOOKUP(Table4[[#This Row],[Visitor]],'NHL Model'!$A$6:$B$38,2,FALSE)</f>
        <v>-0.16769781981623849</v>
      </c>
      <c r="J263">
        <f>($B$1+Table4[[#This Row],[Home Differential]])-Table4[[#This Row],[Away Differential]]</f>
        <v>-0.12245995602455434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0.47343299662133315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0.27727280904718898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-0.91735746943655616</v>
      </c>
      <c r="H264" t="s">
        <v>16</v>
      </c>
      <c r="I264">
        <f>VLOOKUP(Table4[[#This Row],[Visitor]],'NHL Model'!$A$6:$B$38,2,FALSE)</f>
        <v>-0.31883717525004912</v>
      </c>
      <c r="J264">
        <f>($B$1+Table4[[#This Row],[Home Differential]])-Table4[[#This Row],[Away Differential]]</f>
        <v>-0.52989547406620452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0.51812580980646294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0.26845435478760299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-0.41225364678728776</v>
      </c>
      <c r="H265" t="s">
        <v>40</v>
      </c>
      <c r="I265">
        <f>VLOOKUP(Table4[[#This Row],[Visitor]],'NHL Model'!$A$6:$B$38,2,FALSE)</f>
        <v>-5.9925012095478535E-2</v>
      </c>
      <c r="J265">
        <f>($B$1+Table4[[#This Row],[Home Differential]])-Table4[[#This Row],[Away Differential]]</f>
        <v>-0.28370381457150662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0.4911203148058802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0.25895853400326641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-0.45443544272009573</v>
      </c>
      <c r="H266" t="s">
        <v>24</v>
      </c>
      <c r="I266">
        <f>VLOOKUP(Table4[[#This Row],[Visitor]],'NHL Model'!$A$6:$B$38,2,FALSE)</f>
        <v>1.6161557760803764E-2</v>
      </c>
      <c r="J266">
        <f>($B$1+Table4[[#This Row],[Home Differential]])-Table4[[#This Row],[Away Differential]]</f>
        <v>-0.4019721803605969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0.53767693903089719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0.21374261270384076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0.24261452474052697</v>
      </c>
      <c r="H267" t="s">
        <v>17</v>
      </c>
      <c r="I267">
        <f>VLOOKUP(Table4[[#This Row],[Visitor]],'NHL Model'!$A$6:$B$38,2,FALSE)</f>
        <v>0.16838500200194736</v>
      </c>
      <c r="J267">
        <f>($B$1+Table4[[#This Row],[Home Differential]])-Table4[[#This Row],[Away Differential]]</f>
        <v>0.14285434285888224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0.56022457298650929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0.3138515721779167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0.77383710114582016</v>
      </c>
      <c r="H268" t="s">
        <v>15</v>
      </c>
      <c r="I268">
        <f>VLOOKUP(Table4[[#This Row],[Visitor]],'NHL Model'!$A$6:$B$38,2,FALSE)</f>
        <v>5.9615189993428262E-2</v>
      </c>
      <c r="J268">
        <f>($B$1+Table4[[#This Row],[Home Differential]])-Table4[[#This Row],[Away Differential]]</f>
        <v>0.78284673127269444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0.56054445496838667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0.31421008599580569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0.17839230571314843</v>
      </c>
      <c r="H269" t="s">
        <v>23</v>
      </c>
      <c r="I269">
        <f>VLOOKUP(Table4[[#This Row],[Visitor]],'NHL Model'!$A$6:$B$38,2,FALSE)</f>
        <v>8.4418744674710666E-2</v>
      </c>
      <c r="J269">
        <f>($B$1+Table4[[#This Row],[Home Differential]])-Table4[[#This Row],[Away Differential]]</f>
        <v>0.16259838115874037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0.55783589979651516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0.19550909150875739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-0.16769781981623849</v>
      </c>
      <c r="H270" t="s">
        <v>17</v>
      </c>
      <c r="I270">
        <f>VLOOKUP(Table4[[#This Row],[Visitor]],'NHL Model'!$A$6:$B$38,2,FALSE)</f>
        <v>0.16838500200194736</v>
      </c>
      <c r="J270">
        <f>($B$1+Table4[[#This Row],[Home Differential]])-Table4[[#This Row],[Away Differential]]</f>
        <v>-0.26745800169788325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0.48933826329674496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0.23945193592627451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-0.31883717525004912</v>
      </c>
      <c r="H271" t="s">
        <v>33</v>
      </c>
      <c r="I271">
        <f>VLOOKUP(Table4[[#This Row],[Visitor]],'NHL Model'!$A$6:$B$38,2,FALSE)</f>
        <v>-0.21661915454261307</v>
      </c>
      <c r="J271">
        <f>($B$1+Table4[[#This Row],[Home Differential]])-Table4[[#This Row],[Away Differential]]</f>
        <v>-3.3593200587133415E-2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0.44034261997788454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0.19390162296898764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1.8165919516425306</v>
      </c>
      <c r="H272" t="s">
        <v>23</v>
      </c>
      <c r="I272">
        <f>VLOOKUP(Table4[[#This Row],[Visitor]],'NHL Model'!$A$6:$B$38,2,FALSE)</f>
        <v>8.4418744674710666E-2</v>
      </c>
      <c r="J272">
        <f>($B$1+Table4[[#This Row],[Home Differential]])-Table4[[#This Row],[Away Differential]]</f>
        <v>1.8007980270881225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0.85651347214152163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2.0588383676881889E-2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-8.7991118744577684E-2</v>
      </c>
      <c r="H273" t="s">
        <v>31</v>
      </c>
      <c r="I273">
        <f>VLOOKUP(Table4[[#This Row],[Visitor]],'NHL Model'!$A$6:$B$38,2,FALSE)</f>
        <v>-4.3195749724159979E-4</v>
      </c>
      <c r="J273">
        <f>($B$1+Table4[[#This Row],[Home Differential]])-Table4[[#This Row],[Away Differential]]</f>
        <v>-1.8934341127033481E-2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0.42837881765194125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0.18350841141287513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0.24167918475059574</v>
      </c>
      <c r="H274" t="s">
        <v>22</v>
      </c>
      <c r="I274">
        <f>VLOOKUP(Table4[[#This Row],[Visitor]],'NHL Model'!$A$6:$B$38,2,FALSE)</f>
        <v>0.44906822732121116</v>
      </c>
      <c r="J274">
        <f>($B$1+Table4[[#This Row],[Home Differential]])-Table4[[#This Row],[Away Differential]]</f>
        <v>-0.13876422245031278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0.47116859663824756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0.22199984645805562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-6.5759726104743493E-3</v>
      </c>
      <c r="H275" t="s">
        <v>39</v>
      </c>
      <c r="I275">
        <f>VLOOKUP(Table4[[#This Row],[Visitor]],'NHL Model'!$A$6:$B$38,2,FALSE)</f>
        <v>0.92184375119443818</v>
      </c>
      <c r="J275">
        <f>($B$1+Table4[[#This Row],[Home Differential]])-Table4[[#This Row],[Away Differential]]</f>
        <v>-0.85979490368460998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0.64053194635062694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0.12921728159446855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5.0237013717083105E-2</v>
      </c>
      <c r="H276" t="s">
        <v>21</v>
      </c>
      <c r="I276">
        <f>VLOOKUP(Table4[[#This Row],[Visitor]],'NHL Model'!$A$6:$B$38,2,FALSE)</f>
        <v>-6.6683170548020518E-2</v>
      </c>
      <c r="J276">
        <f>($B$1+Table4[[#This Row],[Home Differential]])-Table4[[#This Row],[Away Differential]]</f>
        <v>0.18554500438540622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0.56035298311322812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0.19328949945743748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-0.35878259596109546</v>
      </c>
      <c r="H277" t="s">
        <v>40</v>
      </c>
      <c r="I277">
        <f>VLOOKUP(Table4[[#This Row],[Visitor]],'NHL Model'!$A$6:$B$38,2,FALSE)</f>
        <v>-5.9925012095478535E-2</v>
      </c>
      <c r="J277">
        <f>($B$1+Table4[[#This Row],[Home Differential]])-Table4[[#This Row],[Away Differential]]</f>
        <v>-0.23023276374531429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0.48525491628374329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0.2354723337775427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-0.12942754353881131</v>
      </c>
      <c r="H278" t="s">
        <v>13</v>
      </c>
      <c r="I278">
        <f>VLOOKUP(Table4[[#This Row],[Visitor]],'NHL Model'!$A$6:$B$38,2,FALSE)</f>
        <v>3.852494182308655E-2</v>
      </c>
      <c r="J278">
        <f>($B$1+Table4[[#This Row],[Home Differential]])-Table4[[#This Row],[Away Differential]]</f>
        <v>-9.9327665241595253E-2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0.5007740893885454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0.24922650982583605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0.21920515510044997</v>
      </c>
      <c r="H279" t="s">
        <v>30</v>
      </c>
      <c r="I279">
        <f>VLOOKUP(Table4[[#This Row],[Visitor]],'NHL Model'!$A$6:$B$38,2,FALSE)</f>
        <v>0.28840991013146466</v>
      </c>
      <c r="J279">
        <f>($B$1+Table4[[#This Row],[Home Differential]])-Table4[[#This Row],[Away Differential]]</f>
        <v>-5.7993491071206549E-4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0.48083284555359851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0.26953453425597368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0.64590845617425174</v>
      </c>
      <c r="H280" t="s">
        <v>38</v>
      </c>
      <c r="I280">
        <f>VLOOKUP(Table4[[#This Row],[Visitor]],'NHL Model'!$A$6:$B$38,2,FALSE)</f>
        <v>-0.41225364678728776</v>
      </c>
      <c r="J280">
        <f>($B$1+Table4[[#This Row],[Home Differential]])-Table4[[#This Row],[Away Differential]]</f>
        <v>1.1267869230818421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0.6673268430100433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0.11067142938166437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-0.30501317799182315</v>
      </c>
      <c r="H281" t="s">
        <v>14</v>
      </c>
      <c r="I281">
        <f>VLOOKUP(Table4[[#This Row],[Visitor]],'NHL Model'!$A$6:$B$38,2,FALSE)</f>
        <v>-0.10173040746987846</v>
      </c>
      <c r="J281">
        <f>($B$1+Table4[[#This Row],[Home Differential]])-Table4[[#This Row],[Away Differential]]</f>
        <v>-0.13465795040164208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0.48206075051252761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0.23238256718470141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-0.91735746943655616</v>
      </c>
      <c r="H282" t="s">
        <v>27</v>
      </c>
      <c r="I282">
        <f>VLOOKUP(Table4[[#This Row],[Visitor]],'NHL Model'!$A$6:$B$38,2,FALSE)</f>
        <v>0.24261452474052697</v>
      </c>
      <c r="J282">
        <f>($B$1+Table4[[#This Row],[Home Differential]])-Table4[[#This Row],[Away Differential]]</f>
        <v>-1.0913471740567806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0.58537085740385209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0.17191732589001676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0.17839230571314843</v>
      </c>
      <c r="H283" t="s">
        <v>30</v>
      </c>
      <c r="I283">
        <f>VLOOKUP(Table4[[#This Row],[Visitor]],'NHL Model'!$A$6:$B$38,2,FALSE)</f>
        <v>0.28840991013146466</v>
      </c>
      <c r="J283">
        <f>($B$1+Table4[[#This Row],[Home Differential]])-Table4[[#This Row],[Away Differential]]</f>
        <v>-4.139278429801363E-2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0.48530972833001135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0.26490607575172664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0.64590845617425174</v>
      </c>
      <c r="H284" t="s">
        <v>17</v>
      </c>
      <c r="I284">
        <f>VLOOKUP(Table4[[#This Row],[Visitor]],'NHL Model'!$A$6:$B$38,2,FALSE)</f>
        <v>0.16838500200194736</v>
      </c>
      <c r="J284">
        <f>($B$1+Table4[[#This Row],[Home Differential]])-Table4[[#This Row],[Away Differential]]</f>
        <v>0.54614827429260693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0.64549421336468182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0.41666277948728936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-0.16769781981623849</v>
      </c>
      <c r="H285" t="s">
        <v>15</v>
      </c>
      <c r="I285">
        <f>VLOOKUP(Table4[[#This Row],[Visitor]],'NHL Model'!$A$6:$B$38,2,FALSE)</f>
        <v>5.9615189993428262E-2</v>
      </c>
      <c r="J285">
        <f>($B$1+Table4[[#This Row],[Home Differential]])-Table4[[#This Row],[Away Differential]]</f>
        <v>-0.15868818968936416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0.54730856897491753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0.20492953172353701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-0.31883717525004912</v>
      </c>
      <c r="H286" t="s">
        <v>40</v>
      </c>
      <c r="I286">
        <f>VLOOKUP(Table4[[#This Row],[Visitor]],'NHL Model'!$A$6:$B$38,2,FALSE)</f>
        <v>-5.9925012095478535E-2</v>
      </c>
      <c r="J286">
        <f>($B$1+Table4[[#This Row],[Home Differential]])-Table4[[#This Row],[Away Differential]]</f>
        <v>-0.19028734303426795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0.4503337652503559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0.30213296962385089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-0.45443544272009573</v>
      </c>
      <c r="H287" t="s">
        <v>19</v>
      </c>
      <c r="I287">
        <f>VLOOKUP(Table4[[#This Row],[Visitor]],'NHL Model'!$A$6:$B$38,2,FALSE)</f>
        <v>-0.12942754353881131</v>
      </c>
      <c r="J287">
        <f>($B$1+Table4[[#This Row],[Home Differential]])-Table4[[#This Row],[Away Differential]]</f>
        <v>-0.25638307906098184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0.48812342210953114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0.23826447521191951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0.92184375119443818</v>
      </c>
      <c r="H288" t="s">
        <v>27</v>
      </c>
      <c r="I288">
        <f>VLOOKUP(Table4[[#This Row],[Visitor]],'NHL Model'!$A$6:$B$38,2,FALSE)</f>
        <v>0.24261452474052697</v>
      </c>
      <c r="J288">
        <f>($B$1+Table4[[#This Row],[Home Differential]])-Table4[[#This Row],[Away Differential]]</f>
        <v>0.74785404657421384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0.65506804143023567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0.11897805604277362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-8.7991118744577684E-2</v>
      </c>
      <c r="H289" t="s">
        <v>23</v>
      </c>
      <c r="I289">
        <f>VLOOKUP(Table4[[#This Row],[Visitor]],'NHL Model'!$A$6:$B$38,2,FALSE)</f>
        <v>8.4418744674710666E-2</v>
      </c>
      <c r="J289">
        <f>($B$1+Table4[[#This Row],[Home Differential]])-Table4[[#This Row],[Away Differential]]</f>
        <v>-0.10378504329898575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0.43768634341460805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0.31619664838243405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0.24167918475059574</v>
      </c>
      <c r="H290" t="s">
        <v>37</v>
      </c>
      <c r="I290">
        <f>VLOOKUP(Table4[[#This Row],[Visitor]],'NHL Model'!$A$6:$B$38,2,FALSE)</f>
        <v>0.77383710114582016</v>
      </c>
      <c r="J290">
        <f>($B$1+Table4[[#This Row],[Home Differential]])-Table4[[#This Row],[Away Differential]]</f>
        <v>-0.46353309627492179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0.57035351016492131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0.18459610622760439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0.65260146250136963</v>
      </c>
      <c r="H291" t="s">
        <v>31</v>
      </c>
      <c r="I291">
        <f>VLOOKUP(Table4[[#This Row],[Visitor]],'NHL Model'!$A$6:$B$38,2,FALSE)</f>
        <v>-4.3195749724159979E-4</v>
      </c>
      <c r="J291">
        <f>($B$1+Table4[[#This Row],[Home Differential]])-Table4[[#This Row],[Away Differential]]</f>
        <v>0.72165824011891377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0.64144457470515981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0.12856199300836371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-6.5759726104743493E-3</v>
      </c>
      <c r="H292" t="s">
        <v>21</v>
      </c>
      <c r="I292">
        <f>VLOOKUP(Table4[[#This Row],[Visitor]],'NHL Model'!$A$6:$B$38,2,FALSE)</f>
        <v>-6.6683170548020518E-2</v>
      </c>
      <c r="J292">
        <f>($B$1+Table4[[#This Row],[Home Differential]])-Table4[[#This Row],[Away Differential]]</f>
        <v>0.12873201805784878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0.55412099775114854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0.30705008014872837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5.0237013717083105E-2</v>
      </c>
      <c r="H293" t="s">
        <v>13</v>
      </c>
      <c r="I293">
        <f>VLOOKUP(Table4[[#This Row],[Visitor]],'NHL Model'!$A$6:$B$38,2,FALSE)</f>
        <v>3.852494182308655E-2</v>
      </c>
      <c r="J293">
        <f>($B$1+Table4[[#This Row],[Home Differential]])-Table4[[#This Row],[Away Differential]]</f>
        <v>8.0336892014299166E-2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0.51642206126356027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0.26669174535970441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-0.35878259596109546</v>
      </c>
      <c r="H294" t="s">
        <v>33</v>
      </c>
      <c r="I294">
        <f>VLOOKUP(Table4[[#This Row],[Visitor]],'NHL Model'!$A$6:$B$38,2,FALSE)</f>
        <v>-0.21661915454261307</v>
      </c>
      <c r="J294">
        <f>($B$1+Table4[[#This Row],[Home Differential]])-Table4[[#This Row],[Away Differential]]</f>
        <v>-7.3538621298179757E-2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0.47535638960960241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0.22596369714267614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-0.91735746943655616</v>
      </c>
      <c r="H295" t="s">
        <v>20</v>
      </c>
      <c r="I295">
        <f>VLOOKUP(Table4[[#This Row],[Visitor]],'NHL Model'!$A$6:$B$38,2,FALSE)</f>
        <v>0.21920515510044997</v>
      </c>
      <c r="J295">
        <f>($B$1+Table4[[#This Row],[Home Differential]])-Table4[[#This Row],[Away Differential]]</f>
        <v>-1.0679378044167036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0.59791450326669182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0.1616727466832712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0.44906822732121116</v>
      </c>
      <c r="H296" t="s">
        <v>24</v>
      </c>
      <c r="I296">
        <f>VLOOKUP(Table4[[#This Row],[Visitor]],'NHL Model'!$A$6:$B$38,2,FALSE)</f>
        <v>1.6161557760803764E-2</v>
      </c>
      <c r="J296">
        <f>($B$1+Table4[[#This Row],[Home Differential]])-Table4[[#This Row],[Away Differential]]</f>
        <v>0.50153148968071004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0.56601692502745682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0.32037515941753769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1.8165919516425306</v>
      </c>
      <c r="H297" t="s">
        <v>30</v>
      </c>
      <c r="I297">
        <f>VLOOKUP(Table4[[#This Row],[Visitor]],'NHL Model'!$A$6:$B$38,2,FALSE)</f>
        <v>0.28840991013146466</v>
      </c>
      <c r="J297">
        <f>($B$1+Table4[[#This Row],[Home Differential]])-Table4[[#This Row],[Away Differential]]</f>
        <v>1.5968068616313684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0.81515849158817977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3.4166383231957011E-2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0.65260146250136963</v>
      </c>
      <c r="H298" t="s">
        <v>20</v>
      </c>
      <c r="I298">
        <f>VLOOKUP(Table4[[#This Row],[Visitor]],'NHL Model'!$A$6:$B$38,2,FALSE)</f>
        <v>0.21920515510044997</v>
      </c>
      <c r="J298">
        <f>($B$1+Table4[[#This Row],[Home Differential]])-Table4[[#This Row],[Away Differential]]</f>
        <v>0.5020211275212223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0.59673485653665392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0.16262277593251309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5.9615189993428262E-2</v>
      </c>
      <c r="H299" t="s">
        <v>26</v>
      </c>
      <c r="I299">
        <f>VLOOKUP(Table4[[#This Row],[Visitor]],'NHL Model'!$A$6:$B$38,2,FALSE)</f>
        <v>-8.7991118744577684E-2</v>
      </c>
      <c r="J299">
        <f>($B$1+Table4[[#This Row],[Home Differential]])-Table4[[#This Row],[Away Differential]]</f>
        <v>0.21623112885830856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0.53013561973214407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0.28104377530878444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-0.10173040746987846</v>
      </c>
      <c r="H300" t="s">
        <v>29</v>
      </c>
      <c r="I300">
        <f>VLOOKUP(Table4[[#This Row],[Visitor]],'NHL Model'!$A$6:$B$38,2,FALSE)</f>
        <v>-0.30501317799182315</v>
      </c>
      <c r="J300">
        <f>($B$1+Table4[[#This Row],[Home Differential]])-Table4[[#This Row],[Away Differential]]</f>
        <v>0.27190759064224729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0.56982635193564646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0.18504936748899431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0.77383710114582016</v>
      </c>
      <c r="H301" t="s">
        <v>38</v>
      </c>
      <c r="I301">
        <f>VLOOKUP(Table4[[#This Row],[Visitor]],'NHL Model'!$A$6:$B$38,2,FALSE)</f>
        <v>-0.41225364678728776</v>
      </c>
      <c r="J301">
        <f>($B$1+Table4[[#This Row],[Home Differential]])-Table4[[#This Row],[Away Differential]]</f>
        <v>1.2547155680534106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0.63970816943435171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0.40922654204104925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-4.3195749724159979E-4</v>
      </c>
      <c r="H302" t="s">
        <v>55</v>
      </c>
      <c r="I302">
        <f>VLOOKUP(Table4[[#This Row],[Visitor]],'NHL Model'!$A$6:$B$38,2,FALSE)</f>
        <v>0.17839230571314843</v>
      </c>
      <c r="J302">
        <f>($B$1+Table4[[#This Row],[Home Differential]])-Table4[[#This Row],[Away Differential]]</f>
        <v>-0.11019944309008743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0.43349601193516007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0.18791879236368844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-6.6683170548020518E-2</v>
      </c>
      <c r="H303" t="s">
        <v>25</v>
      </c>
      <c r="I303">
        <f>VLOOKUP(Table4[[#This Row],[Visitor]],'NHL Model'!$A$6:$B$38,2,FALSE)</f>
        <v>0.64590845617425174</v>
      </c>
      <c r="J303">
        <f>($B$1+Table4[[#This Row],[Home Differential]])-Table4[[#This Row],[Away Differential]]</f>
        <v>-0.6439668066019697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0.58741715686981477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0.17022460244538704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8.4418744674710666E-2</v>
      </c>
      <c r="H304" t="s">
        <v>17</v>
      </c>
      <c r="I304">
        <f>VLOOKUP(Table4[[#This Row],[Visitor]],'NHL Model'!$A$6:$B$38,2,FALSE)</f>
        <v>0.16838500200194736</v>
      </c>
      <c r="J304">
        <f>($B$1+Table4[[#This Row],[Home Differential]])-Table4[[#This Row],[Away Differential]]</f>
        <v>-1.5341437206934094E-2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0.42309075527902257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0.17900578720257376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-0.16769781981623849</v>
      </c>
      <c r="H305" t="s">
        <v>18</v>
      </c>
      <c r="I305">
        <f>VLOOKUP(Table4[[#This Row],[Visitor]],'NHL Model'!$A$6:$B$38,2,FALSE)</f>
        <v>-6.5759726104743493E-3</v>
      </c>
      <c r="J305">
        <f>($B$1+Table4[[#This Row],[Home Differential]])-Table4[[#This Row],[Away Differential]]</f>
        <v>-9.2497027085461536E-2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0.51724566535390748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0.26754307832740643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0.24167918475059574</v>
      </c>
      <c r="H306" t="s">
        <v>38</v>
      </c>
      <c r="I306">
        <f>VLOOKUP(Table4[[#This Row],[Visitor]],'NHL Model'!$A$6:$B$38,2,FALSE)</f>
        <v>-0.41225364678728776</v>
      </c>
      <c r="J306">
        <f>($B$1+Table4[[#This Row],[Home Differential]])-Table4[[#This Row],[Away Differential]]</f>
        <v>0.7225576516581862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0.58815629395944768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0.16961523820521687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0.44906822732121116</v>
      </c>
      <c r="H307" t="s">
        <v>13</v>
      </c>
      <c r="I307">
        <f>VLOOKUP(Table4[[#This Row],[Visitor]],'NHL Model'!$A$6:$B$38,2,FALSE)</f>
        <v>3.852494182308655E-2</v>
      </c>
      <c r="J307">
        <f>($B$1+Table4[[#This Row],[Home Differential]])-Table4[[#This Row],[Away Differential]]</f>
        <v>0.47916810561842726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0.56475649591196397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0.18943690785083223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-0.45443544272009573</v>
      </c>
      <c r="H308" t="s">
        <v>16</v>
      </c>
      <c r="I308">
        <f>VLOOKUP(Table4[[#This Row],[Visitor]],'NHL Model'!$A$6:$B$38,2,FALSE)</f>
        <v>-0.31883717525004912</v>
      </c>
      <c r="J308">
        <f>($B$1+Table4[[#This Row],[Home Differential]])-Table4[[#This Row],[Away Differential]]</f>
        <v>-6.6973447349744031E-2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0.46734651653629339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0.21841276651860794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0.92184375119443818</v>
      </c>
      <c r="H309" t="s">
        <v>30</v>
      </c>
      <c r="I309">
        <f>VLOOKUP(Table4[[#This Row],[Visitor]],'NHL Model'!$A$6:$B$38,2,FALSE)</f>
        <v>0.28840991013146466</v>
      </c>
      <c r="J309">
        <f>($B$1+Table4[[#This Row],[Home Differential]])-Table4[[#This Row],[Away Differential]]</f>
        <v>0.70205866118327609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0.63515043648621428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0.40341607696862852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-8.7991118744577684E-2</v>
      </c>
      <c r="H310" t="s">
        <v>32</v>
      </c>
      <c r="I310">
        <f>VLOOKUP(Table4[[#This Row],[Visitor]],'NHL Model'!$A$6:$B$38,2,FALSE)</f>
        <v>-0.35878259596109546</v>
      </c>
      <c r="J310">
        <f>($B$1+Table4[[#This Row],[Home Differential]])-Table4[[#This Row],[Away Differential]]</f>
        <v>0.33941629733682038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0.61092972917435628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0.15137567564033974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-0.21661915454261307</v>
      </c>
      <c r="H311" t="s">
        <v>55</v>
      </c>
      <c r="I311">
        <f>VLOOKUP(Table4[[#This Row],[Visitor]],'NHL Model'!$A$6:$B$38,2,FALSE)</f>
        <v>0.17839230571314843</v>
      </c>
      <c r="J311">
        <f>($B$1+Table4[[#This Row],[Home Differential]])-Table4[[#This Row],[Away Differential]]</f>
        <v>-0.32638664013545893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0.4958023208281146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0.24581994133854468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0.77383710114582016</v>
      </c>
      <c r="H312" t="s">
        <v>24</v>
      </c>
      <c r="I312">
        <f>VLOOKUP(Table4[[#This Row],[Visitor]],'NHL Model'!$A$6:$B$38,2,FALSE)</f>
        <v>1.6161557760803764E-2</v>
      </c>
      <c r="J312">
        <f>($B$1+Table4[[#This Row],[Home Differential]])-Table4[[#This Row],[Away Differential]]</f>
        <v>0.82630036350531899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0.60164178825969095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0.1586892648609369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-0.12942754353881131</v>
      </c>
      <c r="H313" t="s">
        <v>35</v>
      </c>
      <c r="I313">
        <f>VLOOKUP(Table4[[#This Row],[Visitor]],'NHL Model'!$A$6:$B$38,2,FALSE)</f>
        <v>-0.91735746943655616</v>
      </c>
      <c r="J313">
        <f>($B$1+Table4[[#This Row],[Home Differential]])-Table4[[#This Row],[Away Differential]]</f>
        <v>0.85655474601804749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0.63645351563332764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0.13216604629536716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0.21920515510044997</v>
      </c>
      <c r="H314" t="s">
        <v>15</v>
      </c>
      <c r="I314">
        <f>VLOOKUP(Table4[[#This Row],[Visitor]],'NHL Model'!$A$6:$B$38,2,FALSE)</f>
        <v>5.9615189993428262E-2</v>
      </c>
      <c r="J314">
        <f>($B$1+Table4[[#This Row],[Home Differential]])-Table4[[#This Row],[Away Differential]]</f>
        <v>0.22821478522732433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0.49513196851635449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0.2548917292141713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-5.9925012095478535E-2</v>
      </c>
      <c r="H315" t="s">
        <v>28</v>
      </c>
      <c r="I315">
        <f>VLOOKUP(Table4[[#This Row],[Visitor]],'NHL Model'!$A$6:$B$38,2,FALSE)</f>
        <v>-0.16769781981623849</v>
      </c>
      <c r="J315">
        <f>($B$1+Table4[[#This Row],[Home Differential]])-Table4[[#This Row],[Away Differential]]</f>
        <v>0.17639762784106255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0.55934958018705361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0.19417279248132591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-4.3195749724159979E-4</v>
      </c>
      <c r="H316" t="s">
        <v>21</v>
      </c>
      <c r="I316">
        <f>VLOOKUP(Table4[[#This Row],[Visitor]],'NHL Model'!$A$6:$B$38,2,FALSE)</f>
        <v>-6.6683170548020518E-2</v>
      </c>
      <c r="J316">
        <f>($B$1+Table4[[#This Row],[Home Differential]])-Table4[[#This Row],[Away Differential]]</f>
        <v>0.13487603317108152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0.5933870456083834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0.16533409467907889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8.4418744674710666E-2</v>
      </c>
      <c r="H317" t="s">
        <v>16</v>
      </c>
      <c r="I317">
        <f>VLOOKUP(Table4[[#This Row],[Visitor]],'NHL Model'!$A$6:$B$38,2,FALSE)</f>
        <v>-0.31883717525004912</v>
      </c>
      <c r="J317">
        <f>($B$1+Table4[[#This Row],[Home Differential]])-Table4[[#This Row],[Away Differential]]</f>
        <v>0.47188074004506242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0.63035409374209206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0.39734628349741419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0.65260146250136963</v>
      </c>
      <c r="H318" t="s">
        <v>25</v>
      </c>
      <c r="I318">
        <f>VLOOKUP(Table4[[#This Row],[Visitor]],'NHL Model'!$A$6:$B$38,2,FALSE)</f>
        <v>0.64590845617425174</v>
      </c>
      <c r="J318">
        <f>($B$1+Table4[[#This Row],[Home Differential]])-Table4[[#This Row],[Away Differential]]</f>
        <v>7.5317826447420466E-2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0.4998584749408802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0.25014154508846215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0.44906822732121116</v>
      </c>
      <c r="H319" t="s">
        <v>17</v>
      </c>
      <c r="I319">
        <f>VLOOKUP(Table4[[#This Row],[Visitor]],'NHL Model'!$A$6:$B$38,2,FALSE)</f>
        <v>0.16838500200194736</v>
      </c>
      <c r="J319">
        <f>($B$1+Table4[[#This Row],[Home Differential]])-Table4[[#This Row],[Away Differential]]</f>
        <v>0.34930804543956639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0.58287109336147969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0.1739965247534474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-4.3195749724159979E-4</v>
      </c>
      <c r="H320" t="s">
        <v>36</v>
      </c>
      <c r="I320">
        <f>VLOOKUP(Table4[[#This Row],[Visitor]],'NHL Model'!$A$6:$B$38,2,FALSE)</f>
        <v>5.0237013717083105E-2</v>
      </c>
      <c r="J320">
        <f>($B$1+Table4[[#This Row],[Home Differential]])-Table4[[#This Row],[Away Differential]]</f>
        <v>1.7955848905977893E-2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0.56010916532878496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0.31372227708530814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-0.45443544272009573</v>
      </c>
      <c r="H321" t="s">
        <v>32</v>
      </c>
      <c r="I321">
        <f>VLOOKUP(Table4[[#This Row],[Visitor]],'NHL Model'!$A$6:$B$38,2,FALSE)</f>
        <v>-0.35878259596109546</v>
      </c>
      <c r="J321">
        <f>($B$1+Table4[[#This Row],[Home Differential]])-Table4[[#This Row],[Away Differential]]</f>
        <v>-2.7028026638697689E-2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0.46296478459004292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0.28840682259041905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1.8165919516425306</v>
      </c>
      <c r="H322" t="s">
        <v>15</v>
      </c>
      <c r="I322">
        <f>VLOOKUP(Table4[[#This Row],[Visitor]],'NHL Model'!$A$6:$B$38,2,FALSE)</f>
        <v>5.9615189993428262E-2</v>
      </c>
      <c r="J322">
        <f>($B$1+Table4[[#This Row],[Home Differential]])-Table4[[#This Row],[Away Differential]]</f>
        <v>1.8256015817694049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0.79380405169044521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4.251676909927659E-2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-8.7991118744577684E-2</v>
      </c>
      <c r="H323" t="s">
        <v>30</v>
      </c>
      <c r="I323">
        <f>VLOOKUP(Table4[[#This Row],[Visitor]],'NHL Model'!$A$6:$B$38,2,FALSE)</f>
        <v>0.28840991013146466</v>
      </c>
      <c r="J323">
        <f>($B$1+Table4[[#This Row],[Home Differential]])-Table4[[#This Row],[Away Differential]]</f>
        <v>-0.30777620875573974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0.48056939792388204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0.26980815037315836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0.24167918475059574</v>
      </c>
      <c r="H324" t="s">
        <v>24</v>
      </c>
      <c r="I324">
        <f>VLOOKUP(Table4[[#This Row],[Visitor]],'NHL Model'!$A$6:$B$38,2,FALSE)</f>
        <v>1.6161557760803764E-2</v>
      </c>
      <c r="J324">
        <f>($B$1+Table4[[#This Row],[Home Differential]])-Table4[[#This Row],[Away Differential]]</f>
        <v>0.29414244711009463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0.55008506593961914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0.20242344789055686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-6.5759726104743493E-3</v>
      </c>
      <c r="H325" t="s">
        <v>22</v>
      </c>
      <c r="I325">
        <f>VLOOKUP(Table4[[#This Row],[Visitor]],'NHL Model'!$A$6:$B$38,2,FALSE)</f>
        <v>0.44906822732121116</v>
      </c>
      <c r="J325">
        <f>($B$1+Table4[[#This Row],[Home Differential]])-Table4[[#This Row],[Away Differential]]</f>
        <v>-0.3870193798113829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0.50974302591638398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0.24035190063762335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0.24261452474052697</v>
      </c>
      <c r="H326" t="s">
        <v>35</v>
      </c>
      <c r="I326">
        <f>VLOOKUP(Table4[[#This Row],[Visitor]],'NHL Model'!$A$6:$B$38,2,FALSE)</f>
        <v>-0.91735746943655616</v>
      </c>
      <c r="J326">
        <f>($B$1+Table4[[#This Row],[Home Differential]])-Table4[[#This Row],[Away Differential]]</f>
        <v>1.2285968142973858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0.67932289233873033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0.10283380737799754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-0.21661915454261307</v>
      </c>
      <c r="H327" t="s">
        <v>13</v>
      </c>
      <c r="I327">
        <f>VLOOKUP(Table4[[#This Row],[Visitor]],'NHL Model'!$A$6:$B$38,2,FALSE)</f>
        <v>3.852494182308655E-2</v>
      </c>
      <c r="J327">
        <f>($B$1+Table4[[#This Row],[Home Differential]])-Table4[[#This Row],[Away Differential]]</f>
        <v>-0.18651927624539702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0.51285018513423908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0.26301531239222331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0.77383710114582016</v>
      </c>
      <c r="H328" t="s">
        <v>17</v>
      </c>
      <c r="I328">
        <f>VLOOKUP(Table4[[#This Row],[Visitor]],'NHL Model'!$A$6:$B$38,2,FALSE)</f>
        <v>0.16838500200194736</v>
      </c>
      <c r="J328">
        <f>($B$1+Table4[[#This Row],[Home Differential]])-Table4[[#This Row],[Away Differential]]</f>
        <v>0.67407691926417534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0.6184959565937137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0.14554533513534557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-0.12942754353881131</v>
      </c>
      <c r="H329" t="s">
        <v>28</v>
      </c>
      <c r="I329">
        <f>VLOOKUP(Table4[[#This Row],[Visitor]],'NHL Model'!$A$6:$B$38,2,FALSE)</f>
        <v>-0.16769781981623849</v>
      </c>
      <c r="J329">
        <f>($B$1+Table4[[#This Row],[Home Differential]])-Table4[[#This Row],[Away Differential]]</f>
        <v>0.10689509639772979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0.55422112010249502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0.30716104996766419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0.17839230571314843</v>
      </c>
      <c r="H330" t="s">
        <v>20</v>
      </c>
      <c r="I330">
        <f>VLOOKUP(Table4[[#This Row],[Visitor]],'NHL Model'!$A$6:$B$38,2,FALSE)</f>
        <v>0.21920515510044997</v>
      </c>
      <c r="J330">
        <f>($B$1+Table4[[#This Row],[Home Differential]])-Table4[[#This Row],[Away Differential]]</f>
        <v>2.7811970733001068E-2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0.52228154697899998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0.27277801431477738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-0.41225364678728776</v>
      </c>
      <c r="H331" t="s">
        <v>39</v>
      </c>
      <c r="I331">
        <f>VLOOKUP(Table4[[#This Row],[Visitor]],'NHL Model'!$A$6:$B$38,2,FALSE)</f>
        <v>0.92184375119443818</v>
      </c>
      <c r="J331">
        <f>($B$1+Table4[[#This Row],[Home Differential]])-Table4[[#This Row],[Away Differential]]</f>
        <v>-1.2654725778614233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0.68503193641656135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9.9204881077501056E-2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8.4418744674710666E-2</v>
      </c>
      <c r="H332" t="s">
        <v>10</v>
      </c>
      <c r="I332">
        <f>VLOOKUP(Table4[[#This Row],[Visitor]],'NHL Model'!$A$6:$B$38,2,FALSE)</f>
        <v>-0.45443544272009573</v>
      </c>
      <c r="J332">
        <f>($B$1+Table4[[#This Row],[Home Differential]])-Table4[[#This Row],[Away Differential]]</f>
        <v>0.60747900751510897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0.64522827080302891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0.12586297983740899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3.852494182308655E-2</v>
      </c>
      <c r="H333" t="s">
        <v>21</v>
      </c>
      <c r="I333">
        <f>VLOOKUP(Table4[[#This Row],[Visitor]],'NHL Model'!$A$6:$B$38,2,FALSE)</f>
        <v>-6.6683170548020518E-2</v>
      </c>
      <c r="J333">
        <f>($B$1+Table4[[#This Row],[Home Differential]])-Table4[[#This Row],[Away Differential]]</f>
        <v>0.17383293249140969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0.55906825112990677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0.31255730942145249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-0.10173040746987846</v>
      </c>
      <c r="H334" t="s">
        <v>34</v>
      </c>
      <c r="I334">
        <f>VLOOKUP(Table4[[#This Row],[Visitor]],'NHL Model'!$A$6:$B$38,2,FALSE)</f>
        <v>0.65260146250136963</v>
      </c>
      <c r="J334">
        <f>($B$1+Table4[[#This Row],[Home Differential]])-Table4[[#This Row],[Away Differential]]</f>
        <v>-0.68570704985094544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0.60610527563393923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0.15515305388341499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-5.9925012095478535E-2</v>
      </c>
      <c r="H335" t="s">
        <v>25</v>
      </c>
      <c r="I335">
        <f>VLOOKUP(Table4[[#This Row],[Visitor]],'NHL Model'!$A$6:$B$38,2,FALSE)</f>
        <v>0.64590845617425174</v>
      </c>
      <c r="J335">
        <f>($B$1+Table4[[#This Row],[Home Differential]])-Table4[[#This Row],[Away Differential]]</f>
        <v>-0.63720864814942768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0.60078534177681853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0.1593723433402516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-4.3195749724159979E-4</v>
      </c>
      <c r="H336" t="s">
        <v>20</v>
      </c>
      <c r="I336">
        <f>VLOOKUP(Table4[[#This Row],[Visitor]],'NHL Model'!$A$6:$B$38,2,FALSE)</f>
        <v>0.21920515510044997</v>
      </c>
      <c r="J336">
        <f>($B$1+Table4[[#This Row],[Home Differential]])-Table4[[#This Row],[Away Differential]]</f>
        <v>-0.15101229247738895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0.45842545240258675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0.21015389541051632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-0.31883717525004912</v>
      </c>
      <c r="H337" t="s">
        <v>39</v>
      </c>
      <c r="I337">
        <f>VLOOKUP(Table4[[#This Row],[Visitor]],'NHL Model'!$A$6:$B$38,2,FALSE)</f>
        <v>0.92184375119443818</v>
      </c>
      <c r="J337">
        <f>($B$1+Table4[[#This Row],[Home Differential]])-Table4[[#This Row],[Away Differential]]</f>
        <v>-1.1720561063241846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0.64398482075585906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0.41471644936395591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-8.7991118744577684E-2</v>
      </c>
      <c r="H338" t="s">
        <v>28</v>
      </c>
      <c r="I338">
        <f>VLOOKUP(Table4[[#This Row],[Visitor]],'NHL Model'!$A$6:$B$38,2,FALSE)</f>
        <v>-0.16769781981623849</v>
      </c>
      <c r="J338">
        <f>($B$1+Table4[[#This Row],[Home Differential]])-Table4[[#This Row],[Away Differential]]</f>
        <v>0.14833152119196341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0.58996907202837967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0.1681253618932681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0.24167918475059574</v>
      </c>
      <c r="H339" t="s">
        <v>17</v>
      </c>
      <c r="I339">
        <f>VLOOKUP(Table4[[#This Row],[Visitor]],'NHL Model'!$A$6:$B$38,2,FALSE)</f>
        <v>0.16838500200194736</v>
      </c>
      <c r="J339">
        <f>($B$1+Table4[[#This Row],[Home Differential]])-Table4[[#This Row],[Away Differential]]</f>
        <v>0.14191900286895101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0.5668821907689986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0.32135541821105934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-6.5759726104743493E-3</v>
      </c>
      <c r="H340" t="s">
        <v>19</v>
      </c>
      <c r="I340">
        <f>VLOOKUP(Table4[[#This Row],[Visitor]],'NHL Model'!$A$6:$B$38,2,FALSE)</f>
        <v>-0.12942754353881131</v>
      </c>
      <c r="J340">
        <f>($B$1+Table4[[#This Row],[Home Differential]])-Table4[[#This Row],[Away Differential]]</f>
        <v>0.19147639104863956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0.56100361454895276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0.19271782643908444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-0.30501317799182315</v>
      </c>
      <c r="H341" t="s">
        <v>12</v>
      </c>
      <c r="I341">
        <f>VLOOKUP(Table4[[#This Row],[Visitor]],'NHL Model'!$A$6:$B$38,2,FALSE)</f>
        <v>1.8165919516425306</v>
      </c>
      <c r="J341">
        <f>($B$1+Table4[[#This Row],[Home Differential]])-Table4[[#This Row],[Away Differential]]</f>
        <v>-2.0529803095140511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0.77141600057907311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5.2250644791266301E-2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0.28840991013146466</v>
      </c>
      <c r="H342" t="s">
        <v>35</v>
      </c>
      <c r="I342">
        <f>VLOOKUP(Table4[[#This Row],[Visitor]],'NHL Model'!$A$6:$B$38,2,FALSE)</f>
        <v>-0.91735746943655616</v>
      </c>
      <c r="J342">
        <f>($B$1+Table4[[#This Row],[Home Differential]])-Table4[[#This Row],[Away Differential]]</f>
        <v>1.2743921996883234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0.69380848935437445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0.48137021990019913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0.24261452474052697</v>
      </c>
      <c r="H343" t="s">
        <v>24</v>
      </c>
      <c r="I343">
        <f>VLOOKUP(Table4[[#This Row],[Visitor]],'NHL Model'!$A$6:$B$38,2,FALSE)</f>
        <v>1.6161557760803764E-2</v>
      </c>
      <c r="J343">
        <f>($B$1+Table4[[#This Row],[Home Differential]])-Table4[[#This Row],[Away Differential]]</f>
        <v>0.29507778710002586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0.54337040465248643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0.20851058734723399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-0.10173040746987846</v>
      </c>
      <c r="H344" t="s">
        <v>32</v>
      </c>
      <c r="I344">
        <f>VLOOKUP(Table4[[#This Row],[Visitor]],'NHL Model'!$A$6:$B$38,2,FALSE)</f>
        <v>-0.35878259596109546</v>
      </c>
      <c r="J344">
        <f>($B$1+Table4[[#This Row],[Home Differential]])-Table4[[#This Row],[Away Differential]]</f>
        <v>0.3256770086115196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0.57572447923668402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0.33145867599235102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-0.21661915454261307</v>
      </c>
      <c r="H345" t="s">
        <v>36</v>
      </c>
      <c r="I345">
        <f>VLOOKUP(Table4[[#This Row],[Visitor]],'NHL Model'!$A$6:$B$38,2,FALSE)</f>
        <v>5.0237013717083105E-2</v>
      </c>
      <c r="J345">
        <f>($B$1+Table4[[#This Row],[Home Differential]])-Table4[[#This Row],[Away Differential]]</f>
        <v>-0.19823134813939358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0.50251381664238637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0.24749250263172518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0.17839230571314843</v>
      </c>
      <c r="H346" t="s">
        <v>15</v>
      </c>
      <c r="I346">
        <f>VLOOKUP(Table4[[#This Row],[Visitor]],'NHL Model'!$A$6:$B$38,2,FALSE)</f>
        <v>5.9615189993428262E-2</v>
      </c>
      <c r="J346">
        <f>($B$1+Table4[[#This Row],[Home Differential]])-Table4[[#This Row],[Away Differential]]</f>
        <v>0.18740193584002277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0.49065508573994165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0.25943224168258616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0.44906822732121116</v>
      </c>
      <c r="H347" t="s">
        <v>37</v>
      </c>
      <c r="I347">
        <f>VLOOKUP(Table4[[#This Row],[Visitor]],'NHL Model'!$A$6:$B$38,2,FALSE)</f>
        <v>0.77383710114582016</v>
      </c>
      <c r="J347">
        <f>($B$1+Table4[[#This Row],[Home Differential]])-Table4[[#This Row],[Away Differential]]</f>
        <v>-0.25614405370430637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0.55441299218127471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0.19854778153684474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8.4418744674710666E-2</v>
      </c>
      <c r="H348" t="s">
        <v>25</v>
      </c>
      <c r="I348">
        <f>VLOOKUP(Table4[[#This Row],[Visitor]],'NHL Model'!$A$6:$B$38,2,FALSE)</f>
        <v>0.64590845617425174</v>
      </c>
      <c r="J348">
        <f>($B$1+Table4[[#This Row],[Home Differential]])-Table4[[#This Row],[Away Differential]]</f>
        <v>-0.4928648913792385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0.545828520990563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0.29792877432674547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-0.45443544272009573</v>
      </c>
      <c r="H349" t="s">
        <v>12</v>
      </c>
      <c r="I349">
        <f>VLOOKUP(Table4[[#This Row],[Visitor]],'NHL Model'!$A$6:$B$38,2,FALSE)</f>
        <v>1.8165919516425306</v>
      </c>
      <c r="J349">
        <f>($B$1+Table4[[#This Row],[Home Differential]])-Table4[[#This Row],[Away Differential]]</f>
        <v>-2.2024025742423237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0.78780657299479717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4.502605046421234E-2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0.28840991013146466</v>
      </c>
      <c r="H350" t="s">
        <v>32</v>
      </c>
      <c r="I350">
        <f>VLOOKUP(Table4[[#This Row],[Visitor]],'NHL Model'!$A$6:$B$38,2,FALSE)</f>
        <v>-0.35878259596109546</v>
      </c>
      <c r="J350">
        <f>($B$1+Table4[[#This Row],[Home Differential]])-Table4[[#This Row],[Away Differential]]</f>
        <v>0.71581732621286265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0.63253675096951856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0.13502923938803763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-0.21661915454261307</v>
      </c>
      <c r="H351" t="s">
        <v>21</v>
      </c>
      <c r="I351">
        <f>VLOOKUP(Table4[[#This Row],[Visitor]],'NHL Model'!$A$6:$B$38,2,FALSE)</f>
        <v>-6.6683170548020518E-2</v>
      </c>
      <c r="J351">
        <f>($B$1+Table4[[#This Row],[Home Differential]])-Table4[[#This Row],[Away Differential]]</f>
        <v>-8.1311163874289952E-2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0.46891926328457118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0.21988527547934497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-0.41225364678728776</v>
      </c>
      <c r="H352" t="s">
        <v>16</v>
      </c>
      <c r="I352">
        <f>VLOOKUP(Table4[[#This Row],[Visitor]],'NHL Model'!$A$6:$B$38,2,FALSE)</f>
        <v>-0.31883717525004912</v>
      </c>
      <c r="J352">
        <f>($B$1+Table4[[#This Row],[Home Differential]])-Table4[[#This Row],[Away Differential]]</f>
        <v>-2.4791651416936011E-2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0.46271946994374386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0.28867036797753159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-5.9925012095478535E-2</v>
      </c>
      <c r="H353" t="s">
        <v>34</v>
      </c>
      <c r="I353">
        <f>VLOOKUP(Table4[[#This Row],[Visitor]],'NHL Model'!$A$6:$B$38,2,FALSE)</f>
        <v>0.65260146250136963</v>
      </c>
      <c r="J353">
        <f>($B$1+Table4[[#This Row],[Home Differential]])-Table4[[#This Row],[Away Differential]]</f>
        <v>-0.64390165447654557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0.60151951753759292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0.15878669490347272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3.852494182308655E-2</v>
      </c>
      <c r="H354" t="s">
        <v>36</v>
      </c>
      <c r="I354">
        <f>VLOOKUP(Table4[[#This Row],[Visitor]],'NHL Model'!$A$6:$B$38,2,FALSE)</f>
        <v>5.0237013717083105E-2</v>
      </c>
      <c r="J354">
        <f>($B$1+Table4[[#This Row],[Home Differential]])-Table4[[#This Row],[Away Differential]]</f>
        <v>5.6912748226306049E-2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0.52547369777209152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0.22517521150609235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1.6161557760803764E-2</v>
      </c>
      <c r="H355" t="s">
        <v>26</v>
      </c>
      <c r="I355">
        <f>VLOOKUP(Table4[[#This Row],[Visitor]],'NHL Model'!$A$6:$B$38,2,FALSE)</f>
        <v>-8.7991118744577684E-2</v>
      </c>
      <c r="J355">
        <f>($B$1+Table4[[#This Row],[Home Differential]])-Table4[[#This Row],[Away Differential]]</f>
        <v>0.17277749662568403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0.52536906163499386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0.22527452765324626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-0.30501317799182315</v>
      </c>
      <c r="H356" t="s">
        <v>11</v>
      </c>
      <c r="I356">
        <f>VLOOKUP(Table4[[#This Row],[Visitor]],'NHL Model'!$A$6:$B$38,2,FALSE)</f>
        <v>0.24167918475059574</v>
      </c>
      <c r="J356">
        <f>($B$1+Table4[[#This Row],[Home Differential]])-Table4[[#This Row],[Away Differential]]</f>
        <v>-0.47806754262211626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0.54933505987184938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0.20309888826070957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5.9615189993428262E-2</v>
      </c>
      <c r="H357" t="s">
        <v>35</v>
      </c>
      <c r="I357">
        <f>VLOOKUP(Table4[[#This Row],[Visitor]],'NHL Model'!$A$6:$B$38,2,FALSE)</f>
        <v>-0.91735746943655616</v>
      </c>
      <c r="J357">
        <f>($B$1+Table4[[#This Row],[Home Differential]])-Table4[[#This Row],[Away Differential]]</f>
        <v>1.0455974795502869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0.65469469585026807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0.11923575307393887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0.77383710114582016</v>
      </c>
      <c r="H358" t="s">
        <v>27</v>
      </c>
      <c r="I358">
        <f>VLOOKUP(Table4[[#This Row],[Visitor]],'NHL Model'!$A$6:$B$38,2,FALSE)</f>
        <v>0.24261452474052697</v>
      </c>
      <c r="J358">
        <f>($B$1+Table4[[#This Row],[Home Differential]])-Table4[[#This Row],[Away Differential]]</f>
        <v>0.59984739652559571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0.60470394326729482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0.15625897246842607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0.17839230571314843</v>
      </c>
      <c r="H359" t="s">
        <v>20</v>
      </c>
      <c r="I359">
        <f>VLOOKUP(Table4[[#This Row],[Visitor]],'NHL Model'!$A$6:$B$38,2,FALSE)</f>
        <v>0.21920515510044997</v>
      </c>
      <c r="J359">
        <f>($B$1+Table4[[#This Row],[Home Differential]])-Table4[[#This Row],[Away Differential]]</f>
        <v>2.7811970733001068E-2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0.52228154697899998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0.2282149203567774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0.44906822732121116</v>
      </c>
      <c r="H360" t="s">
        <v>28</v>
      </c>
      <c r="I360">
        <f>VLOOKUP(Table4[[#This Row],[Visitor]],'NHL Model'!$A$6:$B$38,2,FALSE)</f>
        <v>-0.16769781981623849</v>
      </c>
      <c r="J360">
        <f>($B$1+Table4[[#This Row],[Home Differential]])-Table4[[#This Row],[Away Differential]]</f>
        <v>0.68539086725775222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0.61973701718286811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0.14459993610098235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0.16838500200194736</v>
      </c>
      <c r="H361" t="s">
        <v>39</v>
      </c>
      <c r="I361">
        <f>VLOOKUP(Table4[[#This Row],[Visitor]],'NHL Model'!$A$6:$B$38,2,FALSE)</f>
        <v>0.92184375119443818</v>
      </c>
      <c r="J361">
        <f>($B$1+Table4[[#This Row],[Home Differential]])-Table4[[#This Row],[Away Differential]]</f>
        <v>-0.68483392907218821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0.58492539110072872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0.172286930952883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-4.3195749724159979E-4</v>
      </c>
      <c r="H362" t="s">
        <v>38</v>
      </c>
      <c r="I362">
        <f>VLOOKUP(Table4[[#This Row],[Visitor]],'NHL Model'!$A$6:$B$38,2,FALSE)</f>
        <v>-0.41225364678728776</v>
      </c>
      <c r="J362">
        <f>($B$1+Table4[[#This Row],[Home Differential]])-Table4[[#This Row],[Away Differential]]</f>
        <v>0.48044650941034878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0.5892869717267365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0.34725913504686756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0.64590845617425174</v>
      </c>
      <c r="H363" t="s">
        <v>15</v>
      </c>
      <c r="I363">
        <f>VLOOKUP(Table4[[#This Row],[Visitor]],'NHL Model'!$A$6:$B$38,2,FALSE)</f>
        <v>5.9615189993428262E-2</v>
      </c>
      <c r="J363">
        <f>($B$1+Table4[[#This Row],[Home Differential]])-Table4[[#This Row],[Away Differential]]</f>
        <v>0.65491808630112602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0.58824751111484641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0.34603513433281136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-0.16769781981623849</v>
      </c>
      <c r="H364" t="s">
        <v>19</v>
      </c>
      <c r="I364">
        <f>VLOOKUP(Table4[[#This Row],[Visitor]],'NHL Model'!$A$6:$B$38,2,FALSE)</f>
        <v>-0.12942754353881131</v>
      </c>
      <c r="J364">
        <f>($B$1+Table4[[#This Row],[Home Differential]])-Table4[[#This Row],[Away Differential]]</f>
        <v>3.035454384287542E-2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0.54332968015113203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0.29520714133313142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-0.45443544272009573</v>
      </c>
      <c r="H365" t="s">
        <v>34</v>
      </c>
      <c r="I365">
        <f>VLOOKUP(Table4[[#This Row],[Visitor]],'NHL Model'!$A$6:$B$38,2,FALSE)</f>
        <v>0.65260146250136963</v>
      </c>
      <c r="J365">
        <f>($B$1+Table4[[#This Row],[Home Differential]])-Table4[[#This Row],[Away Differential]]</f>
        <v>-1.0384120851011627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0.64479453946066612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0.12617091919696027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1.8165919516425306</v>
      </c>
      <c r="H366" t="s">
        <v>33</v>
      </c>
      <c r="I366">
        <f>VLOOKUP(Table4[[#This Row],[Visitor]],'NHL Model'!$A$6:$B$38,2,FALSE)</f>
        <v>-0.21661915454261307</v>
      </c>
      <c r="J366">
        <f>($B$1+Table4[[#This Row],[Home Differential]])-Table4[[#This Row],[Away Differential]]</f>
        <v>2.1018359263054465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0.88291714604782134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1.3708394689587197E-2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-8.7991118744577684E-2</v>
      </c>
      <c r="H367" t="s">
        <v>29</v>
      </c>
      <c r="I367">
        <f>VLOOKUP(Table4[[#This Row],[Visitor]],'NHL Model'!$A$6:$B$38,2,FALSE)</f>
        <v>-0.30501317799182315</v>
      </c>
      <c r="J367">
        <f>($B$1+Table4[[#This Row],[Home Differential]])-Table4[[#This Row],[Away Differential]]</f>
        <v>0.28564687936754807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0.60503160187331873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0.36606323926539408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0.24167918475059574</v>
      </c>
      <c r="H368" t="s">
        <v>27</v>
      </c>
      <c r="I368">
        <f>VLOOKUP(Table4[[#This Row],[Visitor]],'NHL Model'!$A$6:$B$38,2,FALSE)</f>
        <v>0.24261452474052697</v>
      </c>
      <c r="J368">
        <f>($B$1+Table4[[#This Row],[Home Differential]])-Table4[[#This Row],[Away Differential]]</f>
        <v>6.7689480130371404E-2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0.55310407264627848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0.30592411517789969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1.6161557760803764E-2</v>
      </c>
      <c r="H369" t="s">
        <v>35</v>
      </c>
      <c r="I369">
        <f>VLOOKUP(Table4[[#This Row],[Visitor]],'NHL Model'!$A$6:$B$38,2,FALSE)</f>
        <v>-0.91735746943655616</v>
      </c>
      <c r="J369">
        <f>($B$1+Table4[[#This Row],[Home Differential]])-Table4[[#This Row],[Away Differential]]</f>
        <v>1.0021438473176625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0.64992813775311786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0.12255030873700003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0.28840991013146466</v>
      </c>
      <c r="H370" t="s">
        <v>21</v>
      </c>
      <c r="I370">
        <f>VLOOKUP(Table4[[#This Row],[Visitor]],'NHL Model'!$A$6:$B$38,2,FALSE)</f>
        <v>-6.6683170548020518E-2</v>
      </c>
      <c r="J370">
        <f>($B$1+Table4[[#This Row],[Home Differential]])-Table4[[#This Row],[Away Differential]]</f>
        <v>0.42371790079978777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0.60049549665222612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0.36059484149960369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-0.10173040746987846</v>
      </c>
      <c r="H371" t="s">
        <v>23</v>
      </c>
      <c r="I371">
        <f>VLOOKUP(Table4[[#This Row],[Visitor]],'NHL Model'!$A$6:$B$38,2,FALSE)</f>
        <v>8.4418744674710666E-2</v>
      </c>
      <c r="J371">
        <f>($B$1+Table4[[#This Row],[Home Differential]])-Table4[[#This Row],[Away Differential]]</f>
        <v>-0.11752433202428653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0.47289159335228026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0.2236264590632584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-0.35878259596109546</v>
      </c>
      <c r="H372" t="s">
        <v>39</v>
      </c>
      <c r="I372">
        <f>VLOOKUP(Table4[[#This Row],[Visitor]],'NHL Model'!$A$6:$B$38,2,FALSE)</f>
        <v>0.92184375119443818</v>
      </c>
      <c r="J372">
        <f>($B$1+Table4[[#This Row],[Home Differential]])-Table4[[#This Row],[Away Differential]]</f>
        <v>-1.2120015270352309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0.67916653789442427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0.1029341104066499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0.77383710114582016</v>
      </c>
      <c r="H373" t="s">
        <v>16</v>
      </c>
      <c r="I373">
        <f>VLOOKUP(Table4[[#This Row],[Visitor]],'NHL Model'!$A$6:$B$38,2,FALSE)</f>
        <v>-0.31883717525004912</v>
      </c>
      <c r="J373">
        <f>($B$1+Table4[[#This Row],[Home Differential]])-Table4[[#This Row],[Away Differential]]</f>
        <v>1.1612990965161718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0.67194080561482838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0.10762283502064782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0.17839230571314843</v>
      </c>
      <c r="H374" t="s">
        <v>18</v>
      </c>
      <c r="I374">
        <f>VLOOKUP(Table4[[#This Row],[Visitor]],'NHL Model'!$A$6:$B$38,2,FALSE)</f>
        <v>-6.5759726104743493E-3</v>
      </c>
      <c r="J374">
        <f>($B$1+Table4[[#This Row],[Home Differential]])-Table4[[#This Row],[Away Differential]]</f>
        <v>0.25359309844392536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0.52071798936095171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0.27114722444411221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0.21920515510044997</v>
      </c>
      <c r="H375" t="s">
        <v>36</v>
      </c>
      <c r="I375">
        <f>VLOOKUP(Table4[[#This Row],[Visitor]],'NHL Model'!$A$6:$B$38,2,FALSE)</f>
        <v>5.0237013717083105E-2</v>
      </c>
      <c r="J375">
        <f>($B$1+Table4[[#This Row],[Home Differential]])-Table4[[#This Row],[Away Differential]]</f>
        <v>0.23759296150366949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0.54529304748678453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0.29734450763742465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0.44906822732121116</v>
      </c>
      <c r="H376" t="s">
        <v>40</v>
      </c>
      <c r="I376">
        <f>VLOOKUP(Table4[[#This Row],[Visitor]],'NHL Model'!$A$6:$B$38,2,FALSE)</f>
        <v>-5.9925012095478535E-2</v>
      </c>
      <c r="J376">
        <f>($B$1+Table4[[#This Row],[Home Differential]])-Table4[[#This Row],[Away Differential]]</f>
        <v>0.5776180595369923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0.60791509752045803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0.15373057075239194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-4.3195749724159979E-4</v>
      </c>
      <c r="H377" t="s">
        <v>13</v>
      </c>
      <c r="I377">
        <f>VLOOKUP(Table4[[#This Row],[Visitor]],'NHL Model'!$A$6:$B$38,2,FALSE)</f>
        <v>3.852494182308655E-2</v>
      </c>
      <c r="J377">
        <f>($B$1+Table4[[#This Row],[Home Differential]])-Table4[[#This Row],[Away Differential]]</f>
        <v>2.9667920799974448E-2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0.5498921064630925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0.20259711582423207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-6.6683170548020518E-2</v>
      </c>
      <c r="H378" t="s">
        <v>15</v>
      </c>
      <c r="I378">
        <f>VLOOKUP(Table4[[#This Row],[Visitor]],'NHL Model'!$A$6:$B$38,2,FALSE)</f>
        <v>5.9615189993428262E-2</v>
      </c>
      <c r="J378">
        <f>($B$1+Table4[[#This Row],[Home Differential]])-Table4[[#This Row],[Away Differential]]</f>
        <v>-5.7673540421146176E-2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0.5221158557830432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0.22837325529397315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8.4418744674710666E-2</v>
      </c>
      <c r="H379" t="s">
        <v>24</v>
      </c>
      <c r="I379">
        <f>VLOOKUP(Table4[[#This Row],[Visitor]],'NHL Model'!$A$6:$B$38,2,FALSE)</f>
        <v>1.6161557760803764E-2</v>
      </c>
      <c r="J379">
        <f>($B$1+Table4[[#This Row],[Home Differential]])-Table4[[#This Row],[Away Differential]]</f>
        <v>0.1368820070342095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0.56046953972453484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0.31412610495903193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0.64590845617425174</v>
      </c>
      <c r="H380" t="s">
        <v>40</v>
      </c>
      <c r="I380">
        <f>VLOOKUP(Table4[[#This Row],[Visitor]],'NHL Model'!$A$6:$B$38,2,FALSE)</f>
        <v>-5.9925012095478535E-2</v>
      </c>
      <c r="J380">
        <f>($B$1+Table4[[#This Row],[Home Differential]])-Table4[[#This Row],[Away Differential]]</f>
        <v>0.77445828839003283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0.67053821752366016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0.10854506611248707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-0.16769781981623849</v>
      </c>
      <c r="H381" t="s">
        <v>14</v>
      </c>
      <c r="I381">
        <f>VLOOKUP(Table4[[#This Row],[Visitor]],'NHL Model'!$A$6:$B$38,2,FALSE)</f>
        <v>-0.10173040746987846</v>
      </c>
      <c r="J381">
        <f>($B$1+Table4[[#This Row],[Home Differential]])-Table4[[#This Row],[Away Differential]]</f>
        <v>2.6574077739425772E-3</v>
      </c>
      <c r="K381" t="str">
        <f>IF(Table4[[#This Row],[HomeIce Differential]]&gt;0,Table4[[#This Row],[Home]],Table4[[#This Row],[Visitor]])</f>
        <v>Columbus Blue Jackets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0.53300177933241155</v>
      </c>
      <c r="M381" t="str">
        <f>IF(OR((NHL2025_26Results[[#This Row],[Winning Team]]="")),"-",IF(Table4[[#This Row],[Predicted Winner]]=NHL2025_26Results[[#This Row],[Winning Team]],"YES","NO"))</f>
        <v>NO</v>
      </c>
      <c r="N381">
        <f>IF(Table4[[#This Row],[Adjusted Correct]]="-", "",IF(Table4[[#This Row],[Adjusted Correct]]="YES",(Table4[[#This Row],[Strength of Win]]-1)^2,(Table4[[#This Row],[Strength of Win]]-0)^2))</f>
        <v>0.28409089677151672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-0.45443544272009573</v>
      </c>
      <c r="H382" t="s">
        <v>29</v>
      </c>
      <c r="I382">
        <f>VLOOKUP(Table4[[#This Row],[Visitor]],'NHL Model'!$A$6:$B$38,2,FALSE)</f>
        <v>-0.30501317799182315</v>
      </c>
      <c r="J382">
        <f>($B$1+Table4[[#This Row],[Home Differential]])-Table4[[#This Row],[Away Differential]]</f>
        <v>-8.0797444607970004E-2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0.46886291189108048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0.2821066063648221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0.92184375119443818</v>
      </c>
      <c r="H383" t="s">
        <v>55</v>
      </c>
      <c r="I383">
        <f>VLOOKUP(Table4[[#This Row],[Visitor]],'NHL Model'!$A$6:$B$38,2,FALSE)</f>
        <v>0.17839230571314843</v>
      </c>
      <c r="J383">
        <f>($B$1+Table4[[#This Row],[Home Differential]])-Table4[[#This Row],[Away Differential]]</f>
        <v>0.8120762656015923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0.66767115226265228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0.11044246303843325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-8.7991118744577684E-2</v>
      </c>
      <c r="H384" t="s">
        <v>37</v>
      </c>
      <c r="I384">
        <f>VLOOKUP(Table4[[#This Row],[Visitor]],'NHL Model'!$A$6:$B$38,2,FALSE)</f>
        <v>0.77383710114582016</v>
      </c>
      <c r="J384">
        <f>($B$1+Table4[[#This Row],[Home Differential]])-Table4[[#This Row],[Away Differential]]</f>
        <v>-0.79320339977009524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0.58378303247860208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0.1732365640527084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0.24167918475059574</v>
      </c>
      <c r="H385" t="s">
        <v>16</v>
      </c>
      <c r="I385">
        <f>VLOOKUP(Table4[[#This Row],[Visitor]],'NHL Model'!$A$6:$B$38,2,FALSE)</f>
        <v>-0.31883717525004912</v>
      </c>
      <c r="J385">
        <f>($B$1+Table4[[#This Row],[Home Differential]])-Table4[[#This Row],[Away Differential]]</f>
        <v>0.62914118012094744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0.62032703979011328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0.38480563629476477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0.65260146250136963</v>
      </c>
      <c r="H386" t="s">
        <v>12</v>
      </c>
      <c r="I386">
        <f>VLOOKUP(Table4[[#This Row],[Visitor]],'NHL Model'!$A$6:$B$38,2,FALSE)</f>
        <v>1.8165919516425306</v>
      </c>
      <c r="J386">
        <f>($B$1+Table4[[#This Row],[Home Differential]])-Table4[[#This Row],[Away Differential]]</f>
        <v>-1.0953656690208584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0.64396344031208419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0.4146889124585752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0.28840991013146466</v>
      </c>
      <c r="H387" t="s">
        <v>27</v>
      </c>
      <c r="I387">
        <f>VLOOKUP(Table4[[#This Row],[Visitor]],'NHL Model'!$A$6:$B$38,2,FALSE)</f>
        <v>0.24261452474052697</v>
      </c>
      <c r="J387">
        <f>($B$1+Table4[[#This Row],[Home Differential]])-Table4[[#This Row],[Away Differential]]</f>
        <v>0.11442020551124027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0.56093818926141081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0.31465165217187036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-0.21661915454261307</v>
      </c>
      <c r="H388" t="s">
        <v>38</v>
      </c>
      <c r="I388">
        <f>VLOOKUP(Table4[[#This Row],[Visitor]],'NHL Model'!$A$6:$B$38,2,FALSE)</f>
        <v>-0.41225364678728776</v>
      </c>
      <c r="J388">
        <f>($B$1+Table4[[#This Row],[Home Differential]])-Table4[[#This Row],[Away Differential]]</f>
        <v>0.26425931236497729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0.52647482674078794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0.2242260897101668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-0.91735746943655616</v>
      </c>
      <c r="H389" t="s">
        <v>36</v>
      </c>
      <c r="I389">
        <f>VLOOKUP(Table4[[#This Row],[Visitor]],'NHL Model'!$A$6:$B$38,2,FALSE)</f>
        <v>5.0237013717083105E-2</v>
      </c>
      <c r="J389">
        <f>($B$1+Table4[[#This Row],[Home Differential]])-Table4[[#This Row],[Away Differential]]</f>
        <v>-0.8989696630333367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0.57937988553532005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0.33568105176292057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0.21920515510044997</v>
      </c>
      <c r="H390" t="s">
        <v>18</v>
      </c>
      <c r="I390">
        <f>VLOOKUP(Table4[[#This Row],[Visitor]],'NHL Model'!$A$6:$B$38,2,FALSE)</f>
        <v>-6.5759726104743493E-3</v>
      </c>
      <c r="J390">
        <f>($B$1+Table4[[#This Row],[Home Differential]])-Table4[[#This Row],[Away Differential]]</f>
        <v>0.29440594783122692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0.5251948721373646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0.27582965371938273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0.44906822732121116</v>
      </c>
      <c r="H391" t="s">
        <v>19</v>
      </c>
      <c r="I391">
        <f>VLOOKUP(Table4[[#This Row],[Visitor]],'NHL Model'!$A$6:$B$38,2,FALSE)</f>
        <v>-0.12942754353881131</v>
      </c>
      <c r="J391">
        <f>($B$1+Table4[[#This Row],[Home Differential]])-Table4[[#This Row],[Away Differential]]</f>
        <v>0.64712059098032504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0.61553903680935662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0.14781023221747724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-6.6683170548020518E-2</v>
      </c>
      <c r="H392" t="s">
        <v>26</v>
      </c>
      <c r="I392">
        <f>VLOOKUP(Table4[[#This Row],[Visitor]],'NHL Model'!$A$6:$B$38,2,FALSE)</f>
        <v>-8.7991118744577684E-2</v>
      </c>
      <c r="J392">
        <f>($B$1+Table4[[#This Row],[Home Differential]])-Table4[[#This Row],[Away Differential]]</f>
        <v>8.9932768316859771E-2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0.53041293791138311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0.22051200888101855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1.8165919516425306</v>
      </c>
      <c r="H393" t="s">
        <v>18</v>
      </c>
      <c r="I393">
        <f>VLOOKUP(Table4[[#This Row],[Visitor]],'NHL Model'!$A$6:$B$38,2,FALSE)</f>
        <v>-6.5759726104743493E-3</v>
      </c>
      <c r="J393">
        <f>($B$1+Table4[[#This Row],[Home Differential]])-Table4[[#This Row],[Away Differential]]</f>
        <v>1.8917927443733076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0.82290098537525758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3.136406098105473E-2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3.852494182308655E-2</v>
      </c>
      <c r="H394" t="s">
        <v>38</v>
      </c>
      <c r="I394">
        <f>VLOOKUP(Table4[[#This Row],[Visitor]],'NHL Model'!$A$6:$B$38,2,FALSE)</f>
        <v>-0.41225364678728776</v>
      </c>
      <c r="J394">
        <f>($B$1+Table4[[#This Row],[Home Differential]])-Table4[[#This Row],[Away Differential]]</f>
        <v>0.51940340873067692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0.55446234115526583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0.19850380544884674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0.65260146250136963</v>
      </c>
      <c r="H395" t="s">
        <v>23</v>
      </c>
      <c r="I395">
        <f>VLOOKUP(Table4[[#This Row],[Visitor]],'NHL Model'!$A$6:$B$38,2,FALSE)</f>
        <v>8.4418744674710666E-2</v>
      </c>
      <c r="J395">
        <f>($B$1+Table4[[#This Row],[Home Differential]])-Table4[[#This Row],[Away Differential]]</f>
        <v>0.63680753794696154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0.63213704894249301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0.39959724864572382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1.6161557760803764E-2</v>
      </c>
      <c r="H396" t="s">
        <v>27</v>
      </c>
      <c r="I396">
        <f>VLOOKUP(Table4[[#This Row],[Visitor]],'NHL Model'!$A$6:$B$38,2,FALSE)</f>
        <v>0.24261452474052697</v>
      </c>
      <c r="J396">
        <f>($B$1+Table4[[#This Row],[Home Differential]])-Table4[[#This Row],[Away Differential]]</f>
        <v>-0.15782814685942059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0.48297038017537774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0.26731962777599344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-0.30501317799182315</v>
      </c>
      <c r="H397" t="s">
        <v>40</v>
      </c>
      <c r="I397">
        <f>VLOOKUP(Table4[[#This Row],[Visitor]],'NHL Model'!$A$6:$B$38,2,FALSE)</f>
        <v>-5.9925012095478535E-2</v>
      </c>
      <c r="J397">
        <f>($B$1+Table4[[#This Row],[Home Differential]])-Table4[[#This Row],[Away Differential]]</f>
        <v>-0.176463345776042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0.47935678898270567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0.27106935317839881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5.9615189993428262E-2</v>
      </c>
      <c r="H398" t="s">
        <v>37</v>
      </c>
      <c r="I398">
        <f>VLOOKUP(Table4[[#This Row],[Visitor]],'NHL Model'!$A$6:$B$38,2,FALSE)</f>
        <v>0.77383710114582016</v>
      </c>
      <c r="J398">
        <f>($B$1+Table4[[#This Row],[Home Differential]])-Table4[[#This Row],[Away Differential]]</f>
        <v>-0.64559709103208929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0.60170549501350956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0.15863851270243345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-0.10173040746987846</v>
      </c>
      <c r="H399" t="s">
        <v>19</v>
      </c>
      <c r="I399">
        <f>VLOOKUP(Table4[[#This Row],[Visitor]],'NHL Model'!$A$6:$B$38,2,FALSE)</f>
        <v>-0.12942754353881131</v>
      </c>
      <c r="J399">
        <f>($B$1+Table4[[#This Row],[Home Differential]])-Table4[[#This Row],[Away Differential]]</f>
        <v>9.6321956189235447E-2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0.5505658417171958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0.30312274606576428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-0.35878259596109546</v>
      </c>
      <c r="H400" t="s">
        <v>17</v>
      </c>
      <c r="I400">
        <f>VLOOKUP(Table4[[#This Row],[Visitor]],'NHL Model'!$A$6:$B$38,2,FALSE)</f>
        <v>0.16838500200194736</v>
      </c>
      <c r="J400">
        <f>($B$1+Table4[[#This Row],[Home Differential]])-Table4[[#This Row],[Away Differential]]</f>
        <v>-0.45854277784274022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0.51029892044272163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0.23980714731956387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-0.91735746943655616</v>
      </c>
      <c r="H401" t="s">
        <v>55</v>
      </c>
      <c r="I401">
        <f>VLOOKUP(Table4[[#This Row],[Visitor]],'NHL Model'!$A$6:$B$38,2,FALSE)</f>
        <v>0.17839230571314843</v>
      </c>
      <c r="J401">
        <f>($B$1+Table4[[#This Row],[Home Differential]])-Table4[[#This Row],[Away Differential]]</f>
        <v>-1.0271249550294019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0.57266838972104828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0.32794908458569844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0.21920515510044997</v>
      </c>
      <c r="H402" t="s">
        <v>33</v>
      </c>
      <c r="I402">
        <f>VLOOKUP(Table4[[#This Row],[Visitor]],'NHL Model'!$A$6:$B$38,2,FALSE)</f>
        <v>-0.21661915454261307</v>
      </c>
      <c r="J402">
        <f>($B$1+Table4[[#This Row],[Home Differential]])-Table4[[#This Row],[Away Differential]]</f>
        <v>0.50444912976336564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0.58804480502764633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0.16970708266470994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0.64590845617425174</v>
      </c>
      <c r="H403" t="s">
        <v>16</v>
      </c>
      <c r="I403">
        <f>VLOOKUP(Table4[[#This Row],[Visitor]],'NHL Model'!$A$6:$B$38,2,FALSE)</f>
        <v>-0.31883717525004912</v>
      </c>
      <c r="J403">
        <f>($B$1+Table4[[#This Row],[Home Differential]])-Table4[[#This Row],[Away Differential]]</f>
        <v>1.0333704515446034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0.69893906238579651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9.0637688157143334E-2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-0.45443544272009573</v>
      </c>
      <c r="H404" t="s">
        <v>31</v>
      </c>
      <c r="I404">
        <f>VLOOKUP(Table4[[#This Row],[Visitor]],'NHL Model'!$A$6:$B$38,2,FALSE)</f>
        <v>-4.3195749724159979E-4</v>
      </c>
      <c r="J404">
        <f>($B$1+Table4[[#This Row],[Home Differential]])-Table4[[#This Row],[Away Differential]]</f>
        <v>-0.38537866510255153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0.50227333141634034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0.25227849945206887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0.92184375119443818</v>
      </c>
      <c r="H405" t="s">
        <v>36</v>
      </c>
      <c r="I405">
        <f>VLOOKUP(Table4[[#This Row],[Visitor]],'NHL Model'!$A$6:$B$38,2,FALSE)</f>
        <v>5.0237013717083105E-2</v>
      </c>
      <c r="J405">
        <f>($B$1+Table4[[#This Row],[Home Differential]])-Table4[[#This Row],[Away Differential]]</f>
        <v>0.94023155759765764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0.66127632952659732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0.11473372493897428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0.28840991013146466</v>
      </c>
      <c r="H406" t="s">
        <v>22</v>
      </c>
      <c r="I406">
        <f>VLOOKUP(Table4[[#This Row],[Visitor]],'NHL Model'!$A$6:$B$38,2,FALSE)</f>
        <v>0.44906822732121116</v>
      </c>
      <c r="J406">
        <f>($B$1+Table4[[#This Row],[Home Differential]])-Table4[[#This Row],[Away Differential]]</f>
        <v>-9.2033497069443915E-2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0.46333283795969565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0.28801164281239422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8.4418744674710666E-2</v>
      </c>
      <c r="H407" t="s">
        <v>40</v>
      </c>
      <c r="I407">
        <f>VLOOKUP(Table4[[#This Row],[Visitor]],'NHL Model'!$A$6:$B$38,2,FALSE)</f>
        <v>-5.9925012095478535E-2</v>
      </c>
      <c r="J407">
        <f>($B$1+Table4[[#This Row],[Home Differential]])-Table4[[#This Row],[Away Differential]]</f>
        <v>0.21296857689049181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0.60195324887995572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0.15844121607722247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1.6161557760803764E-2</v>
      </c>
      <c r="H408" t="s">
        <v>28</v>
      </c>
      <c r="I408">
        <f>VLOOKUP(Table4[[#This Row],[Visitor]],'NHL Model'!$A$6:$B$38,2,FALSE)</f>
        <v>-0.16769781981623849</v>
      </c>
      <c r="J408">
        <f>($B$1+Table4[[#This Row],[Home Differential]])-Table4[[#This Row],[Away Differential]]</f>
        <v>0.25248419769734487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0.56769574222228525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0.32227845573731134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0.24261452474052697</v>
      </c>
      <c r="H409" t="s">
        <v>14</v>
      </c>
      <c r="I409">
        <f>VLOOKUP(Table4[[#This Row],[Visitor]],'NHL Model'!$A$6:$B$38,2,FALSE)</f>
        <v>-0.10173040746987846</v>
      </c>
      <c r="J409">
        <f>($B$1+Table4[[#This Row],[Home Differential]])-Table4[[#This Row],[Away Differential]]</f>
        <v>0.4129697523307081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0.58257494406364163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0.33939356545075516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-0.21661915454261307</v>
      </c>
      <c r="H410" t="s">
        <v>55</v>
      </c>
      <c r="I410">
        <f>VLOOKUP(Table4[[#This Row],[Visitor]],'NHL Model'!$A$6:$B$38,2,FALSE)</f>
        <v>0.17839230571314843</v>
      </c>
      <c r="J410">
        <f>($B$1+Table4[[#This Row],[Home Differential]])-Table4[[#This Row],[Away Differential]]</f>
        <v>-0.32638664013545893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0.4958023208281146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0.24581994133854468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-0.91735746943655616</v>
      </c>
      <c r="H411" t="s">
        <v>31</v>
      </c>
      <c r="I411">
        <f>VLOOKUP(Table4[[#This Row],[Visitor]],'NHL Model'!$A$6:$B$38,2,FALSE)</f>
        <v>-4.3195749724159979E-4</v>
      </c>
      <c r="J411">
        <f>($B$1+Table4[[#This Row],[Home Differential]])-Table4[[#This Row],[Away Differential]]</f>
        <v>-0.84830069181901202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0.55305262468650995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0.19976195629961774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1.8165919516425306</v>
      </c>
      <c r="H412" t="s">
        <v>38</v>
      </c>
      <c r="I412">
        <f>VLOOKUP(Table4[[#This Row],[Visitor]],'NHL Model'!$A$6:$B$38,2,FALSE)</f>
        <v>-0.41225364678728776</v>
      </c>
      <c r="J412">
        <f>($B$1+Table4[[#This Row],[Home Differential]])-Table4[[#This Row],[Away Differential]]</f>
        <v>2.2974704185501209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0.87173466991573156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1.6451994901626337E-2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-8.7991118744577684E-2</v>
      </c>
      <c r="H413" t="s">
        <v>21</v>
      </c>
      <c r="I413">
        <f>VLOOKUP(Table4[[#This Row],[Visitor]],'NHL Model'!$A$6:$B$38,2,FALSE)</f>
        <v>-6.6683170548020518E-2</v>
      </c>
      <c r="J413">
        <f>($B$1+Table4[[#This Row],[Home Differential]])-Table4[[#This Row],[Away Differential]]</f>
        <v>4.7316871923745438E-2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0.57888847485706396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0.17733491660820966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0.16838500200194736</v>
      </c>
      <c r="H414" t="s">
        <v>34</v>
      </c>
      <c r="I414">
        <f>VLOOKUP(Table4[[#This Row],[Visitor]],'NHL Model'!$A$6:$B$38,2,FALSE)</f>
        <v>0.65260146250136963</v>
      </c>
      <c r="J414">
        <f>($B$1+Table4[[#This Row],[Home Differential]])-Table4[[#This Row],[Away Differential]]</f>
        <v>-0.41559164037911966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0.53996950496249385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0.21162805636445298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0.24167918475059574</v>
      </c>
      <c r="H415" t="s">
        <v>19</v>
      </c>
      <c r="I415">
        <f>VLOOKUP(Table4[[#This Row],[Visitor]],'NHL Model'!$A$6:$B$38,2,FALSE)</f>
        <v>-0.12942754353881131</v>
      </c>
      <c r="J415">
        <f>($B$1+Table4[[#This Row],[Home Differential]])-Table4[[#This Row],[Away Differential]]</f>
        <v>0.43973154840970968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0.59955013421687553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0.35946036343947346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3.852494182308655E-2</v>
      </c>
      <c r="H416" t="s">
        <v>22</v>
      </c>
      <c r="I416">
        <f>VLOOKUP(Table4[[#This Row],[Visitor]],'NHL Model'!$A$6:$B$38,2,FALSE)</f>
        <v>0.44906822732121116</v>
      </c>
      <c r="J416">
        <f>($B$1+Table4[[#This Row],[Home Differential]])-Table4[[#This Row],[Away Differential]]</f>
        <v>-0.341918465377822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0.50479577253762575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0.24522722689660689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-6.5759726104743493E-3</v>
      </c>
      <c r="H417" t="s">
        <v>36</v>
      </c>
      <c r="I417">
        <f>VLOOKUP(Table4[[#This Row],[Visitor]],'NHL Model'!$A$6:$B$38,2,FALSE)</f>
        <v>5.0237013717083105E-2</v>
      </c>
      <c r="J417">
        <f>($B$1+Table4[[#This Row],[Home Differential]])-Table4[[#This Row],[Away Differential]]</f>
        <v>1.1811833792745148E-2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0.52052644439333329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0.27094777931276587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-0.30501317799182315</v>
      </c>
      <c r="H418" t="s">
        <v>16</v>
      </c>
      <c r="I418">
        <f>VLOOKUP(Table4[[#This Row],[Visitor]],'NHL Model'!$A$6:$B$38,2,FALSE)</f>
        <v>-0.31883717525004912</v>
      </c>
      <c r="J418">
        <f>($B$1+Table4[[#This Row],[Home Differential]])-Table4[[#This Row],[Away Differential]]</f>
        <v>8.2448817378528577E-2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0.54904405587943073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0.203361263537674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0.28840991013146466</v>
      </c>
      <c r="H419" t="s">
        <v>37</v>
      </c>
      <c r="I419">
        <f>VLOOKUP(Table4[[#This Row],[Visitor]],'NHL Model'!$A$6:$B$38,2,FALSE)</f>
        <v>0.77383710114582016</v>
      </c>
      <c r="J419">
        <f>($B$1+Table4[[#This Row],[Home Differential]])-Table4[[#This Row],[Away Differential]]</f>
        <v>-0.41680237089405292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0.56249881460992013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0.3164049164375653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5.9615189993428262E-2</v>
      </c>
      <c r="H420" t="s">
        <v>39</v>
      </c>
      <c r="I420">
        <f>VLOOKUP(Table4[[#This Row],[Visitor]],'NHL Model'!$A$6:$B$38,2,FALSE)</f>
        <v>0.92184375119443818</v>
      </c>
      <c r="J420">
        <f>($B$1+Table4[[#This Row],[Home Differential]])-Table4[[#This Row],[Away Differential]]</f>
        <v>-0.7936037410807073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0.63327124095365572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0.40103246461898306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0.21920515510044997</v>
      </c>
      <c r="H421" t="s">
        <v>10</v>
      </c>
      <c r="I421">
        <f>VLOOKUP(Table4[[#This Row],[Visitor]],'NHL Model'!$A$6:$B$38,2,FALSE)</f>
        <v>-0.45443544272009573</v>
      </c>
      <c r="J421">
        <f>($B$1+Table4[[#This Row],[Home Differential]])-Table4[[#This Row],[Away Differential]]</f>
        <v>0.74226541794084833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0.62142130027657871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0.14332183188427638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-4.3195749724159979E-4</v>
      </c>
      <c r="H422" t="s">
        <v>55</v>
      </c>
      <c r="I422">
        <f>VLOOKUP(Table4[[#This Row],[Visitor]],'NHL Model'!$A$6:$B$38,2,FALSE)</f>
        <v>0.17839230571314843</v>
      </c>
      <c r="J422">
        <f>($B$1+Table4[[#This Row],[Home Differential]])-Table4[[#This Row],[Away Differential]]</f>
        <v>-0.11019944309008743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0.43349601193516007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0.32092676849336832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-6.5759726104743493E-3</v>
      </c>
      <c r="H423" t="s">
        <v>40</v>
      </c>
      <c r="I423">
        <f>VLOOKUP(Table4[[#This Row],[Visitor]],'NHL Model'!$A$6:$B$38,2,FALSE)</f>
        <v>-5.9925012095478535E-2</v>
      </c>
      <c r="J423">
        <f>($B$1+Table4[[#This Row],[Home Differential]])-Table4[[#This Row],[Away Differential]]</f>
        <v>0.12197385960530679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0.55337967526005416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0.19946971447081469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1.6161557760803764E-2</v>
      </c>
      <c r="H424" t="s">
        <v>39</v>
      </c>
      <c r="I424">
        <f>VLOOKUP(Table4[[#This Row],[Visitor]],'NHL Model'!$A$6:$B$38,2,FALSE)</f>
        <v>0.92184375119443818</v>
      </c>
      <c r="J424">
        <f>($B$1+Table4[[#This Row],[Home Differential]])-Table4[[#This Row],[Away Differential]]</f>
        <v>-0.83705737331333185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0.63803779905080593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0.13101663491598475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0.24261452474052697</v>
      </c>
      <c r="H425" t="s">
        <v>23</v>
      </c>
      <c r="I425">
        <f>VLOOKUP(Table4[[#This Row],[Visitor]],'NHL Model'!$A$6:$B$38,2,FALSE)</f>
        <v>8.4418744674710666E-2</v>
      </c>
      <c r="J425">
        <f>($B$1+Table4[[#This Row],[Home Differential]])-Table4[[#This Row],[Away Differential]]</f>
        <v>0.22682060018611894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0.56943508136491017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0.18538614915924154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-0.21661915454261307</v>
      </c>
      <c r="H426" t="s">
        <v>22</v>
      </c>
      <c r="I426">
        <f>VLOOKUP(Table4[[#This Row],[Visitor]],'NHL Model'!$A$6:$B$38,2,FALSE)</f>
        <v>0.44906822732121116</v>
      </c>
      <c r="J426">
        <f>($B$1+Table4[[#This Row],[Home Differential]])-Table4[[#This Row],[Away Differential]]</f>
        <v>-0.59706256174352168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0.53278328695210364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0.21829145695128033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-6.6683170548020518E-2</v>
      </c>
      <c r="H427" t="s">
        <v>35</v>
      </c>
      <c r="I427">
        <f>VLOOKUP(Table4[[#This Row],[Visitor]],'NHL Model'!$A$6:$B$38,2,FALSE)</f>
        <v>-0.91735746943655616</v>
      </c>
      <c r="J427">
        <f>($B$1+Table4[[#This Row],[Home Differential]])-Table4[[#This Row],[Away Differential]]</f>
        <v>0.91929911900883821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0.65485727372540681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0.11912350150025876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0.64590845617425174</v>
      </c>
      <c r="H428" t="s">
        <v>19</v>
      </c>
      <c r="I428">
        <f>VLOOKUP(Table4[[#This Row],[Visitor]],'NHL Model'!$A$6:$B$38,2,FALSE)</f>
        <v>-0.12942754353881131</v>
      </c>
      <c r="J428">
        <f>($B$1+Table4[[#This Row],[Home Differential]])-Table4[[#This Row],[Away Differential]]</f>
        <v>0.84396081983336568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0.67816215681255876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0.45990391093266153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-0.16769781981623849</v>
      </c>
      <c r="H429" t="s">
        <v>26</v>
      </c>
      <c r="I429">
        <f>VLOOKUP(Table4[[#This Row],[Visitor]],'NHL Model'!$A$6:$B$38,2,FALSE)</f>
        <v>-8.7991118744577684E-2</v>
      </c>
      <c r="J429">
        <f>($B$1+Table4[[#This Row],[Home Differential]])-Table4[[#This Row],[Away Differential]]</f>
        <v>-1.1081880951358203E-2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0.49479902006264798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0.2448260702549567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-0.31883717525004912</v>
      </c>
      <c r="H430" t="s">
        <v>34</v>
      </c>
      <c r="I430">
        <f>VLOOKUP(Table4[[#This Row],[Visitor]],'NHL Model'!$A$6:$B$38,2,FALSE)</f>
        <v>0.65260146250136963</v>
      </c>
      <c r="J430">
        <f>($B$1+Table4[[#This Row],[Home Differential]])-Table4[[#This Row],[Away Differential]]</f>
        <v>-0.90281381763111612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0.59903233151169832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0.35883973419634124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0.16838500200194736</v>
      </c>
      <c r="H431" t="s">
        <v>32</v>
      </c>
      <c r="I431">
        <f>VLOOKUP(Table4[[#This Row],[Visitor]],'NHL Model'!$A$6:$B$38,2,FALSE)</f>
        <v>-0.35878259596109546</v>
      </c>
      <c r="J431">
        <f>($B$1+Table4[[#This Row],[Home Differential]])-Table4[[#This Row],[Away Differential]]</f>
        <v>0.59579241808334538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0.6413911078514557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0.12860033752800629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0.24167918475059574</v>
      </c>
      <c r="H432" t="s">
        <v>29</v>
      </c>
      <c r="I432">
        <f>VLOOKUP(Table4[[#This Row],[Visitor]],'NHL Model'!$A$6:$B$38,2,FALSE)</f>
        <v>-0.30501317799182315</v>
      </c>
      <c r="J432">
        <f>($B$1+Table4[[#This Row],[Home Differential]])-Table4[[#This Row],[Away Differential]]</f>
        <v>0.61531718286272152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0.61881064443532618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0.38292661366646369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3.852494182308655E-2</v>
      </c>
      <c r="H433" t="s">
        <v>10</v>
      </c>
      <c r="I433">
        <f>VLOOKUP(Table4[[#This Row],[Visitor]],'NHL Model'!$A$6:$B$38,2,FALSE)</f>
        <v>-0.45443544272009573</v>
      </c>
      <c r="J433">
        <f>($B$1+Table4[[#This Row],[Home Differential]])-Table4[[#This Row],[Away Differential]]</f>
        <v>0.56158520466348483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0.60160195056188559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0.36192490691986545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0.28840991013146466</v>
      </c>
      <c r="H434" t="s">
        <v>12</v>
      </c>
      <c r="I434">
        <f>VLOOKUP(Table4[[#This Row],[Visitor]],'NHL Model'!$A$6:$B$38,2,FALSE)</f>
        <v>1.8165919516425306</v>
      </c>
      <c r="J434">
        <f>($B$1+Table4[[#This Row],[Home Differential]])-Table4[[#This Row],[Away Differential]]</f>
        <v>-1.4595572213907633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0.69226691322895118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0.47923347915154024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5.0237013717083105E-2</v>
      </c>
      <c r="H435" t="s">
        <v>15</v>
      </c>
      <c r="I435">
        <f>VLOOKUP(Table4[[#This Row],[Visitor]],'NHL Model'!$A$6:$B$38,2,FALSE)</f>
        <v>5.9615189993428262E-2</v>
      </c>
      <c r="J435">
        <f>($B$1+Table4[[#This Row],[Home Differential]])-Table4[[#This Row],[Away Differential]]</f>
        <v>5.9246643843957454E-2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0.47659735078498272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0.22714503477526388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0.77383710114582016</v>
      </c>
      <c r="H436" t="s">
        <v>14</v>
      </c>
      <c r="I436">
        <f>VLOOKUP(Table4[[#This Row],[Visitor]],'NHL Model'!$A$6:$B$38,2,FALSE)</f>
        <v>-0.10173040746987846</v>
      </c>
      <c r="J436">
        <f>($B$1+Table4[[#This Row],[Home Differential]])-Table4[[#This Row],[Away Differential]]</f>
        <v>0.94419232873600123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0.64084632767084604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0.41068401568920937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-4.3195749724159979E-4</v>
      </c>
      <c r="H437" t="s">
        <v>22</v>
      </c>
      <c r="I437">
        <f>VLOOKUP(Table4[[#This Row],[Visitor]],'NHL Model'!$A$6:$B$38,2,FALSE)</f>
        <v>0.44906822732121116</v>
      </c>
      <c r="J437">
        <f>($B$1+Table4[[#This Row],[Home Differential]])-Table4[[#This Row],[Away Differential]]</f>
        <v>-0.38087536469815014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0.47035077957914428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0.22122985585070878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0.92184375119443818</v>
      </c>
      <c r="H438" t="s">
        <v>33</v>
      </c>
      <c r="I438">
        <f>VLOOKUP(Table4[[#This Row],[Visitor]],'NHL Model'!$A$6:$B$38,2,FALSE)</f>
        <v>-0.21661915454261307</v>
      </c>
      <c r="J438">
        <f>($B$1+Table4[[#This Row],[Home Differential]])-Table4[[#This Row],[Away Differential]]</f>
        <v>1.2070877258573538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0.70383761246924714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8.7712159787915842E-2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1.6161557760803764E-2</v>
      </c>
      <c r="H439" t="s">
        <v>20</v>
      </c>
      <c r="I439">
        <f>VLOOKUP(Table4[[#This Row],[Visitor]],'NHL Model'!$A$6:$B$38,2,FALSE)</f>
        <v>0.21920515510044997</v>
      </c>
      <c r="J439">
        <f>($B$1+Table4[[#This Row],[Home Differential]])-Table4[[#This Row],[Away Differential]]</f>
        <v>-0.13441877721934359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0.49551402603821748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0.25450609792416828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-0.41225364678728776</v>
      </c>
      <c r="H440" t="s">
        <v>55</v>
      </c>
      <c r="I440">
        <f>VLOOKUP(Table4[[#This Row],[Visitor]],'NHL Model'!$A$6:$B$38,2,FALSE)</f>
        <v>0.17839230571314843</v>
      </c>
      <c r="J440">
        <f>($B$1+Table4[[#This Row],[Home Differential]])-Table4[[#This Row],[Away Differential]]</f>
        <v>-0.52202113238013359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0.51726204985832924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0.23303592850698221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-5.9925012095478535E-2</v>
      </c>
      <c r="H441" t="s">
        <v>23</v>
      </c>
      <c r="I441">
        <f>VLOOKUP(Table4[[#This Row],[Visitor]],'NHL Model'!$A$6:$B$38,2,FALSE)</f>
        <v>8.4418744674710666E-2</v>
      </c>
      <c r="J441">
        <f>($B$1+Table4[[#This Row],[Home Differential]])-Table4[[#This Row],[Away Differential]]</f>
        <v>-7.5718936649886603E-2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0.468305835255934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0.21931035533475798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-6.6683170548020518E-2</v>
      </c>
      <c r="H442" t="s">
        <v>24</v>
      </c>
      <c r="I442">
        <f>VLOOKUP(Table4[[#This Row],[Visitor]],'NHL Model'!$A$6:$B$38,2,FALSE)</f>
        <v>1.6161557760803764E-2</v>
      </c>
      <c r="J442">
        <f>($B$1+Table4[[#This Row],[Home Differential]])-Table4[[#This Row],[Away Differential]]</f>
        <v>-1.4219908188521677E-2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0.481011878796203</v>
      </c>
      <c r="M442" t="str">
        <f>IF(OR((NHL2025_26Results[[#This Row],[Winning Team]]="")),"-",IF(Table4[[#This Row],[Predicted Winner]]=NHL2025_26Results[[#This Row],[Winning Team]],"YES","NO"))</f>
        <v>NO</v>
      </c>
      <c r="N442">
        <f>IF(Table4[[#This Row],[Adjusted Correct]]="-", "",IF(Table4[[#This Row],[Adjusted Correct]]="YES",(Table4[[#This Row],[Strength of Win]]-1)^2,(Table4[[#This Row],[Strength of Win]]-0)^2))</f>
        <v>0.23137242754305309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0.64590845617425174</v>
      </c>
      <c r="H443" t="s">
        <v>29</v>
      </c>
      <c r="I443">
        <f>VLOOKUP(Table4[[#This Row],[Visitor]],'NHL Model'!$A$6:$B$38,2,FALSE)</f>
        <v>-0.30501317799182315</v>
      </c>
      <c r="J443">
        <f>($B$1+Table4[[#This Row],[Home Differential]])-Table4[[#This Row],[Away Differential]]</f>
        <v>1.0195464542863775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0.69742266703100941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9.1553042426627401E-2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-0.31883717525004912</v>
      </c>
      <c r="H444" t="s">
        <v>55</v>
      </c>
      <c r="I444">
        <f>VLOOKUP(Table4[[#This Row],[Visitor]],'NHL Model'!$A$6:$B$38,2,FALSE)</f>
        <v>0.17839230571314843</v>
      </c>
      <c r="J444">
        <f>($B$1+Table4[[#This Row],[Home Differential]])-Table4[[#This Row],[Away Differential]]</f>
        <v>-0.42860466084289495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0.47647550030280494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0.22702890238880827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0.16838500200194736</v>
      </c>
      <c r="H445" t="s">
        <v>40</v>
      </c>
      <c r="I445">
        <f>VLOOKUP(Table4[[#This Row],[Visitor]],'NHL Model'!$A$6:$B$38,2,FALSE)</f>
        <v>-5.9925012095478535E-2</v>
      </c>
      <c r="J445">
        <f>($B$1+Table4[[#This Row],[Home Differential]])-Table4[[#This Row],[Away Differential]]</f>
        <v>0.29693483421772848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0.60860853104306889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0.15318728197226436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0.24167918475059574</v>
      </c>
      <c r="H446" t="s">
        <v>28</v>
      </c>
      <c r="I446">
        <f>VLOOKUP(Table4[[#This Row],[Visitor]],'NHL Model'!$A$6:$B$38,2,FALSE)</f>
        <v>-0.16769781981623849</v>
      </c>
      <c r="J446">
        <f>($B$1+Table4[[#This Row],[Home Differential]])-Table4[[#This Row],[Away Differential]]</f>
        <v>0.47800182468713687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0.60374811459038702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0.15701555669067305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3.852494182308655E-2</v>
      </c>
      <c r="H447" t="s">
        <v>10</v>
      </c>
      <c r="I447">
        <f>VLOOKUP(Table4[[#This Row],[Visitor]],'NHL Model'!$A$6:$B$38,2,FALSE)</f>
        <v>-0.45443544272009573</v>
      </c>
      <c r="J447">
        <f>($B$1+Table4[[#This Row],[Home Differential]])-Table4[[#This Row],[Away Differential]]</f>
        <v>0.56158520466348483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0.60160195056188559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0.15872100579609424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5.9615189993428262E-2</v>
      </c>
      <c r="H448" t="s">
        <v>12</v>
      </c>
      <c r="I448">
        <f>VLOOKUP(Table4[[#This Row],[Visitor]],'NHL Model'!$A$6:$B$38,2,FALSE)</f>
        <v>1.8165919516425306</v>
      </c>
      <c r="J448">
        <f>($B$1+Table4[[#This Row],[Home Differential]])-Table4[[#This Row],[Away Differential]]</f>
        <v>-1.6883519415287997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0.73141883093934212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7.2135844373989691E-2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5.0237013717083105E-2</v>
      </c>
      <c r="H449" t="s">
        <v>35</v>
      </c>
      <c r="I449">
        <f>VLOOKUP(Table4[[#This Row],[Visitor]],'NHL Model'!$A$6:$B$38,2,FALSE)</f>
        <v>-0.91735746943655616</v>
      </c>
      <c r="J449">
        <f>($B$1+Table4[[#This Row],[Home Differential]])-Table4[[#This Row],[Away Differential]]</f>
        <v>1.036219303273942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0.65366597581537644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0.4272792079386683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-0.35878259596109546</v>
      </c>
      <c r="H450" t="s">
        <v>26</v>
      </c>
      <c r="I450">
        <f>VLOOKUP(Table4[[#This Row],[Visitor]],'NHL Model'!$A$6:$B$38,2,FALSE)</f>
        <v>-8.7991118744577684E-2</v>
      </c>
      <c r="J450">
        <f>($B$1+Table4[[#This Row],[Home Differential]])-Table4[[#This Row],[Away Differential]]</f>
        <v>-0.20216665709621515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0.5157596772086247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0.23448869021709534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0.77383710114582016</v>
      </c>
      <c r="H451" t="s">
        <v>30</v>
      </c>
      <c r="I451">
        <f>VLOOKUP(Table4[[#This Row],[Visitor]],'NHL Model'!$A$6:$B$38,2,FALSE)</f>
        <v>0.28840991013146466</v>
      </c>
      <c r="J451">
        <f>($B$1+Table4[[#This Row],[Home Differential]])-Table4[[#This Row],[Away Differential]]</f>
        <v>0.55405201113465807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0.58458513597879813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0.34173978120734988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-0.12942754353881131</v>
      </c>
      <c r="H452" t="s">
        <v>18</v>
      </c>
      <c r="I452">
        <f>VLOOKUP(Table4[[#This Row],[Visitor]],'NHL Model'!$A$6:$B$38,2,FALSE)</f>
        <v>-6.5759726104743493E-3</v>
      </c>
      <c r="J452">
        <f>($B$1+Table4[[#This Row],[Home Differential]])-Table4[[#This Row],[Away Differential]]</f>
        <v>-5.4226750808034352E-2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0.51053544946296847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0.23957554623241828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-0.41225364678728776</v>
      </c>
      <c r="H453" t="s">
        <v>34</v>
      </c>
      <c r="I453">
        <f>VLOOKUP(Table4[[#This Row],[Visitor]],'NHL Model'!$A$6:$B$38,2,FALSE)</f>
        <v>0.65260146250136963</v>
      </c>
      <c r="J453">
        <f>($B$1+Table4[[#This Row],[Home Differential]])-Table4[[#This Row],[Away Differential]]</f>
        <v>-0.99623028916835477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0.64016749286811669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0.40981441892505022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-4.3195749724159979E-4</v>
      </c>
      <c r="H454" t="s">
        <v>10</v>
      </c>
      <c r="I454">
        <f>VLOOKUP(Table4[[#This Row],[Visitor]],'NHL Model'!$A$6:$B$38,2,FALSE)</f>
        <v>-0.45443544272009573</v>
      </c>
      <c r="J454">
        <f>($B$1+Table4[[#This Row],[Home Differential]])-Table4[[#This Row],[Away Differential]]</f>
        <v>0.52262830534315674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0.63592074504036222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0.13255370389196494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0.64590845617425174</v>
      </c>
      <c r="H455" t="s">
        <v>33</v>
      </c>
      <c r="I455">
        <f>VLOOKUP(Table4[[#This Row],[Visitor]],'NHL Model'!$A$6:$B$38,2,FALSE)</f>
        <v>-0.21661915454261307</v>
      </c>
      <c r="J455">
        <f>($B$1+Table4[[#This Row],[Home Differential]])-Table4[[#This Row],[Away Differential]]</f>
        <v>0.93115243083716737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0.68059521079107677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0.46320984095175022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0.92184375119443818</v>
      </c>
      <c r="H456" t="s">
        <v>14</v>
      </c>
      <c r="I456">
        <f>VLOOKUP(Table4[[#This Row],[Visitor]],'NHL Model'!$A$6:$B$38,2,FALSE)</f>
        <v>-0.10173040746987846</v>
      </c>
      <c r="J456">
        <f>($B$1+Table4[[#This Row],[Home Differential]])-Table4[[#This Row],[Away Differential]]</f>
        <v>1.0921989787846191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0.69123512426528433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9.5335748487474406E-2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0.24167918475059574</v>
      </c>
      <c r="H457" t="s">
        <v>30</v>
      </c>
      <c r="I457">
        <f>VLOOKUP(Table4[[#This Row],[Visitor]],'NHL Model'!$A$6:$B$38,2,FALSE)</f>
        <v>0.28840991013146466</v>
      </c>
      <c r="J457">
        <f>($B$1+Table4[[#This Row],[Home Differential]])-Table4[[#This Row],[Away Differential]]</f>
        <v>2.1894094739433712E-2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0.53301387323598504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0.21807604259005664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-6.5759726104743493E-3</v>
      </c>
      <c r="H458" t="s">
        <v>35</v>
      </c>
      <c r="I458">
        <f>VLOOKUP(Table4[[#This Row],[Visitor]],'NHL Model'!$A$6:$B$38,2,FALSE)</f>
        <v>-0.91735746943655616</v>
      </c>
      <c r="J458">
        <f>($B$1+Table4[[#This Row],[Home Differential]])-Table4[[#This Row],[Away Differential]]</f>
        <v>0.97940631694638447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0.64743399045329686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0.41917077199427971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5.9615189993428262E-2</v>
      </c>
      <c r="H459" t="s">
        <v>20</v>
      </c>
      <c r="I459">
        <f>VLOOKUP(Table4[[#This Row],[Visitor]],'NHL Model'!$A$6:$B$38,2,FALSE)</f>
        <v>0.21920515510044997</v>
      </c>
      <c r="J459">
        <f>($B$1+Table4[[#This Row],[Home Differential]])-Table4[[#This Row],[Away Differential]]</f>
        <v>-9.0965144986719093E-2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0.49074746794106727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0.25933814140843431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0.24261452474052697</v>
      </c>
      <c r="H460" t="s">
        <v>12</v>
      </c>
      <c r="I460">
        <f>VLOOKUP(Table4[[#This Row],[Visitor]],'NHL Model'!$A$6:$B$38,2,FALSE)</f>
        <v>1.8165919516425306</v>
      </c>
      <c r="J460">
        <f>($B$1+Table4[[#This Row],[Home Differential]])-Table4[[#This Row],[Away Differential]]</f>
        <v>-1.5053526067817011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0.70679326916813301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8.5970187005110901E-2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0.44906822732121116</v>
      </c>
      <c r="H461" t="s">
        <v>28</v>
      </c>
      <c r="I461">
        <f>VLOOKUP(Table4[[#This Row],[Visitor]],'NHL Model'!$A$6:$B$38,2,FALSE)</f>
        <v>-0.16769781981623849</v>
      </c>
      <c r="J461">
        <f>($B$1+Table4[[#This Row],[Home Differential]])-Table4[[#This Row],[Away Differential]]</f>
        <v>0.68539086725775222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0.61973701718286811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0.14459993610098235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-0.31883717525004912</v>
      </c>
      <c r="H462" t="s">
        <v>23</v>
      </c>
      <c r="I462">
        <f>VLOOKUP(Table4[[#This Row],[Visitor]],'NHL Model'!$A$6:$B$38,2,FALSE)</f>
        <v>8.4418744674710666E-2</v>
      </c>
      <c r="J462">
        <f>($B$1+Table4[[#This Row],[Home Differential]])-Table4[[#This Row],[Away Differential]]</f>
        <v>-0.33463109980445715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0.46616726103093337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0.21731191525708238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-0.35878259596109546</v>
      </c>
      <c r="H463" t="s">
        <v>34</v>
      </c>
      <c r="I463">
        <f>VLOOKUP(Table4[[#This Row],[Visitor]],'NHL Model'!$A$6:$B$38,2,FALSE)</f>
        <v>0.65260146250136963</v>
      </c>
      <c r="J463">
        <f>($B$1+Table4[[#This Row],[Home Differential]])-Table4[[#This Row],[Away Differential]]</f>
        <v>-0.94275923834216246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0.63430209434597973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0.13373495819973671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-0.12942754353881131</v>
      </c>
      <c r="H464" t="s">
        <v>37</v>
      </c>
      <c r="I464">
        <f>VLOOKUP(Table4[[#This Row],[Visitor]],'NHL Model'!$A$6:$B$38,2,FALSE)</f>
        <v>0.77383710114582016</v>
      </c>
      <c r="J464">
        <f>($B$1+Table4[[#This Row],[Home Differential]])-Table4[[#This Row],[Away Differential]]</f>
        <v>-0.83463982456432884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0.6199384030227415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0.38432362354238708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0.17839230571314843</v>
      </c>
      <c r="H465" t="s">
        <v>13</v>
      </c>
      <c r="I465">
        <f>VLOOKUP(Table4[[#This Row],[Visitor]],'NHL Model'!$A$6:$B$38,2,FALSE)</f>
        <v>3.852494182308655E-2</v>
      </c>
      <c r="J465">
        <f>($B$1+Table4[[#This Row],[Home Differential]])-Table4[[#This Row],[Away Differential]]</f>
        <v>0.20849218401036448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0.53047979621851915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0.28140881419604158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-0.41225364678728776</v>
      </c>
      <c r="H466" t="s">
        <v>26</v>
      </c>
      <c r="I466">
        <f>VLOOKUP(Table4[[#This Row],[Visitor]],'NHL Model'!$A$6:$B$38,2,FALSE)</f>
        <v>-8.7991118744577684E-2</v>
      </c>
      <c r="J466">
        <f>($B$1+Table4[[#This Row],[Home Differential]])-Table4[[#This Row],[Away Differential]]</f>
        <v>-0.25563770792240748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0.52162507573076156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0.22884256816959961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0.64590845617425174</v>
      </c>
      <c r="H467" t="s">
        <v>28</v>
      </c>
      <c r="I467">
        <f>VLOOKUP(Table4[[#This Row],[Visitor]],'NHL Model'!$A$6:$B$38,2,FALSE)</f>
        <v>-0.16769781981623849</v>
      </c>
      <c r="J467">
        <f>($B$1+Table4[[#This Row],[Home Differential]])-Table4[[#This Row],[Away Differential]]</f>
        <v>0.88223109611079287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0.68236013718607025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0.10089508244845212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0.16838500200194736</v>
      </c>
      <c r="H468" t="s">
        <v>23</v>
      </c>
      <c r="I468">
        <f>VLOOKUP(Table4[[#This Row],[Visitor]],'NHL Model'!$A$6:$B$38,2,FALSE)</f>
        <v>8.4418744674710666E-2</v>
      </c>
      <c r="J468">
        <f>($B$1+Table4[[#This Row],[Home Differential]])-Table4[[#This Row],[Away Differential]]</f>
        <v>0.1525910774475393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0.59277503526249142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0.35138224243044797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-6.5759726104743493E-3</v>
      </c>
      <c r="H469" t="s">
        <v>37</v>
      </c>
      <c r="I469">
        <f>VLOOKUP(Table4[[#This Row],[Visitor]],'NHL Model'!$A$6:$B$38,2,FALSE)</f>
        <v>0.77383710114582016</v>
      </c>
      <c r="J469">
        <f>($B$1+Table4[[#This Row],[Home Differential]])-Table4[[#This Row],[Away Differential]]</f>
        <v>-0.71178825363599185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0.60896620041048077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0.1529074324214163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-0.30501317799182315</v>
      </c>
      <c r="H470" t="s">
        <v>12</v>
      </c>
      <c r="I470">
        <f>VLOOKUP(Table4[[#This Row],[Visitor]],'NHL Model'!$A$6:$B$38,2,FALSE)</f>
        <v>1.8165919516425306</v>
      </c>
      <c r="J470">
        <f>($B$1+Table4[[#This Row],[Home Differential]])-Table4[[#This Row],[Away Differential]]</f>
        <v>-2.0529803095140511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0.77141600057907311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0.59508264594941251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0.28840991013146466</v>
      </c>
      <c r="H471" t="s">
        <v>20</v>
      </c>
      <c r="I471">
        <f>VLOOKUP(Table4[[#This Row],[Visitor]],'NHL Model'!$A$6:$B$38,2,FALSE)</f>
        <v>0.21920515510044997</v>
      </c>
      <c r="J471">
        <f>($B$1+Table4[[#This Row],[Home Differential]])-Table4[[#This Row],[Away Differential]]</f>
        <v>0.13782957515131727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0.54845226916698819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0.20389535322044208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5.0237013717083105E-2</v>
      </c>
      <c r="H472" t="s">
        <v>24</v>
      </c>
      <c r="I472">
        <f>VLOOKUP(Table4[[#This Row],[Visitor]],'NHL Model'!$A$6:$B$38,2,FALSE)</f>
        <v>1.6161557760803764E-2</v>
      </c>
      <c r="J472">
        <f>($B$1+Table4[[#This Row],[Home Differential]])-Table4[[#This Row],[Away Differential]]</f>
        <v>0.10270027607658196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0.51768208298966623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0.26799473904851967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0.24261452474052697</v>
      </c>
      <c r="H473" t="s">
        <v>33</v>
      </c>
      <c r="I473">
        <f>VLOOKUP(Table4[[#This Row],[Visitor]],'NHL Model'!$A$6:$B$38,2,FALSE)</f>
        <v>-0.21661915454261307</v>
      </c>
      <c r="J473">
        <f>($B$1+Table4[[#This Row],[Home Differential]])-Table4[[#This Row],[Away Differential]]</f>
        <v>0.52785849940344265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0.59517743226760433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0.16388131134545009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-0.10173040746987846</v>
      </c>
      <c r="H474" t="s">
        <v>31</v>
      </c>
      <c r="I474">
        <f>VLOOKUP(Table4[[#This Row],[Visitor]],'NHL Model'!$A$6:$B$38,2,FALSE)</f>
        <v>-4.3195749724159979E-4</v>
      </c>
      <c r="J474">
        <f>($B$1+Table4[[#This Row],[Home Differential]])-Table4[[#This Row],[Away Differential]]</f>
        <v>-3.2673629852334261E-2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0.46358406758961351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0.28774205254370439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-0.91735746943655616</v>
      </c>
      <c r="H475" t="s">
        <v>21</v>
      </c>
      <c r="I475">
        <f>VLOOKUP(Table4[[#This Row],[Visitor]],'NHL Model'!$A$6:$B$38,2,FALSE)</f>
        <v>-6.6683170548020518E-2</v>
      </c>
      <c r="J475">
        <f>($B$1+Table4[[#This Row],[Home Differential]])-Table4[[#This Row],[Away Differential]]</f>
        <v>-0.78204947876823305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0.5457853321775048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0.20631096446509967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-5.9925012095478535E-2</v>
      </c>
      <c r="H476" t="s">
        <v>39</v>
      </c>
      <c r="I476">
        <f>VLOOKUP(Table4[[#This Row],[Visitor]],'NHL Model'!$A$6:$B$38,2,FALSE)</f>
        <v>0.92184375119443818</v>
      </c>
      <c r="J476">
        <f>($B$1+Table4[[#This Row],[Home Differential]])-Table4[[#This Row],[Away Differential]]</f>
        <v>-0.91314394316961411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0.64638396108603757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0.12504430297720098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-0.31883717525004912</v>
      </c>
      <c r="H477" t="s">
        <v>26</v>
      </c>
      <c r="I477">
        <f>VLOOKUP(Table4[[#This Row],[Visitor]],'NHL Model'!$A$6:$B$38,2,FALSE)</f>
        <v>-8.7991118744577684E-2</v>
      </c>
      <c r="J477">
        <f>($B$1+Table4[[#This Row],[Home Differential]])-Table4[[#This Row],[Away Differential]]</f>
        <v>-0.1622212363851688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0.48051946539778612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0.26986002583060192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-0.45443544272009573</v>
      </c>
      <c r="H478" t="s">
        <v>15</v>
      </c>
      <c r="I478">
        <f>VLOOKUP(Table4[[#This Row],[Visitor]],'NHL Model'!$A$6:$B$38,2,FALSE)</f>
        <v>5.9615189993428262E-2</v>
      </c>
      <c r="J478">
        <f>($B$1+Table4[[#This Row],[Home Differential]])-Table4[[#This Row],[Away Differential]]</f>
        <v>-0.44542581259322139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0.57876167123558053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0.33496507209140219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-0.35878259596109546</v>
      </c>
      <c r="H479" t="s">
        <v>13</v>
      </c>
      <c r="I479">
        <f>VLOOKUP(Table4[[#This Row],[Visitor]],'NHL Model'!$A$6:$B$38,2,FALSE)</f>
        <v>3.852494182308655E-2</v>
      </c>
      <c r="J479">
        <f>($B$1+Table4[[#This Row],[Home Differential]])-Table4[[#This Row],[Away Differential]]</f>
        <v>-0.32868271766387935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0.52844451564231676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0.27925360611244276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0.17839230571314843</v>
      </c>
      <c r="H480" t="s">
        <v>11</v>
      </c>
      <c r="I480">
        <f>VLOOKUP(Table4[[#This Row],[Visitor]],'NHL Model'!$A$6:$B$38,2,FALSE)</f>
        <v>0.24167918475059574</v>
      </c>
      <c r="J480">
        <f>($B$1+Table4[[#This Row],[Home Differential]])-Table4[[#This Row],[Away Differential]]</f>
        <v>5.3379410828552909E-3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0.50369112468794897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0.25370474908941093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-0.16769781981623849</v>
      </c>
      <c r="H481" t="s">
        <v>36</v>
      </c>
      <c r="I481">
        <f>VLOOKUP(Table4[[#This Row],[Visitor]],'NHL Model'!$A$6:$B$38,2,FALSE)</f>
        <v>5.0237013717083105E-2</v>
      </c>
      <c r="J481">
        <f>($B$1+Table4[[#This Row],[Home Differential]])-Table4[[#This Row],[Away Differential]]</f>
        <v>-0.149310013413019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0.49714749000448749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0.25286064680878706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1.8165919516425306</v>
      </c>
      <c r="H482" t="s">
        <v>11</v>
      </c>
      <c r="I482">
        <f>VLOOKUP(Table4[[#This Row],[Visitor]],'NHL Model'!$A$6:$B$38,2,FALSE)</f>
        <v>0.24167918475059574</v>
      </c>
      <c r="J482">
        <f>($B$1+Table4[[#This Row],[Home Differential]])-Table4[[#This Row],[Away Differential]]</f>
        <v>1.6435375870122375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0.80528452377479742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3.7914116681607428E-2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0.16838500200194736</v>
      </c>
      <c r="H483" t="s">
        <v>26</v>
      </c>
      <c r="I483">
        <f>VLOOKUP(Table4[[#This Row],[Visitor]],'NHL Model'!$A$6:$B$38,2,FALSE)</f>
        <v>-8.7991118744577684E-2</v>
      </c>
      <c r="J483">
        <f>($B$1+Table4[[#This Row],[Home Differential]])-Table4[[#This Row],[Away Differential]]</f>
        <v>0.32500094086682763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0.57850746221311933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0.17765595941002504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0.65260146250136963</v>
      </c>
      <c r="H484" t="s">
        <v>39</v>
      </c>
      <c r="I484">
        <f>VLOOKUP(Table4[[#This Row],[Visitor]],'NHL Model'!$A$6:$B$38,2,FALSE)</f>
        <v>0.92184375119443818</v>
      </c>
      <c r="J484">
        <f>($B$1+Table4[[#This Row],[Home Differential]])-Table4[[#This Row],[Away Differential]]</f>
        <v>-0.20061746857276597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0.54581585032639779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0.2979149424675287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1.6161557760803764E-2</v>
      </c>
      <c r="H485" t="s">
        <v>37</v>
      </c>
      <c r="I485">
        <f>VLOOKUP(Table4[[#This Row],[Visitor]],'NHL Model'!$A$6:$B$38,2,FALSE)</f>
        <v>0.77383710114582016</v>
      </c>
      <c r="J485">
        <f>($B$1+Table4[[#This Row],[Home Differential]])-Table4[[#This Row],[Away Differential]]</f>
        <v>-0.68905072326471384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0.60647205311065977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0.15486424498293938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-0.30501317799182315</v>
      </c>
      <c r="H486" t="s">
        <v>35</v>
      </c>
      <c r="I486">
        <f>VLOOKUP(Table4[[#This Row],[Visitor]],'NHL Model'!$A$6:$B$38,2,FALSE)</f>
        <v>-0.91735746943655616</v>
      </c>
      <c r="J486">
        <f>($B$1+Table4[[#This Row],[Home Differential]])-Table4[[#This Row],[Away Differential]]</f>
        <v>0.68096911156503559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0.61469752621053708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0.14845799630827977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0.28840991013146466</v>
      </c>
      <c r="H487" t="s">
        <v>31</v>
      </c>
      <c r="I487">
        <f>VLOOKUP(Table4[[#This Row],[Visitor]],'NHL Model'!$A$6:$B$38,2,FALSE)</f>
        <v>-4.3195749724159979E-4</v>
      </c>
      <c r="J487">
        <f>($B$1+Table4[[#This Row],[Home Differential]])-Table4[[#This Row],[Away Differential]]</f>
        <v>0.35746668774900886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0.59322820414322097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0.16546329390454911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0.24261452474052697</v>
      </c>
      <c r="H488" t="s">
        <v>20</v>
      </c>
      <c r="I488">
        <f>VLOOKUP(Table4[[#This Row],[Visitor]],'NHL Model'!$A$6:$B$38,2,FALSE)</f>
        <v>0.21920515510044997</v>
      </c>
      <c r="J488">
        <f>($B$1+Table4[[#This Row],[Home Differential]])-Table4[[#This Row],[Away Differential]]</f>
        <v>9.2034189760379637E-2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0.53390502768060499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0.28505457858262756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-0.10173040746987846</v>
      </c>
      <c r="H489" t="s">
        <v>18</v>
      </c>
      <c r="I489">
        <f>VLOOKUP(Table4[[#This Row],[Visitor]],'NHL Model'!$A$6:$B$38,2,FALSE)</f>
        <v>-6.5759726104743493E-3</v>
      </c>
      <c r="J489">
        <f>($B$1+Table4[[#This Row],[Home Differential]])-Table4[[#This Row],[Away Differential]]</f>
        <v>-2.6529614739101509E-2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0.5100095037878436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0.24009068637823525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-0.12942754353881131</v>
      </c>
      <c r="H490" t="s">
        <v>33</v>
      </c>
      <c r="I490">
        <f>VLOOKUP(Table4[[#This Row],[Visitor]],'NHL Model'!$A$6:$B$38,2,FALSE)</f>
        <v>-0.21661915454261307</v>
      </c>
      <c r="J490">
        <f>($B$1+Table4[[#This Row],[Home Differential]])-Table4[[#This Row],[Away Differential]]</f>
        <v>0.15581643112410437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0.55230323514168789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0.3050388635479746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-0.41225364678728776</v>
      </c>
      <c r="H491" t="s">
        <v>23</v>
      </c>
      <c r="I491">
        <f>VLOOKUP(Table4[[#This Row],[Visitor]],'NHL Model'!$A$6:$B$38,2,FALSE)</f>
        <v>8.4418744674710666E-2</v>
      </c>
      <c r="J491">
        <f>($B$1+Table4[[#This Row],[Home Differential]])-Table4[[#This Row],[Away Differential]]</f>
        <v>-0.4280475713416958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0.50695381058645772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0.24309454489521462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-5.9925012095478535E-2</v>
      </c>
      <c r="H492" t="s">
        <v>21</v>
      </c>
      <c r="I492">
        <f>VLOOKUP(Table4[[#This Row],[Visitor]],'NHL Model'!$A$6:$B$38,2,FALSE)</f>
        <v>-6.6683170548020518E-2</v>
      </c>
      <c r="J492">
        <f>($B$1+Table4[[#This Row],[Home Differential]])-Table4[[#This Row],[Away Differential]]</f>
        <v>7.5382978572844594E-2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0.5482689830157379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0.30059887773711147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0.44906822732121116</v>
      </c>
      <c r="H493" t="s">
        <v>25</v>
      </c>
      <c r="I493">
        <f>VLOOKUP(Table4[[#This Row],[Visitor]],'NHL Model'!$A$6:$B$38,2,FALSE)</f>
        <v>0.64590845617425174</v>
      </c>
      <c r="J493">
        <f>($B$1+Table4[[#This Row],[Home Differential]])-Table4[[#This Row],[Away Differential]]</f>
        <v>-0.12821540873273796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0.54038011881220183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0.2112504351830857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-0.91735746943655616</v>
      </c>
      <c r="H494" t="s">
        <v>10</v>
      </c>
      <c r="I494">
        <f>VLOOKUP(Table4[[#This Row],[Visitor]],'NHL Model'!$A$6:$B$38,2,FALSE)</f>
        <v>-0.45443544272009573</v>
      </c>
      <c r="J494">
        <f>($B$1+Table4[[#This Row],[Home Differential]])-Table4[[#This Row],[Away Differential]]</f>
        <v>-0.39429720659615786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0.50325163274552598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0.25326220586103776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0.17839230571314843</v>
      </c>
      <c r="H495" t="s">
        <v>32</v>
      </c>
      <c r="I495">
        <f>VLOOKUP(Table4[[#This Row],[Visitor]],'NHL Model'!$A$6:$B$38,2,FALSE)</f>
        <v>-0.35878259596109546</v>
      </c>
      <c r="J495">
        <f>($B$1+Table4[[#This Row],[Home Differential]])-Table4[[#This Row],[Away Differential]]</f>
        <v>0.60579972179454655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0.60645197238547943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0.15488005003927943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-0.16769781981623849</v>
      </c>
      <c r="H496" t="s">
        <v>20</v>
      </c>
      <c r="I496">
        <f>VLOOKUP(Table4[[#This Row],[Visitor]],'NHL Model'!$A$6:$B$38,2,FALSE)</f>
        <v>0.21920515510044997</v>
      </c>
      <c r="J496">
        <f>($B$1+Table4[[#This Row],[Home Differential]])-Table4[[#This Row],[Away Differential]]</f>
        <v>-0.31827815479638588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0.51568210773585921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0.23456382076717988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-0.45443544272009573</v>
      </c>
      <c r="H497" t="s">
        <v>26</v>
      </c>
      <c r="I497">
        <f>VLOOKUP(Table4[[#This Row],[Visitor]],'NHL Model'!$A$6:$B$38,2,FALSE)</f>
        <v>-8.7991118744577684E-2</v>
      </c>
      <c r="J497">
        <f>($B$1+Table4[[#This Row],[Home Differential]])-Table4[[#This Row],[Away Differential]]</f>
        <v>-0.29781950385521549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0.52625212232331109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0.22443705160316699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1.8165919516425306</v>
      </c>
      <c r="H498" t="s">
        <v>29</v>
      </c>
      <c r="I498">
        <f>VLOOKUP(Table4[[#This Row],[Visitor]],'NHL Model'!$A$6:$B$38,2,FALSE)</f>
        <v>-0.30501317799182315</v>
      </c>
      <c r="J498">
        <f>($B$1+Table4[[#This Row],[Home Differential]])-Table4[[#This Row],[Away Differential]]</f>
        <v>2.1902299497546562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0.89923141742944834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1.0154307233278087E-2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0.92184375119443818</v>
      </c>
      <c r="H499" t="s">
        <v>11</v>
      </c>
      <c r="I499">
        <f>VLOOKUP(Table4[[#This Row],[Visitor]],'NHL Model'!$A$6:$B$38,2,FALSE)</f>
        <v>0.24167918475059574</v>
      </c>
      <c r="J499">
        <f>($B$1+Table4[[#This Row],[Home Differential]])-Table4[[#This Row],[Away Differential]]</f>
        <v>0.74878938656414507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0.62430560848790628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0.38975749278945493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3.852494182308655E-2</v>
      </c>
      <c r="H500" t="s">
        <v>16</v>
      </c>
      <c r="I500">
        <f>VLOOKUP(Table4[[#This Row],[Visitor]],'NHL Model'!$A$6:$B$38,2,FALSE)</f>
        <v>-0.31883717525004912</v>
      </c>
      <c r="J500">
        <f>($B$1+Table4[[#This Row],[Home Differential]])-Table4[[#This Row],[Away Differential]]</f>
        <v>0.42598693719343828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0.58672777350094873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0.34424948019738061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0.65260146250136963</v>
      </c>
      <c r="H501" t="s">
        <v>36</v>
      </c>
      <c r="I501">
        <f>VLOOKUP(Table4[[#This Row],[Visitor]],'NHL Model'!$A$6:$B$38,2,FALSE)</f>
        <v>5.0237013717083105E-2</v>
      </c>
      <c r="J501">
        <f>($B$1+Table4[[#This Row],[Home Differential]])-Table4[[#This Row],[Away Differential]]</f>
        <v>0.6709892689045891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0.61526947426802558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0.14801757743000143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1.6161557760803764E-2</v>
      </c>
      <c r="H502" t="s">
        <v>31</v>
      </c>
      <c r="I502">
        <f>VLOOKUP(Table4[[#This Row],[Visitor]],'NHL Model'!$A$6:$B$38,2,FALSE)</f>
        <v>-4.3195749724159979E-4</v>
      </c>
      <c r="J502">
        <f>($B$1+Table4[[#This Row],[Home Differential]])-Table4[[#This Row],[Away Differential]]</f>
        <v>8.521833537834797E-2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0.5493478525419645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0.20308735800853897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0.28840991013146466</v>
      </c>
      <c r="H503" t="s">
        <v>37</v>
      </c>
      <c r="I503">
        <f>VLOOKUP(Table4[[#This Row],[Visitor]],'NHL Model'!$A$6:$B$38,2,FALSE)</f>
        <v>0.77383710114582016</v>
      </c>
      <c r="J503">
        <f>($B$1+Table4[[#This Row],[Home Differential]])-Table4[[#This Row],[Away Differential]]</f>
        <v>-0.41680237089405292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0.56249881460992013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0.3164049164375653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5.9615189993428262E-2</v>
      </c>
      <c r="H504" t="s">
        <v>18</v>
      </c>
      <c r="I504">
        <f>VLOOKUP(Table4[[#This Row],[Visitor]],'NHL Model'!$A$6:$B$38,2,FALSE)</f>
        <v>-6.5759726104743493E-3</v>
      </c>
      <c r="J504">
        <f>($B$1+Table4[[#This Row],[Home Differential]])-Table4[[#This Row],[Away Differential]]</f>
        <v>0.13481598272420522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0.50768897444088446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0.24237014588706812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0.24261452474052697</v>
      </c>
      <c r="H505" t="s">
        <v>25</v>
      </c>
      <c r="I505">
        <f>VLOOKUP(Table4[[#This Row],[Visitor]],'NHL Model'!$A$6:$B$38,2,FALSE)</f>
        <v>0.64590845617425174</v>
      </c>
      <c r="J505">
        <f>($B$1+Table4[[#This Row],[Home Differential]])-Table4[[#This Row],[Away Differential]]</f>
        <v>-0.33466911131342214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0.56302663918717222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0.19094571806005778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-0.10173040746987846</v>
      </c>
      <c r="H506" t="s">
        <v>33</v>
      </c>
      <c r="I506">
        <f>VLOOKUP(Table4[[#This Row],[Visitor]],'NHL Model'!$A$6:$B$38,2,FALSE)</f>
        <v>-0.21661915454261307</v>
      </c>
      <c r="J506">
        <f>($B$1+Table4[[#This Row],[Home Differential]])-Table4[[#This Row],[Away Differential]]</f>
        <v>0.18351356719303721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0.55284042910243814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0.30563254005016793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-0.12942754353881131</v>
      </c>
      <c r="H507" t="s">
        <v>17</v>
      </c>
      <c r="I507">
        <f>VLOOKUP(Table4[[#This Row],[Visitor]],'NHL Model'!$A$6:$B$38,2,FALSE)</f>
        <v>0.16838500200194736</v>
      </c>
      <c r="J507">
        <f>($B$1+Table4[[#This Row],[Home Differential]])-Table4[[#This Row],[Away Differential]]</f>
        <v>-0.22918772542045607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0.48264480371889346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0.26765639911906219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-5.9925012095478535E-2</v>
      </c>
      <c r="H508" t="s">
        <v>22</v>
      </c>
      <c r="I508">
        <f>VLOOKUP(Table4[[#This Row],[Visitor]],'NHL Model'!$A$6:$B$38,2,FALSE)</f>
        <v>0.44906822732121116</v>
      </c>
      <c r="J508">
        <f>($B$1+Table4[[#This Row],[Home Differential]])-Table4[[#This Row],[Away Differential]]</f>
        <v>-0.44036841929638709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0.51559504065179462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0.26583824594472577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0.64590845617425174</v>
      </c>
      <c r="H509" t="s">
        <v>27</v>
      </c>
      <c r="I509">
        <f>VLOOKUP(Table4[[#This Row],[Visitor]],'NHL Model'!$A$6:$B$38,2,FALSE)</f>
        <v>0.24261452474052697</v>
      </c>
      <c r="J509">
        <f>($B$1+Table4[[#This Row],[Home Differential]])-Table4[[#This Row],[Away Differential]]</f>
        <v>0.47191875155402735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0.63181866420109534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0.1355574960306658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0.65260146250136963</v>
      </c>
      <c r="H510" t="s">
        <v>21</v>
      </c>
      <c r="I510">
        <f>VLOOKUP(Table4[[#This Row],[Visitor]],'NHL Model'!$A$6:$B$38,2,FALSE)</f>
        <v>-6.6683170548020518E-2</v>
      </c>
      <c r="J510">
        <f>($B$1+Table4[[#This Row],[Home Differential]])-Table4[[#This Row],[Away Differential]]</f>
        <v>0.78790945316969274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0.64871186721416485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0.12340335223615854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-6.5759726104743493E-3</v>
      </c>
      <c r="H511" t="s">
        <v>17</v>
      </c>
      <c r="I511">
        <f>VLOOKUP(Table4[[#This Row],[Visitor]],'NHL Model'!$A$6:$B$38,2,FALSE)</f>
        <v>0.16838500200194736</v>
      </c>
      <c r="J511">
        <f>($B$1+Table4[[#This Row],[Home Differential]])-Table4[[#This Row],[Away Differential]]</f>
        <v>-0.10633615449211911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0.47166432889892423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0.22246723915567257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1.6161557760803764E-2</v>
      </c>
      <c r="H512" t="s">
        <v>38</v>
      </c>
      <c r="I512">
        <f>VLOOKUP(Table4[[#This Row],[Visitor]],'NHL Model'!$A$6:$B$38,2,FALSE)</f>
        <v>-0.41225364678728776</v>
      </c>
      <c r="J512">
        <f>($B$1+Table4[[#This Row],[Home Differential]])-Table4[[#This Row],[Away Differential]]</f>
        <v>0.49704002466839414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0.5520092350763286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0.30471419560955343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-0.10173040746987846</v>
      </c>
      <c r="H513" t="s">
        <v>55</v>
      </c>
      <c r="I513">
        <f>VLOOKUP(Table4[[#This Row],[Visitor]],'NHL Model'!$A$6:$B$38,2,FALSE)</f>
        <v>0.17839230571314843</v>
      </c>
      <c r="J513">
        <f>($B$1+Table4[[#This Row],[Home Differential]])-Table4[[#This Row],[Away Differential]]</f>
        <v>-0.21149789306272429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0.48319983262415184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0.26708241299970475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-0.35878259596109546</v>
      </c>
      <c r="H514" t="s">
        <v>23</v>
      </c>
      <c r="I514">
        <f>VLOOKUP(Table4[[#This Row],[Visitor]],'NHL Model'!$A$6:$B$38,2,FALSE)</f>
        <v>8.4418744674710666E-2</v>
      </c>
      <c r="J514">
        <f>($B$1+Table4[[#This Row],[Home Differential]])-Table4[[#This Row],[Away Differential]]</f>
        <v>-0.3745765205155035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0.50108841206432075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0.24891277257650102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0.92184375119443818</v>
      </c>
      <c r="H515" t="s">
        <v>13</v>
      </c>
      <c r="I515">
        <f>VLOOKUP(Table4[[#This Row],[Visitor]],'NHL Model'!$A$6:$B$38,2,FALSE)</f>
        <v>3.852494182308655E-2</v>
      </c>
      <c r="J515">
        <f>($B$1+Table4[[#This Row],[Home Differential]])-Table4[[#This Row],[Away Differential]]</f>
        <v>0.95194362949165423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0.65105927066090485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0.12175963259169965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5.9615189993428262E-2</v>
      </c>
      <c r="H516" t="s">
        <v>31</v>
      </c>
      <c r="I516">
        <f>VLOOKUP(Table4[[#This Row],[Visitor]],'NHL Model'!$A$6:$B$38,2,FALSE)</f>
        <v>-4.3195749724159979E-4</v>
      </c>
      <c r="J516">
        <f>($B$1+Table4[[#This Row],[Home Differential]])-Table4[[#This Row],[Away Differential]]</f>
        <v>0.12867196761097247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0.55411441063911471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0.30704278007793345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-0.91735746943655616</v>
      </c>
      <c r="H517" t="s">
        <v>29</v>
      </c>
      <c r="I517">
        <f>VLOOKUP(Table4[[#This Row],[Visitor]],'NHL Model'!$A$6:$B$38,2,FALSE)</f>
        <v>-0.30501317799182315</v>
      </c>
      <c r="J517">
        <f>($B$1+Table4[[#This Row],[Home Differential]])-Table4[[#This Row],[Away Differential]]</f>
        <v>-0.54371947132443044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0.51964220516125004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0.23074361106234659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0.77383710114582016</v>
      </c>
      <c r="H518" t="s">
        <v>11</v>
      </c>
      <c r="I518">
        <f>VLOOKUP(Table4[[#This Row],[Visitor]],'NHL Model'!$A$6:$B$38,2,FALSE)</f>
        <v>0.24167918475059574</v>
      </c>
      <c r="J518">
        <f>($B$1+Table4[[#This Row],[Home Differential]])-Table4[[#This Row],[Away Differential]]</f>
        <v>0.60078273651552694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0.57359395204819963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0.32901002182627231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-5.9925012095478535E-2</v>
      </c>
      <c r="H519" t="s">
        <v>36</v>
      </c>
      <c r="I519">
        <f>VLOOKUP(Table4[[#This Row],[Visitor]],'NHL Model'!$A$6:$B$38,2,FALSE)</f>
        <v>5.0237013717083105E-2</v>
      </c>
      <c r="J519">
        <f>($B$1+Table4[[#This Row],[Home Differential]])-Table4[[#This Row],[Away Differential]]</f>
        <v>-4.1537205692259035E-2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0.48532557034207735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0.26488976854370799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-6.6683170548020518E-2</v>
      </c>
      <c r="H520" t="s">
        <v>55</v>
      </c>
      <c r="I520">
        <f>VLOOKUP(Table4[[#This Row],[Visitor]],'NHL Model'!$A$6:$B$38,2,FALSE)</f>
        <v>0.17839230571314843</v>
      </c>
      <c r="J520">
        <f>($B$1+Table4[[#This Row],[Home Differential]])-Table4[[#This Row],[Away Differential]]</f>
        <v>-0.17645065614086636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0.46533877652028505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0.21654017693339578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-0.16769781981623849</v>
      </c>
      <c r="H521" t="s">
        <v>31</v>
      </c>
      <c r="I521">
        <f>VLOOKUP(Table4[[#This Row],[Visitor]],'NHL Model'!$A$6:$B$38,2,FALSE)</f>
        <v>-4.3195749724159979E-4</v>
      </c>
      <c r="J521">
        <f>($B$1+Table4[[#This Row],[Home Differential]])-Table4[[#This Row],[Away Differential]]</f>
        <v>-9.8641042198694281E-2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0.47082022915567728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0.22167168818220448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-8.7991118744577684E-2</v>
      </c>
      <c r="H522" t="s">
        <v>30</v>
      </c>
      <c r="I522">
        <f>VLOOKUP(Table4[[#This Row],[Visitor]],'NHL Model'!$A$6:$B$38,2,FALSE)</f>
        <v>0.28840991013146466</v>
      </c>
      <c r="J522">
        <f>($B$1+Table4[[#This Row],[Home Differential]])-Table4[[#This Row],[Away Differential]]</f>
        <v>-0.30777620875573974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0.48056939792388204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0.23094694622092249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0.65260146250136963</v>
      </c>
      <c r="H523" t="s">
        <v>22</v>
      </c>
      <c r="I523">
        <f>VLOOKUP(Table4[[#This Row],[Visitor]],'NHL Model'!$A$6:$B$38,2,FALSE)</f>
        <v>0.44906822732121116</v>
      </c>
      <c r="J523">
        <f>($B$1+Table4[[#This Row],[Home Differential]])-Table4[[#This Row],[Away Differential]]</f>
        <v>0.27215805530046105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0.58491000592386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0.17229970318212995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-6.5759726104743493E-3</v>
      </c>
      <c r="H524" t="s">
        <v>27</v>
      </c>
      <c r="I524">
        <f>VLOOKUP(Table4[[#This Row],[Visitor]],'NHL Model'!$A$6:$B$38,2,FALSE)</f>
        <v>0.24261452474052697</v>
      </c>
      <c r="J524">
        <f>($B$1+Table4[[#This Row],[Home Differential]])-Table4[[#This Row],[Away Differential]]</f>
        <v>-0.18056567723069872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0.48546452747519875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0.26474675248632051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5.9615189993428262E-2</v>
      </c>
      <c r="H525" t="s">
        <v>38</v>
      </c>
      <c r="I525">
        <f>VLOOKUP(Table4[[#This Row],[Visitor]],'NHL Model'!$A$6:$B$38,2,FALSE)</f>
        <v>-0.41225364678728776</v>
      </c>
      <c r="J525">
        <f>($B$1+Table4[[#This Row],[Home Differential]])-Table4[[#This Row],[Away Differential]]</f>
        <v>0.54049365690101858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0.55677579317347869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0.30999928386395631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-0.10173040746987846</v>
      </c>
      <c r="H526" t="s">
        <v>17</v>
      </c>
      <c r="I526">
        <f>VLOOKUP(Table4[[#This Row],[Visitor]],'NHL Model'!$A$6:$B$38,2,FALSE)</f>
        <v>0.16838500200194736</v>
      </c>
      <c r="J526">
        <f>($B$1+Table4[[#This Row],[Home Differential]])-Table4[[#This Row],[Away Differential]]</f>
        <v>-0.20149058935152322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0.48210210173068113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0.26821823303177778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-0.35878259596109546</v>
      </c>
      <c r="H527" t="s">
        <v>12</v>
      </c>
      <c r="I527">
        <f>VLOOKUP(Table4[[#This Row],[Visitor]],'NHL Model'!$A$6:$B$38,2,FALSE)</f>
        <v>1.8165919516425306</v>
      </c>
      <c r="J527">
        <f>($B$1+Table4[[#This Row],[Home Differential]])-Table4[[#This Row],[Away Differential]]</f>
        <v>-2.1067497274833236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0.77731412788011067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4.9588997641795703E-2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-0.21661915454261307</v>
      </c>
      <c r="H528" t="s">
        <v>16</v>
      </c>
      <c r="I528">
        <f>VLOOKUP(Table4[[#This Row],[Visitor]],'NHL Model'!$A$6:$B$38,2,FALSE)</f>
        <v>-0.31883717525004912</v>
      </c>
      <c r="J528">
        <f>($B$1+Table4[[#This Row],[Home Differential]])-Table4[[#This Row],[Away Differential]]</f>
        <v>0.17084284082773865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0.55874025908647085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0.19471015895107488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-0.12942754353881131</v>
      </c>
      <c r="H529" t="s">
        <v>10</v>
      </c>
      <c r="I529">
        <f>VLOOKUP(Table4[[#This Row],[Visitor]],'NHL Model'!$A$6:$B$38,2,FALSE)</f>
        <v>-0.45443544272009573</v>
      </c>
      <c r="J529">
        <f>($B$1+Table4[[#This Row],[Home Differential]])-Table4[[#This Row],[Away Differential]]</f>
        <v>0.39363271930158705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0.58567422236315814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0.17166585001437373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-8.7991118744577684E-2</v>
      </c>
      <c r="H530" t="s">
        <v>55</v>
      </c>
      <c r="I530">
        <f>VLOOKUP(Table4[[#This Row],[Visitor]],'NHL Model'!$A$6:$B$38,2,FALSE)</f>
        <v>0.17839230571314843</v>
      </c>
      <c r="J530">
        <f>($B$1+Table4[[#This Row],[Home Differential]])-Table4[[#This Row],[Away Differential]]</f>
        <v>-0.19775860433742351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0.44799458268647963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0.30470998074347377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0.24167918475059574</v>
      </c>
      <c r="H531" t="s">
        <v>13</v>
      </c>
      <c r="I531">
        <f>VLOOKUP(Table4[[#This Row],[Visitor]],'NHL Model'!$A$6:$B$38,2,FALSE)</f>
        <v>3.852494182308655E-2</v>
      </c>
      <c r="J531">
        <f>($B$1+Table4[[#This Row],[Home Differential]])-Table4[[#This Row],[Away Differential]]</f>
        <v>0.27177906304781185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0.54882366020583651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0.20356008959005847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-0.30501317799182315</v>
      </c>
      <c r="H532" t="s">
        <v>25</v>
      </c>
      <c r="I532">
        <f>VLOOKUP(Table4[[#This Row],[Visitor]],'NHL Model'!$A$6:$B$38,2,FALSE)</f>
        <v>0.64590845617425174</v>
      </c>
      <c r="J532">
        <f>($B$1+Table4[[#This Row],[Home Differential]])-Table4[[#This Row],[Away Differential]]</f>
        <v>-0.88229681404577232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0.62766979128416767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0.13862978432237527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-0.91735746943655616</v>
      </c>
      <c r="H533" t="s">
        <v>40</v>
      </c>
      <c r="I533">
        <f>VLOOKUP(Table4[[#This Row],[Visitor]],'NHL Model'!$A$6:$B$38,2,FALSE)</f>
        <v>-5.9925012095478535E-2</v>
      </c>
      <c r="J533">
        <f>($B$1+Table4[[#This Row],[Home Differential]])-Table4[[#This Row],[Away Differential]]</f>
        <v>-0.78880763722077507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0.54652665466859918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0.29869138426325026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0.21920515510044997</v>
      </c>
      <c r="H534" t="s">
        <v>24</v>
      </c>
      <c r="I534">
        <f>VLOOKUP(Table4[[#This Row],[Visitor]],'NHL Model'!$A$6:$B$38,2,FALSE)</f>
        <v>1.6161557760803764E-2</v>
      </c>
      <c r="J534">
        <f>($B$1+Table4[[#This Row],[Home Differential]])-Table4[[#This Row],[Away Differential]]</f>
        <v>0.27166841745994885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0.536216700721038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0.28752835013215522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-6.6683170548020518E-2</v>
      </c>
      <c r="H535" t="s">
        <v>17</v>
      </c>
      <c r="I535">
        <f>VLOOKUP(Table4[[#This Row],[Visitor]],'NHL Model'!$A$6:$B$38,2,FALSE)</f>
        <v>0.16838500200194736</v>
      </c>
      <c r="J535">
        <f>($B$1+Table4[[#This Row],[Home Differential]])-Table4[[#This Row],[Away Differential]]</f>
        <v>-0.16644335242966529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0.46424104562681434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0.28703765719104923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8.4418744674710666E-2</v>
      </c>
      <c r="H536" t="s">
        <v>27</v>
      </c>
      <c r="I536">
        <f>VLOOKUP(Table4[[#This Row],[Visitor]],'NHL Model'!$A$6:$B$38,2,FALSE)</f>
        <v>0.24261452474052697</v>
      </c>
      <c r="J536">
        <f>($B$1+Table4[[#This Row],[Home Differential]])-Table4[[#This Row],[Away Differential]]</f>
        <v>-8.9570959945513701E-2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0.43679159700490999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0.19078689921409969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-0.16769781981623849</v>
      </c>
      <c r="H537" t="s">
        <v>34</v>
      </c>
      <c r="I537">
        <f>VLOOKUP(Table4[[#This Row],[Visitor]],'NHL Model'!$A$6:$B$38,2,FALSE)</f>
        <v>0.65260146250136963</v>
      </c>
      <c r="J537">
        <f>($B$1+Table4[[#This Row],[Home Differential]])-Table4[[#This Row],[Away Differential]]</f>
        <v>-0.75167446219730549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0.613341437200003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0.14950484418655921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-0.31883717525004912</v>
      </c>
      <c r="H538" t="s">
        <v>32</v>
      </c>
      <c r="I538">
        <f>VLOOKUP(Table4[[#This Row],[Visitor]],'NHL Model'!$A$6:$B$38,2,FALSE)</f>
        <v>-0.35878259596109546</v>
      </c>
      <c r="J538">
        <f>($B$1+Table4[[#This Row],[Home Differential]])-Table4[[#This Row],[Away Differential]]</f>
        <v>0.10857024083134897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0.58244881155803097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0.17434899496930073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-6.5759726104743493E-3</v>
      </c>
      <c r="H539" t="s">
        <v>10</v>
      </c>
      <c r="I539">
        <f>VLOOKUP(Table4[[#This Row],[Visitor]],'NHL Model'!$A$6:$B$38,2,FALSE)</f>
        <v>-0.45443544272009573</v>
      </c>
      <c r="J539">
        <f>($B$1+Table4[[#This Row],[Home Differential]])-Table4[[#This Row],[Away Differential]]</f>
        <v>0.51648429022992404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0.59665469718312736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0.16268743330443469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5.0237013717083105E-2</v>
      </c>
      <c r="H540" t="s">
        <v>14</v>
      </c>
      <c r="I540">
        <f>VLOOKUP(Table4[[#This Row],[Visitor]],'NHL Model'!$A$6:$B$38,2,FALSE)</f>
        <v>-0.10173040746987846</v>
      </c>
      <c r="J540">
        <f>($B$1+Table4[[#This Row],[Home Differential]])-Table4[[#This Row],[Away Differential]]</f>
        <v>0.22059224130726418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0.55690769909231186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0.19633078712366925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-0.21661915454261307</v>
      </c>
      <c r="H541" t="s">
        <v>39</v>
      </c>
      <c r="I541">
        <f>VLOOKUP(Table4[[#This Row],[Visitor]],'NHL Model'!$A$6:$B$38,2,FALSE)</f>
        <v>0.92184375119443818</v>
      </c>
      <c r="J541">
        <f>($B$1+Table4[[#This Row],[Home Differential]])-Table4[[#This Row],[Away Differential]]</f>
        <v>-1.0698380856167486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0.66357220738634659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0.11318365964289538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-0.91735746943655616</v>
      </c>
      <c r="H542" t="s">
        <v>15</v>
      </c>
      <c r="I542">
        <f>VLOOKUP(Table4[[#This Row],[Visitor]],'NHL Model'!$A$6:$B$38,2,FALSE)</f>
        <v>5.9615189993428262E-2</v>
      </c>
      <c r="J542">
        <f>($B$1+Table4[[#This Row],[Home Differential]])-Table4[[#This Row],[Away Differential]]</f>
        <v>-0.90834783930968188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0.62954096450575014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0.13723989697932987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0.77383710114582016</v>
      </c>
      <c r="H543" t="s">
        <v>13</v>
      </c>
      <c r="I543">
        <f>VLOOKUP(Table4[[#This Row],[Visitor]],'NHL Model'!$A$6:$B$38,2,FALSE)</f>
        <v>3.852494182308655E-2</v>
      </c>
      <c r="J543">
        <f>($B$1+Table4[[#This Row],[Home Differential]])-Table4[[#This Row],[Away Differential]]</f>
        <v>0.80393697944303621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0.60038135914419799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0.36045777640783444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0.44906822732121116</v>
      </c>
      <c r="H544" t="s">
        <v>19</v>
      </c>
      <c r="I544">
        <f>VLOOKUP(Table4[[#This Row],[Visitor]],'NHL Model'!$A$6:$B$38,2,FALSE)</f>
        <v>-0.12942754353881131</v>
      </c>
      <c r="J544">
        <f>($B$1+Table4[[#This Row],[Home Differential]])-Table4[[#This Row],[Away Differential]]</f>
        <v>0.64712059098032504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0.61553903680935662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0.14781023221747724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-4.3195749724159979E-4</v>
      </c>
      <c r="H545" t="s">
        <v>39</v>
      </c>
      <c r="I545">
        <f>VLOOKUP(Table4[[#This Row],[Visitor]],'NHL Model'!$A$6:$B$38,2,FALSE)</f>
        <v>0.92184375119443818</v>
      </c>
      <c r="J545">
        <f>($B$1+Table4[[#This Row],[Home Differential]])-Table4[[#This Row],[Away Differential]]</f>
        <v>-0.85365088857137716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0.60082636198939066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0.15933959328262498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1.8165919516425306</v>
      </c>
      <c r="H546" t="s">
        <v>40</v>
      </c>
      <c r="I546">
        <f>VLOOKUP(Table4[[#This Row],[Visitor]],'NHL Model'!$A$6:$B$38,2,FALSE)</f>
        <v>-5.9925012095478535E-2</v>
      </c>
      <c r="J546">
        <f>($B$1+Table4[[#This Row],[Home Differential]])-Table4[[#This Row],[Away Differential]]</f>
        <v>1.9451417838583118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0.87234696792209909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1.6295296598681598E-2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0.24167918475059574</v>
      </c>
      <c r="H547" t="s">
        <v>25</v>
      </c>
      <c r="I547">
        <f>VLOOKUP(Table4[[#This Row],[Visitor]],'NHL Model'!$A$6:$B$38,2,FALSE)</f>
        <v>0.64590845617425174</v>
      </c>
      <c r="J547">
        <f>($B$1+Table4[[#This Row],[Home Differential]])-Table4[[#This Row],[Away Differential]]</f>
        <v>-0.33560445130335337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0.55632063679584842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0.30949265092493827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0.28840991013146466</v>
      </c>
      <c r="H548" t="s">
        <v>38</v>
      </c>
      <c r="I548">
        <f>VLOOKUP(Table4[[#This Row],[Visitor]],'NHL Model'!$A$6:$B$38,2,FALSE)</f>
        <v>-0.41225364678728776</v>
      </c>
      <c r="J548">
        <f>($B$1+Table4[[#This Row],[Home Differential]])-Table4[[#This Row],[Away Differential]]</f>
        <v>0.76928837703905506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0.59601343596978462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0.35523201585650854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0.17839230571314843</v>
      </c>
      <c r="H549" t="s">
        <v>24</v>
      </c>
      <c r="I549">
        <f>VLOOKUP(Table4[[#This Row],[Visitor]],'NHL Model'!$A$6:$B$38,2,FALSE)</f>
        <v>1.6161557760803764E-2</v>
      </c>
      <c r="J549">
        <f>($B$1+Table4[[#This Row],[Home Differential]])-Table4[[#This Row],[Away Differential]]</f>
        <v>0.23085556807264726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0.5317398179446251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0.28274723398778306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-4.3195749724159979E-4</v>
      </c>
      <c r="H550" t="s">
        <v>28</v>
      </c>
      <c r="I550">
        <f>VLOOKUP(Table4[[#This Row],[Visitor]],'NHL Model'!$A$6:$B$38,2,FALSE)</f>
        <v>-0.16769781981623849</v>
      </c>
      <c r="J550">
        <f>($B$1+Table4[[#This Row],[Home Differential]])-Table4[[#This Row],[Away Differential]]</f>
        <v>0.2358906824392995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0.60446764277969911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0.1564458456082477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-6.6683170548020518E-2</v>
      </c>
      <c r="H551" t="s">
        <v>38</v>
      </c>
      <c r="I551">
        <f>VLOOKUP(Table4[[#This Row],[Visitor]],'NHL Model'!$A$6:$B$38,2,FALSE)</f>
        <v>-0.41225364678728776</v>
      </c>
      <c r="J551">
        <f>($B$1+Table4[[#This Row],[Home Differential]])-Table4[[#This Row],[Away Differential]]</f>
        <v>0.41419529635956986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0.55706222034081709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0.31031831733104104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8.4418744674710666E-2</v>
      </c>
      <c r="H552" t="s">
        <v>30</v>
      </c>
      <c r="I552">
        <f>VLOOKUP(Table4[[#This Row],[Visitor]],'NHL Model'!$A$6:$B$38,2,FALSE)</f>
        <v>0.28840991013146466</v>
      </c>
      <c r="J552">
        <f>($B$1+Table4[[#This Row],[Home Differential]])-Table4[[#This Row],[Away Differential]]</f>
        <v>-0.13536634533645139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0.45670920194893128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0.20858329514482968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-0.31883717525004912</v>
      </c>
      <c r="H553" t="s">
        <v>20</v>
      </c>
      <c r="I553">
        <f>VLOOKUP(Table4[[#This Row],[Visitor]],'NHL Model'!$A$6:$B$38,2,FALSE)</f>
        <v>0.21920515510044997</v>
      </c>
      <c r="J553">
        <f>($B$1+Table4[[#This Row],[Home Differential]])-Table4[[#This Row],[Away Differential]]</f>
        <v>-0.46941751023019646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0.50149180216635469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0.25149402764005824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0.24167918475059574</v>
      </c>
      <c r="H554" t="s">
        <v>35</v>
      </c>
      <c r="I554">
        <f>VLOOKUP(Table4[[#This Row],[Visitor]],'NHL Model'!$A$6:$B$38,2,FALSE)</f>
        <v>-0.91735746943655616</v>
      </c>
      <c r="J554">
        <f>($B$1+Table4[[#This Row],[Home Differential]])-Table4[[#This Row],[Away Differential]]</f>
        <v>1.2276614743074545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0.68598051012121963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0.47056926026616869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0.65260146250136963</v>
      </c>
      <c r="H555" t="s">
        <v>17</v>
      </c>
      <c r="I555">
        <f>VLOOKUP(Table4[[#This Row],[Visitor]],'NHL Model'!$A$6:$B$38,2,FALSE)</f>
        <v>0.16838500200194736</v>
      </c>
      <c r="J555">
        <f>($B$1+Table4[[#This Row],[Home Differential]])-Table4[[#This Row],[Away Differential]]</f>
        <v>0.55284128061972482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0.62292654056409213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0.14218439381096326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-6.5759726104743493E-3</v>
      </c>
      <c r="H556" t="s">
        <v>14</v>
      </c>
      <c r="I556">
        <f>VLOOKUP(Table4[[#This Row],[Visitor]],'NHL Model'!$A$6:$B$38,2,FALSE)</f>
        <v>-0.10173040746987846</v>
      </c>
      <c r="J556">
        <f>($B$1+Table4[[#This Row],[Home Differential]])-Table4[[#This Row],[Away Differential]]</f>
        <v>0.16377925497970672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0.55067571373023227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0.20189231423183618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-0.30501317799182315</v>
      </c>
      <c r="H557" t="s">
        <v>19</v>
      </c>
      <c r="I557">
        <f>VLOOKUP(Table4[[#This Row],[Visitor]],'NHL Model'!$A$6:$B$38,2,FALSE)</f>
        <v>-0.12942754353881131</v>
      </c>
      <c r="J557">
        <f>($B$1+Table4[[#This Row],[Home Differential]])-Table4[[#This Row],[Away Differential]]</f>
        <v>-0.10696081433270924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0.47173284969380713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0.22253188148024003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5.9615189993428262E-2</v>
      </c>
      <c r="H558" t="s">
        <v>27</v>
      </c>
      <c r="I558">
        <f>VLOOKUP(Table4[[#This Row],[Visitor]],'NHL Model'!$A$6:$B$38,2,FALSE)</f>
        <v>0.24261452474052697</v>
      </c>
      <c r="J558">
        <f>($B$1+Table4[[#This Row],[Home Differential]])-Table4[[#This Row],[Away Differential]]</f>
        <v>-0.1143745146267961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0.47820382207822754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0.2286788954502251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5.0237013717083105E-2</v>
      </c>
      <c r="H559" t="s">
        <v>10</v>
      </c>
      <c r="I559">
        <f>VLOOKUP(Table4[[#This Row],[Visitor]],'NHL Model'!$A$6:$B$38,2,FALSE)</f>
        <v>-0.45443544272009573</v>
      </c>
      <c r="J559">
        <f>($B$1+Table4[[#This Row],[Home Differential]])-Table4[[#This Row],[Away Differential]]</f>
        <v>0.57329727655748142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0.60288668254520694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0.15769898689995124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-0.21661915454261307</v>
      </c>
      <c r="H560" t="s">
        <v>32</v>
      </c>
      <c r="I560">
        <f>VLOOKUP(Table4[[#This Row],[Visitor]],'NHL Model'!$A$6:$B$38,2,FALSE)</f>
        <v>-0.35878259596109546</v>
      </c>
      <c r="J560">
        <f>($B$1+Table4[[#This Row],[Home Differential]])-Table4[[#This Row],[Away Differential]]</f>
        <v>0.21078826153878499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0.56312199103272131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0.31710637678465625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0.77383710114582016</v>
      </c>
      <c r="H561" t="s">
        <v>25</v>
      </c>
      <c r="I561">
        <f>VLOOKUP(Table4[[#This Row],[Visitor]],'NHL Model'!$A$6:$B$38,2,FALSE)</f>
        <v>0.64590845617425174</v>
      </c>
      <c r="J561">
        <f>($B$1+Table4[[#This Row],[Home Differential]])-Table4[[#This Row],[Away Differential]]</f>
        <v>0.19655346509187099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0.49524474442003219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0.2547778680355986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0.44906822732121116</v>
      </c>
      <c r="H562" t="s">
        <v>26</v>
      </c>
      <c r="I562">
        <f>VLOOKUP(Table4[[#This Row],[Visitor]],'NHL Model'!$A$6:$B$38,2,FALSE)</f>
        <v>-8.7991118744577684E-2</v>
      </c>
      <c r="J562">
        <f>($B$1+Table4[[#This Row],[Home Differential]])-Table4[[#This Row],[Away Differential]]</f>
        <v>0.60568416618609144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0.57744174173504303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0.33343896509800014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-6.6683170548020518E-2</v>
      </c>
      <c r="H563" t="s">
        <v>36</v>
      </c>
      <c r="I563">
        <f>VLOOKUP(Table4[[#This Row],[Visitor]],'NHL Model'!$A$6:$B$38,2,FALSE)</f>
        <v>5.0237013717083105E-2</v>
      </c>
      <c r="J563">
        <f>($B$1+Table4[[#This Row],[Home Differential]])-Table4[[#This Row],[Away Differential]]</f>
        <v>-4.8295364144801019E-2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0.47196432873060767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0.27882167013291775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0.92184375119443818</v>
      </c>
      <c r="H564" t="s">
        <v>19</v>
      </c>
      <c r="I564">
        <f>VLOOKUP(Table4[[#This Row],[Visitor]],'NHL Model'!$A$6:$B$38,2,FALSE)</f>
        <v>-0.12942754353881131</v>
      </c>
      <c r="J564">
        <f>($B$1+Table4[[#This Row],[Home Differential]])-Table4[[#This Row],[Away Differential]]</f>
        <v>1.119896114853552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0.70143682660399986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8.9139968508290049E-2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-8.7991118744577684E-2</v>
      </c>
      <c r="H565" t="s">
        <v>22</v>
      </c>
      <c r="I565">
        <f>VLOOKUP(Table4[[#This Row],[Visitor]],'NHL Model'!$A$6:$B$38,2,FALSE)</f>
        <v>0.44906822732121116</v>
      </c>
      <c r="J565">
        <f>($B$1+Table4[[#This Row],[Home Differential]])-Table4[[#This Row],[Away Differential]]</f>
        <v>-0.46843452594548624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0.48487021423009102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0.23509912464753435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0.16838500200194736</v>
      </c>
      <c r="H566" t="s">
        <v>20</v>
      </c>
      <c r="I566">
        <f>VLOOKUP(Table4[[#This Row],[Visitor]],'NHL Model'!$A$6:$B$38,2,FALSE)</f>
        <v>0.21920515510044997</v>
      </c>
      <c r="J566">
        <f>($B$1+Table4[[#This Row],[Home Differential]])-Table4[[#This Row],[Away Differential]]</f>
        <v>1.7804667021800002E-2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0.55750860241031552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0.19579863694087221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0.65260146250136963</v>
      </c>
      <c r="H567" t="s">
        <v>12</v>
      </c>
      <c r="I567">
        <f>VLOOKUP(Table4[[#This Row],[Visitor]],'NHL Model'!$A$6:$B$38,2,FALSE)</f>
        <v>1.8165919516425306</v>
      </c>
      <c r="J567">
        <f>($B$1+Table4[[#This Row],[Home Differential]])-Table4[[#This Row],[Away Differential]]</f>
        <v>-1.0953656690208584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0.64396344031208419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0.12676203183440685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1.6161557760803764E-2</v>
      </c>
      <c r="H568" t="s">
        <v>23</v>
      </c>
      <c r="I568">
        <f>VLOOKUP(Table4[[#This Row],[Visitor]],'NHL Model'!$A$6:$B$38,2,FALSE)</f>
        <v>8.4418744674710666E-2</v>
      </c>
      <c r="J568">
        <f>($B$1+Table4[[#This Row],[Home Differential]])-Table4[[#This Row],[Away Differential]]</f>
        <v>3.676332063956983E-4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0.5400403267792977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0.29164355454789065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-0.30501317799182315</v>
      </c>
      <c r="H569" t="s">
        <v>15</v>
      </c>
      <c r="I569">
        <f>VLOOKUP(Table4[[#This Row],[Visitor]],'NHL Model'!$A$6:$B$38,2,FALSE)</f>
        <v>5.9615189993428262E-2</v>
      </c>
      <c r="J569">
        <f>($B$1+Table4[[#This Row],[Home Differential]])-Table4[[#This Row],[Away Differential]]</f>
        <v>-0.29600354786494881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0.56237109881985659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0.31626125278785289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-0.10173040746987846</v>
      </c>
      <c r="H570" t="s">
        <v>18</v>
      </c>
      <c r="I570">
        <f>VLOOKUP(Table4[[#This Row],[Visitor]],'NHL Model'!$A$6:$B$38,2,FALSE)</f>
        <v>-6.5759726104743493E-3</v>
      </c>
      <c r="J570">
        <f>($B$1+Table4[[#This Row],[Home Differential]])-Table4[[#This Row],[Away Differential]]</f>
        <v>-2.6529614739101509E-2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0.5100095037878436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0.26010969395392247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0.17839230571314843</v>
      </c>
      <c r="H571" t="s">
        <v>40</v>
      </c>
      <c r="I571">
        <f>VLOOKUP(Table4[[#This Row],[Visitor]],'NHL Model'!$A$6:$B$38,2,FALSE)</f>
        <v>-5.9925012095478535E-2</v>
      </c>
      <c r="J571">
        <f>($B$1+Table4[[#This Row],[Home Differential]])-Table4[[#This Row],[Away Differential]]</f>
        <v>0.30694213792892955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0.57366939557709262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0.18175778426760153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-4.3195749724159979E-4</v>
      </c>
      <c r="H572" t="s">
        <v>32</v>
      </c>
      <c r="I572">
        <f>VLOOKUP(Table4[[#This Row],[Visitor]],'NHL Model'!$A$6:$B$38,2,FALSE)</f>
        <v>-0.35878259596109546</v>
      </c>
      <c r="J572">
        <f>($B$1+Table4[[#This Row],[Home Differential]])-Table4[[#This Row],[Away Differential]]</f>
        <v>0.42697545858415648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0.62542829992567572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0.39116055834792096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3.852494182308655E-2</v>
      </c>
      <c r="H573" t="s">
        <v>28</v>
      </c>
      <c r="I573">
        <f>VLOOKUP(Table4[[#This Row],[Visitor]],'NHL Model'!$A$6:$B$38,2,FALSE)</f>
        <v>-0.16769781981623849</v>
      </c>
      <c r="J573">
        <f>($B$1+Table4[[#This Row],[Home Differential]])-Table4[[#This Row],[Away Differential]]</f>
        <v>0.27484758175962765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0.57014884830122248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0.32506970921921041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0.24261452474052697</v>
      </c>
      <c r="H574" t="s">
        <v>38</v>
      </c>
      <c r="I574">
        <f>VLOOKUP(Table4[[#This Row],[Visitor]],'NHL Model'!$A$6:$B$38,2,FALSE)</f>
        <v>-0.41225364678728776</v>
      </c>
      <c r="J574">
        <f>($B$1+Table4[[#This Row],[Home Differential]])-Table4[[#This Row],[Away Differential]]</f>
        <v>0.72349299164811742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0.5814367858271472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0.17519516425870946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0.77383710114582016</v>
      </c>
      <c r="H575" t="s">
        <v>35</v>
      </c>
      <c r="I575">
        <f>VLOOKUP(Table4[[#This Row],[Visitor]],'NHL Model'!$A$6:$B$38,2,FALSE)</f>
        <v>-0.91735746943655616</v>
      </c>
      <c r="J575">
        <f>($B$1+Table4[[#This Row],[Home Differential]])-Table4[[#This Row],[Away Differential]]</f>
        <v>1.7598193907026789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0.73759427594593474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6.8856764016338237E-2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-6.6683170548020518E-2</v>
      </c>
      <c r="H576" t="s">
        <v>18</v>
      </c>
      <c r="I576">
        <f>VLOOKUP(Table4[[#This Row],[Visitor]],'NHL Model'!$A$6:$B$38,2,FALSE)</f>
        <v>-6.5759726104743493E-3</v>
      </c>
      <c r="J576">
        <f>($B$1+Table4[[#This Row],[Home Differential]])-Table4[[#This Row],[Away Differential]]</f>
        <v>8.5176221827564357E-3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0.50797657681926522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0.25804020259701888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0.64590845617425174</v>
      </c>
      <c r="H577" t="s">
        <v>11</v>
      </c>
      <c r="I577">
        <f>VLOOKUP(Table4[[#This Row],[Visitor]],'NHL Model'!$A$6:$B$38,2,FALSE)</f>
        <v>0.24167918475059574</v>
      </c>
      <c r="J577">
        <f>($B$1+Table4[[#This Row],[Home Differential]])-Table4[[#This Row],[Away Differential]]</f>
        <v>0.47285409154395858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0.60116454563470645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0.36139881092818305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-0.45443544272009573</v>
      </c>
      <c r="H578" t="s">
        <v>27</v>
      </c>
      <c r="I578">
        <f>VLOOKUP(Table4[[#This Row],[Visitor]],'NHL Model'!$A$6:$B$38,2,FALSE)</f>
        <v>0.24261452474052697</v>
      </c>
      <c r="J578">
        <f>($B$1+Table4[[#This Row],[Home Differential]])-Table4[[#This Row],[Away Differential]]</f>
        <v>-0.62842514734032018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0.53459156413368258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0.2166050121755321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1.8165919516425306</v>
      </c>
      <c r="H579" t="s">
        <v>55</v>
      </c>
      <c r="I579">
        <f>VLOOKUP(Table4[[#This Row],[Visitor]],'NHL Model'!$A$6:$B$38,2,FALSE)</f>
        <v>0.17839230571314843</v>
      </c>
      <c r="J579">
        <f>($B$1+Table4[[#This Row],[Home Differential]])-Table4[[#This Row],[Away Differential]]</f>
        <v>1.7068244660496847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0.8462052328696501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2.3652830396678554E-2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-8.7991118744577684E-2</v>
      </c>
      <c r="H580" t="s">
        <v>39</v>
      </c>
      <c r="I580">
        <f>VLOOKUP(Table4[[#This Row],[Visitor]],'NHL Model'!$A$6:$B$38,2,FALSE)</f>
        <v>0.92184375119443818</v>
      </c>
      <c r="J580">
        <f>($B$1+Table4[[#This Row],[Home Differential]])-Table4[[#This Row],[Away Differential]]</f>
        <v>-0.94121004981871326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0.61543925031465363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0.37876547082786288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0.16838500200194736</v>
      </c>
      <c r="H581" t="s">
        <v>16</v>
      </c>
      <c r="I581">
        <f>VLOOKUP(Table4[[#This Row],[Visitor]],'NHL Model'!$A$6:$B$38,2,FALSE)</f>
        <v>-0.31883717525004912</v>
      </c>
      <c r="J581">
        <f>($B$1+Table4[[#This Row],[Home Differential]])-Table4[[#This Row],[Away Differential]]</f>
        <v>0.55584699737229903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0.63700937590520523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0.1317621931807286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3.852494182308655E-2</v>
      </c>
      <c r="H582" t="s">
        <v>32</v>
      </c>
      <c r="I582">
        <f>VLOOKUP(Table4[[#This Row],[Visitor]],'NHL Model'!$A$6:$B$38,2,FALSE)</f>
        <v>-0.35878259596109546</v>
      </c>
      <c r="J582">
        <f>($B$1+Table4[[#This Row],[Home Differential]])-Table4[[#This Row],[Away Differential]]</f>
        <v>0.46593235790448462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0.5911095054471992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0.34941044743003241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0.65260146250136963</v>
      </c>
      <c r="H583" t="s">
        <v>29</v>
      </c>
      <c r="I583">
        <f>VLOOKUP(Table4[[#This Row],[Visitor]],'NHL Model'!$A$6:$B$38,2,FALSE)</f>
        <v>-0.30501317799182315</v>
      </c>
      <c r="J583">
        <f>($B$1+Table4[[#This Row],[Home Differential]])-Table4[[#This Row],[Away Differential]]</f>
        <v>1.0262394606134952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0.67485499423041961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0.45542926323773969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0.28840991013146466</v>
      </c>
      <c r="H584" t="s">
        <v>24</v>
      </c>
      <c r="I584">
        <f>VLOOKUP(Table4[[#This Row],[Visitor]],'NHL Model'!$A$6:$B$38,2,FALSE)</f>
        <v>1.6161557760803764E-2</v>
      </c>
      <c r="J584">
        <f>($B$1+Table4[[#This Row],[Home Differential]])-Table4[[#This Row],[Away Differential]]</f>
        <v>0.34087317249096349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0.55793933683276453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0.19541762991985601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5.0237013717083105E-2</v>
      </c>
      <c r="H585" t="s">
        <v>23</v>
      </c>
      <c r="I585">
        <f>VLOOKUP(Table4[[#This Row],[Visitor]],'NHL Model'!$A$6:$B$38,2,FALSE)</f>
        <v>8.4418744674710666E-2</v>
      </c>
      <c r="J585">
        <f>($B$1+Table4[[#This Row],[Home Differential]])-Table4[[#This Row],[Away Differential]]</f>
        <v>3.444308916267505E-2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0.54377816484155628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0.29569469255845077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-0.12942754353881131</v>
      </c>
      <c r="H586" t="s">
        <v>14</v>
      </c>
      <c r="I586">
        <f>VLOOKUP(Table4[[#This Row],[Visitor]],'NHL Model'!$A$6:$B$38,2,FALSE)</f>
        <v>-0.10173040746987846</v>
      </c>
      <c r="J586">
        <f>($B$1+Table4[[#This Row],[Home Differential]])-Table4[[#This Row],[Away Differential]]</f>
        <v>4.0927684051369762E-2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0.53970074693772507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0.21187540236968821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0.21920515510044997</v>
      </c>
      <c r="H587" t="s">
        <v>33</v>
      </c>
      <c r="I587">
        <f>VLOOKUP(Table4[[#This Row],[Visitor]],'NHL Model'!$A$6:$B$38,2,FALSE)</f>
        <v>-0.21661915454261307</v>
      </c>
      <c r="J587">
        <f>($B$1+Table4[[#This Row],[Home Differential]])-Table4[[#This Row],[Away Differential]]</f>
        <v>0.50444912976336564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0.58804480502764633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0.16970708266470994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0.44906822732121116</v>
      </c>
      <c r="H588" t="s">
        <v>15</v>
      </c>
      <c r="I588">
        <f>VLOOKUP(Table4[[#This Row],[Visitor]],'NHL Model'!$A$6:$B$38,2,FALSE)</f>
        <v>5.9615189993428262E-2</v>
      </c>
      <c r="J588">
        <f>($B$1+Table4[[#This Row],[Home Differential]])-Table4[[#This Row],[Away Differential]]</f>
        <v>0.45807785744808555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0.52491959173615266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0.2755405777884492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8.4418744674710666E-2</v>
      </c>
      <c r="H589" t="s">
        <v>21</v>
      </c>
      <c r="I589">
        <f>VLOOKUP(Table4[[#This Row],[Visitor]],'NHL Model'!$A$6:$B$38,2,FALSE)</f>
        <v>-6.6683170548020518E-2</v>
      </c>
      <c r="J589">
        <f>($B$1+Table4[[#This Row],[Home Differential]])-Table4[[#This Row],[Away Differential]]</f>
        <v>0.21972673534303377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0.60269457137105009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0.1578516036180336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0.64590845617425174</v>
      </c>
      <c r="H590" t="s">
        <v>26</v>
      </c>
      <c r="I590">
        <f>VLOOKUP(Table4[[#This Row],[Visitor]],'NHL Model'!$A$6:$B$38,2,FALSE)</f>
        <v>-8.7991118744577684E-2</v>
      </c>
      <c r="J590">
        <f>($B$1+Table4[[#This Row],[Home Differential]])-Table4[[#This Row],[Away Differential]]</f>
        <v>0.80252439503913198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0.6406039935455522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0.12916548945540549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-0.31883717525004912</v>
      </c>
      <c r="H591" t="s">
        <v>17</v>
      </c>
      <c r="I591">
        <f>VLOOKUP(Table4[[#This Row],[Visitor]],'NHL Model'!$A$6:$B$38,2,FALSE)</f>
        <v>0.16838500200194736</v>
      </c>
      <c r="J591">
        <f>($B$1+Table4[[#This Row],[Home Differential]])-Table4[[#This Row],[Away Differential]]</f>
        <v>-0.41859735713169388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0.47537776940933424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0.22598402364859416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0.92184375119443818</v>
      </c>
      <c r="H592" t="s">
        <v>10</v>
      </c>
      <c r="I592">
        <f>VLOOKUP(Table4[[#This Row],[Visitor]],'NHL Model'!$A$6:$B$38,2,FALSE)</f>
        <v>-0.45443544272009573</v>
      </c>
      <c r="J592">
        <f>($B$1+Table4[[#This Row],[Home Differential]])-Table4[[#This Row],[Away Differential]]</f>
        <v>1.4449040140348366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0.73708790923817458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0.5432985859451035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0.24167918475059574</v>
      </c>
      <c r="H593" t="s">
        <v>37</v>
      </c>
      <c r="I593">
        <f>VLOOKUP(Table4[[#This Row],[Visitor]],'NHL Model'!$A$6:$B$38,2,FALSE)</f>
        <v>0.77383710114582016</v>
      </c>
      <c r="J593">
        <f>($B$1+Table4[[#This Row],[Home Differential]])-Table4[[#This Row],[Away Differential]]</f>
        <v>-0.46353309627492179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0.57035351016492131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0.18459610622760439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3.852494182308655E-2</v>
      </c>
      <c r="H594" t="s">
        <v>31</v>
      </c>
      <c r="I594">
        <f>VLOOKUP(Table4[[#This Row],[Visitor]],'NHL Model'!$A$6:$B$38,2,FALSE)</f>
        <v>-4.3195749724159979E-4</v>
      </c>
      <c r="J594">
        <f>($B$1+Table4[[#This Row],[Home Differential]])-Table4[[#This Row],[Away Differential]]</f>
        <v>0.10758171944063076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0.55180095862090173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0.20088238069314265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1.6161557760803764E-2</v>
      </c>
      <c r="H595" t="s">
        <v>22</v>
      </c>
      <c r="I595">
        <f>VLOOKUP(Table4[[#This Row],[Visitor]],'NHL Model'!$A$6:$B$38,2,FALSE)</f>
        <v>0.44906822732121116</v>
      </c>
      <c r="J595">
        <f>($B$1+Table4[[#This Row],[Home Differential]])-Table4[[#This Row],[Away Differential]]</f>
        <v>-0.36428184944010478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0.50724887861656298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0.24280366762463468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0.28840991013146466</v>
      </c>
      <c r="H596" t="s">
        <v>15</v>
      </c>
      <c r="I596">
        <f>VLOOKUP(Table4[[#This Row],[Visitor]],'NHL Model'!$A$6:$B$38,2,FALSE)</f>
        <v>5.9615189993428262E-2</v>
      </c>
      <c r="J596">
        <f>($B$1+Table4[[#This Row],[Home Differential]])-Table4[[#This Row],[Away Differential]]</f>
        <v>0.297419540258339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0.51683535984592432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0.23344806949521743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-0.91735746943655616</v>
      </c>
      <c r="H597" t="s">
        <v>29</v>
      </c>
      <c r="I597">
        <f>VLOOKUP(Table4[[#This Row],[Visitor]],'NHL Model'!$A$6:$B$38,2,FALSE)</f>
        <v>-0.30501317799182315</v>
      </c>
      <c r="J597">
        <f>($B$1+Table4[[#This Row],[Home Differential]])-Table4[[#This Row],[Away Differential]]</f>
        <v>-0.54371947132443044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0.51964220516125004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0.27002802138484666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-0.12942754353881131</v>
      </c>
      <c r="H598" t="s">
        <v>36</v>
      </c>
      <c r="I598">
        <f>VLOOKUP(Table4[[#This Row],[Visitor]],'NHL Model'!$A$6:$B$38,2,FALSE)</f>
        <v>5.0237013717083105E-2</v>
      </c>
      <c r="J598">
        <f>($B$1+Table4[[#This Row],[Home Differential]])-Table4[[#This Row],[Away Differential]]</f>
        <v>-0.11103973713559182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0.49044114842696263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0.240532520070358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-0.41225364678728776</v>
      </c>
      <c r="H599" t="s">
        <v>33</v>
      </c>
      <c r="I599">
        <f>VLOOKUP(Table4[[#This Row],[Visitor]],'NHL Model'!$A$6:$B$38,2,FALSE)</f>
        <v>-0.21661915454261307</v>
      </c>
      <c r="J599">
        <f>($B$1+Table4[[#This Row],[Home Differential]])-Table4[[#This Row],[Away Differential]]</f>
        <v>-0.12700967212437206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0.48122178813173938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0.26913083310922997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0.21920515510044997</v>
      </c>
      <c r="H600" t="s">
        <v>12</v>
      </c>
      <c r="I600">
        <f>VLOOKUP(Table4[[#This Row],[Visitor]],'NHL Model'!$A$6:$B$38,2,FALSE)</f>
        <v>1.8165919516425306</v>
      </c>
      <c r="J600">
        <f>($B$1+Table4[[#This Row],[Home Differential]])-Table4[[#This Row],[Away Differential]]</f>
        <v>-1.5287619764217779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0.71391293324286198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8.1845809765703145E-2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-5.9925012095478535E-2</v>
      </c>
      <c r="H601" t="s">
        <v>34</v>
      </c>
      <c r="I601">
        <f>VLOOKUP(Table4[[#This Row],[Visitor]],'NHL Model'!$A$6:$B$38,2,FALSE)</f>
        <v>0.65260146250136963</v>
      </c>
      <c r="J601">
        <f>($B$1+Table4[[#This Row],[Home Differential]])-Table4[[#This Row],[Away Differential]]</f>
        <v>-0.64390165447654557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0.60151951753759292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0.15878669490347272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-0.16769781981623849</v>
      </c>
      <c r="H602" t="s">
        <v>30</v>
      </c>
      <c r="I602">
        <f>VLOOKUP(Table4[[#This Row],[Visitor]],'NHL Model'!$A$6:$B$38,2,FALSE)</f>
        <v>0.28840991013146466</v>
      </c>
      <c r="J602">
        <f>($B$1+Table4[[#This Row],[Home Differential]])-Table4[[#This Row],[Away Differential]]</f>
        <v>-0.38748290982740052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0.52327338304487048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0.27381503340322372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-0.45443544272009573</v>
      </c>
      <c r="H603" t="s">
        <v>14</v>
      </c>
      <c r="I603">
        <f>VLOOKUP(Table4[[#This Row],[Visitor]],'NHL Model'!$A$6:$B$38,2,FALSE)</f>
        <v>-0.10173040746987846</v>
      </c>
      <c r="J603">
        <f>($B$1+Table4[[#This Row],[Home Differential]])-Table4[[#This Row],[Away Differential]]</f>
        <v>-0.28408021512991466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0.49845132292825162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0.25155107547242089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-8.7991118744577684E-2</v>
      </c>
      <c r="H604" t="s">
        <v>19</v>
      </c>
      <c r="I604">
        <f>VLOOKUP(Table4[[#This Row],[Visitor]],'NHL Model'!$A$6:$B$38,2,FALSE)</f>
        <v>-0.12942754353881131</v>
      </c>
      <c r="J604">
        <f>($B$1+Table4[[#This Row],[Home Differential]])-Table4[[#This Row],[Away Differential]]</f>
        <v>0.11006124491453623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0.58577109165486807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0.17158558850879971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-0.35878259596109546</v>
      </c>
      <c r="H605" t="s">
        <v>27</v>
      </c>
      <c r="I605">
        <f>VLOOKUP(Table4[[#This Row],[Visitor]],'NHL Model'!$A$6:$B$38,2,FALSE)</f>
        <v>0.24261452474052697</v>
      </c>
      <c r="J605">
        <f>($B$1+Table4[[#This Row],[Home Differential]])-Table4[[#This Row],[Away Differential]]</f>
        <v>-0.53277230058131986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0.52409911901899608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0.27467988655648784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0.77383710114582016</v>
      </c>
      <c r="H606" t="s">
        <v>18</v>
      </c>
      <c r="I606">
        <f>VLOOKUP(Table4[[#This Row],[Visitor]],'NHL Model'!$A$6:$B$38,2,FALSE)</f>
        <v>-6.5759726104743493E-3</v>
      </c>
      <c r="J606">
        <f>($B$1+Table4[[#This Row],[Home Differential]])-Table4[[#This Row],[Away Differential]]</f>
        <v>0.84903789387659712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0.5906209277576665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0.16759122478999372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-4.3195749724159979E-4</v>
      </c>
      <c r="H607" t="s">
        <v>33</v>
      </c>
      <c r="I607">
        <f>VLOOKUP(Table4[[#This Row],[Visitor]],'NHL Model'!$A$6:$B$38,2,FALSE)</f>
        <v>-0.21661915454261307</v>
      </c>
      <c r="J607">
        <f>($B$1+Table4[[#This Row],[Home Differential]])-Table4[[#This Row],[Away Differential]]</f>
        <v>0.28481201716567406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0.60267044827143479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0.36321166921969217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0.64590845617425174</v>
      </c>
      <c r="H608" t="s">
        <v>15</v>
      </c>
      <c r="I608">
        <f>VLOOKUP(Table4[[#This Row],[Visitor]],'NHL Model'!$A$6:$B$38,2,FALSE)</f>
        <v>5.9615189993428262E-2</v>
      </c>
      <c r="J608">
        <f>($B$1+Table4[[#This Row],[Home Differential]])-Table4[[#This Row],[Away Differential]]</f>
        <v>0.65491808630112602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0.58824751111484641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0.16954011210311853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-0.31883717525004912</v>
      </c>
      <c r="H609" t="s">
        <v>21</v>
      </c>
      <c r="I609">
        <f>VLOOKUP(Table4[[#This Row],[Visitor]],'NHL Model'!$A$6:$B$38,2,FALSE)</f>
        <v>-6.6683170548020518E-2</v>
      </c>
      <c r="J609">
        <f>($B$1+Table4[[#This Row],[Home Differential]])-Table4[[#This Row],[Away Differential]]</f>
        <v>-0.18352918458172596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0.44959244275926152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0.20213336458623984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1.8165919516425306</v>
      </c>
      <c r="H610" t="s">
        <v>13</v>
      </c>
      <c r="I610">
        <f>VLOOKUP(Table4[[#This Row],[Visitor]],'NHL Model'!$A$6:$B$38,2,FALSE)</f>
        <v>3.852494182308655E-2</v>
      </c>
      <c r="J610">
        <f>($B$1+Table4[[#This Row],[Home Differential]])-Table4[[#This Row],[Away Differential]]</f>
        <v>1.8466918299397466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0.83178259975795144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2.829709374419356E-2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0.24167918475059574</v>
      </c>
      <c r="H611" t="s">
        <v>22</v>
      </c>
      <c r="I611">
        <f>VLOOKUP(Table4[[#This Row],[Visitor]],'NHL Model'!$A$6:$B$38,2,FALSE)</f>
        <v>0.44906822732121116</v>
      </c>
      <c r="J611">
        <f>($B$1+Table4[[#This Row],[Home Differential]])-Table4[[#This Row],[Away Differential]]</f>
        <v>-0.13876422245031278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0.47116859663824756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0.22199984645805562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5.0237013717083105E-2</v>
      </c>
      <c r="H612" t="s">
        <v>28</v>
      </c>
      <c r="I612">
        <f>VLOOKUP(Table4[[#This Row],[Visitor]],'NHL Model'!$A$6:$B$38,2,FALSE)</f>
        <v>-0.16769781981623849</v>
      </c>
      <c r="J612">
        <f>($B$1+Table4[[#This Row],[Home Differential]])-Table4[[#This Row],[Away Differential]]</f>
        <v>0.28655965365362424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0.57143358028454383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0.3265363366768122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-0.35878259596109546</v>
      </c>
      <c r="H613" t="s">
        <v>38</v>
      </c>
      <c r="I613">
        <f>VLOOKUP(Table4[[#This Row],[Visitor]],'NHL Model'!$A$6:$B$38,2,FALSE)</f>
        <v>-0.41225364678728776</v>
      </c>
      <c r="J613">
        <f>($B$1+Table4[[#This Row],[Home Differential]])-Table4[[#This Row],[Away Differential]]</f>
        <v>0.12209587094649493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0.51088049623271015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0.26099888143098016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-0.91735746943655616</v>
      </c>
      <c r="H614" t="s">
        <v>23</v>
      </c>
      <c r="I614">
        <f>VLOOKUP(Table4[[#This Row],[Visitor]],'NHL Model'!$A$6:$B$38,2,FALSE)</f>
        <v>8.4418744674710666E-2</v>
      </c>
      <c r="J614">
        <f>($B$1+Table4[[#This Row],[Home Differential]])-Table4[[#This Row],[Away Differential]]</f>
        <v>-0.93315139399096425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0.56236015044917664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0.19152863791486729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0.17839230571314843</v>
      </c>
      <c r="H615" t="s">
        <v>29</v>
      </c>
      <c r="I615">
        <f>VLOOKUP(Table4[[#This Row],[Visitor]],'NHL Model'!$A$6:$B$38,2,FALSE)</f>
        <v>-0.30501317799182315</v>
      </c>
      <c r="J615">
        <f>($B$1+Table4[[#This Row],[Home Differential]])-Table4[[#This Row],[Away Differential]]</f>
        <v>0.55203030382527418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0.60055384508444187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0.36066492084570778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0.21920515510044997</v>
      </c>
      <c r="H616" t="s">
        <v>34</v>
      </c>
      <c r="I616">
        <f>VLOOKUP(Table4[[#This Row],[Visitor]],'NHL Model'!$A$6:$B$38,2,FALSE)</f>
        <v>0.65260146250136963</v>
      </c>
      <c r="J616">
        <f>($B$1+Table4[[#This Row],[Home Differential]])-Table4[[#This Row],[Away Differential]]</f>
        <v>-0.36477148728061703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0.57090089970873104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0.1841260378707765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-5.9925012095478535E-2</v>
      </c>
      <c r="H617" t="s">
        <v>17</v>
      </c>
      <c r="I617">
        <f>VLOOKUP(Table4[[#This Row],[Visitor]],'NHL Model'!$A$6:$B$38,2,FALSE)</f>
        <v>0.16838500200194736</v>
      </c>
      <c r="J617">
        <f>($B$1+Table4[[#This Row],[Home Differential]])-Table4[[#This Row],[Away Differential]]</f>
        <v>-0.1596851939771233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0.47751634363433487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0.27298917116923449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-0.45443544272009573</v>
      </c>
      <c r="H618" t="s">
        <v>30</v>
      </c>
      <c r="I618">
        <f>VLOOKUP(Table4[[#This Row],[Visitor]],'NHL Model'!$A$6:$B$38,2,FALSE)</f>
        <v>0.28840991013146466</v>
      </c>
      <c r="J618">
        <f>($B$1+Table4[[#This Row],[Home Differential]])-Table4[[#This Row],[Away Differential]]</f>
        <v>-0.67422053273125782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0.55472648530553359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O618">
        <v>-0.67422053273125782</v>
      </c>
      <c r="P618" s="11">
        <v>0.55472648530553359</v>
      </c>
      <c r="Q618" t="s">
        <v>30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0.24167918475059574</v>
      </c>
      <c r="H619" t="s">
        <v>18</v>
      </c>
      <c r="I619">
        <f>VLOOKUP(Table4[[#This Row],[Visitor]],'NHL Model'!$A$6:$B$38,2,FALSE)</f>
        <v>-6.5759726104743493E-3</v>
      </c>
      <c r="J619">
        <f>($B$1+Table4[[#This Row],[Home Differential]])-Table4[[#This Row],[Away Differential]]</f>
        <v>0.3168799774813727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0.53906985156807441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O619">
        <v>0.3168799774813727</v>
      </c>
      <c r="P619" s="11">
        <v>0.53906985156807441</v>
      </c>
      <c r="Q619" t="s">
        <v>11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-0.10173040746987846</v>
      </c>
      <c r="H620" t="s">
        <v>25</v>
      </c>
      <c r="I620">
        <f>VLOOKUP(Table4[[#This Row],[Visitor]],'NHL Model'!$A$6:$B$38,2,FALSE)</f>
        <v>0.64590845617425174</v>
      </c>
      <c r="J620">
        <f>($B$1+Table4[[#This Row],[Home Differential]])-Table4[[#This Row],[Away Differential]]</f>
        <v>-0.67901404352382766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0.60537109987316473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O620">
        <v>-0.67901404352382766</v>
      </c>
      <c r="P620" s="11">
        <v>0.60537109987316473</v>
      </c>
      <c r="Q620" t="s">
        <v>25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-0.12942754353881131</v>
      </c>
      <c r="H621" t="s">
        <v>24</v>
      </c>
      <c r="I621">
        <f>VLOOKUP(Table4[[#This Row],[Visitor]],'NHL Model'!$A$6:$B$38,2,FALSE)</f>
        <v>1.6161557760803764E-2</v>
      </c>
      <c r="J621">
        <f>($B$1+Table4[[#This Row],[Home Differential]])-Table4[[#This Row],[Away Differential]]</f>
        <v>-7.6964281179312463E-2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0.49951386937091524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O621">
        <v>-7.6964281179312463E-2</v>
      </c>
      <c r="P621" s="11">
        <v>0.49951386937091524</v>
      </c>
      <c r="Q621" t="s">
        <v>24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-0.41225364678728776</v>
      </c>
      <c r="H622" t="s">
        <v>27</v>
      </c>
      <c r="I622">
        <f>VLOOKUP(Table4[[#This Row],[Visitor]],'NHL Model'!$A$6:$B$38,2,FALSE)</f>
        <v>0.24261452474052697</v>
      </c>
      <c r="J622">
        <f>($B$1+Table4[[#This Row],[Home Differential]])-Table4[[#This Row],[Away Differential]]</f>
        <v>-0.58624335140751205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0.52996451754113305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O622">
        <v>-0.58624335140751205</v>
      </c>
      <c r="P622" s="11">
        <v>0.52996451754113305</v>
      </c>
      <c r="Q622" t="s">
        <v>27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-4.3195749724159979E-4</v>
      </c>
      <c r="H623" t="s">
        <v>37</v>
      </c>
      <c r="I623">
        <f>VLOOKUP(Table4[[#This Row],[Visitor]],'NHL Model'!$A$6:$B$38,2,FALSE)</f>
        <v>0.77383710114582016</v>
      </c>
      <c r="J623">
        <f>($B$1+Table4[[#This Row],[Home Differential]])-Table4[[#This Row],[Away Differential]]</f>
        <v>-0.70564423852275915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0.56916892012230269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-0.16769781981623849</v>
      </c>
      <c r="H624" t="s">
        <v>24</v>
      </c>
      <c r="I624">
        <f>VLOOKUP(Table4[[#This Row],[Visitor]],'NHL Model'!$A$6:$B$38,2,FALSE)</f>
        <v>1.6161557760803764E-2</v>
      </c>
      <c r="J624">
        <f>($B$1+Table4[[#This Row],[Home Differential]])-Table4[[#This Row],[Away Differential]]</f>
        <v>-0.11523455745673965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0.50622383677023419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-0.31883717525004912</v>
      </c>
      <c r="H625" t="s">
        <v>27</v>
      </c>
      <c r="I625">
        <f>VLOOKUP(Table4[[#This Row],[Visitor]],'NHL Model'!$A$6:$B$38,2,FALSE)</f>
        <v>0.24261452474052697</v>
      </c>
      <c r="J625">
        <f>($B$1+Table4[[#This Row],[Home Differential]])-Table4[[#This Row],[Away Differential]]</f>
        <v>-0.49282687987027346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0.48910496273333604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1.8165919516425306</v>
      </c>
      <c r="H626" t="s">
        <v>35</v>
      </c>
      <c r="I626">
        <f>VLOOKUP(Table4[[#This Row],[Visitor]],'NHL Model'!$A$6:$B$38,2,FALSE)</f>
        <v>-0.91735746943655616</v>
      </c>
      <c r="J626">
        <f>($B$1+Table4[[#This Row],[Home Differential]])-Table4[[#This Row],[Away Differential]]</f>
        <v>2.8025742411993892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0.96640128311534179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0.92184375119443818</v>
      </c>
      <c r="H627" t="s">
        <v>23</v>
      </c>
      <c r="I627">
        <f>VLOOKUP(Table4[[#This Row],[Visitor]],'NHL Model'!$A$6:$B$38,2,FALSE)</f>
        <v>8.4418744674710666E-2</v>
      </c>
      <c r="J627">
        <f>($B$1+Table4[[#This Row],[Home Differential]])-Table4[[#This Row],[Away Differential]]</f>
        <v>0.90604982664003009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0.6779793915345238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-8.7991118744577684E-2</v>
      </c>
      <c r="H628" t="s">
        <v>40</v>
      </c>
      <c r="I628">
        <f>VLOOKUP(Table4[[#This Row],[Visitor]],'NHL Model'!$A$6:$B$38,2,FALSE)</f>
        <v>-5.9925012095478535E-2</v>
      </c>
      <c r="J628">
        <f>($B$1+Table4[[#This Row],[Home Differential]])-Table4[[#This Row],[Away Differential]]</f>
        <v>4.0558713471203454E-2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0.57814715236596959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0.16838500200194736</v>
      </c>
      <c r="H629" t="s">
        <v>21</v>
      </c>
      <c r="I629">
        <f>VLOOKUP(Table4[[#This Row],[Visitor]],'NHL Model'!$A$6:$B$38,2,FALSE)</f>
        <v>-6.6683170548020518E-2</v>
      </c>
      <c r="J629">
        <f>($B$1+Table4[[#This Row],[Home Differential]])-Table4[[#This Row],[Away Differential]]</f>
        <v>0.3036929926702705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0.60934985353416338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-0.21661915454261307</v>
      </c>
      <c r="H630" t="s">
        <v>34</v>
      </c>
      <c r="I630">
        <f>VLOOKUP(Table4[[#This Row],[Visitor]],'NHL Model'!$A$6:$B$38,2,FALSE)</f>
        <v>0.65260146250136963</v>
      </c>
      <c r="J630">
        <f>($B$1+Table4[[#This Row],[Home Differential]])-Table4[[#This Row],[Away Differential]]</f>
        <v>-0.8005957969236801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0.61870776383790194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0.21920515510044997</v>
      </c>
      <c r="H631" t="s">
        <v>29</v>
      </c>
      <c r="I631">
        <f>VLOOKUP(Table4[[#This Row],[Visitor]],'NHL Model'!$A$6:$B$38,2,FALSE)</f>
        <v>-0.30501317799182315</v>
      </c>
      <c r="J631">
        <f>($B$1+Table4[[#This Row],[Home Differential]])-Table4[[#This Row],[Away Differential]]</f>
        <v>0.59284315321257575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0.60503072786085466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0.44906822732121116</v>
      </c>
      <c r="H632" t="s">
        <v>15</v>
      </c>
      <c r="I632">
        <f>VLOOKUP(Table4[[#This Row],[Visitor]],'NHL Model'!$A$6:$B$38,2,FALSE)</f>
        <v>5.9615189993428262E-2</v>
      </c>
      <c r="J632">
        <f>($B$1+Table4[[#This Row],[Home Differential]])-Table4[[#This Row],[Away Differential]]</f>
        <v>0.45807785744808555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0.52491959173615266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0.64590845617425174</v>
      </c>
      <c r="H633" t="s">
        <v>18</v>
      </c>
      <c r="I633">
        <f>VLOOKUP(Table4[[#This Row],[Visitor]],'NHL Model'!$A$6:$B$38,2,FALSE)</f>
        <v>-6.5759726104743493E-3</v>
      </c>
      <c r="J633">
        <f>($B$1+Table4[[#This Row],[Home Differential]])-Table4[[#This Row],[Away Differential]]</f>
        <v>0.7211092489050287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0.61827112411510632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-0.45443544272009573</v>
      </c>
      <c r="H634" t="s">
        <v>39</v>
      </c>
      <c r="I634">
        <f>VLOOKUP(Table4[[#This Row],[Visitor]],'NHL Model'!$A$6:$B$38,2,FALSE)</f>
        <v>0.92184375119443818</v>
      </c>
      <c r="J634">
        <f>($B$1+Table4[[#This Row],[Home Differential]])-Table4[[#This Row],[Away Differential]]</f>
        <v>-1.3076543737942314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0.68965898300911077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3.852494182308655E-2</v>
      </c>
      <c r="H635" t="s">
        <v>37</v>
      </c>
      <c r="I635">
        <f>VLOOKUP(Table4[[#This Row],[Visitor]],'NHL Model'!$A$6:$B$38,2,FALSE)</f>
        <v>0.77383710114582016</v>
      </c>
      <c r="J635">
        <f>($B$1+Table4[[#This Row],[Home Differential]])-Table4[[#This Row],[Away Differential]]</f>
        <v>-0.66668733920243106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0.60401894703172254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0.28840991013146466</v>
      </c>
      <c r="H636" t="s">
        <v>55</v>
      </c>
      <c r="I636">
        <f>VLOOKUP(Table4[[#This Row],[Visitor]],'NHL Model'!$A$6:$B$38,2,FALSE)</f>
        <v>0.17839230571314843</v>
      </c>
      <c r="J636">
        <f>($B$1+Table4[[#This Row],[Home Differential]])-Table4[[#This Row],[Away Differential]]</f>
        <v>0.17864242453861881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0.57361243910868265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5.0237013717083105E-2</v>
      </c>
      <c r="H637" t="s">
        <v>22</v>
      </c>
      <c r="I637">
        <f>VLOOKUP(Table4[[#This Row],[Visitor]],'NHL Model'!$A$6:$B$38,2,FALSE)</f>
        <v>0.44906822732121116</v>
      </c>
      <c r="J637">
        <f>($B$1+Table4[[#This Row],[Home Differential]])-Table4[[#This Row],[Away Differential]]</f>
        <v>-0.33020639348382541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0.5035110405543044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-0.10173040746987846</v>
      </c>
      <c r="H638" t="s">
        <v>26</v>
      </c>
      <c r="I638">
        <f>VLOOKUP(Table4[[#This Row],[Visitor]],'NHL Model'!$A$6:$B$38,2,FALSE)</f>
        <v>-8.7991118744577684E-2</v>
      </c>
      <c r="J638">
        <f>($B$1+Table4[[#This Row],[Home Differential]])-Table4[[#This Row],[Away Differential]]</f>
        <v>5.4885531395001824E-2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0.5124371415034159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-0.35878259596109546</v>
      </c>
      <c r="H639" t="s">
        <v>29</v>
      </c>
      <c r="I639">
        <f>VLOOKUP(Table4[[#This Row],[Visitor]],'NHL Model'!$A$6:$B$38,2,FALSE)</f>
        <v>-0.30501317799182315</v>
      </c>
      <c r="J639">
        <f>($B$1+Table4[[#This Row],[Home Differential]])-Table4[[#This Row],[Away Differential]]</f>
        <v>1.4855402151030317E-2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0.54162953322360596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-0.12942754353881131</v>
      </c>
      <c r="H640" t="s">
        <v>40</v>
      </c>
      <c r="I640">
        <f>VLOOKUP(Table4[[#This Row],[Visitor]],'NHL Model'!$A$6:$B$38,2,FALSE)</f>
        <v>-5.9925012095478535E-2</v>
      </c>
      <c r="J640">
        <f>($B$1+Table4[[#This Row],[Home Differential]])-Table4[[#This Row],[Away Differential]]</f>
        <v>-8.7771132303016836E-4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0.45760079955991512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-4.3195749724159979E-4</v>
      </c>
      <c r="H641" t="s">
        <v>34</v>
      </c>
      <c r="I641">
        <f>VLOOKUP(Table4[[#This Row],[Visitor]],'NHL Model'!$A$6:$B$38,2,FALSE)</f>
        <v>0.65260146250136963</v>
      </c>
      <c r="J641">
        <f>($B$1+Table4[[#This Row],[Home Differential]])-Table4[[#This Row],[Away Differential]]</f>
        <v>-0.58440859987830862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0.55587022251400431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0.24167918475059574</v>
      </c>
      <c r="H642" t="s">
        <v>15</v>
      </c>
      <c r="I642">
        <f>VLOOKUP(Table4[[#This Row],[Visitor]],'NHL Model'!$A$6:$B$38,2,FALSE)</f>
        <v>5.9615189993428262E-2</v>
      </c>
      <c r="J642">
        <f>($B$1+Table4[[#This Row],[Home Differential]])-Table4[[#This Row],[Away Differential]]</f>
        <v>0.25068881487747013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0.50898028282499863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-0.91735746943655616</v>
      </c>
      <c r="H643" t="s">
        <v>20</v>
      </c>
      <c r="I643">
        <f>VLOOKUP(Table4[[#This Row],[Visitor]],'NHL Model'!$A$6:$B$38,2,FALSE)</f>
        <v>0.21920515510044997</v>
      </c>
      <c r="J643">
        <f>($B$1+Table4[[#This Row],[Home Differential]])-Table4[[#This Row],[Away Differential]]</f>
        <v>-1.0679378044167036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0.59791450326669182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-0.41225364678728776</v>
      </c>
      <c r="H644" t="s">
        <v>32</v>
      </c>
      <c r="I644">
        <f>VLOOKUP(Table4[[#This Row],[Visitor]],'NHL Model'!$A$6:$B$38,2,FALSE)</f>
        <v>-0.35878259596109546</v>
      </c>
      <c r="J644">
        <f>($B$1+Table4[[#This Row],[Home Differential]])-Table4[[#This Row],[Away Differential]]</f>
        <v>1.5153769294110331E-2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0.54166226200250667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0.64590845617425174</v>
      </c>
      <c r="H645" t="s">
        <v>12</v>
      </c>
      <c r="I645">
        <f>VLOOKUP(Table4[[#This Row],[Visitor]],'NHL Model'!$A$6:$B$38,2,FALSE)</f>
        <v>1.8165919516425306</v>
      </c>
      <c r="J645">
        <f>($B$1+Table4[[#This Row],[Home Differential]])-Table4[[#This Row],[Away Differential]]</f>
        <v>-1.1020586753479762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0.62088809226333486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-0.16769781981623849</v>
      </c>
      <c r="H646" t="s">
        <v>23</v>
      </c>
      <c r="I646">
        <f>VLOOKUP(Table4[[#This Row],[Visitor]],'NHL Model'!$A$6:$B$38,2,FALSE)</f>
        <v>8.4418744674710666E-2</v>
      </c>
      <c r="J646">
        <f>($B$1+Table4[[#This Row],[Home Differential]])-Table4[[#This Row],[Away Differential]]</f>
        <v>-0.18349174437064655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0.48012775491834409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-0.31883717525004912</v>
      </c>
      <c r="H647" t="s">
        <v>29</v>
      </c>
      <c r="I647">
        <f>VLOOKUP(Table4[[#This Row],[Visitor]],'NHL Model'!$A$6:$B$38,2,FALSE)</f>
        <v>-0.30501317799182315</v>
      </c>
      <c r="J647">
        <f>($B$1+Table4[[#This Row],[Home Differential]])-Table4[[#This Row],[Away Differential]]</f>
        <v>5.4800822862076659E-2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0.57655068425699341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-8.7991118744577684E-2</v>
      </c>
      <c r="H648" t="s">
        <v>14</v>
      </c>
      <c r="I648">
        <f>VLOOKUP(Table4[[#This Row],[Visitor]],'NHL Model'!$A$6:$B$38,2,FALSE)</f>
        <v>-0.10173040746987846</v>
      </c>
      <c r="J648">
        <f>($B$1+Table4[[#This Row],[Home Differential]])-Table4[[#This Row],[Away Differential]]</f>
        <v>8.2364108845603384E-2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0.57554852541652535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0.16838500200194736</v>
      </c>
      <c r="H649" t="s">
        <v>27</v>
      </c>
      <c r="I649">
        <f>VLOOKUP(Table4[[#This Row],[Visitor]],'NHL Model'!$A$6:$B$38,2,FALSE)</f>
        <v>0.24261452474052697</v>
      </c>
      <c r="J649">
        <f>($B$1+Table4[[#This Row],[Home Differential]])-Table4[[#This Row],[Away Differential]]</f>
        <v>-5.6047026182770021E-3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0.43014499783395943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3.852494182308655E-2</v>
      </c>
      <c r="H650" t="s">
        <v>34</v>
      </c>
      <c r="I650">
        <f>VLOOKUP(Table4[[#This Row],[Visitor]],'NHL Model'!$A$6:$B$38,2,FALSE)</f>
        <v>0.65260146250136963</v>
      </c>
      <c r="J650">
        <f>($B$1+Table4[[#This Row],[Home Differential]])-Table4[[#This Row],[Away Differential]]</f>
        <v>-0.54545170055798042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0.59072024942342405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1.6161557760803764E-2</v>
      </c>
      <c r="H651" t="s">
        <v>55</v>
      </c>
      <c r="I651">
        <f>VLOOKUP(Table4[[#This Row],[Visitor]],'NHL Model'!$A$6:$B$38,2,FALSE)</f>
        <v>0.17839230571314843</v>
      </c>
      <c r="J651">
        <f>($B$1+Table4[[#This Row],[Home Differential]])-Table4[[#This Row],[Away Differential]]</f>
        <v>-9.3605927832042066E-2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0.47026791249257394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0.28840991013146466</v>
      </c>
      <c r="H652" t="s">
        <v>19</v>
      </c>
      <c r="I652">
        <f>VLOOKUP(Table4[[#This Row],[Visitor]],'NHL Model'!$A$6:$B$38,2,FALSE)</f>
        <v>-0.12942754353881131</v>
      </c>
      <c r="J652">
        <f>($B$1+Table4[[#This Row],[Home Differential]])-Table4[[#This Row],[Away Differential]]</f>
        <v>0.48646227379057855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0.60737811345003023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5.0237013717083105E-2</v>
      </c>
      <c r="H653" t="s">
        <v>40</v>
      </c>
      <c r="I653">
        <f>VLOOKUP(Table4[[#This Row],[Visitor]],'NHL Model'!$A$6:$B$38,2,FALSE)</f>
        <v>-5.9925012095478535E-2</v>
      </c>
      <c r="J653">
        <f>($B$1+Table4[[#This Row],[Home Differential]])-Table4[[#This Row],[Away Differential]]</f>
        <v>0.17878684593286426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0.55961166062213374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-0.21661915454261307</v>
      </c>
      <c r="H654" t="s">
        <v>37</v>
      </c>
      <c r="I654">
        <f>VLOOKUP(Table4[[#This Row],[Visitor]],'NHL Model'!$A$6:$B$38,2,FALSE)</f>
        <v>0.77383710114582016</v>
      </c>
      <c r="J654">
        <f>($B$1+Table4[[#This Row],[Home Differential]])-Table4[[#This Row],[Away Differential]]</f>
        <v>-0.92183143556813063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0.63200646144620043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-0.91735746943655616</v>
      </c>
      <c r="H655" t="s">
        <v>18</v>
      </c>
      <c r="I655">
        <f>VLOOKUP(Table4[[#This Row],[Visitor]],'NHL Model'!$A$6:$B$38,2,FALSE)</f>
        <v>-6.5759726104743493E-3</v>
      </c>
      <c r="J655">
        <f>($B$1+Table4[[#This Row],[Home Differential]])-Table4[[#This Row],[Away Differential]]</f>
        <v>-0.84215667670577921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0.59947806088474009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-0.41225364678728776</v>
      </c>
      <c r="H656" t="s">
        <v>21</v>
      </c>
      <c r="I656">
        <f>VLOOKUP(Table4[[#This Row],[Visitor]],'NHL Model'!$A$6:$B$38,2,FALSE)</f>
        <v>-6.6683170548020518E-2</v>
      </c>
      <c r="J656">
        <f>($B$1+Table4[[#This Row],[Home Differential]])-Table4[[#This Row],[Away Differential]]</f>
        <v>-0.2769456561189646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0.49037899231478582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0.44906822732121116</v>
      </c>
      <c r="H657" t="s">
        <v>10</v>
      </c>
      <c r="I657">
        <f>VLOOKUP(Table4[[#This Row],[Visitor]],'NHL Model'!$A$6:$B$38,2,FALSE)</f>
        <v>-0.45443544272009573</v>
      </c>
      <c r="J657">
        <f>($B$1+Table4[[#This Row],[Home Differential]])-Table4[[#This Row],[Away Differential]]</f>
        <v>0.97212849016160952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0.65119011944353122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-0.16769781981623849</v>
      </c>
      <c r="H658" t="s">
        <v>14</v>
      </c>
      <c r="I658">
        <f>VLOOKUP(Table4[[#This Row],[Visitor]],'NHL Model'!$A$6:$B$38,2,FALSE)</f>
        <v>-0.10173040746987846</v>
      </c>
      <c r="J658">
        <f>($B$1+Table4[[#This Row],[Home Differential]])-Table4[[#This Row],[Away Differential]]</f>
        <v>2.6574077739425772E-3</v>
      </c>
      <c r="K658" t="str">
        <f>IF(Table4[[#This Row],[HomeIce Differential]]&gt;0,Table4[[#This Row],[Home]],Table4[[#This Row],[Visitor]])</f>
        <v>Columbus Blue Jackets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0.53300177933241155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-0.45443544272009573</v>
      </c>
      <c r="H659" t="s">
        <v>20</v>
      </c>
      <c r="I659">
        <f>VLOOKUP(Table4[[#This Row],[Visitor]],'NHL Model'!$A$6:$B$38,2,FALSE)</f>
        <v>0.21920515510044997</v>
      </c>
      <c r="J659">
        <f>($B$1+Table4[[#This Row],[Home Differential]])-Table4[[#This Row],[Away Differential]]</f>
        <v>-0.60501577770024317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0.54713520999652232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0.92184375119443818</v>
      </c>
      <c r="H660" t="s">
        <v>18</v>
      </c>
      <c r="I660">
        <f>VLOOKUP(Table4[[#This Row],[Visitor]],'NHL Model'!$A$6:$B$38,2,FALSE)</f>
        <v>-6.5759726104743493E-3</v>
      </c>
      <c r="J660">
        <f>($B$1+Table4[[#This Row],[Home Differential]])-Table4[[#This Row],[Away Differential]]</f>
        <v>0.99704454392521513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0.64138848443845353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0.24167918475059574</v>
      </c>
      <c r="H661" t="s">
        <v>12</v>
      </c>
      <c r="I661">
        <f>VLOOKUP(Table4[[#This Row],[Visitor]],'NHL Model'!$A$6:$B$38,2,FALSE)</f>
        <v>1.8165919516425306</v>
      </c>
      <c r="J661">
        <f>($B$1+Table4[[#This Row],[Home Differential]])-Table4[[#This Row],[Away Differential]]</f>
        <v>-1.5062879467716321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0.70011292365574307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1.6161557760803764E-2</v>
      </c>
      <c r="H662" t="s">
        <v>25</v>
      </c>
      <c r="I662">
        <f>VLOOKUP(Table4[[#This Row],[Visitor]],'NHL Model'!$A$6:$B$38,2,FALSE)</f>
        <v>0.64590845617425174</v>
      </c>
      <c r="J662">
        <f>($B$1+Table4[[#This Row],[Home Differential]])-Table4[[#This Row],[Away Differential]]</f>
        <v>-0.56112207829314542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0.59243917974158689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-0.31883717525004912</v>
      </c>
      <c r="H663" t="s">
        <v>32</v>
      </c>
      <c r="I663">
        <f>VLOOKUP(Table4[[#This Row],[Visitor]],'NHL Model'!$A$6:$B$38,2,FALSE)</f>
        <v>-0.35878259596109546</v>
      </c>
      <c r="J663">
        <f>($B$1+Table4[[#This Row],[Home Differential]])-Table4[[#This Row],[Away Differential]]</f>
        <v>0.10857024083134897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0.58244881155803097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3.852494182308655E-2</v>
      </c>
      <c r="H664" t="s">
        <v>34</v>
      </c>
      <c r="I664">
        <f>VLOOKUP(Table4[[#This Row],[Visitor]],'NHL Model'!$A$6:$B$38,2,FALSE)</f>
        <v>0.65260146250136963</v>
      </c>
      <c r="J664">
        <f>($B$1+Table4[[#This Row],[Home Differential]])-Table4[[#This Row],[Away Differential]]</f>
        <v>-0.54545170055798042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0.59072024942342405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5.9615189993428262E-2</v>
      </c>
      <c r="H665" t="s">
        <v>55</v>
      </c>
      <c r="I665">
        <f>VLOOKUP(Table4[[#This Row],[Visitor]],'NHL Model'!$A$6:$B$38,2,FALSE)</f>
        <v>0.17839230571314843</v>
      </c>
      <c r="J665">
        <f>($B$1+Table4[[#This Row],[Home Differential]])-Table4[[#This Row],[Away Differential]]</f>
        <v>-5.0152295599417557E-2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0.46550135439542373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5.0237013717083105E-2</v>
      </c>
      <c r="H666" t="s">
        <v>26</v>
      </c>
      <c r="I666">
        <f>VLOOKUP(Table4[[#This Row],[Visitor]],'NHL Model'!$A$6:$B$38,2,FALSE)</f>
        <v>-8.7991118744577684E-2</v>
      </c>
      <c r="J666">
        <f>($B$1+Table4[[#This Row],[Home Differential]])-Table4[[#This Row],[Away Differential]]</f>
        <v>0.2068529525819634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0.52910689969725233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0.44906822732121116</v>
      </c>
      <c r="H667" t="s">
        <v>31</v>
      </c>
      <c r="I667">
        <f>VLOOKUP(Table4[[#This Row],[Visitor]],'NHL Model'!$A$6:$B$38,2,FALSE)</f>
        <v>-4.3195749724159979E-4</v>
      </c>
      <c r="J667">
        <f>($B$1+Table4[[#This Row],[Home Differential]])-Table4[[#This Row],[Away Differential]]</f>
        <v>0.51812500493875535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0.60138912750254736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8.4418744674710666E-2</v>
      </c>
      <c r="H668" t="s">
        <v>38</v>
      </c>
      <c r="I668">
        <f>VLOOKUP(Table4[[#This Row],[Visitor]],'NHL Model'!$A$6:$B$38,2,FALSE)</f>
        <v>-0.41225364678728776</v>
      </c>
      <c r="J668">
        <f>($B$1+Table4[[#This Row],[Home Differential]])-Table4[[#This Row],[Away Differential]]</f>
        <v>0.56529721158230106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0.5985944974894033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0.64590845617425174</v>
      </c>
      <c r="H669" t="s">
        <v>39</v>
      </c>
      <c r="I669">
        <f>VLOOKUP(Table4[[#This Row],[Visitor]],'NHL Model'!$A$6:$B$38,2,FALSE)</f>
        <v>0.92184375119443818</v>
      </c>
      <c r="J669">
        <f>($B$1+Table4[[#This Row],[Home Differential]])-Table4[[#This Row],[Away Differential]]</f>
        <v>-0.20731047489988386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0.52274050227764846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0.16838500200194736</v>
      </c>
      <c r="H670" t="s">
        <v>29</v>
      </c>
      <c r="I670">
        <f>VLOOKUP(Table4[[#This Row],[Visitor]],'NHL Model'!$A$6:$B$38,2,FALSE)</f>
        <v>-0.30501317799182315</v>
      </c>
      <c r="J670">
        <f>($B$1+Table4[[#This Row],[Home Differential]])-Table4[[#This Row],[Away Differential]]</f>
        <v>0.54202300011407312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0.63549298055041814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0.28840991013146466</v>
      </c>
      <c r="H671" t="s">
        <v>24</v>
      </c>
      <c r="I671">
        <f>VLOOKUP(Table4[[#This Row],[Visitor]],'NHL Model'!$A$6:$B$38,2,FALSE)</f>
        <v>1.6161557760803764E-2</v>
      </c>
      <c r="J671">
        <f>($B$1+Table4[[#This Row],[Home Differential]])-Table4[[#This Row],[Away Differential]]</f>
        <v>0.34087317249096349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0.55793933683276453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0.24261452474052697</v>
      </c>
      <c r="H672" t="s">
        <v>31</v>
      </c>
      <c r="I672">
        <f>VLOOKUP(Table4[[#This Row],[Visitor]],'NHL Model'!$A$6:$B$38,2,FALSE)</f>
        <v>-4.3195749724159979E-4</v>
      </c>
      <c r="J672">
        <f>($B$1+Table4[[#This Row],[Home Differential]])-Table4[[#This Row],[Away Differential]]</f>
        <v>0.31167130235807122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0.57874260712757697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-0.35878259596109546</v>
      </c>
      <c r="H673" t="s">
        <v>21</v>
      </c>
      <c r="I673">
        <f>VLOOKUP(Table4[[#This Row],[Visitor]],'NHL Model'!$A$6:$B$38,2,FALSE)</f>
        <v>-6.6683170548020518E-2</v>
      </c>
      <c r="J673">
        <f>($B$1+Table4[[#This Row],[Home Differential]])-Table4[[#This Row],[Away Differential]]</f>
        <v>-0.2234746052927723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0.48451359379264891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-0.21661915454261307</v>
      </c>
      <c r="H674" t="s">
        <v>28</v>
      </c>
      <c r="I674">
        <f>VLOOKUP(Table4[[#This Row],[Visitor]],'NHL Model'!$A$6:$B$38,2,FALSE)</f>
        <v>-0.16769781981623849</v>
      </c>
      <c r="J674">
        <f>($B$1+Table4[[#This Row],[Home Differential]])-Table4[[#This Row],[Away Differential]]</f>
        <v>1.9703485393928022E-2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0.54216133388674459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0.77383710114582016</v>
      </c>
      <c r="H675" t="s">
        <v>12</v>
      </c>
      <c r="I675">
        <f>VLOOKUP(Table4[[#This Row],[Visitor]],'NHL Model'!$A$6:$B$38,2,FALSE)</f>
        <v>1.8165919516425306</v>
      </c>
      <c r="J675">
        <f>($B$1+Table4[[#This Row],[Home Differential]])-Table4[[#This Row],[Away Differential]]</f>
        <v>-0.97413003037640788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0.6485218855609286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-0.12942754353881131</v>
      </c>
      <c r="H676" t="s">
        <v>11</v>
      </c>
      <c r="I676">
        <f>VLOOKUP(Table4[[#This Row],[Visitor]],'NHL Model'!$A$6:$B$38,2,FALSE)</f>
        <v>0.24167918475059574</v>
      </c>
      <c r="J676">
        <f>($B$1+Table4[[#This Row],[Home Differential]])-Table4[[#This Row],[Away Differential]]</f>
        <v>-0.30248190816910447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0.52756216218742069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-5.9925012095478535E-2</v>
      </c>
      <c r="H677" t="s">
        <v>20</v>
      </c>
      <c r="I677">
        <f>VLOOKUP(Table4[[#This Row],[Visitor]],'NHL Model'!$A$6:$B$38,2,FALSE)</f>
        <v>0.21920515510044997</v>
      </c>
      <c r="J677">
        <f>($B$1+Table4[[#This Row],[Home Differential]])-Table4[[#This Row],[Away Differential]]</f>
        <v>-0.2105053470756259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0.50386018807344912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-0.45443544272009573</v>
      </c>
      <c r="H678" t="s">
        <v>35</v>
      </c>
      <c r="I678">
        <f>VLOOKUP(Table4[[#This Row],[Visitor]],'NHL Model'!$A$6:$B$38,2,FALSE)</f>
        <v>-0.91735746943655616</v>
      </c>
      <c r="J678">
        <f>($B$1+Table4[[#This Row],[Home Differential]])-Table4[[#This Row],[Away Differential]]</f>
        <v>0.53154684683676301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0.59830695379481302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3.852494182308655E-2</v>
      </c>
      <c r="H679" t="s">
        <v>33</v>
      </c>
      <c r="I679">
        <f>VLOOKUP(Table4[[#This Row],[Visitor]],'NHL Model'!$A$6:$B$38,2,FALSE)</f>
        <v>-0.21661915454261307</v>
      </c>
      <c r="J679">
        <f>($B$1+Table4[[#This Row],[Home Differential]])-Table4[[#This Row],[Away Differential]]</f>
        <v>0.32376891648600226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0.56822545531295321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-6.5759726104743493E-3</v>
      </c>
      <c r="H680" t="s">
        <v>16</v>
      </c>
      <c r="I680">
        <f>VLOOKUP(Table4[[#This Row],[Visitor]],'NHL Model'!$A$6:$B$38,2,FALSE)</f>
        <v>-0.31883717525004912</v>
      </c>
      <c r="J680">
        <f>($B$1+Table4[[#This Row],[Home Differential]])-Table4[[#This Row],[Away Differential]]</f>
        <v>0.38088602275987737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0.5817805201221905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0.17839230571314843</v>
      </c>
      <c r="H681" t="s">
        <v>36</v>
      </c>
      <c r="I681">
        <f>VLOOKUP(Table4[[#This Row],[Visitor]],'NHL Model'!$A$6:$B$38,2,FALSE)</f>
        <v>5.0237013717083105E-2</v>
      </c>
      <c r="J681">
        <f>($B$1+Table4[[#This Row],[Home Differential]])-Table4[[#This Row],[Away Differential]]</f>
        <v>0.19678011211636792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0.54081616471037175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0.44906822732121116</v>
      </c>
      <c r="H682" t="s">
        <v>39</v>
      </c>
      <c r="I682">
        <f>VLOOKUP(Table4[[#This Row],[Visitor]],'NHL Model'!$A$6:$B$38,2,FALSE)</f>
        <v>0.92184375119443818</v>
      </c>
      <c r="J682">
        <f>($B$1+Table4[[#This Row],[Home Differential]])-Table4[[#This Row],[Away Differential]]</f>
        <v>-0.40415070375292439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0.58599915880747622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-6.6683170548020518E-2</v>
      </c>
      <c r="H683" t="s">
        <v>16</v>
      </c>
      <c r="I683">
        <f>VLOOKUP(Table4[[#This Row],[Visitor]],'NHL Model'!$A$6:$B$38,2,FALSE)</f>
        <v>-0.31883717525004912</v>
      </c>
      <c r="J683">
        <f>($B$1+Table4[[#This Row],[Home Differential]])-Table4[[#This Row],[Away Differential]]</f>
        <v>0.32077882482233122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0.58920380339430045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0.64590845617425174</v>
      </c>
      <c r="H684" t="s">
        <v>31</v>
      </c>
      <c r="I684">
        <f>VLOOKUP(Table4[[#This Row],[Visitor]],'NHL Model'!$A$6:$B$38,2,FALSE)</f>
        <v>-4.3195749724159979E-4</v>
      </c>
      <c r="J684">
        <f>($B$1+Table4[[#This Row],[Home Differential]])-Table4[[#This Row],[Away Differential]]</f>
        <v>0.71496523379179588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0.6640122475057495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1.8165919516425306</v>
      </c>
      <c r="H685" t="s">
        <v>36</v>
      </c>
      <c r="I685">
        <f>VLOOKUP(Table4[[#This Row],[Visitor]],'NHL Model'!$A$6:$B$38,2,FALSE)</f>
        <v>5.0237013717083105E-2</v>
      </c>
      <c r="J685">
        <f>($B$1+Table4[[#This Row],[Home Differential]])-Table4[[#This Row],[Away Differential]]</f>
        <v>1.8349797580457501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0.84128438462856281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-8.7991118744577684E-2</v>
      </c>
      <c r="H686" t="s">
        <v>38</v>
      </c>
      <c r="I686">
        <f>VLOOKUP(Table4[[#This Row],[Visitor]],'NHL Model'!$A$6:$B$38,2,FALSE)</f>
        <v>-0.41225364678728776</v>
      </c>
      <c r="J686">
        <f>($B$1+Table4[[#This Row],[Home Differential]])-Table4[[#This Row],[Away Differential]]</f>
        <v>0.39288734816301268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0.57469549419396515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-6.5759726104743493E-3</v>
      </c>
      <c r="H687" t="s">
        <v>11</v>
      </c>
      <c r="I687">
        <f>VLOOKUP(Table4[[#This Row],[Visitor]],'NHL Model'!$A$6:$B$38,2,FALSE)</f>
        <v>0.24167918475059574</v>
      </c>
      <c r="J687">
        <f>($B$1+Table4[[#This Row],[Home Differential]])-Table4[[#This Row],[Away Differential]]</f>
        <v>-0.17963033724076749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0.5165985956290895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-0.30501317799182315</v>
      </c>
      <c r="H688" t="s">
        <v>30</v>
      </c>
      <c r="I688">
        <f>VLOOKUP(Table4[[#This Row],[Visitor]],'NHL Model'!$A$6:$B$38,2,FALSE)</f>
        <v>0.28840991013146466</v>
      </c>
      <c r="J688">
        <f>($B$1+Table4[[#This Row],[Home Differential]])-Table4[[#This Row],[Away Differential]]</f>
        <v>-0.52479826800298524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0.53833591288980964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5.9615189993428262E-2</v>
      </c>
      <c r="H689" t="s">
        <v>23</v>
      </c>
      <c r="I689">
        <f>VLOOKUP(Table4[[#This Row],[Visitor]],'NHL Model'!$A$6:$B$38,2,FALSE)</f>
        <v>8.4418744674710666E-2</v>
      </c>
      <c r="J689">
        <f>($B$1+Table4[[#This Row],[Home Differential]])-Table4[[#This Row],[Away Differential]]</f>
        <v>4.3821265439020207E-2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0.54480688487644791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0.24261452474052697</v>
      </c>
      <c r="H690" t="s">
        <v>19</v>
      </c>
      <c r="I690">
        <f>VLOOKUP(Table4[[#This Row],[Visitor]],'NHL Model'!$A$6:$B$38,2,FALSE)</f>
        <v>-0.12942754353881131</v>
      </c>
      <c r="J690">
        <f>($B$1+Table4[[#This Row],[Home Differential]])-Table4[[#This Row],[Away Differential]]</f>
        <v>0.44066688839964091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0.59289251643438623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-0.10173040746987846</v>
      </c>
      <c r="H691" t="s">
        <v>24</v>
      </c>
      <c r="I691">
        <f>VLOOKUP(Table4[[#This Row],[Visitor]],'NHL Model'!$A$6:$B$38,2,FALSE)</f>
        <v>1.6161557760803764E-2</v>
      </c>
      <c r="J691">
        <f>($B$1+Table4[[#This Row],[Home Differential]])-Table4[[#This Row],[Away Differential]]</f>
        <v>-4.926714511037962E-2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0.49898767520417031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-0.35878259596109546</v>
      </c>
      <c r="H692" t="s">
        <v>34</v>
      </c>
      <c r="I692">
        <f>VLOOKUP(Table4[[#This Row],[Visitor]],'NHL Model'!$A$6:$B$38,2,FALSE)</f>
        <v>0.65260146250136963</v>
      </c>
      <c r="J692">
        <f>($B$1+Table4[[#This Row],[Home Differential]])-Table4[[#This Row],[Away Differential]]</f>
        <v>-0.94275923834216246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0.63430209434597973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0.21920515510044997</v>
      </c>
      <c r="H693" t="s">
        <v>28</v>
      </c>
      <c r="I693">
        <f>VLOOKUP(Table4[[#This Row],[Visitor]],'NHL Model'!$A$6:$B$38,2,FALSE)</f>
        <v>-0.16769781981623849</v>
      </c>
      <c r="J693">
        <f>($B$1+Table4[[#This Row],[Home Differential]])-Table4[[#This Row],[Away Differential]]</f>
        <v>0.45552779503699109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0.5899681980159156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-5.9925012095478535E-2</v>
      </c>
      <c r="H694" t="s">
        <v>17</v>
      </c>
      <c r="I694">
        <f>VLOOKUP(Table4[[#This Row],[Visitor]],'NHL Model'!$A$6:$B$38,2,FALSE)</f>
        <v>0.16838500200194736</v>
      </c>
      <c r="J694">
        <f>($B$1+Table4[[#This Row],[Home Differential]])-Table4[[#This Row],[Away Differential]]</f>
        <v>-0.1596851939771233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0.47751634363433487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-0.45443544272009573</v>
      </c>
      <c r="H695" t="s">
        <v>22</v>
      </c>
      <c r="I695">
        <f>VLOOKUP(Table4[[#This Row],[Visitor]],'NHL Model'!$A$6:$B$38,2,FALSE)</f>
        <v>0.44906822732121116</v>
      </c>
      <c r="J695">
        <f>($B$1+Table4[[#This Row],[Home Differential]])-Table4[[#This Row],[Away Differential]]</f>
        <v>-0.83487884992100425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0.55887006257486782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0.17839230571314843</v>
      </c>
      <c r="H696" t="s">
        <v>35</v>
      </c>
      <c r="I696">
        <f>VLOOKUP(Table4[[#This Row],[Visitor]],'NHL Model'!$A$6:$B$38,2,FALSE)</f>
        <v>-0.91735746943655616</v>
      </c>
      <c r="J696">
        <f>($B$1+Table4[[#This Row],[Home Differential]])-Table4[[#This Row],[Away Differential]]</f>
        <v>1.1643745952700071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0.66772371077033532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-5.9925012095478535E-2</v>
      </c>
      <c r="H697" t="s">
        <v>13</v>
      </c>
      <c r="I697">
        <f>VLOOKUP(Table4[[#This Row],[Visitor]],'NHL Model'!$A$6:$B$38,2,FALSE)</f>
        <v>3.852494182308655E-2</v>
      </c>
      <c r="J697">
        <f>($B$1+Table4[[#This Row],[Home Differential]])-Table4[[#This Row],[Away Differential]]</f>
        <v>-2.9825133798262481E-2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0.49566193883393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-6.6683170548020518E-2</v>
      </c>
      <c r="H698" t="s">
        <v>15</v>
      </c>
      <c r="I698">
        <f>VLOOKUP(Table4[[#This Row],[Visitor]],'NHL Model'!$A$6:$B$38,2,FALSE)</f>
        <v>5.9615189993428262E-2</v>
      </c>
      <c r="J698">
        <f>($B$1+Table4[[#This Row],[Home Differential]])-Table4[[#This Row],[Away Differential]]</f>
        <v>-5.7673540421146176E-2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0.5221158557830432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8.4418744674710666E-2</v>
      </c>
      <c r="H699" t="s">
        <v>31</v>
      </c>
      <c r="I699">
        <f>VLOOKUP(Table4[[#This Row],[Visitor]],'NHL Model'!$A$6:$B$38,2,FALSE)</f>
        <v>-4.3195749724159979E-4</v>
      </c>
      <c r="J699">
        <f>($B$1+Table4[[#This Row],[Home Differential]])-Table4[[#This Row],[Away Differential]]</f>
        <v>0.15347552229225486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0.59542727886204505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0.64590845617425174</v>
      </c>
      <c r="H700" t="s">
        <v>32</v>
      </c>
      <c r="I700">
        <f>VLOOKUP(Table4[[#This Row],[Visitor]],'NHL Model'!$A$6:$B$38,2,FALSE)</f>
        <v>-0.35878259596109546</v>
      </c>
      <c r="J700">
        <f>($B$1+Table4[[#This Row],[Home Differential]])-Table4[[#This Row],[Away Differential]]</f>
        <v>1.0733158722556497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0.70332079433204697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1.8165919516425306</v>
      </c>
      <c r="H701" t="s">
        <v>28</v>
      </c>
      <c r="I701">
        <f>VLOOKUP(Table4[[#This Row],[Visitor]],'NHL Model'!$A$6:$B$38,2,FALSE)</f>
        <v>-0.16769781981623849</v>
      </c>
      <c r="J701">
        <f>($B$1+Table4[[#This Row],[Home Differential]])-Table4[[#This Row],[Away Differential]]</f>
        <v>2.0529145915790719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0.88416888758450929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0.16838500200194736</v>
      </c>
      <c r="H702" t="s">
        <v>13</v>
      </c>
      <c r="I702">
        <f>VLOOKUP(Table4[[#This Row],[Visitor]],'NHL Model'!$A$6:$B$38,2,FALSE)</f>
        <v>3.852494182308655E-2</v>
      </c>
      <c r="J702">
        <f>($B$1+Table4[[#This Row],[Home Differential]])-Table4[[#This Row],[Away Differential]]</f>
        <v>0.19848488029916342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0.56581384734665519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0.65260146250136963</v>
      </c>
      <c r="H703" t="s">
        <v>30</v>
      </c>
      <c r="I703">
        <f>VLOOKUP(Table4[[#This Row],[Visitor]],'NHL Model'!$A$6:$B$38,2,FALSE)</f>
        <v>0.28840991013146466</v>
      </c>
      <c r="J703">
        <f>($B$1+Table4[[#This Row],[Home Differential]])-Table4[[#This Row],[Away Differential]]</f>
        <v>0.43281637249020755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0.58914358122764265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-6.5759726104743493E-3</v>
      </c>
      <c r="H704" t="s">
        <v>26</v>
      </c>
      <c r="I704">
        <f>VLOOKUP(Table4[[#This Row],[Visitor]],'NHL Model'!$A$6:$B$38,2,FALSE)</f>
        <v>-8.7991118744577684E-2</v>
      </c>
      <c r="J704">
        <f>($B$1+Table4[[#This Row],[Home Differential]])-Table4[[#This Row],[Away Differential]]</f>
        <v>0.15003996625440594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0.52287491433517286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-0.30501317799182315</v>
      </c>
      <c r="H705" t="s">
        <v>10</v>
      </c>
      <c r="I705">
        <f>VLOOKUP(Table4[[#This Row],[Visitor]],'NHL Model'!$A$6:$B$38,2,FALSE)</f>
        <v>-0.45443544272009573</v>
      </c>
      <c r="J705">
        <f>($B$1+Table4[[#This Row],[Home Differential]])-Table4[[#This Row],[Away Differential]]</f>
        <v>0.21804708484857518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0.56391823294036758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5.0237013717083105E-2</v>
      </c>
      <c r="H706" t="s">
        <v>11</v>
      </c>
      <c r="I706">
        <f>VLOOKUP(Table4[[#This Row],[Visitor]],'NHL Model'!$A$6:$B$38,2,FALSE)</f>
        <v>0.24167918475059574</v>
      </c>
      <c r="J706">
        <f>($B$1+Table4[[#This Row],[Home Differential]])-Table4[[#This Row],[Away Differential]]</f>
        <v>-0.12281735091321003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0.51036661026701002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0.24261452474052697</v>
      </c>
      <c r="H707" t="s">
        <v>37</v>
      </c>
      <c r="I707">
        <f>VLOOKUP(Table4[[#This Row],[Visitor]],'NHL Model'!$A$6:$B$38,2,FALSE)</f>
        <v>0.77383710114582016</v>
      </c>
      <c r="J707">
        <f>($B$1+Table4[[#This Row],[Home Differential]])-Table4[[#This Row],[Away Differential]]</f>
        <v>-0.46259775628499056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0.5770595125562451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-0.10173040746987846</v>
      </c>
      <c r="H708" t="s">
        <v>16</v>
      </c>
      <c r="I708">
        <f>VLOOKUP(Table4[[#This Row],[Visitor]],'NHL Model'!$A$6:$B$38,2,FALSE)</f>
        <v>-0.31883717525004912</v>
      </c>
      <c r="J708">
        <f>($B$1+Table4[[#This Row],[Home Differential]])-Table4[[#This Row],[Away Differential]]</f>
        <v>0.28573158790047326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0.57134274729043355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-0.21661915454261307</v>
      </c>
      <c r="H709" t="s">
        <v>39</v>
      </c>
      <c r="I709">
        <f>VLOOKUP(Table4[[#This Row],[Visitor]],'NHL Model'!$A$6:$B$38,2,FALSE)</f>
        <v>0.92184375119443818</v>
      </c>
      <c r="J709">
        <f>($B$1+Table4[[#This Row],[Home Differential]])-Table4[[#This Row],[Away Differential]]</f>
        <v>-1.0698380856167486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0.66357220738634659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-0.12942754353881131</v>
      </c>
      <c r="H710" t="s">
        <v>38</v>
      </c>
      <c r="I710">
        <f>VLOOKUP(Table4[[#This Row],[Visitor]],'NHL Model'!$A$6:$B$38,2,FALSE)</f>
        <v>-0.41225364678728776</v>
      </c>
      <c r="J710">
        <f>($B$1+Table4[[#This Row],[Home Differential]])-Table4[[#This Row],[Away Differential]]</f>
        <v>0.35145092336877903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0.53855169656626867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0.21920515510044997</v>
      </c>
      <c r="H711" t="s">
        <v>35</v>
      </c>
      <c r="I711">
        <f>VLOOKUP(Table4[[#This Row],[Visitor]],'NHL Model'!$A$6:$B$38,2,FALSE)</f>
        <v>-0.91735746943655616</v>
      </c>
      <c r="J711">
        <f>($B$1+Table4[[#This Row],[Home Differential]])-Table4[[#This Row],[Away Differential]]</f>
        <v>1.2051874446573088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0.6722005935467481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-6.6683170548020518E-2</v>
      </c>
      <c r="H712" t="s">
        <v>14</v>
      </c>
      <c r="I712">
        <f>VLOOKUP(Table4[[#This Row],[Visitor]],'NHL Model'!$A$6:$B$38,2,FALSE)</f>
        <v>-0.10173040746987846</v>
      </c>
      <c r="J712">
        <f>($B$1+Table4[[#This Row],[Home Differential]])-Table4[[#This Row],[Away Differential]]</f>
        <v>0.10367205704216055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0.55813468605795302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-0.30501317799182315</v>
      </c>
      <c r="H713" t="s">
        <v>22</v>
      </c>
      <c r="I713">
        <f>VLOOKUP(Table4[[#This Row],[Visitor]],'NHL Model'!$A$6:$B$38,2,FALSE)</f>
        <v>0.44906822732121116</v>
      </c>
      <c r="J713">
        <f>($B$1+Table4[[#This Row],[Home Differential]])-Table4[[#This Row],[Away Differential]]</f>
        <v>-0.68545658519273167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0.54247949015914376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-0.21661915454261307</v>
      </c>
      <c r="H714" t="s">
        <v>20</v>
      </c>
      <c r="I714">
        <f>VLOOKUP(Table4[[#This Row],[Visitor]],'NHL Model'!$A$6:$B$38,2,FALSE)</f>
        <v>0.21920515510044997</v>
      </c>
      <c r="J714">
        <f>($B$1+Table4[[#This Row],[Home Differential]])-Table4[[#This Row],[Away Differential]]</f>
        <v>-0.36719948952276044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0.52104843437375814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0.17839230571314843</v>
      </c>
      <c r="H715" t="s">
        <v>28</v>
      </c>
      <c r="I715">
        <f>VLOOKUP(Table4[[#This Row],[Visitor]],'NHL Model'!$A$6:$B$38,2,FALSE)</f>
        <v>-0.16769781981623849</v>
      </c>
      <c r="J715">
        <f>($B$1+Table4[[#This Row],[Home Differential]])-Table4[[#This Row],[Away Differential]]</f>
        <v>0.41471494564968953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0.58549131523950271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-5.9925012095478535E-2</v>
      </c>
      <c r="H716" t="s">
        <v>24</v>
      </c>
      <c r="I716">
        <f>VLOOKUP(Table4[[#This Row],[Visitor]],'NHL Model'!$A$6:$B$38,2,FALSE)</f>
        <v>1.6161557760803764E-2</v>
      </c>
      <c r="J716">
        <f>($B$1+Table4[[#This Row],[Home Differential]])-Table4[[#This Row],[Away Differential]]</f>
        <v>-7.461749735979694E-3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0.49440191710782405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8.4418744674710666E-2</v>
      </c>
      <c r="H717" t="s">
        <v>11</v>
      </c>
      <c r="I717">
        <f>VLOOKUP(Table4[[#This Row],[Visitor]],'NHL Model'!$A$6:$B$38,2,FALSE)</f>
        <v>0.24167918475059574</v>
      </c>
      <c r="J717">
        <f>($B$1+Table4[[#This Row],[Home Differential]])-Table4[[#This Row],[Away Differential]]</f>
        <v>-8.8635619955582473E-2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0.46755402994723921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-0.45443544272009573</v>
      </c>
      <c r="H718" t="s">
        <v>17</v>
      </c>
      <c r="I718">
        <f>VLOOKUP(Table4[[#This Row],[Visitor]],'NHL Model'!$A$6:$B$38,2,FALSE)</f>
        <v>0.16838500200194736</v>
      </c>
      <c r="J718">
        <f>($B$1+Table4[[#This Row],[Home Differential]])-Table4[[#This Row],[Away Differential]]</f>
        <v>-0.55419562460174054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0.52079136555740801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1.8165919516425306</v>
      </c>
      <c r="H719" t="s">
        <v>19</v>
      </c>
      <c r="I719">
        <f>VLOOKUP(Table4[[#This Row],[Visitor]],'NHL Model'!$A$6:$B$38,2,FALSE)</f>
        <v>-0.12942754353881131</v>
      </c>
      <c r="J719">
        <f>($B$1+Table4[[#This Row],[Home Differential]])-Table4[[#This Row],[Away Differential]]</f>
        <v>2.0146443153016445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0.87997090721099769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-8.7991118744577684E-2</v>
      </c>
      <c r="H720" t="s">
        <v>25</v>
      </c>
      <c r="I720">
        <f>VLOOKUP(Table4[[#This Row],[Visitor]],'NHL Model'!$A$6:$B$38,2,FALSE)</f>
        <v>0.64590845617425174</v>
      </c>
      <c r="J720">
        <f>($B$1+Table4[[#This Row],[Home Differential]])-Table4[[#This Row],[Away Differential]]</f>
        <v>-0.66527475479852682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0.5697501591095292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3.852494182308655E-2</v>
      </c>
      <c r="H721" t="s">
        <v>39</v>
      </c>
      <c r="I721">
        <f>VLOOKUP(Table4[[#This Row],[Visitor]],'NHL Model'!$A$6:$B$38,2,FALSE)</f>
        <v>0.92184375119443818</v>
      </c>
      <c r="J721">
        <f>($B$1+Table4[[#This Row],[Home Differential]])-Table4[[#This Row],[Away Differential]]</f>
        <v>-0.81469398925104897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0.6355846929718687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0.65260146250136963</v>
      </c>
      <c r="H722" t="s">
        <v>24</v>
      </c>
      <c r="I722">
        <f>VLOOKUP(Table4[[#This Row],[Visitor]],'NHL Model'!$A$6:$B$38,2,FALSE)</f>
        <v>1.6161557760803764E-2</v>
      </c>
      <c r="J722">
        <f>($B$1+Table4[[#This Row],[Home Differential]])-Table4[[#This Row],[Away Differential]]</f>
        <v>0.70506472486086846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0.60624856857582299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-6.5759726104743493E-3</v>
      </c>
      <c r="H723" t="s">
        <v>38</v>
      </c>
      <c r="I723">
        <f>VLOOKUP(Table4[[#This Row],[Visitor]],'NHL Model'!$A$6:$B$38,2,FALSE)</f>
        <v>-0.41225364678728776</v>
      </c>
      <c r="J723">
        <f>($B$1+Table4[[#This Row],[Home Differential]])-Table4[[#This Row],[Away Differential]]</f>
        <v>0.47430249429711602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0.54951508777650759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5.9615189993428262E-2</v>
      </c>
      <c r="H724" t="s">
        <v>32</v>
      </c>
      <c r="I724">
        <f>VLOOKUP(Table4[[#This Row],[Visitor]],'NHL Model'!$A$6:$B$38,2,FALSE)</f>
        <v>-0.35878259596109546</v>
      </c>
      <c r="J724">
        <f>($B$1+Table4[[#This Row],[Home Differential]])-Table4[[#This Row],[Away Differential]]</f>
        <v>0.48702260607482634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0.59342295746541218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0.24261452474052697</v>
      </c>
      <c r="H725" t="s">
        <v>37</v>
      </c>
      <c r="I725">
        <f>VLOOKUP(Table4[[#This Row],[Visitor]],'NHL Model'!$A$6:$B$38,2,FALSE)</f>
        <v>0.77383710114582016</v>
      </c>
      <c r="J725">
        <f>($B$1+Table4[[#This Row],[Home Differential]])-Table4[[#This Row],[Away Differential]]</f>
        <v>-0.46259775628499056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0.5770595125562451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-4.3195749724159979E-4</v>
      </c>
      <c r="H726" t="s">
        <v>39</v>
      </c>
      <c r="I726">
        <f>VLOOKUP(Table4[[#This Row],[Visitor]],'NHL Model'!$A$6:$B$38,2,FALSE)</f>
        <v>0.92184375119443818</v>
      </c>
      <c r="J726">
        <f>($B$1+Table4[[#This Row],[Home Differential]])-Table4[[#This Row],[Away Differential]]</f>
        <v>-0.85365088857137716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0.60082636198939066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-6.6683170548020518E-2</v>
      </c>
      <c r="H727" t="s">
        <v>26</v>
      </c>
      <c r="I727">
        <f>VLOOKUP(Table4[[#This Row],[Visitor]],'NHL Model'!$A$6:$B$38,2,FALSE)</f>
        <v>-8.7991118744577684E-2</v>
      </c>
      <c r="J727">
        <f>($B$1+Table4[[#This Row],[Home Differential]])-Table4[[#This Row],[Away Differential]]</f>
        <v>8.9932768316859771E-2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0.53041293791138311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-0.16769781981623849</v>
      </c>
      <c r="H728" t="s">
        <v>16</v>
      </c>
      <c r="I728">
        <f>VLOOKUP(Table4[[#This Row],[Visitor]],'NHL Model'!$A$6:$B$38,2,FALSE)</f>
        <v>-0.31883717525004912</v>
      </c>
      <c r="J728">
        <f>($B$1+Table4[[#This Row],[Home Differential]])-Table4[[#This Row],[Away Differential]]</f>
        <v>0.21976417555411323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0.56410658572436978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-0.30501317799182315</v>
      </c>
      <c r="H729" t="s">
        <v>17</v>
      </c>
      <c r="I729">
        <f>VLOOKUP(Table4[[#This Row],[Visitor]],'NHL Model'!$A$6:$B$38,2,FALSE)</f>
        <v>0.16838500200194736</v>
      </c>
      <c r="J729">
        <f>($B$1+Table4[[#This Row],[Home Differential]])-Table4[[#This Row],[Away Differential]]</f>
        <v>-0.40477335987346791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0.50440079314168407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5.0237013717083105E-2</v>
      </c>
      <c r="H730" t="s">
        <v>38</v>
      </c>
      <c r="I730">
        <f>VLOOKUP(Table4[[#This Row],[Visitor]],'NHL Model'!$A$6:$B$38,2,FALSE)</f>
        <v>-0.41225364678728776</v>
      </c>
      <c r="J730">
        <f>($B$1+Table4[[#This Row],[Home Differential]])-Table4[[#This Row],[Away Differential]]</f>
        <v>0.53111548062467351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0.55574707313858707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-0.10173040746987846</v>
      </c>
      <c r="H731" t="s">
        <v>37</v>
      </c>
      <c r="I731">
        <f>VLOOKUP(Table4[[#This Row],[Visitor]],'NHL Model'!$A$6:$B$38,2,FALSE)</f>
        <v>0.77383710114582016</v>
      </c>
      <c r="J731">
        <f>($B$1+Table4[[#This Row],[Home Differential]])-Table4[[#This Row],[Away Differential]]</f>
        <v>-0.80694268849539608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0.61940397324223762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-0.91735746943655616</v>
      </c>
      <c r="H732" t="s">
        <v>25</v>
      </c>
      <c r="I732">
        <f>VLOOKUP(Table4[[#This Row],[Visitor]],'NHL Model'!$A$6:$B$38,2,FALSE)</f>
        <v>0.64590845617425174</v>
      </c>
      <c r="J732">
        <f>($B$1+Table4[[#This Row],[Home Differential]])-Table4[[#This Row],[Away Differential]]</f>
        <v>-1.4946411054905053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0.69483965697006123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0.17839230571314843</v>
      </c>
      <c r="H733" t="s">
        <v>19</v>
      </c>
      <c r="I733">
        <f>VLOOKUP(Table4[[#This Row],[Visitor]],'NHL Model'!$A$6:$B$38,2,FALSE)</f>
        <v>-0.12942754353881131</v>
      </c>
      <c r="J733">
        <f>($B$1+Table4[[#This Row],[Home Differential]])-Table4[[#This Row],[Away Differential]]</f>
        <v>0.37644466937226234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0.58129333486599122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-5.9925012095478535E-2</v>
      </c>
      <c r="H734" t="s">
        <v>30</v>
      </c>
      <c r="I734">
        <f>VLOOKUP(Table4[[#This Row],[Visitor]],'NHL Model'!$A$6:$B$38,2,FALSE)</f>
        <v>0.28840991013146466</v>
      </c>
      <c r="J734">
        <f>($B$1+Table4[[#This Row],[Home Differential]])-Table4[[#This Row],[Away Differential]]</f>
        <v>-0.2797101021066406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0.51145146338246039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0.44906822732121116</v>
      </c>
      <c r="H735" t="s">
        <v>18</v>
      </c>
      <c r="I735">
        <f>VLOOKUP(Table4[[#This Row],[Visitor]],'NHL Model'!$A$6:$B$38,2,FALSE)</f>
        <v>-6.5759726104743493E-3</v>
      </c>
      <c r="J735">
        <f>($B$1+Table4[[#This Row],[Home Differential]])-Table4[[#This Row],[Away Differential]]</f>
        <v>0.52426902005198817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0.55499606452543249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8.4418744674710666E-2</v>
      </c>
      <c r="H736" t="s">
        <v>27</v>
      </c>
      <c r="I736">
        <f>VLOOKUP(Table4[[#This Row],[Visitor]],'NHL Model'!$A$6:$B$38,2,FALSE)</f>
        <v>0.24261452474052697</v>
      </c>
      <c r="J736">
        <f>($B$1+Table4[[#This Row],[Home Differential]])-Table4[[#This Row],[Away Differential]]</f>
        <v>-8.9570959945513701E-2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0.43679159700490999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3.852494182308655E-2</v>
      </c>
      <c r="H737" t="s">
        <v>20</v>
      </c>
      <c r="I737">
        <f>VLOOKUP(Table4[[#This Row],[Visitor]],'NHL Model'!$A$6:$B$38,2,FALSE)</f>
        <v>0.21920515510044997</v>
      </c>
      <c r="J737">
        <f>($B$1+Table4[[#This Row],[Home Differential]])-Table4[[#This Row],[Away Differential]]</f>
        <v>-0.11205539315706081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0.49306091995928025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1.6161557760803764E-2</v>
      </c>
      <c r="H738" t="s">
        <v>32</v>
      </c>
      <c r="I738">
        <f>VLOOKUP(Table4[[#This Row],[Visitor]],'NHL Model'!$A$6:$B$38,2,FALSE)</f>
        <v>-0.35878259596109546</v>
      </c>
      <c r="J738">
        <f>($B$1+Table4[[#This Row],[Home Differential]])-Table4[[#This Row],[Away Differential]]</f>
        <v>0.44356897384220184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0.58865639936826197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5.9615189993428262E-2</v>
      </c>
      <c r="H739" t="s">
        <v>36</v>
      </c>
      <c r="I739">
        <f>VLOOKUP(Table4[[#This Row],[Visitor]],'NHL Model'!$A$6:$B$38,2,FALSE)</f>
        <v>5.0237013717083105E-2</v>
      </c>
      <c r="J739">
        <f>($B$1+Table4[[#This Row],[Home Differential]])-Table4[[#This Row],[Away Differential]]</f>
        <v>7.8002996396647761E-2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0.5277871497903045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-6.6683170548020518E-2</v>
      </c>
      <c r="H740" t="s">
        <v>32</v>
      </c>
      <c r="I740">
        <f>VLOOKUP(Table4[[#This Row],[Visitor]],'NHL Model'!$A$6:$B$38,2,FALSE)</f>
        <v>-0.35878259596109546</v>
      </c>
      <c r="J740">
        <f>($B$1+Table4[[#This Row],[Home Differential]])-Table4[[#This Row],[Away Differential]]</f>
        <v>0.36072424553337756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0.59358553534055092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8.4418744674710666E-2</v>
      </c>
      <c r="H741" t="s">
        <v>18</v>
      </c>
      <c r="I741">
        <f>VLOOKUP(Table4[[#This Row],[Visitor]],'NHL Model'!$A$6:$B$38,2,FALSE)</f>
        <v>-6.5759726104743493E-3</v>
      </c>
      <c r="J741">
        <f>($B$1+Table4[[#This Row],[Home Differential]])-Table4[[#This Row],[Away Differential]]</f>
        <v>0.15961953740548762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0.54952884600330798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-0.16769781981623849</v>
      </c>
      <c r="H742" t="s">
        <v>38</v>
      </c>
      <c r="I742">
        <f>VLOOKUP(Table4[[#This Row],[Visitor]],'NHL Model'!$A$6:$B$38,2,FALSE)</f>
        <v>-0.41225364678728776</v>
      </c>
      <c r="J742">
        <f>($B$1+Table4[[#This Row],[Home Differential]])-Table4[[#This Row],[Away Differential]]</f>
        <v>0.31318064709135185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0.53184115337868687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-0.45443544272009573</v>
      </c>
      <c r="H743" t="s">
        <v>16</v>
      </c>
      <c r="I743">
        <f>VLOOKUP(Table4[[#This Row],[Visitor]],'NHL Model'!$A$6:$B$38,2,FALSE)</f>
        <v>-0.31883717525004912</v>
      </c>
      <c r="J743">
        <f>($B$1+Table4[[#This Row],[Home Differential]])-Table4[[#This Row],[Away Differential]]</f>
        <v>-6.6973447349744031E-2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0.46734651653629339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0.16838500200194736</v>
      </c>
      <c r="H744" t="s">
        <v>30</v>
      </c>
      <c r="I744">
        <f>VLOOKUP(Table4[[#This Row],[Visitor]],'NHL Model'!$A$6:$B$38,2,FALSE)</f>
        <v>0.28840991013146466</v>
      </c>
      <c r="J744">
        <f>($B$1+Table4[[#This Row],[Home Differential]])-Table4[[#This Row],[Away Differential]]</f>
        <v>-5.1400088009214695E-2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0.45008267289869575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0.65260146250136963</v>
      </c>
      <c r="H745" t="s">
        <v>40</v>
      </c>
      <c r="I745">
        <f>VLOOKUP(Table4[[#This Row],[Visitor]],'NHL Model'!$A$6:$B$38,2,FALSE)</f>
        <v>-5.9925012095478535E-2</v>
      </c>
      <c r="J745">
        <f>($B$1+Table4[[#This Row],[Home Differential]])-Table4[[#This Row],[Away Differential]]</f>
        <v>0.78115129471715072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0.64797054472307047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-0.10173040746987846</v>
      </c>
      <c r="H746" t="s">
        <v>27</v>
      </c>
      <c r="I746">
        <f>VLOOKUP(Table4[[#This Row],[Visitor]],'NHL Model'!$A$6:$B$38,2,FALSE)</f>
        <v>0.24261452474052697</v>
      </c>
      <c r="J746">
        <f>($B$1+Table4[[#This Row],[Home Differential]])-Table4[[#This Row],[Away Differential]]</f>
        <v>-0.27572011209010283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0.49590230030695565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0.17839230571314843</v>
      </c>
      <c r="H747" t="s">
        <v>39</v>
      </c>
      <c r="I747">
        <f>VLOOKUP(Table4[[#This Row],[Visitor]],'NHL Model'!$A$6:$B$38,2,FALSE)</f>
        <v>0.92184375119443818</v>
      </c>
      <c r="J747">
        <f>($B$1+Table4[[#This Row],[Home Differential]])-Table4[[#This Row],[Away Differential]]</f>
        <v>-0.67482662536098714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0.62024222603358847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0.21920515510044997</v>
      </c>
      <c r="H748" t="s">
        <v>19</v>
      </c>
      <c r="I748">
        <f>VLOOKUP(Table4[[#This Row],[Visitor]],'NHL Model'!$A$6:$B$38,2,FALSE)</f>
        <v>-0.12942754353881131</v>
      </c>
      <c r="J748">
        <f>($B$1+Table4[[#This Row],[Home Differential]])-Table4[[#This Row],[Away Differential]]</f>
        <v>0.41725751875956391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0.585770217642404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0.44906822732121116</v>
      </c>
      <c r="H749" t="s">
        <v>33</v>
      </c>
      <c r="I749">
        <f>VLOOKUP(Table4[[#This Row],[Visitor]],'NHL Model'!$A$6:$B$38,2,FALSE)</f>
        <v>-0.21661915454261307</v>
      </c>
      <c r="J749">
        <f>($B$1+Table4[[#This Row],[Home Differential]])-Table4[[#This Row],[Away Differential]]</f>
        <v>0.73431220198412683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0.61782395264257473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0.64590845617425174</v>
      </c>
      <c r="H750" t="s">
        <v>11</v>
      </c>
      <c r="I750">
        <f>VLOOKUP(Table4[[#This Row],[Visitor]],'NHL Model'!$A$6:$B$38,2,FALSE)</f>
        <v>0.24167918475059574</v>
      </c>
      <c r="J750">
        <f>($B$1+Table4[[#This Row],[Home Differential]])-Table4[[#This Row],[Away Differential]]</f>
        <v>0.47285409154395858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0.60116454563470645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1.8165919516425306</v>
      </c>
      <c r="H751" t="s">
        <v>29</v>
      </c>
      <c r="I751">
        <f>VLOOKUP(Table4[[#This Row],[Visitor]],'NHL Model'!$A$6:$B$38,2,FALSE)</f>
        <v>-0.30501317799182315</v>
      </c>
      <c r="J751">
        <f>($B$1+Table4[[#This Row],[Home Differential]])-Table4[[#This Row],[Away Differential]]</f>
        <v>2.1902299497546562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0.89923141742944834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-8.7991118744577684E-2</v>
      </c>
      <c r="H752" t="s">
        <v>33</v>
      </c>
      <c r="I752">
        <f>VLOOKUP(Table4[[#This Row],[Visitor]],'NHL Model'!$A$6:$B$38,2,FALSE)</f>
        <v>-0.21661915454261307</v>
      </c>
      <c r="J752">
        <f>($B$1+Table4[[#This Row],[Home Differential]])-Table4[[#This Row],[Away Differential]]</f>
        <v>0.19725285591833799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0.58815101362048805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3.852494182308655E-2</v>
      </c>
      <c r="H753" t="s">
        <v>31</v>
      </c>
      <c r="I753">
        <f>VLOOKUP(Table4[[#This Row],[Visitor]],'NHL Model'!$A$6:$B$38,2,FALSE)</f>
        <v>-4.3195749724159979E-4</v>
      </c>
      <c r="J753">
        <f>($B$1+Table4[[#This Row],[Home Differential]])-Table4[[#This Row],[Away Differential]]</f>
        <v>0.10758171944063076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0.55180095862090173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-0.91735746943655616</v>
      </c>
      <c r="H754" t="s">
        <v>37</v>
      </c>
      <c r="I754">
        <f>VLOOKUP(Table4[[#This Row],[Visitor]],'NHL Model'!$A$6:$B$38,2,FALSE)</f>
        <v>0.77383710114582016</v>
      </c>
      <c r="J754">
        <f>($B$1+Table4[[#This Row],[Home Differential]])-Table4[[#This Row],[Away Differential]]</f>
        <v>-1.6225697504620737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0.70887253033913411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-4.3195749724159979E-4</v>
      </c>
      <c r="H755" t="s">
        <v>13</v>
      </c>
      <c r="I755">
        <f>VLOOKUP(Table4[[#This Row],[Visitor]],'NHL Model'!$A$6:$B$38,2,FALSE)</f>
        <v>3.852494182308655E-2</v>
      </c>
      <c r="J755">
        <f>($B$1+Table4[[#This Row],[Home Differential]])-Table4[[#This Row],[Away Differential]]</f>
        <v>2.9667920799974448E-2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0.5498921064630925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8.4418744674710666E-2</v>
      </c>
      <c r="H756" t="s">
        <v>34</v>
      </c>
      <c r="I756">
        <f>VLOOKUP(Table4[[#This Row],[Visitor]],'NHL Model'!$A$6:$B$38,2,FALSE)</f>
        <v>0.65260146250136963</v>
      </c>
      <c r="J756">
        <f>($B$1+Table4[[#This Row],[Home Differential]])-Table4[[#This Row],[Away Differential]]</f>
        <v>-0.49955789770635639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0.54656269675133751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-0.31883717525004912</v>
      </c>
      <c r="H757" t="s">
        <v>30</v>
      </c>
      <c r="I757">
        <f>VLOOKUP(Table4[[#This Row],[Visitor]],'NHL Model'!$A$6:$B$38,2,FALSE)</f>
        <v>0.28840991013146466</v>
      </c>
      <c r="J757">
        <f>($B$1+Table4[[#This Row],[Home Differential]])-Table4[[#This Row],[Away Differential]]</f>
        <v>-0.53862226526121115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0.50908307747536596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-0.45443544272009573</v>
      </c>
      <c r="H758" t="s">
        <v>21</v>
      </c>
      <c r="I758">
        <f>VLOOKUP(Table4[[#This Row],[Visitor]],'NHL Model'!$A$6:$B$38,2,FALSE)</f>
        <v>-6.6683170548020518E-2</v>
      </c>
      <c r="J758">
        <f>($B$1+Table4[[#This Row],[Home Differential]])-Table4[[#This Row],[Away Differential]]</f>
        <v>-0.31912745205177262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0.4950060389073353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1.6161557760803764E-2</v>
      </c>
      <c r="H759" t="s">
        <v>25</v>
      </c>
      <c r="I759">
        <f>VLOOKUP(Table4[[#This Row],[Visitor]],'NHL Model'!$A$6:$B$38,2,FALSE)</f>
        <v>0.64590845617425174</v>
      </c>
      <c r="J759">
        <f>($B$1+Table4[[#This Row],[Home Differential]])-Table4[[#This Row],[Away Differential]]</f>
        <v>-0.56112207829314542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0.59243917974158689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5.0237013717083105E-2</v>
      </c>
      <c r="H760" t="s">
        <v>18</v>
      </c>
      <c r="I760">
        <f>VLOOKUP(Table4[[#This Row],[Visitor]],'NHL Model'!$A$6:$B$38,2,FALSE)</f>
        <v>-6.5759726104743493E-3</v>
      </c>
      <c r="J760">
        <f>($B$1+Table4[[#This Row],[Home Differential]])-Table4[[#This Row],[Away Differential]]</f>
        <v>0.12543780644786007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0.50666025440599283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0.24261452474052697</v>
      </c>
      <c r="H761" t="s">
        <v>15</v>
      </c>
      <c r="I761">
        <f>VLOOKUP(Table4[[#This Row],[Visitor]],'NHL Model'!$A$6:$B$38,2,FALSE)</f>
        <v>5.9615189993428262E-2</v>
      </c>
      <c r="J761">
        <f>($B$1+Table4[[#This Row],[Home Differential]])-Table4[[#This Row],[Away Differential]]</f>
        <v>0.25162415486740136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0.50227307136118227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-0.10173040746987846</v>
      </c>
      <c r="H762" t="s">
        <v>28</v>
      </c>
      <c r="I762">
        <f>VLOOKUP(Table4[[#This Row],[Visitor]],'NHL Model'!$A$6:$B$38,2,FALSE)</f>
        <v>-0.16769781981623849</v>
      </c>
      <c r="J762">
        <f>($B$1+Table4[[#This Row],[Home Differential]])-Table4[[#This Row],[Away Differential]]</f>
        <v>0.13459223246666263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0.5547638220907074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0.17839230571314843</v>
      </c>
      <c r="H763" t="s">
        <v>32</v>
      </c>
      <c r="I763">
        <f>VLOOKUP(Table4[[#This Row],[Visitor]],'NHL Model'!$A$6:$B$38,2,FALSE)</f>
        <v>-0.35878259596109546</v>
      </c>
      <c r="J763">
        <f>($B$1+Table4[[#This Row],[Home Differential]])-Table4[[#This Row],[Away Differential]]</f>
        <v>0.60579972179454655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0.60645197238547943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-0.41225364678728776</v>
      </c>
      <c r="H764" t="s">
        <v>17</v>
      </c>
      <c r="I764">
        <f>VLOOKUP(Table4[[#This Row],[Visitor]],'NHL Model'!$A$6:$B$38,2,FALSE)</f>
        <v>0.16838500200194736</v>
      </c>
      <c r="J764">
        <f>($B$1+Table4[[#This Row],[Home Differential]])-Table4[[#This Row],[Away Differential]]</f>
        <v>-0.51201382866893252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0.51616431896485859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0.21920515510044997</v>
      </c>
      <c r="H765" t="s">
        <v>29</v>
      </c>
      <c r="I765">
        <f>VLOOKUP(Table4[[#This Row],[Visitor]],'NHL Model'!$A$6:$B$38,2,FALSE)</f>
        <v>-0.30501317799182315</v>
      </c>
      <c r="J765">
        <f>($B$1+Table4[[#This Row],[Home Differential]])-Table4[[#This Row],[Away Differential]]</f>
        <v>0.59284315321257575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0.60503072786085466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-5.9925012095478535E-2</v>
      </c>
      <c r="H766" t="s">
        <v>19</v>
      </c>
      <c r="I766">
        <f>VLOOKUP(Table4[[#This Row],[Visitor]],'NHL Model'!$A$6:$B$38,2,FALSE)</f>
        <v>-0.12942754353881131</v>
      </c>
      <c r="J766">
        <f>($B$1+Table4[[#This Row],[Home Differential]])-Table4[[#This Row],[Away Differential]]</f>
        <v>0.13812735156363537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0.55515159981354212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0.44906822732121116</v>
      </c>
      <c r="H767" t="s">
        <v>11</v>
      </c>
      <c r="I767">
        <f>VLOOKUP(Table4[[#This Row],[Visitor]],'NHL Model'!$A$6:$B$38,2,FALSE)</f>
        <v>0.24167918475059574</v>
      </c>
      <c r="J767">
        <f>($B$1+Table4[[#This Row],[Home Differential]])-Table4[[#This Row],[Away Differential]]</f>
        <v>0.27601386269091804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0.53796908881596561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0.92184375119443818</v>
      </c>
      <c r="H768" t="s">
        <v>37</v>
      </c>
      <c r="I768">
        <f>VLOOKUP(Table4[[#This Row],[Visitor]],'NHL Model'!$A$6:$B$38,2,FALSE)</f>
        <v>0.77383710114582016</v>
      </c>
      <c r="J768">
        <f>($B$1+Table4[[#This Row],[Home Differential]])-Table4[[#This Row],[Away Differential]]</f>
        <v>0.21663147016892059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0.53199824407550966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-8.7991118744577684E-2</v>
      </c>
      <c r="H769" t="s">
        <v>36</v>
      </c>
      <c r="I769">
        <f>VLOOKUP(Table4[[#This Row],[Visitor]],'NHL Model'!$A$6:$B$38,2,FALSE)</f>
        <v>5.0237013717083105E-2</v>
      </c>
      <c r="J769">
        <f>($B$1+Table4[[#This Row],[Home Differential]])-Table4[[#This Row],[Away Differential]]</f>
        <v>-6.9603312341358192E-2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0.45444350488349899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0.16838500200194736</v>
      </c>
      <c r="H770" t="s">
        <v>35</v>
      </c>
      <c r="I770">
        <f>VLOOKUP(Table4[[#This Row],[Visitor]],'NHL Model'!$A$6:$B$38,2,FALSE)</f>
        <v>-0.91735746943655616</v>
      </c>
      <c r="J770">
        <f>($B$1+Table4[[#This Row],[Home Differential]])-Table4[[#This Row],[Away Differential]]</f>
        <v>1.1543672915588061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0.70266284623631159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-4.3195749724159979E-4</v>
      </c>
      <c r="H771" t="s">
        <v>15</v>
      </c>
      <c r="I771">
        <f>VLOOKUP(Table4[[#This Row],[Visitor]],'NHL Model'!$A$6:$B$38,2,FALSE)</f>
        <v>5.9615189993428262E-2</v>
      </c>
      <c r="J771">
        <f>($B$1+Table4[[#This Row],[Home Differential]])-Table4[[#This Row],[Away Differential]]</f>
        <v>8.5776726296327363E-3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0.51016600266109491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0.64590845617425174</v>
      </c>
      <c r="H772" t="s">
        <v>23</v>
      </c>
      <c r="I772">
        <f>VLOOKUP(Table4[[#This Row],[Visitor]],'NHL Model'!$A$6:$B$38,2,FALSE)</f>
        <v>8.4418744674710666E-2</v>
      </c>
      <c r="J772">
        <f>($B$1+Table4[[#This Row],[Home Differential]])-Table4[[#This Row],[Away Differential]]</f>
        <v>0.63011453161984365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0.6547047217430827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-0.31883717525004912</v>
      </c>
      <c r="H773" t="s">
        <v>24</v>
      </c>
      <c r="I773">
        <f>VLOOKUP(Table4[[#This Row],[Visitor]],'NHL Model'!$A$6:$B$38,2,FALSE)</f>
        <v>1.6161557760803764E-2</v>
      </c>
      <c r="J773">
        <f>($B$1+Table4[[#This Row],[Home Differential]])-Table4[[#This Row],[Away Differential]]</f>
        <v>-0.26637391289055024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0.49194428210537222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-0.45443544272009573</v>
      </c>
      <c r="H774" t="s">
        <v>40</v>
      </c>
      <c r="I774">
        <f>VLOOKUP(Table4[[#This Row],[Visitor]],'NHL Model'!$A$6:$B$38,2,FALSE)</f>
        <v>-5.9925012095478535E-2</v>
      </c>
      <c r="J774">
        <f>($B$1+Table4[[#This Row],[Home Differential]])-Table4[[#This Row],[Away Differential]]</f>
        <v>-0.32588561050431464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0.49574736139842968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1.8165919516425306</v>
      </c>
      <c r="H775" t="s">
        <v>22</v>
      </c>
      <c r="I775">
        <f>VLOOKUP(Table4[[#This Row],[Visitor]],'NHL Model'!$A$6:$B$38,2,FALSE)</f>
        <v>0.44906822732121116</v>
      </c>
      <c r="J775">
        <f>($B$1+Table4[[#This Row],[Home Differential]])-Table4[[#This Row],[Away Differential]]</f>
        <v>1.436148544441622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0.80989591819724227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0.24167918475059574</v>
      </c>
      <c r="H776" t="s">
        <v>33</v>
      </c>
      <c r="I776">
        <f>VLOOKUP(Table4[[#This Row],[Visitor]],'NHL Model'!$A$6:$B$38,2,FALSE)</f>
        <v>-0.21661915454261307</v>
      </c>
      <c r="J776">
        <f>($B$1+Table4[[#This Row],[Home Differential]])-Table4[[#This Row],[Away Differential]]</f>
        <v>0.52692315941351142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0.60185263121233135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-0.35878259596109546</v>
      </c>
      <c r="H777" t="s">
        <v>14</v>
      </c>
      <c r="I777">
        <f>VLOOKUP(Table4[[#This Row],[Visitor]],'NHL Model'!$A$6:$B$38,2,FALSE)</f>
        <v>-0.10173040746987846</v>
      </c>
      <c r="J777">
        <f>($B$1+Table4[[#This Row],[Home Differential]])-Table4[[#This Row],[Away Differential]]</f>
        <v>-0.18842736837091437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0.48795887781356517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-0.12942754353881131</v>
      </c>
      <c r="H778" t="s">
        <v>34</v>
      </c>
      <c r="I778">
        <f>VLOOKUP(Table4[[#This Row],[Visitor]],'NHL Model'!$A$6:$B$38,2,FALSE)</f>
        <v>0.65260146250136963</v>
      </c>
      <c r="J778">
        <f>($B$1+Table4[[#This Row],[Home Differential]])-Table4[[#This Row],[Away Differential]]</f>
        <v>-0.71340418591987831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0.60663970541444312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-0.41225364678728776</v>
      </c>
      <c r="H779" t="s">
        <v>30</v>
      </c>
      <c r="I779">
        <f>VLOOKUP(Table4[[#This Row],[Visitor]],'NHL Model'!$A$6:$B$38,2,FALSE)</f>
        <v>0.28840991013146466</v>
      </c>
      <c r="J779">
        <f>($B$1+Table4[[#This Row],[Home Differential]])-Table4[[#This Row],[Away Differential]]</f>
        <v>-0.6320387367984498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0.55009943871298406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0.21920515510044997</v>
      </c>
      <c r="H780" t="s">
        <v>27</v>
      </c>
      <c r="I780">
        <f>VLOOKUP(Table4[[#This Row],[Visitor]],'NHL Model'!$A$6:$B$38,2,FALSE)</f>
        <v>0.24261452474052697</v>
      </c>
      <c r="J780">
        <f>($B$1+Table4[[#This Row],[Home Differential]])-Table4[[#This Row],[Away Differential]]</f>
        <v>4.5215450480225627E-2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0.5393020756182525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-0.16769781981623849</v>
      </c>
      <c r="H781" t="s">
        <v>36</v>
      </c>
      <c r="I781">
        <f>VLOOKUP(Table4[[#This Row],[Visitor]],'NHL Model'!$A$6:$B$38,2,FALSE)</f>
        <v>5.0237013717083105E-2</v>
      </c>
      <c r="J781">
        <f>($B$1+Table4[[#This Row],[Home Differential]])-Table4[[#This Row],[Away Differential]]</f>
        <v>-0.149310013413019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0.49714749000448749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0.92184375119443818</v>
      </c>
      <c r="H782" t="s">
        <v>21</v>
      </c>
      <c r="I782">
        <f>VLOOKUP(Table4[[#This Row],[Visitor]],'NHL Model'!$A$6:$B$38,2,FALSE)</f>
        <v>-6.6683170548020518E-2</v>
      </c>
      <c r="J782">
        <f>($B$1+Table4[[#This Row],[Home Differential]])-Table4[[#This Row],[Away Differential]]</f>
        <v>1.0571517418627612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0.69455420980619575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0.16838500200194736</v>
      </c>
      <c r="H783" t="s">
        <v>24</v>
      </c>
      <c r="I783">
        <f>VLOOKUP(Table4[[#This Row],[Visitor]],'NHL Model'!$A$6:$B$38,2,FALSE)</f>
        <v>1.6161557760803764E-2</v>
      </c>
      <c r="J783">
        <f>($B$1+Table4[[#This Row],[Home Differential]])-Table4[[#This Row],[Away Differential]]</f>
        <v>0.22084826436144619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0.56708264550553322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3.852494182308655E-2</v>
      </c>
      <c r="H784" t="s">
        <v>15</v>
      </c>
      <c r="I784">
        <f>VLOOKUP(Table4[[#This Row],[Visitor]],'NHL Model'!$A$6:$B$38,2,FALSE)</f>
        <v>5.9615189993428262E-2</v>
      </c>
      <c r="J784">
        <f>($B$1+Table4[[#This Row],[Home Differential]])-Table4[[#This Row],[Away Differential]]</f>
        <v>4.7534571949960892E-2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0.47531261880166142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-6.5759726104743493E-3</v>
      </c>
      <c r="H785" t="s">
        <v>34</v>
      </c>
      <c r="I785">
        <f>VLOOKUP(Table4[[#This Row],[Visitor]],'NHL Model'!$A$6:$B$38,2,FALSE)</f>
        <v>0.65260146250136963</v>
      </c>
      <c r="J785">
        <f>($B$1+Table4[[#This Row],[Home Differential]])-Table4[[#This Row],[Away Differential]]</f>
        <v>-0.59055261499154144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0.59566750280218228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-0.30501317799182315</v>
      </c>
      <c r="H786" t="s">
        <v>23</v>
      </c>
      <c r="I786">
        <f>VLOOKUP(Table4[[#This Row],[Visitor]],'NHL Model'!$A$6:$B$38,2,FALSE)</f>
        <v>8.4418744674710666E-2</v>
      </c>
      <c r="J786">
        <f>($B$1+Table4[[#This Row],[Home Differential]])-Table4[[#This Row],[Away Differential]]</f>
        <v>-0.32080710254623124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0.49519028476328319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0.77383710114582016</v>
      </c>
      <c r="H787" t="s">
        <v>33</v>
      </c>
      <c r="I787">
        <f>VLOOKUP(Table4[[#This Row],[Visitor]],'NHL Model'!$A$6:$B$38,2,FALSE)</f>
        <v>-0.21661915454261307</v>
      </c>
      <c r="J787">
        <f>($B$1+Table4[[#This Row],[Home Differential]])-Table4[[#This Row],[Away Differential]]</f>
        <v>1.0590810758087359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0.65344881587480885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-5.9925012095478535E-2</v>
      </c>
      <c r="H788" t="s">
        <v>35</v>
      </c>
      <c r="I788">
        <f>VLOOKUP(Table4[[#This Row],[Visitor]],'NHL Model'!$A$6:$B$38,2,FALSE)</f>
        <v>-0.91735746943655616</v>
      </c>
      <c r="J788">
        <f>($B$1+Table4[[#This Row],[Home Differential]])-Table4[[#This Row],[Away Differential]]</f>
        <v>0.92605727746138022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0.64158197571788622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-0.31883717525004912</v>
      </c>
      <c r="H789" t="s">
        <v>14</v>
      </c>
      <c r="I789">
        <f>VLOOKUP(Table4[[#This Row],[Visitor]],'NHL Model'!$A$6:$B$38,2,FALSE)</f>
        <v>-0.10173040746987846</v>
      </c>
      <c r="J789">
        <f>($B$1+Table4[[#This Row],[Home Differential]])-Table4[[#This Row],[Away Differential]]</f>
        <v>-0.14848194765986802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0.4529451081818473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1.8165919516425306</v>
      </c>
      <c r="H790" t="s">
        <v>31</v>
      </c>
      <c r="I790">
        <f>VLOOKUP(Table4[[#This Row],[Visitor]],'NHL Model'!$A$6:$B$38,2,FALSE)</f>
        <v>-4.3195749724159979E-4</v>
      </c>
      <c r="J790">
        <f>($B$1+Table4[[#This Row],[Home Differential]])-Table4[[#This Row],[Away Differential]]</f>
        <v>1.8856487292600748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0.86582099790418843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-0.35878259596109546</v>
      </c>
      <c r="H791" t="s">
        <v>30</v>
      </c>
      <c r="I791">
        <f>VLOOKUP(Table4[[#This Row],[Visitor]],'NHL Model'!$A$6:$B$38,2,FALSE)</f>
        <v>0.28840991013146466</v>
      </c>
      <c r="J791">
        <f>($B$1+Table4[[#This Row],[Home Differential]])-Table4[[#This Row],[Away Differential]]</f>
        <v>-0.57856768597225749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0.5442340401908472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-0.12942754353881131</v>
      </c>
      <c r="H792" t="s">
        <v>26</v>
      </c>
      <c r="I792">
        <f>VLOOKUP(Table4[[#This Row],[Visitor]],'NHL Model'!$A$6:$B$38,2,FALSE)</f>
        <v>-8.7991118744577684E-2</v>
      </c>
      <c r="J792">
        <f>($B$1+Table4[[#This Row],[Home Differential]])-Table4[[#This Row],[Away Differential]]</f>
        <v>2.7188395326068981E-2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0.51191094733667097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0.17839230571314843</v>
      </c>
      <c r="H793" t="s">
        <v>27</v>
      </c>
      <c r="I793">
        <f>VLOOKUP(Table4[[#This Row],[Visitor]],'NHL Model'!$A$6:$B$38,2,FALSE)</f>
        <v>0.24261452474052697</v>
      </c>
      <c r="J793">
        <f>($B$1+Table4[[#This Row],[Home Differential]])-Table4[[#This Row],[Away Differential]]</f>
        <v>4.4026010929240633E-3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0.53482519284183971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-0.41225364678728776</v>
      </c>
      <c r="H794" t="s">
        <v>22</v>
      </c>
      <c r="I794">
        <f>VLOOKUP(Table4[[#This Row],[Visitor]],'NHL Model'!$A$6:$B$38,2,FALSE)</f>
        <v>0.44906822732121116</v>
      </c>
      <c r="J794">
        <f>($B$1+Table4[[#This Row],[Home Differential]])-Table4[[#This Row],[Away Differential]]</f>
        <v>-0.79269705398819634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0.55424301598231829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-6.6683170548020518E-2</v>
      </c>
      <c r="H795" t="s">
        <v>20</v>
      </c>
      <c r="I795">
        <f>VLOOKUP(Table4[[#This Row],[Visitor]],'NHL Model'!$A$6:$B$38,2,FALSE)</f>
        <v>0.21920515510044997</v>
      </c>
      <c r="J795">
        <f>($B$1+Table4[[#This Row],[Home Differential]])-Table4[[#This Row],[Away Differential]]</f>
        <v>-0.21726350552816787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0.49049894646197945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0.64590845617425174</v>
      </c>
      <c r="H796" t="s">
        <v>10</v>
      </c>
      <c r="I796">
        <f>VLOOKUP(Table4[[#This Row],[Visitor]],'NHL Model'!$A$6:$B$38,2,FALSE)</f>
        <v>-0.45443544272009573</v>
      </c>
      <c r="J796">
        <f>($B$1+Table4[[#This Row],[Home Differential]])-Table4[[#This Row],[Away Differential]]</f>
        <v>1.16896871901465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0.71381323944673336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-0.16769781981623849</v>
      </c>
      <c r="H797" t="s">
        <v>39</v>
      </c>
      <c r="I797">
        <f>VLOOKUP(Table4[[#This Row],[Visitor]],'NHL Model'!$A$6:$B$38,2,FALSE)</f>
        <v>0.92184375119443818</v>
      </c>
      <c r="J797">
        <f>($B$1+Table4[[#This Row],[Home Differential]])-Table4[[#This Row],[Away Differential]]</f>
        <v>-1.020916750890374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0.65820588074844766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0.16838500200194736</v>
      </c>
      <c r="H798" t="s">
        <v>14</v>
      </c>
      <c r="I798">
        <f>VLOOKUP(Table4[[#This Row],[Visitor]],'NHL Model'!$A$6:$B$38,2,FALSE)</f>
        <v>-0.10173040746987846</v>
      </c>
      <c r="J798">
        <f>($B$1+Table4[[#This Row],[Home Differential]])-Table4[[#This Row],[Away Differential]]</f>
        <v>0.33874022959212846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0.60601969822906998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0.65260146250136963</v>
      </c>
      <c r="H799" t="s">
        <v>26</v>
      </c>
      <c r="I799">
        <f>VLOOKUP(Table4[[#This Row],[Visitor]],'NHL Model'!$A$6:$B$38,2,FALSE)</f>
        <v>-8.7991118744577684E-2</v>
      </c>
      <c r="J799">
        <f>($B$1+Table4[[#This Row],[Home Differential]])-Table4[[#This Row],[Away Differential]]</f>
        <v>0.80921740136624987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0.61767338528340909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-6.5759726104743493E-3</v>
      </c>
      <c r="H800" t="s">
        <v>23</v>
      </c>
      <c r="I800">
        <f>VLOOKUP(Table4[[#This Row],[Visitor]],'NHL Model'!$A$6:$B$38,2,FALSE)</f>
        <v>8.4418744674710666E-2</v>
      </c>
      <c r="J800">
        <f>($B$1+Table4[[#This Row],[Home Differential]])-Table4[[#This Row],[Away Differential]]</f>
        <v>-2.2369897164882413E-2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0.46245382052052336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-0.30501317799182315</v>
      </c>
      <c r="H801" t="s">
        <v>36</v>
      </c>
      <c r="I801">
        <f>VLOOKUP(Table4[[#This Row],[Visitor]],'NHL Model'!$A$6:$B$38,2,FALSE)</f>
        <v>5.0237013717083105E-2</v>
      </c>
      <c r="J801">
        <f>($B$1+Table4[[#This Row],[Home Differential]])-Table4[[#This Row],[Away Differential]]</f>
        <v>-0.28662537158860363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0.5122100198494266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-5.9925012095478535E-2</v>
      </c>
      <c r="H802" t="s">
        <v>11</v>
      </c>
      <c r="I802">
        <f>VLOOKUP(Table4[[#This Row],[Visitor]],'NHL Model'!$A$6:$B$38,2,FALSE)</f>
        <v>0.24167918475059574</v>
      </c>
      <c r="J802">
        <f>($B$1+Table4[[#This Row],[Home Differential]])-Table4[[#This Row],[Away Differential]]</f>
        <v>-0.23297937672577168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0.52245061036450013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-0.31883717525004912</v>
      </c>
      <c r="H803" t="s">
        <v>22</v>
      </c>
      <c r="I803">
        <f>VLOOKUP(Table4[[#This Row],[Visitor]],'NHL Model'!$A$6:$B$38,2,FALSE)</f>
        <v>0.44906822732121116</v>
      </c>
      <c r="J803">
        <f>($B$1+Table4[[#This Row],[Home Differential]])-Table4[[#This Row],[Away Differential]]</f>
        <v>-0.69928058245095759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0.51336384782846345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-0.45443544272009573</v>
      </c>
      <c r="H804" t="s">
        <v>37</v>
      </c>
      <c r="I804">
        <f>VLOOKUP(Table4[[#This Row],[Visitor]],'NHL Model'!$A$6:$B$38,2,FALSE)</f>
        <v>0.77383710114582016</v>
      </c>
      <c r="J804">
        <f>($B$1+Table4[[#This Row],[Home Differential]])-Table4[[#This Row],[Away Differential]]</f>
        <v>-1.1596477237456133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0.6580932370689645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1.8165919516425306</v>
      </c>
      <c r="H805" t="s">
        <v>27</v>
      </c>
      <c r="I805">
        <f>VLOOKUP(Table4[[#This Row],[Visitor]],'NHL Model'!$A$6:$B$38,2,FALSE)</f>
        <v>0.24261452474052697</v>
      </c>
      <c r="J805">
        <f>($B$1+Table4[[#This Row],[Home Differential]])-Table4[[#This Row],[Away Differential]]</f>
        <v>1.6426022470223063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0.83402807739690721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0.92184375119443818</v>
      </c>
      <c r="H806" t="s">
        <v>35</v>
      </c>
      <c r="I806">
        <f>VLOOKUP(Table4[[#This Row],[Visitor]],'NHL Model'!$A$6:$B$38,2,FALSE)</f>
        <v>-0.91735746943655616</v>
      </c>
      <c r="J806">
        <f>($B$1+Table4[[#This Row],[Home Differential]])-Table4[[#This Row],[Away Differential]]</f>
        <v>1.907826040751297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0.78786720250834408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-0.35878259596109546</v>
      </c>
      <c r="H807" t="s">
        <v>31</v>
      </c>
      <c r="I807">
        <f>VLOOKUP(Table4[[#This Row],[Visitor]],'NHL Model'!$A$6:$B$38,2,FALSE)</f>
        <v>-4.3195749724159979E-4</v>
      </c>
      <c r="J807">
        <f>($B$1+Table4[[#This Row],[Home Differential]])-Table4[[#This Row],[Away Differential]]</f>
        <v>-0.28972581834355121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0.49178088630165395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-0.21661915454261307</v>
      </c>
      <c r="H808" t="s">
        <v>15</v>
      </c>
      <c r="I808">
        <f>VLOOKUP(Table4[[#This Row],[Visitor]],'NHL Model'!$A$6:$B$38,2,FALSE)</f>
        <v>5.9615189993428262E-2</v>
      </c>
      <c r="J808">
        <f>($B$1+Table4[[#This Row],[Home Differential]])-Table4[[#This Row],[Away Differential]]</f>
        <v>-0.20760952441573874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0.55267489561281646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-0.12942754353881131</v>
      </c>
      <c r="H809" t="s">
        <v>20</v>
      </c>
      <c r="I809">
        <f>VLOOKUP(Table4[[#This Row],[Visitor]],'NHL Model'!$A$6:$B$38,2,FALSE)</f>
        <v>0.21920515510044997</v>
      </c>
      <c r="J809">
        <f>($B$1+Table4[[#This Row],[Home Differential]])-Table4[[#This Row],[Away Differential]]</f>
        <v>-0.2800078785189587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0.5089757661583344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-0.41225364678728776</v>
      </c>
      <c r="H810" t="s">
        <v>24</v>
      </c>
      <c r="I810">
        <f>VLOOKUP(Table4[[#This Row],[Visitor]],'NHL Model'!$A$6:$B$38,2,FALSE)</f>
        <v>1.6161557760803764E-2</v>
      </c>
      <c r="J810">
        <f>($B$1+Table4[[#This Row],[Home Differential]])-Table4[[#This Row],[Away Differential]]</f>
        <v>-0.35979038442778888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0.53304989243834777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-6.6683170548020518E-2</v>
      </c>
      <c r="H811" t="s">
        <v>18</v>
      </c>
      <c r="I811">
        <f>VLOOKUP(Table4[[#This Row],[Visitor]],'NHL Model'!$A$6:$B$38,2,FALSE)</f>
        <v>-6.5759726104743493E-3</v>
      </c>
      <c r="J811">
        <f>($B$1+Table4[[#This Row],[Home Differential]])-Table4[[#This Row],[Away Differential]]</f>
        <v>8.5176221827564357E-3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0.50797657681926522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-0.16769781981623849</v>
      </c>
      <c r="H812" t="s">
        <v>37</v>
      </c>
      <c r="I812">
        <f>VLOOKUP(Table4[[#This Row],[Visitor]],'NHL Model'!$A$6:$B$38,2,FALSE)</f>
        <v>0.77383710114582016</v>
      </c>
      <c r="J812">
        <f>($B$1+Table4[[#This Row],[Home Differential]])-Table4[[#This Row],[Away Differential]]</f>
        <v>-0.87291010084175602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0.6266401348083015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0.16838500200194736</v>
      </c>
      <c r="H813" t="s">
        <v>22</v>
      </c>
      <c r="I813">
        <f>VLOOKUP(Table4[[#This Row],[Visitor]],'NHL Model'!$A$6:$B$38,2,FALSE)</f>
        <v>0.44906822732121116</v>
      </c>
      <c r="J813">
        <f>($B$1+Table4[[#This Row],[Home Differential]])-Table4[[#This Row],[Away Differential]]</f>
        <v>-0.21205840519896119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0.45439904141754622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0.65260146250136963</v>
      </c>
      <c r="H814" t="s">
        <v>11</v>
      </c>
      <c r="I814">
        <f>VLOOKUP(Table4[[#This Row],[Visitor]],'NHL Model'!$A$6:$B$38,2,FALSE)</f>
        <v>0.24167918475059574</v>
      </c>
      <c r="J814">
        <f>($B$1+Table4[[#This Row],[Home Differential]])-Table4[[#This Row],[Away Differential]]</f>
        <v>0.47954709787107647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0.57820941575028906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-0.30501317799182315</v>
      </c>
      <c r="H815" t="s">
        <v>55</v>
      </c>
      <c r="I815">
        <f>VLOOKUP(Table4[[#This Row],[Visitor]],'NHL Model'!$A$6:$B$38,2,FALSE)</f>
        <v>0.17839230571314843</v>
      </c>
      <c r="J815">
        <f>($B$1+Table4[[#This Row],[Home Differential]])-Table4[[#This Row],[Away Differential]]</f>
        <v>-0.41478066358466897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0.50549852403515483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0.28840991013146466</v>
      </c>
      <c r="H816" t="s">
        <v>23</v>
      </c>
      <c r="I816">
        <f>VLOOKUP(Table4[[#This Row],[Visitor]],'NHL Model'!$A$6:$B$38,2,FALSE)</f>
        <v>8.4418744674710666E-2</v>
      </c>
      <c r="J816">
        <f>($B$1+Table4[[#This Row],[Home Differential]])-Table4[[#This Row],[Away Differential]]</f>
        <v>0.27261598557705657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0.58392067838055428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5.0237013717083105E-2</v>
      </c>
      <c r="H817" t="s">
        <v>25</v>
      </c>
      <c r="I817">
        <f>VLOOKUP(Table4[[#This Row],[Visitor]],'NHL Model'!$A$6:$B$38,2,FALSE)</f>
        <v>0.64590845617425174</v>
      </c>
      <c r="J817">
        <f>($B$1+Table4[[#This Row],[Home Differential]])-Table4[[#This Row],[Away Differential]]</f>
        <v>-0.52704662233686606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0.5887013416793283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-0.91735746943655616</v>
      </c>
      <c r="H818" t="s">
        <v>13</v>
      </c>
      <c r="I818">
        <f>VLOOKUP(Table4[[#This Row],[Visitor]],'NHL Model'!$A$6:$B$38,2,FALSE)</f>
        <v>3.852494182308655E-2</v>
      </c>
      <c r="J818">
        <f>($B$1+Table4[[#This Row],[Home Differential]])-Table4[[#This Row],[Away Differential]]</f>
        <v>-0.88725759113934011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0.58971625402717276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-5.9925012095478535E-2</v>
      </c>
      <c r="H819" t="s">
        <v>26</v>
      </c>
      <c r="I819">
        <f>VLOOKUP(Table4[[#This Row],[Visitor]],'NHL Model'!$A$6:$B$38,2,FALSE)</f>
        <v>-8.7991118744577684E-2</v>
      </c>
      <c r="J819">
        <f>($B$1+Table4[[#This Row],[Home Differential]])-Table4[[#This Row],[Away Differential]]</f>
        <v>9.6690926769401747E-2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0.51702289959976222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-0.31883717525004912</v>
      </c>
      <c r="H820" t="s">
        <v>31</v>
      </c>
      <c r="I820">
        <f>VLOOKUP(Table4[[#This Row],[Visitor]],'NHL Model'!$A$6:$B$38,2,FALSE)</f>
        <v>-4.3195749724159979E-4</v>
      </c>
      <c r="J820">
        <f>($B$1+Table4[[#This Row],[Home Differential]])-Table4[[#This Row],[Away Differential]]</f>
        <v>-0.2497803976325049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0.45685973526826662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-0.45443544272009573</v>
      </c>
      <c r="H821" t="s">
        <v>11</v>
      </c>
      <c r="I821">
        <f>VLOOKUP(Table4[[#This Row],[Visitor]],'NHL Model'!$A$6:$B$38,2,FALSE)</f>
        <v>0.24167918475059574</v>
      </c>
      <c r="J821">
        <f>($B$1+Table4[[#This Row],[Home Differential]])-Table4[[#This Row],[Away Differential]]</f>
        <v>-0.62748980735038895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0.56572563228757333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5.0237013717083105E-2</v>
      </c>
      <c r="H822" t="s">
        <v>20</v>
      </c>
      <c r="I822">
        <f>VLOOKUP(Table4[[#This Row],[Visitor]],'NHL Model'!$A$6:$B$38,2,FALSE)</f>
        <v>0.21920515510044997</v>
      </c>
      <c r="J822">
        <f>($B$1+Table4[[#This Row],[Home Differential]])-Table4[[#This Row],[Away Differential]]</f>
        <v>-0.10034332126306425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0.49177618797595896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-0.35878259596109546</v>
      </c>
      <c r="H823" t="s">
        <v>24</v>
      </c>
      <c r="I823">
        <f>VLOOKUP(Table4[[#This Row],[Visitor]],'NHL Model'!$A$6:$B$38,2,FALSE)</f>
        <v>1.6161557760803764E-2</v>
      </c>
      <c r="J823">
        <f>($B$1+Table4[[#This Row],[Home Differential]])-Table4[[#This Row],[Away Differential]]</f>
        <v>-0.30631933360159658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0.52718449391621081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-0.12942754353881131</v>
      </c>
      <c r="H824" t="s">
        <v>12</v>
      </c>
      <c r="I824">
        <f>VLOOKUP(Table4[[#This Row],[Visitor]],'NHL Model'!$A$6:$B$38,2,FALSE)</f>
        <v>1.8165919516425306</v>
      </c>
      <c r="J824">
        <f>($B$1+Table4[[#This Row],[Home Differential]])-Table4[[#This Row],[Away Differential]]</f>
        <v>-1.8773946750610393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0.74966323870710938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-0.41225364678728776</v>
      </c>
      <c r="H825" t="s">
        <v>14</v>
      </c>
      <c r="I825">
        <f>VLOOKUP(Table4[[#This Row],[Visitor]],'NHL Model'!$A$6:$B$38,2,FALSE)</f>
        <v>-0.10173040746987846</v>
      </c>
      <c r="J825">
        <f>($B$1+Table4[[#This Row],[Home Differential]])-Table4[[#This Row],[Away Differential]]</f>
        <v>-0.24189841919710667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0.49382427633570214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-0.16769781981623849</v>
      </c>
      <c r="H826" t="s">
        <v>13</v>
      </c>
      <c r="I826">
        <f>VLOOKUP(Table4[[#This Row],[Visitor]],'NHL Model'!$A$6:$B$38,2,FALSE)</f>
        <v>3.852494182308655E-2</v>
      </c>
      <c r="J826">
        <f>($B$1+Table4[[#This Row],[Home Differential]])-Table4[[#This Row],[Away Differential]]</f>
        <v>-0.13759794151902244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0.50748385849634015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0.16838500200194736</v>
      </c>
      <c r="H827" t="s">
        <v>31</v>
      </c>
      <c r="I827">
        <f>VLOOKUP(Table4[[#This Row],[Visitor]],'NHL Model'!$A$6:$B$38,2,FALSE)</f>
        <v>-4.3195749724159979E-4</v>
      </c>
      <c r="J827">
        <f>($B$1+Table4[[#This Row],[Home Differential]])-Table4[[#This Row],[Away Differential]]</f>
        <v>0.23744177961949156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0.60208256102515822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5.9615189993428262E-2</v>
      </c>
      <c r="H828" t="s">
        <v>21</v>
      </c>
      <c r="I828">
        <f>VLOOKUP(Table4[[#This Row],[Visitor]],'NHL Model'!$A$6:$B$38,2,FALSE)</f>
        <v>-6.6683170548020518E-2</v>
      </c>
      <c r="J828">
        <f>($B$1+Table4[[#This Row],[Home Differential]])-Table4[[#This Row],[Away Differential]]</f>
        <v>0.19492318066175141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0.56138170314811975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0.24261452474052697</v>
      </c>
      <c r="H829" t="s">
        <v>30</v>
      </c>
      <c r="I829">
        <f>VLOOKUP(Table4[[#This Row],[Visitor]],'NHL Model'!$A$6:$B$38,2,FALSE)</f>
        <v>0.28840991013146466</v>
      </c>
      <c r="J829">
        <f>($B$1+Table4[[#This Row],[Home Differential]])-Table4[[#This Row],[Away Differential]]</f>
        <v>2.2829434729364939E-2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0.52631375237159372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0.77383710114582016</v>
      </c>
      <c r="H830" t="s">
        <v>55</v>
      </c>
      <c r="I830">
        <f>VLOOKUP(Table4[[#This Row],[Visitor]],'NHL Model'!$A$6:$B$38,2,FALSE)</f>
        <v>0.17839230571314843</v>
      </c>
      <c r="J830">
        <f>($B$1+Table4[[#This Row],[Home Differential]])-Table4[[#This Row],[Away Differential]]</f>
        <v>0.66406961555297428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0.61739822570024305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-6.6683170548020518E-2</v>
      </c>
      <c r="H831" t="s">
        <v>29</v>
      </c>
      <c r="I831">
        <f>VLOOKUP(Table4[[#This Row],[Visitor]],'NHL Model'!$A$6:$B$38,2,FALSE)</f>
        <v>-0.30501317799182315</v>
      </c>
      <c r="J831">
        <f>($B$1+Table4[[#This Row],[Home Differential]])-Table4[[#This Row],[Away Differential]]</f>
        <v>0.30695482756410525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0.58768740803951336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-8.7991118744577684E-2</v>
      </c>
      <c r="H832" t="s">
        <v>13</v>
      </c>
      <c r="I832">
        <f>VLOOKUP(Table4[[#This Row],[Visitor]],'NHL Model'!$A$6:$B$38,2,FALSE)</f>
        <v>3.852494182308655E-2</v>
      </c>
      <c r="J832">
        <f>($B$1+Table4[[#This Row],[Home Differential]])-Table4[[#This Row],[Away Differential]]</f>
        <v>-5.789124044736163E-2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0.46468359559521322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0.24167918475059574</v>
      </c>
      <c r="H833" t="s">
        <v>55</v>
      </c>
      <c r="I833">
        <f>VLOOKUP(Table4[[#This Row],[Visitor]],'NHL Model'!$A$6:$B$38,2,FALSE)</f>
        <v>0.17839230571314843</v>
      </c>
      <c r="J833">
        <f>($B$1+Table4[[#This Row],[Home Differential]])-Table4[[#This Row],[Away Differential]]</f>
        <v>0.13191169915774995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0.56578445987552783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0.65260146250136963</v>
      </c>
      <c r="H834" t="s">
        <v>10</v>
      </c>
      <c r="I834">
        <f>VLOOKUP(Table4[[#This Row],[Visitor]],'NHL Model'!$A$6:$B$38,2,FALSE)</f>
        <v>-0.45443544272009573</v>
      </c>
      <c r="J834">
        <f>($B$1+Table4[[#This Row],[Home Differential]])-Table4[[#This Row],[Away Differential]]</f>
        <v>1.1756617253417678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0.69124556664614367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-6.5759726104743493E-3</v>
      </c>
      <c r="H835" t="s">
        <v>20</v>
      </c>
      <c r="I835">
        <f>VLOOKUP(Table4[[#This Row],[Visitor]],'NHL Model'!$A$6:$B$38,2,FALSE)</f>
        <v>0.21920515510044997</v>
      </c>
      <c r="J835">
        <f>($B$1+Table4[[#This Row],[Home Differential]])-Table4[[#This Row],[Away Differential]]</f>
        <v>-0.15715630759062171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0.49800817333803848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1.6161557760803764E-2</v>
      </c>
      <c r="H836" t="s">
        <v>40</v>
      </c>
      <c r="I836">
        <f>VLOOKUP(Table4[[#This Row],[Visitor]],'NHL Model'!$A$6:$B$38,2,FALSE)</f>
        <v>-5.9925012095478535E-2</v>
      </c>
      <c r="J836">
        <f>($B$1+Table4[[#This Row],[Home Differential]])-Table4[[#This Row],[Away Differential]]</f>
        <v>0.14471138997658489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0.55587382255987516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-0.35878259596109546</v>
      </c>
      <c r="H837" t="s">
        <v>22</v>
      </c>
      <c r="I837">
        <f>VLOOKUP(Table4[[#This Row],[Visitor]],'NHL Model'!$A$6:$B$38,2,FALSE)</f>
        <v>0.44906822732121116</v>
      </c>
      <c r="J837">
        <f>($B$1+Table4[[#This Row],[Home Differential]])-Table4[[#This Row],[Away Differential]]</f>
        <v>-0.73922600316200393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0.54837761746018132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-0.91735746943655616</v>
      </c>
      <c r="H838" t="s">
        <v>39</v>
      </c>
      <c r="I838">
        <f>VLOOKUP(Table4[[#This Row],[Visitor]],'NHL Model'!$A$6:$B$38,2,FALSE)</f>
        <v>0.92184375119443818</v>
      </c>
      <c r="J838">
        <f>($B$1+Table4[[#This Row],[Home Differential]])-Table4[[#This Row],[Away Differential]]</f>
        <v>-1.7705764005106919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0.74043827627928027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-0.12942754353881131</v>
      </c>
      <c r="H839" t="s">
        <v>23</v>
      </c>
      <c r="I839">
        <f>VLOOKUP(Table4[[#This Row],[Visitor]],'NHL Model'!$A$6:$B$38,2,FALSE)</f>
        <v>8.4418744674710666E-2</v>
      </c>
      <c r="J839">
        <f>($B$1+Table4[[#This Row],[Home Differential]])-Table4[[#This Row],[Away Differential]]</f>
        <v>-0.14522146809321937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0.47343429534049258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-0.41225364678728776</v>
      </c>
      <c r="H840" t="s">
        <v>33</v>
      </c>
      <c r="I840">
        <f>VLOOKUP(Table4[[#This Row],[Visitor]],'NHL Model'!$A$6:$B$38,2,FALSE)</f>
        <v>-0.21661915454261307</v>
      </c>
      <c r="J840">
        <f>($B$1+Table4[[#This Row],[Home Differential]])-Table4[[#This Row],[Away Differential]]</f>
        <v>-0.12700967212437206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0.48122178813173938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-0.16769781981623849</v>
      </c>
      <c r="H841" t="s">
        <v>27</v>
      </c>
      <c r="I841">
        <f>VLOOKUP(Table4[[#This Row],[Visitor]],'NHL Model'!$A$6:$B$38,2,FALSE)</f>
        <v>0.24261452474052697</v>
      </c>
      <c r="J841">
        <f>($B$1+Table4[[#This Row],[Home Differential]])-Table4[[#This Row],[Away Differential]]</f>
        <v>-0.34168752443646289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0.50313846187301947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0.28840991013146466</v>
      </c>
      <c r="H842" t="s">
        <v>15</v>
      </c>
      <c r="I842">
        <f>VLOOKUP(Table4[[#This Row],[Visitor]],'NHL Model'!$A$6:$B$38,2,FALSE)</f>
        <v>5.9615189993428262E-2</v>
      </c>
      <c r="J842">
        <f>($B$1+Table4[[#This Row],[Home Differential]])-Table4[[#This Row],[Away Differential]]</f>
        <v>0.297419540258339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0.51683535984592432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5.0237013717083105E-2</v>
      </c>
      <c r="H843" t="s">
        <v>12</v>
      </c>
      <c r="I843">
        <f>VLOOKUP(Table4[[#This Row],[Visitor]],'NHL Model'!$A$6:$B$38,2,FALSE)</f>
        <v>1.8165919516425306</v>
      </c>
      <c r="J843">
        <f>($B$1+Table4[[#This Row],[Home Differential]])-Table4[[#This Row],[Away Differential]]</f>
        <v>-1.6977301178051449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0.73244755097423375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-6.6683170548020518E-2</v>
      </c>
      <c r="H844" t="s">
        <v>27</v>
      </c>
      <c r="I844">
        <f>VLOOKUP(Table4[[#This Row],[Visitor]],'NHL Model'!$A$6:$B$38,2,FALSE)</f>
        <v>0.24261452474052697</v>
      </c>
      <c r="J844">
        <f>($B$1+Table4[[#This Row],[Home Differential]])-Table4[[#This Row],[Away Differential]]</f>
        <v>-0.24067287516824487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0.47801302636755683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8.4418744674710666E-2</v>
      </c>
      <c r="H845" t="s">
        <v>13</v>
      </c>
      <c r="I845">
        <f>VLOOKUP(Table4[[#This Row],[Visitor]],'NHL Model'!$A$6:$B$38,2,FALSE)</f>
        <v>3.852494182308655E-2</v>
      </c>
      <c r="J845">
        <f>($B$1+Table4[[#This Row],[Home Differential]])-Table4[[#This Row],[Away Differential]]</f>
        <v>0.11451862297192672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0.5591996322257593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0.64590845617425174</v>
      </c>
      <c r="H846" t="s">
        <v>55</v>
      </c>
      <c r="I846">
        <f>VLOOKUP(Table4[[#This Row],[Visitor]],'NHL Model'!$A$6:$B$38,2,FALSE)</f>
        <v>0.17839230571314843</v>
      </c>
      <c r="J846">
        <f>($B$1+Table4[[#This Row],[Home Differential]])-Table4[[#This Row],[Away Differential]]</f>
        <v>0.53614097058140586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0.64439648247121106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-8.7991118744577684E-2</v>
      </c>
      <c r="H847" t="s">
        <v>22</v>
      </c>
      <c r="I847">
        <f>VLOOKUP(Table4[[#This Row],[Visitor]],'NHL Model'!$A$6:$B$38,2,FALSE)</f>
        <v>0.44906822732121116</v>
      </c>
      <c r="J847">
        <f>($B$1+Table4[[#This Row],[Home Differential]])-Table4[[#This Row],[Away Differential]]</f>
        <v>-0.46843452594548624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0.48487021423009102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0.16838500200194736</v>
      </c>
      <c r="H848" t="s">
        <v>33</v>
      </c>
      <c r="I848">
        <f>VLOOKUP(Table4[[#This Row],[Visitor]],'NHL Model'!$A$6:$B$38,2,FALSE)</f>
        <v>-0.21661915454261307</v>
      </c>
      <c r="J848">
        <f>($B$1+Table4[[#This Row],[Home Differential]])-Table4[[#This Row],[Away Differential]]</f>
        <v>0.45362897666486302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0.61862218643303279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0.65260146250136963</v>
      </c>
      <c r="H849" t="s">
        <v>16</v>
      </c>
      <c r="I849">
        <f>VLOOKUP(Table4[[#This Row],[Visitor]],'NHL Model'!$A$6:$B$38,2,FALSE)</f>
        <v>-0.31883717525004912</v>
      </c>
      <c r="J849">
        <f>($B$1+Table4[[#This Row],[Home Differential]])-Table4[[#This Row],[Away Differential]]</f>
        <v>1.0400634578717214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0.67637138958520682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-6.5759726104743493E-3</v>
      </c>
      <c r="H850" t="s">
        <v>12</v>
      </c>
      <c r="I850">
        <f>VLOOKUP(Table4[[#This Row],[Visitor]],'NHL Model'!$A$6:$B$38,2,FALSE)</f>
        <v>1.8165919516425306</v>
      </c>
      <c r="J850">
        <f>($B$1+Table4[[#This Row],[Home Differential]])-Table4[[#This Row],[Away Differential]]</f>
        <v>-1.7545431041327024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0.73867953633631334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1.6161557760803764E-2</v>
      </c>
      <c r="H851" t="s">
        <v>29</v>
      </c>
      <c r="I851">
        <f>VLOOKUP(Table4[[#This Row],[Visitor]],'NHL Model'!$A$6:$B$38,2,FALSE)</f>
        <v>-0.30501317799182315</v>
      </c>
      <c r="J851">
        <f>($B$1+Table4[[#This Row],[Home Differential]])-Table4[[#This Row],[Away Differential]]</f>
        <v>0.38979955587292953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0.58275827206722441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5.9615189993428262E-2</v>
      </c>
      <c r="H852" t="s">
        <v>30</v>
      </c>
      <c r="I852">
        <f>VLOOKUP(Table4[[#This Row],[Visitor]],'NHL Model'!$A$6:$B$38,2,FALSE)</f>
        <v>0.28840991013146466</v>
      </c>
      <c r="J852">
        <f>($B$1+Table4[[#This Row],[Home Differential]])-Table4[[#This Row],[Away Differential]]</f>
        <v>-0.16016990001773379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0.4983387432500786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-0.10173040746987846</v>
      </c>
      <c r="H853" t="s">
        <v>10</v>
      </c>
      <c r="I853">
        <f>VLOOKUP(Table4[[#This Row],[Visitor]],'NHL Model'!$A$6:$B$38,2,FALSE)</f>
        <v>-0.45443544272009573</v>
      </c>
      <c r="J853">
        <f>($B$1+Table4[[#This Row],[Home Differential]])-Table4[[#This Row],[Away Differential]]</f>
        <v>0.42132985537051987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0.58621692435137041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-0.35878259596109546</v>
      </c>
      <c r="H854" t="s">
        <v>19</v>
      </c>
      <c r="I854">
        <f>VLOOKUP(Table4[[#This Row],[Visitor]],'NHL Model'!$A$6:$B$38,2,FALSE)</f>
        <v>-0.12942754353881131</v>
      </c>
      <c r="J854">
        <f>($B$1+Table4[[#This Row],[Home Differential]])-Table4[[#This Row],[Away Differential]]</f>
        <v>-0.16073023230198152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0.47763097699484469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-0.91735746943655616</v>
      </c>
      <c r="H855" t="s">
        <v>11</v>
      </c>
      <c r="I855">
        <f>VLOOKUP(Table4[[#This Row],[Visitor]],'NHL Model'!$A$6:$B$38,2,FALSE)</f>
        <v>0.24167918475059574</v>
      </c>
      <c r="J855">
        <f>($B$1+Table4[[#This Row],[Home Differential]])-Table4[[#This Row],[Away Differential]]</f>
        <v>-1.0904118340668494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0.61650492555774283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0.77383710114582016</v>
      </c>
      <c r="H856" t="s">
        <v>40</v>
      </c>
      <c r="I856">
        <f>VLOOKUP(Table4[[#This Row],[Visitor]],'NHL Model'!$A$6:$B$38,2,FALSE)</f>
        <v>-5.9925012095478535E-2</v>
      </c>
      <c r="J856">
        <f>($B$1+Table4[[#This Row],[Home Differential]])-Table4[[#This Row],[Away Differential]]</f>
        <v>0.90238693336160125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0.64353996075269204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-0.41225364678728776</v>
      </c>
      <c r="H857" t="s">
        <v>31</v>
      </c>
      <c r="I857">
        <f>VLOOKUP(Table4[[#This Row],[Visitor]],'NHL Model'!$A$6:$B$38,2,FALSE)</f>
        <v>-4.3195749724159979E-4</v>
      </c>
      <c r="J857">
        <f>($B$1+Table4[[#This Row],[Home Differential]])-Table4[[#This Row],[Away Differential]]</f>
        <v>-0.34319686916974351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0.49764628482379092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0.21920515510044997</v>
      </c>
      <c r="H858" t="s">
        <v>39</v>
      </c>
      <c r="I858">
        <f>VLOOKUP(Table4[[#This Row],[Visitor]],'NHL Model'!$A$6:$B$38,2,FALSE)</f>
        <v>0.92184375119443818</v>
      </c>
      <c r="J858">
        <f>($B$1+Table4[[#This Row],[Home Differential]])-Table4[[#This Row],[Away Differential]]</f>
        <v>-0.63401377597368558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0.61576534325717569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-0.45443544272009573</v>
      </c>
      <c r="H859" t="s">
        <v>28</v>
      </c>
      <c r="I859">
        <f>VLOOKUP(Table4[[#This Row],[Visitor]],'NHL Model'!$A$6:$B$38,2,FALSE)</f>
        <v>-0.16769781981623849</v>
      </c>
      <c r="J859">
        <f>($B$1+Table4[[#This Row],[Home Differential]])-Table4[[#This Row],[Away Differential]]</f>
        <v>-0.21811280278355466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0.48392544173601959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8.4418744674710666E-2</v>
      </c>
      <c r="H860" t="s">
        <v>18</v>
      </c>
      <c r="I860">
        <f>VLOOKUP(Table4[[#This Row],[Visitor]],'NHL Model'!$A$6:$B$38,2,FALSE)</f>
        <v>-6.5759726104743493E-3</v>
      </c>
      <c r="J860">
        <f>($B$1+Table4[[#This Row],[Home Differential]])-Table4[[#This Row],[Away Differential]]</f>
        <v>0.15961953740548762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0.54952884600330798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-0.31883717525004912</v>
      </c>
      <c r="H861" t="s">
        <v>33</v>
      </c>
      <c r="I861">
        <f>VLOOKUP(Table4[[#This Row],[Visitor]],'NHL Model'!$A$6:$B$38,2,FALSE)</f>
        <v>-0.21661915454261307</v>
      </c>
      <c r="J861">
        <f>($B$1+Table4[[#This Row],[Home Differential]])-Table4[[#This Row],[Away Differential]]</f>
        <v>-3.3593200587133415E-2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0.44034261997788454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-8.7991118744577684E-2</v>
      </c>
      <c r="H862" t="s">
        <v>12</v>
      </c>
      <c r="I862">
        <f>VLOOKUP(Table4[[#This Row],[Visitor]],'NHL Model'!$A$6:$B$38,2,FALSE)</f>
        <v>1.8165919516425306</v>
      </c>
      <c r="J862">
        <f>($B$1+Table4[[#This Row],[Home Differential]])-Table4[[#This Row],[Away Differential]]</f>
        <v>-1.8359582502668057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0.71358684030033992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0.16838500200194736</v>
      </c>
      <c r="H863" t="s">
        <v>34</v>
      </c>
      <c r="I863">
        <f>VLOOKUP(Table4[[#This Row],[Visitor]],'NHL Model'!$A$6:$B$38,2,FALSE)</f>
        <v>0.65260146250136963</v>
      </c>
      <c r="J863">
        <f>($B$1+Table4[[#This Row],[Home Differential]])-Table4[[#This Row],[Away Differential]]</f>
        <v>-0.41559164037911966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0.53996950496249385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0.24167918475059574</v>
      </c>
      <c r="H864" t="s">
        <v>40</v>
      </c>
      <c r="I864">
        <f>VLOOKUP(Table4[[#This Row],[Visitor]],'NHL Model'!$A$6:$B$38,2,FALSE)</f>
        <v>-5.9925012095478535E-2</v>
      </c>
      <c r="J864">
        <f>($B$1+Table4[[#This Row],[Home Differential]])-Table4[[#This Row],[Away Differential]]</f>
        <v>0.37022901696637689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0.59192619492797693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0.28840991013146466</v>
      </c>
      <c r="H865" t="s">
        <v>29</v>
      </c>
      <c r="I865">
        <f>VLOOKUP(Table4[[#This Row],[Visitor]],'NHL Model'!$A$6:$B$38,2,FALSE)</f>
        <v>-0.30501317799182315</v>
      </c>
      <c r="J865">
        <f>($B$1+Table4[[#This Row],[Home Differential]])-Table4[[#This Row],[Away Differential]]</f>
        <v>0.66204790824359039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0.62663862366848089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5.0237013717083105E-2</v>
      </c>
      <c r="H866" t="s">
        <v>24</v>
      </c>
      <c r="I866">
        <f>VLOOKUP(Table4[[#This Row],[Visitor]],'NHL Model'!$A$6:$B$38,2,FALSE)</f>
        <v>1.6161557760803764E-2</v>
      </c>
      <c r="J866">
        <f>($B$1+Table4[[#This Row],[Home Differential]])-Table4[[#This Row],[Away Differential]]</f>
        <v>0.10270027607658196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0.51768208298966623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0.24261452474052697</v>
      </c>
      <c r="H867" t="s">
        <v>13</v>
      </c>
      <c r="I867">
        <f>VLOOKUP(Table4[[#This Row],[Visitor]],'NHL Model'!$A$6:$B$38,2,FALSE)</f>
        <v>3.852494182308655E-2</v>
      </c>
      <c r="J867">
        <f>($B$1+Table4[[#This Row],[Home Differential]])-Table4[[#This Row],[Away Differential]]</f>
        <v>0.27271440303774308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0.54210997553699358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-0.10173040746987846</v>
      </c>
      <c r="H868" t="s">
        <v>15</v>
      </c>
      <c r="I868">
        <f>VLOOKUP(Table4[[#This Row],[Visitor]],'NHL Model'!$A$6:$B$38,2,FALSE)</f>
        <v>5.9615189993428262E-2</v>
      </c>
      <c r="J868">
        <f>($B$1+Table4[[#This Row],[Home Differential]])-Table4[[#This Row],[Away Differential]]</f>
        <v>-9.2720777343004129E-2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0.54007240740885365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-0.91735746943655616</v>
      </c>
      <c r="H869" t="s">
        <v>28</v>
      </c>
      <c r="I869">
        <f>VLOOKUP(Table4[[#This Row],[Visitor]],'NHL Model'!$A$6:$B$38,2,FALSE)</f>
        <v>-0.16769781981623849</v>
      </c>
      <c r="J869">
        <f>($B$1+Table4[[#This Row],[Home Differential]])-Table4[[#This Row],[Away Differential]]</f>
        <v>-0.68103482950001504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0.53470473500618909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0.17839230571314843</v>
      </c>
      <c r="H870" t="s">
        <v>39</v>
      </c>
      <c r="I870">
        <f>VLOOKUP(Table4[[#This Row],[Visitor]],'NHL Model'!$A$6:$B$38,2,FALSE)</f>
        <v>0.92184375119443818</v>
      </c>
      <c r="J870">
        <f>($B$1+Table4[[#This Row],[Home Differential]])-Table4[[#This Row],[Away Differential]]</f>
        <v>-0.67482662536098714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0.62024222603358847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-0.41225364678728776</v>
      </c>
      <c r="H871" t="s">
        <v>19</v>
      </c>
      <c r="I871">
        <f>VLOOKUP(Table4[[#This Row],[Visitor]],'NHL Model'!$A$6:$B$38,2,FALSE)</f>
        <v>-0.12942754353881131</v>
      </c>
      <c r="J871">
        <f>($B$1+Table4[[#This Row],[Home Differential]])-Table4[[#This Row],[Away Differential]]</f>
        <v>-0.21420128312817382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0.48349637551698166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0.21920515510044997</v>
      </c>
      <c r="H872" t="s">
        <v>32</v>
      </c>
      <c r="I872">
        <f>VLOOKUP(Table4[[#This Row],[Visitor]],'NHL Model'!$A$6:$B$38,2,FALSE)</f>
        <v>-0.35878259596109546</v>
      </c>
      <c r="J872">
        <f>($B$1+Table4[[#This Row],[Home Differential]])-Table4[[#This Row],[Away Differential]]</f>
        <v>0.64661257118184801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0.61092885516189221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0.44906822732121116</v>
      </c>
      <c r="H873" t="s">
        <v>25</v>
      </c>
      <c r="I873">
        <f>VLOOKUP(Table4[[#This Row],[Visitor]],'NHL Model'!$A$6:$B$38,2,FALSE)</f>
        <v>0.64590845617425174</v>
      </c>
      <c r="J873">
        <f>($B$1+Table4[[#This Row],[Home Differential]])-Table4[[#This Row],[Away Differential]]</f>
        <v>-0.12821540873273796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0.54038011881220183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-4.3195749724159979E-4</v>
      </c>
      <c r="H874" t="s">
        <v>20</v>
      </c>
      <c r="I874">
        <f>VLOOKUP(Table4[[#This Row],[Visitor]],'NHL Model'!$A$6:$B$38,2,FALSE)</f>
        <v>0.21920515510044997</v>
      </c>
      <c r="J874">
        <f>($B$1+Table4[[#This Row],[Home Differential]])-Table4[[#This Row],[Away Differential]]</f>
        <v>-0.15101229247738895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0.45842545240258675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0.64590845617425174</v>
      </c>
      <c r="H875" t="s">
        <v>13</v>
      </c>
      <c r="I875">
        <f>VLOOKUP(Table4[[#This Row],[Visitor]],'NHL Model'!$A$6:$B$38,2,FALSE)</f>
        <v>3.852494182308655E-2</v>
      </c>
      <c r="J875">
        <f>($B$1+Table4[[#This Row],[Home Differential]])-Table4[[#This Row],[Away Differential]]</f>
        <v>0.6760083344714678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0.62790589932086305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0.77383710114582016</v>
      </c>
      <c r="H876" t="s">
        <v>21</v>
      </c>
      <c r="I876">
        <f>VLOOKUP(Table4[[#This Row],[Visitor]],'NHL Model'!$A$6:$B$38,2,FALSE)</f>
        <v>-6.6683170548020518E-2</v>
      </c>
      <c r="J876">
        <f>($B$1+Table4[[#This Row],[Home Differential]])-Table4[[#This Row],[Away Differential]]</f>
        <v>0.90914509181414327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0.64428128324378642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-0.31883717525004912</v>
      </c>
      <c r="H877" t="s">
        <v>19</v>
      </c>
      <c r="I877">
        <f>VLOOKUP(Table4[[#This Row],[Visitor]],'NHL Model'!$A$6:$B$38,2,FALSE)</f>
        <v>-0.12942754353881131</v>
      </c>
      <c r="J877">
        <f>($B$1+Table4[[#This Row],[Home Differential]])-Table4[[#This Row],[Away Differential]]</f>
        <v>-0.12078481159093518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0.4427098259614573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-0.45443544272009573</v>
      </c>
      <c r="H878" t="s">
        <v>33</v>
      </c>
      <c r="I878">
        <f>VLOOKUP(Table4[[#This Row],[Visitor]],'NHL Model'!$A$6:$B$38,2,FALSE)</f>
        <v>-0.21661915454261307</v>
      </c>
      <c r="J878">
        <f>($B$1+Table4[[#This Row],[Home Differential]])-Table4[[#This Row],[Away Differential]]</f>
        <v>-0.16919146805718008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0.48584883472428886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1.8165919516425306</v>
      </c>
      <c r="H879" t="s">
        <v>26</v>
      </c>
      <c r="I879">
        <f>VLOOKUP(Table4[[#This Row],[Visitor]],'NHL Model'!$A$6:$B$38,2,FALSE)</f>
        <v>-8.7991118744577684E-2</v>
      </c>
      <c r="J879">
        <f>($B$1+Table4[[#This Row],[Home Differential]])-Table4[[#This Row],[Away Differential]]</f>
        <v>1.9732078905074109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0.84454621295212651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0.92184375119443818</v>
      </c>
      <c r="H880" t="s">
        <v>40</v>
      </c>
      <c r="I880">
        <f>VLOOKUP(Table4[[#This Row],[Visitor]],'NHL Model'!$A$6:$B$38,2,FALSE)</f>
        <v>-5.9925012095478535E-2</v>
      </c>
      <c r="J880">
        <f>($B$1+Table4[[#This Row],[Home Differential]])-Table4[[#This Row],[Away Differential]]</f>
        <v>1.0503935834102194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0.69381288731510138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0.24167918475059574</v>
      </c>
      <c r="H881" t="s">
        <v>23</v>
      </c>
      <c r="I881">
        <f>VLOOKUP(Table4[[#This Row],[Visitor]],'NHL Model'!$A$6:$B$38,2,FALSE)</f>
        <v>8.4418744674710666E-2</v>
      </c>
      <c r="J881">
        <f>($B$1+Table4[[#This Row],[Home Differential]])-Table4[[#This Row],[Away Differential]]</f>
        <v>0.22588526019618771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0.57609269914739947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0.65260146250136963</v>
      </c>
      <c r="H882" t="s">
        <v>18</v>
      </c>
      <c r="I882">
        <f>VLOOKUP(Table4[[#This Row],[Visitor]],'NHL Model'!$A$6:$B$38,2,FALSE)</f>
        <v>-6.5759726104743493E-3</v>
      </c>
      <c r="J882">
        <f>($B$1+Table4[[#This Row],[Home Differential]])-Table4[[#This Row],[Away Differential]]</f>
        <v>0.72780225523214659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0.5952532951660815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-0.30501317799182315</v>
      </c>
      <c r="H883" t="s">
        <v>35</v>
      </c>
      <c r="I883">
        <f>VLOOKUP(Table4[[#This Row],[Visitor]],'NHL Model'!$A$6:$B$38,2,FALSE)</f>
        <v>-0.91735746943655616</v>
      </c>
      <c r="J883">
        <f>($B$1+Table4[[#This Row],[Home Differential]])-Table4[[#This Row],[Away Differential]]</f>
        <v>0.68096911156503559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0.61469752621053708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-0.10173040746987846</v>
      </c>
      <c r="H884" t="s">
        <v>36</v>
      </c>
      <c r="I884">
        <f>VLOOKUP(Table4[[#This Row],[Visitor]],'NHL Model'!$A$6:$B$38,2,FALSE)</f>
        <v>5.0237013717083105E-2</v>
      </c>
      <c r="J884">
        <f>($B$1+Table4[[#This Row],[Home Differential]])-Table4[[#This Row],[Away Differential]]</f>
        <v>-8.3342601066658972E-2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0.48991132843842367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0.17839230571314843</v>
      </c>
      <c r="H885" t="s">
        <v>38</v>
      </c>
      <c r="I885">
        <f>VLOOKUP(Table4[[#This Row],[Visitor]],'NHL Model'!$A$6:$B$38,2,FALSE)</f>
        <v>-0.41225364678728776</v>
      </c>
      <c r="J885">
        <f>($B$1+Table4[[#This Row],[Home Differential]])-Table4[[#This Row],[Away Differential]]</f>
        <v>0.65927077262073874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0.56980480809354606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0.44906822732121116</v>
      </c>
      <c r="H886" t="s">
        <v>30</v>
      </c>
      <c r="I886">
        <f>VLOOKUP(Table4[[#This Row],[Visitor]],'NHL Model'!$A$6:$B$38,2,FALSE)</f>
        <v>0.28840991013146466</v>
      </c>
      <c r="J886">
        <f>($B$1+Table4[[#This Row],[Home Differential]])-Table4[[#This Row],[Away Differential]]</f>
        <v>0.22928313731004912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0.54896027274656412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-4.3195749724159979E-4</v>
      </c>
      <c r="H887" t="s">
        <v>32</v>
      </c>
      <c r="I887">
        <f>VLOOKUP(Table4[[#This Row],[Visitor]],'NHL Model'!$A$6:$B$38,2,FALSE)</f>
        <v>-0.35878259596109546</v>
      </c>
      <c r="J887">
        <f>($B$1+Table4[[#This Row],[Home Differential]])-Table4[[#This Row],[Away Differential]]</f>
        <v>0.42697545858415648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0.62542829992567572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0.64590845617425174</v>
      </c>
      <c r="H888" t="s">
        <v>36</v>
      </c>
      <c r="I888">
        <f>VLOOKUP(Table4[[#This Row],[Visitor]],'NHL Model'!$A$6:$B$38,2,FALSE)</f>
        <v>5.0237013717083105E-2</v>
      </c>
      <c r="J888">
        <f>($B$1+Table4[[#This Row],[Home Differential]])-Table4[[#This Row],[Away Differential]]</f>
        <v>0.66429626257747121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0.63808602314493235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0.16838500200194736</v>
      </c>
      <c r="H889" t="s">
        <v>19</v>
      </c>
      <c r="I889">
        <f>VLOOKUP(Table4[[#This Row],[Visitor]],'NHL Model'!$A$6:$B$38,2,FALSE)</f>
        <v>-0.12942754353881131</v>
      </c>
      <c r="J889">
        <f>($B$1+Table4[[#This Row],[Home Differential]])-Table4[[#This Row],[Away Differential]]</f>
        <v>0.36643736566106128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0.61623247033196749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1.6161557760803764E-2</v>
      </c>
      <c r="H890" t="s">
        <v>28</v>
      </c>
      <c r="I890">
        <f>VLOOKUP(Table4[[#This Row],[Visitor]],'NHL Model'!$A$6:$B$38,2,FALSE)</f>
        <v>-0.16769781981623849</v>
      </c>
      <c r="J890">
        <f>($B$1+Table4[[#This Row],[Home Differential]])-Table4[[#This Row],[Away Differential]]</f>
        <v>0.25248419769734487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0.56769574222228525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0.28840991013146466</v>
      </c>
      <c r="H891" t="s">
        <v>14</v>
      </c>
      <c r="I891">
        <f>VLOOKUP(Table4[[#This Row],[Visitor]],'NHL Model'!$A$6:$B$38,2,FALSE)</f>
        <v>-0.10173040746987846</v>
      </c>
      <c r="J891">
        <f>($B$1+Table4[[#This Row],[Home Differential]])-Table4[[#This Row],[Away Differential]]</f>
        <v>0.45876513772164573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0.59708590168692066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0.24261452474052697</v>
      </c>
      <c r="H892" t="s">
        <v>22</v>
      </c>
      <c r="I892">
        <f>VLOOKUP(Table4[[#This Row],[Visitor]],'NHL Model'!$A$6:$B$38,2,FALSE)</f>
        <v>0.44906822732121116</v>
      </c>
      <c r="J892">
        <f>($B$1+Table4[[#This Row],[Home Differential]])-Table4[[#This Row],[Away Differential]]</f>
        <v>-0.13782888246038155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0.47784379558297463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0.77383710114582016</v>
      </c>
      <c r="H893" t="s">
        <v>23</v>
      </c>
      <c r="I893">
        <f>VLOOKUP(Table4[[#This Row],[Visitor]],'NHL Model'!$A$6:$B$38,2,FALSE)</f>
        <v>8.4418744674710666E-2</v>
      </c>
      <c r="J893">
        <f>($B$1+Table4[[#This Row],[Home Differential]])-Table4[[#This Row],[Away Differential]]</f>
        <v>0.75804317659141207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0.62770646497211458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-0.16769781981623849</v>
      </c>
      <c r="H894" t="s">
        <v>10</v>
      </c>
      <c r="I894">
        <f>VLOOKUP(Table4[[#This Row],[Visitor]],'NHL Model'!$A$6:$B$38,2,FALSE)</f>
        <v>-0.45443544272009573</v>
      </c>
      <c r="J894">
        <f>($B$1+Table4[[#This Row],[Home Differential]])-Table4[[#This Row],[Away Differential]]</f>
        <v>0.35536244302415987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0.57898076278530664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-0.31883717525004912</v>
      </c>
      <c r="H895" t="s">
        <v>17</v>
      </c>
      <c r="I895">
        <f>VLOOKUP(Table4[[#This Row],[Visitor]],'NHL Model'!$A$6:$B$38,2,FALSE)</f>
        <v>0.16838500200194736</v>
      </c>
      <c r="J895">
        <f>($B$1+Table4[[#This Row],[Home Differential]])-Table4[[#This Row],[Away Differential]]</f>
        <v>-0.41859735713169388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0.47537776940933424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1.8165919516425306</v>
      </c>
      <c r="H896" t="s">
        <v>33</v>
      </c>
      <c r="I896">
        <f>VLOOKUP(Table4[[#This Row],[Visitor]],'NHL Model'!$A$6:$B$38,2,FALSE)</f>
        <v>-0.21661915454261307</v>
      </c>
      <c r="J896">
        <f>($B$1+Table4[[#This Row],[Home Differential]])-Table4[[#This Row],[Away Differential]]</f>
        <v>2.1018359263054465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0.88291714604782134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0.92184375119443818</v>
      </c>
      <c r="H897" t="s">
        <v>35</v>
      </c>
      <c r="I897">
        <f>VLOOKUP(Table4[[#This Row],[Visitor]],'NHL Model'!$A$6:$B$38,2,FALSE)</f>
        <v>-0.91735746943655616</v>
      </c>
      <c r="J897">
        <f>($B$1+Table4[[#This Row],[Home Differential]])-Table4[[#This Row],[Away Differential]]</f>
        <v>1.907826040751297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0.78786720250834408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0.24167918475059574</v>
      </c>
      <c r="H898" t="s">
        <v>21</v>
      </c>
      <c r="I898">
        <f>VLOOKUP(Table4[[#This Row],[Visitor]],'NHL Model'!$A$6:$B$38,2,FALSE)</f>
        <v>-6.6683170548020518E-2</v>
      </c>
      <c r="J898">
        <f>($B$1+Table4[[#This Row],[Home Differential]])-Table4[[#This Row],[Away Differential]]</f>
        <v>0.37698717541891891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0.59266751741907131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3.852494182308655E-2</v>
      </c>
      <c r="H899" t="s">
        <v>32</v>
      </c>
      <c r="I899">
        <f>VLOOKUP(Table4[[#This Row],[Visitor]],'NHL Model'!$A$6:$B$38,2,FALSE)</f>
        <v>-0.35878259596109546</v>
      </c>
      <c r="J899">
        <f>($B$1+Table4[[#This Row],[Home Differential]])-Table4[[#This Row],[Away Differential]]</f>
        <v>0.46593235790448462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0.5911095054471992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-0.30501317799182315</v>
      </c>
      <c r="H900" t="s">
        <v>34</v>
      </c>
      <c r="I900">
        <f>VLOOKUP(Table4[[#This Row],[Visitor]],'NHL Model'!$A$6:$B$38,2,FALSE)</f>
        <v>0.65260146250136963</v>
      </c>
      <c r="J900">
        <f>($B$1+Table4[[#This Row],[Home Differential]])-Table4[[#This Row],[Away Differential]]</f>
        <v>-0.8889898203728902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0.62840396704494217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0.17839230571314843</v>
      </c>
      <c r="H901" t="s">
        <v>26</v>
      </c>
      <c r="I901">
        <f>VLOOKUP(Table4[[#This Row],[Visitor]],'NHL Model'!$A$6:$B$38,2,FALSE)</f>
        <v>-8.7991118744577684E-2</v>
      </c>
      <c r="J901">
        <f>($B$1+Table4[[#This Row],[Home Differential]])-Table4[[#This Row],[Away Differential]]</f>
        <v>0.33500824457802869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0.54316463465221132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0.21920515510044997</v>
      </c>
      <c r="H902" t="s">
        <v>38</v>
      </c>
      <c r="I902">
        <f>VLOOKUP(Table4[[#This Row],[Visitor]],'NHL Model'!$A$6:$B$38,2,FALSE)</f>
        <v>-0.41225364678728776</v>
      </c>
      <c r="J902">
        <f>($B$1+Table4[[#This Row],[Home Differential]])-Table4[[#This Row],[Away Differential]]</f>
        <v>0.70008362200804042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0.57428169086995884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-5.9925012095478535E-2</v>
      </c>
      <c r="H903" t="s">
        <v>18</v>
      </c>
      <c r="I903">
        <f>VLOOKUP(Table4[[#This Row],[Visitor]],'NHL Model'!$A$6:$B$38,2,FALSE)</f>
        <v>-6.5759726104743493E-3</v>
      </c>
      <c r="J903">
        <f>($B$1+Table4[[#This Row],[Home Differential]])-Table4[[#This Row],[Away Differential]]</f>
        <v>1.5275780635298419E-2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0.49457625430850266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8.4418744674710666E-2</v>
      </c>
      <c r="H904" t="s">
        <v>14</v>
      </c>
      <c r="I904">
        <f>VLOOKUP(Table4[[#This Row],[Visitor]],'NHL Model'!$A$6:$B$38,2,FALSE)</f>
        <v>-0.10173040746987846</v>
      </c>
      <c r="J904">
        <f>($B$1+Table4[[#This Row],[Home Differential]])-Table4[[#This Row],[Away Differential]]</f>
        <v>0.25477397226489173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0.59937548583013878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1.6161557760803764E-2</v>
      </c>
      <c r="H905" t="s">
        <v>30</v>
      </c>
      <c r="I905">
        <f>VLOOKUP(Table4[[#This Row],[Visitor]],'NHL Model'!$A$6:$B$38,2,FALSE)</f>
        <v>0.28840991013146466</v>
      </c>
      <c r="J905">
        <f>($B$1+Table4[[#This Row],[Home Differential]])-Table4[[#This Row],[Away Differential]]</f>
        <v>-0.20362353225035829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0.50310530134722875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5.9615189993428262E-2</v>
      </c>
      <c r="H906" t="s">
        <v>25</v>
      </c>
      <c r="I906">
        <f>VLOOKUP(Table4[[#This Row],[Visitor]],'NHL Model'!$A$6:$B$38,2,FALSE)</f>
        <v>0.64590845617425174</v>
      </c>
      <c r="J906">
        <f>($B$1+Table4[[#This Row],[Home Differential]])-Table4[[#This Row],[Away Differential]]</f>
        <v>-0.51766844606052087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0.58767262164443668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0.24261452474052697</v>
      </c>
      <c r="H907" t="s">
        <v>36</v>
      </c>
      <c r="I907">
        <f>VLOOKUP(Table4[[#This Row],[Visitor]],'NHL Model'!$A$6:$B$38,2,FALSE)</f>
        <v>5.0237013717083105E-2</v>
      </c>
      <c r="J907">
        <f>($B$1+Table4[[#This Row],[Home Differential]])-Table4[[#This Row],[Away Differential]]</f>
        <v>0.26100233114374649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0.55243964541197665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0.77383710114582016</v>
      </c>
      <c r="H908" t="s">
        <v>11</v>
      </c>
      <c r="I908">
        <f>VLOOKUP(Table4[[#This Row],[Visitor]],'NHL Model'!$A$6:$B$38,2,FALSE)</f>
        <v>0.24167918475059574</v>
      </c>
      <c r="J908">
        <f>($B$1+Table4[[#This Row],[Home Differential]])-Table4[[#This Row],[Away Differential]]</f>
        <v>0.60078273651552694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0.57359395204819963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0.21920515510044997</v>
      </c>
      <c r="H909" t="s">
        <v>13</v>
      </c>
      <c r="I909">
        <f>VLOOKUP(Table4[[#This Row],[Visitor]],'NHL Model'!$A$6:$B$38,2,FALSE)</f>
        <v>3.852494182308655E-2</v>
      </c>
      <c r="J909">
        <f>($B$1+Table4[[#This Row],[Home Differential]])-Table4[[#This Row],[Away Differential]]</f>
        <v>0.24930503339766605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0.53495667899493204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0.44906822732121116</v>
      </c>
      <c r="H910" t="s">
        <v>29</v>
      </c>
      <c r="I910">
        <f>VLOOKUP(Table4[[#This Row],[Visitor]],'NHL Model'!$A$6:$B$38,2,FALSE)</f>
        <v>-0.30501317799182315</v>
      </c>
      <c r="J910">
        <f>($B$1+Table4[[#This Row],[Home Differential]])-Table4[[#This Row],[Away Differential]]</f>
        <v>0.82270622543333694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0.63479954702780728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-4.3195749724159979E-4</v>
      </c>
      <c r="H911" t="s">
        <v>17</v>
      </c>
      <c r="I911">
        <f>VLOOKUP(Table4[[#This Row],[Visitor]],'NHL Model'!$A$6:$B$38,2,FALSE)</f>
        <v>0.16838500200194736</v>
      </c>
      <c r="J911">
        <f>($B$1+Table4[[#This Row],[Home Differential]])-Table4[[#This Row],[Away Differential]]</f>
        <v>-0.10019213937888637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0.43239828104168937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0.92184375119443818</v>
      </c>
      <c r="H912" t="s">
        <v>32</v>
      </c>
      <c r="I912">
        <f>VLOOKUP(Table4[[#This Row],[Visitor]],'NHL Model'!$A$6:$B$38,2,FALSE)</f>
        <v>-0.35878259596109546</v>
      </c>
      <c r="J912">
        <f>($B$1+Table4[[#This Row],[Home Differential]])-Table4[[#This Row],[Away Differential]]</f>
        <v>1.3492511672758363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0.72659546412348819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3.852494182308655E-2</v>
      </c>
      <c r="H913" t="s">
        <v>20</v>
      </c>
      <c r="I913">
        <f>VLOOKUP(Table4[[#This Row],[Visitor]],'NHL Model'!$A$6:$B$38,2,FALSE)</f>
        <v>0.21920515510044997</v>
      </c>
      <c r="J913">
        <f>($B$1+Table4[[#This Row],[Home Differential]])-Table4[[#This Row],[Away Differential]]</f>
        <v>-0.11205539315706081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0.49306091995928025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1.6161557760803764E-2</v>
      </c>
      <c r="H914" t="s">
        <v>23</v>
      </c>
      <c r="I914">
        <f>VLOOKUP(Table4[[#This Row],[Visitor]],'NHL Model'!$A$6:$B$38,2,FALSE)</f>
        <v>8.4418744674710666E-2</v>
      </c>
      <c r="J914">
        <f>($B$1+Table4[[#This Row],[Home Differential]])-Table4[[#This Row],[Away Differential]]</f>
        <v>3.676332063956983E-4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0.5400403267792977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0.77383710114582016</v>
      </c>
      <c r="H915" t="s">
        <v>19</v>
      </c>
      <c r="I915">
        <f>VLOOKUP(Table4[[#This Row],[Visitor]],'NHL Model'!$A$6:$B$38,2,FALSE)</f>
        <v>-0.12942754353881131</v>
      </c>
      <c r="J915">
        <f>($B$1+Table4[[#This Row],[Home Differential]])-Table4[[#This Row],[Away Differential]]</f>
        <v>0.9718894648049341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0.65116390004159064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0.17839230571314843</v>
      </c>
      <c r="H916" t="s">
        <v>12</v>
      </c>
      <c r="I916">
        <f>VLOOKUP(Table4[[#This Row],[Visitor]],'NHL Model'!$A$6:$B$38,2,FALSE)</f>
        <v>1.8165919516425306</v>
      </c>
      <c r="J916">
        <f>($B$1+Table4[[#This Row],[Home Differential]])-Table4[[#This Row],[Away Differential]]</f>
        <v>-1.5695748258090796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0.71838981601927487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-0.41225364678728776</v>
      </c>
      <c r="H917" t="s">
        <v>40</v>
      </c>
      <c r="I917">
        <f>VLOOKUP(Table4[[#This Row],[Visitor]],'NHL Model'!$A$6:$B$38,2,FALSE)</f>
        <v>-5.9925012095478535E-2</v>
      </c>
      <c r="J917">
        <f>($B$1+Table4[[#This Row],[Home Differential]])-Table4[[#This Row],[Away Differential]]</f>
        <v>-0.28370381457150662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0.4911203148058802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0.44906822732121116</v>
      </c>
      <c r="H918" t="s">
        <v>27</v>
      </c>
      <c r="I918">
        <f>VLOOKUP(Table4[[#This Row],[Visitor]],'NHL Model'!$A$6:$B$38,2,FALSE)</f>
        <v>0.24261452474052697</v>
      </c>
      <c r="J918">
        <f>($B$1+Table4[[#This Row],[Home Differential]])-Table4[[#This Row],[Away Differential]]</f>
        <v>0.27507852270098682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0.56907908003506069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-6.6683170548020518E-2</v>
      </c>
      <c r="H919" t="s">
        <v>28</v>
      </c>
      <c r="I919">
        <f>VLOOKUP(Table4[[#This Row],[Visitor]],'NHL Model'!$A$6:$B$38,2,FALSE)</f>
        <v>-0.16769781981623849</v>
      </c>
      <c r="J919">
        <f>($B$1+Table4[[#This Row],[Home Differential]])-Table4[[#This Row],[Away Differential]]</f>
        <v>0.16963946938852059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0.5726248781945743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0.64590845617425174</v>
      </c>
      <c r="H920" t="s">
        <v>37</v>
      </c>
      <c r="I920">
        <f>VLOOKUP(Table4[[#This Row],[Visitor]],'NHL Model'!$A$6:$B$38,2,FALSE)</f>
        <v>0.77383710114582016</v>
      </c>
      <c r="J920">
        <f>($B$1+Table4[[#This Row],[Home Differential]])-Table4[[#This Row],[Away Differential]]</f>
        <v>-5.9303824851265841E-2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0.49108671064178627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1.8165919516425306</v>
      </c>
      <c r="H921" t="s">
        <v>34</v>
      </c>
      <c r="I921">
        <f>VLOOKUP(Table4[[#This Row],[Visitor]],'NHL Model'!$A$6:$B$38,2,FALSE)</f>
        <v>0.65260146250136963</v>
      </c>
      <c r="J921">
        <f>($B$1+Table4[[#This Row],[Home Differential]])-Table4[[#This Row],[Away Differential]]</f>
        <v>1.2326153092614636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0.72780183014444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0.24167918475059574</v>
      </c>
      <c r="H922" t="s">
        <v>19</v>
      </c>
      <c r="I922">
        <f>VLOOKUP(Table4[[#This Row],[Visitor]],'NHL Model'!$A$6:$B$38,2,FALSE)</f>
        <v>-0.12942754353881131</v>
      </c>
      <c r="J922">
        <f>($B$1+Table4[[#This Row],[Home Differential]])-Table4[[#This Row],[Away Differential]]</f>
        <v>0.43973154840970968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0.59955013421687553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3.852494182308655E-2</v>
      </c>
      <c r="H923" t="s">
        <v>17</v>
      </c>
      <c r="I923">
        <f>VLOOKUP(Table4[[#This Row],[Visitor]],'NHL Model'!$A$6:$B$38,2,FALSE)</f>
        <v>0.16838500200194736</v>
      </c>
      <c r="J923">
        <f>($B$1+Table4[[#This Row],[Home Differential]])-Table4[[#This Row],[Away Differential]]</f>
        <v>-6.123524005855821E-2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0.466717075520166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-6.5759726104743493E-3</v>
      </c>
      <c r="H924" t="s">
        <v>30</v>
      </c>
      <c r="I924">
        <f>VLOOKUP(Table4[[#This Row],[Visitor]],'NHL Model'!$A$6:$B$38,2,FALSE)</f>
        <v>0.28840991013146466</v>
      </c>
      <c r="J924">
        <f>($B$1+Table4[[#This Row],[Home Differential]])-Table4[[#This Row],[Away Differential]]</f>
        <v>-0.22636106262163641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0.50559944864704975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-0.30501317799182315</v>
      </c>
      <c r="H925" t="s">
        <v>10</v>
      </c>
      <c r="I925">
        <f>VLOOKUP(Table4[[#This Row],[Visitor]],'NHL Model'!$A$6:$B$38,2,FALSE)</f>
        <v>-0.45443544272009573</v>
      </c>
      <c r="J925">
        <f>($B$1+Table4[[#This Row],[Home Differential]])-Table4[[#This Row],[Away Differential]]</f>
        <v>0.21804708484857518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0.56391823294036758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5.9615189993428262E-2</v>
      </c>
      <c r="H926" t="s">
        <v>27</v>
      </c>
      <c r="I926">
        <f>VLOOKUP(Table4[[#This Row],[Visitor]],'NHL Model'!$A$6:$B$38,2,FALSE)</f>
        <v>0.24261452474052697</v>
      </c>
      <c r="J926">
        <f>($B$1+Table4[[#This Row],[Home Differential]])-Table4[[#This Row],[Away Differential]]</f>
        <v>-0.1143745146267961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0.47820382207822754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5.0237013717083105E-2</v>
      </c>
      <c r="H927" t="s">
        <v>26</v>
      </c>
      <c r="I927">
        <f>VLOOKUP(Table4[[#This Row],[Visitor]],'NHL Model'!$A$6:$B$38,2,FALSE)</f>
        <v>-8.7991118744577684E-2</v>
      </c>
      <c r="J927">
        <f>($B$1+Table4[[#This Row],[Home Differential]])-Table4[[#This Row],[Away Differential]]</f>
        <v>0.2068529525819634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0.52910689969725233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-0.10173040746987846</v>
      </c>
      <c r="H928" t="s">
        <v>24</v>
      </c>
      <c r="I928">
        <f>VLOOKUP(Table4[[#This Row],[Visitor]],'NHL Model'!$A$6:$B$38,2,FALSE)</f>
        <v>1.6161557760803764E-2</v>
      </c>
      <c r="J928">
        <f>($B$1+Table4[[#This Row],[Home Differential]])-Table4[[#This Row],[Away Differential]]</f>
        <v>-4.926714511037962E-2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0.49898767520417031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-0.21661915454261307</v>
      </c>
      <c r="H929" t="s">
        <v>16</v>
      </c>
      <c r="I929">
        <f>VLOOKUP(Table4[[#This Row],[Visitor]],'NHL Model'!$A$6:$B$38,2,FALSE)</f>
        <v>-0.31883717525004912</v>
      </c>
      <c r="J929">
        <f>($B$1+Table4[[#This Row],[Home Differential]])-Table4[[#This Row],[Away Differential]]</f>
        <v>0.17084284082773865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0.55874025908647085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-0.91735746943655616</v>
      </c>
      <c r="H930" t="s">
        <v>32</v>
      </c>
      <c r="I930">
        <f>VLOOKUP(Table4[[#This Row],[Visitor]],'NHL Model'!$A$6:$B$38,2,FALSE)</f>
        <v>-0.35878259596109546</v>
      </c>
      <c r="J930">
        <f>($B$1+Table4[[#This Row],[Home Differential]])-Table4[[#This Row],[Away Differential]]</f>
        <v>-0.48995005335515812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0.51374407786021237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-4.3195749724159979E-4</v>
      </c>
      <c r="H931" t="s">
        <v>40</v>
      </c>
      <c r="I931">
        <f>VLOOKUP(Table4[[#This Row],[Visitor]],'NHL Model'!$A$6:$B$38,2,FALSE)</f>
        <v>-5.9925012095478535E-2</v>
      </c>
      <c r="J931">
        <f>($B$1+Table4[[#This Row],[Home Differential]])-Table4[[#This Row],[Away Differential]]</f>
        <v>0.12811787471853953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0.59264572311728902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0.24167918475059574</v>
      </c>
      <c r="H932" t="s">
        <v>23</v>
      </c>
      <c r="I932">
        <f>VLOOKUP(Table4[[#This Row],[Visitor]],'NHL Model'!$A$6:$B$38,2,FALSE)</f>
        <v>8.4418744674710666E-2</v>
      </c>
      <c r="J932">
        <f>($B$1+Table4[[#This Row],[Home Differential]])-Table4[[#This Row],[Away Differential]]</f>
        <v>0.22588526019618771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0.57609269914739947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0.17839230571314843</v>
      </c>
      <c r="H933" t="s">
        <v>34</v>
      </c>
      <c r="I933">
        <f>VLOOKUP(Table4[[#This Row],[Visitor]],'NHL Model'!$A$6:$B$38,2,FALSE)</f>
        <v>0.65260146250136963</v>
      </c>
      <c r="J933">
        <f>($B$1+Table4[[#This Row],[Home Differential]])-Table4[[#This Row],[Away Differential]]</f>
        <v>-0.4055843366679186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0.57537778248514382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0.44906822732121116</v>
      </c>
      <c r="H934" t="s">
        <v>20</v>
      </c>
      <c r="I934">
        <f>VLOOKUP(Table4[[#This Row],[Visitor]],'NHL Model'!$A$6:$B$38,2,FALSE)</f>
        <v>0.21920515510044997</v>
      </c>
      <c r="J934">
        <f>($B$1+Table4[[#This Row],[Home Differential]])-Table4[[#This Row],[Away Differential]]</f>
        <v>0.29848789234106382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0.55655154805557538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0.64590845617425174</v>
      </c>
      <c r="H935" t="s">
        <v>26</v>
      </c>
      <c r="I935">
        <f>VLOOKUP(Table4[[#This Row],[Visitor]],'NHL Model'!$A$6:$B$38,2,FALSE)</f>
        <v>-8.7991118744577684E-2</v>
      </c>
      <c r="J935">
        <f>($B$1+Table4[[#This Row],[Home Differential]])-Table4[[#This Row],[Away Differential]]</f>
        <v>0.80252439503913198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0.6406039935455522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-0.16769781981623849</v>
      </c>
      <c r="H936" t="s">
        <v>30</v>
      </c>
      <c r="I936">
        <f>VLOOKUP(Table4[[#This Row],[Visitor]],'NHL Model'!$A$6:$B$38,2,FALSE)</f>
        <v>0.28840991013146466</v>
      </c>
      <c r="J936">
        <f>($B$1+Table4[[#This Row],[Home Differential]])-Table4[[#This Row],[Away Differential]]</f>
        <v>-0.38748290982740052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0.52327338304487048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1.8165919516425306</v>
      </c>
      <c r="H937" t="s">
        <v>10</v>
      </c>
      <c r="I937">
        <f>VLOOKUP(Table4[[#This Row],[Visitor]],'NHL Model'!$A$6:$B$38,2,FALSE)</f>
        <v>-0.45443544272009573</v>
      </c>
      <c r="J937">
        <f>($B$1+Table4[[#This Row],[Home Differential]])-Table4[[#This Row],[Away Differential]]</f>
        <v>2.3396522144829288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0.91562198984517229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0.92184375119443818</v>
      </c>
      <c r="H938" t="s">
        <v>29</v>
      </c>
      <c r="I938">
        <f>VLOOKUP(Table4[[#This Row],[Visitor]],'NHL Model'!$A$6:$B$38,2,FALSE)</f>
        <v>-0.30501317799182315</v>
      </c>
      <c r="J938">
        <f>($B$1+Table4[[#This Row],[Home Differential]])-Table4[[#This Row],[Away Differential]]</f>
        <v>1.295481749306564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0.72069733682245052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3.852494182308655E-2</v>
      </c>
      <c r="H939" t="s">
        <v>16</v>
      </c>
      <c r="I939">
        <f>VLOOKUP(Table4[[#This Row],[Visitor]],'NHL Model'!$A$6:$B$38,2,FALSE)</f>
        <v>-0.31883717525004912</v>
      </c>
      <c r="J939">
        <f>($B$1+Table4[[#This Row],[Home Differential]])-Table4[[#This Row],[Away Differential]]</f>
        <v>0.42598693719343828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0.58672777350094873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-6.5759726104743493E-3</v>
      </c>
      <c r="H940" t="s">
        <v>22</v>
      </c>
      <c r="I940">
        <f>VLOOKUP(Table4[[#This Row],[Visitor]],'NHL Model'!$A$6:$B$38,2,FALSE)</f>
        <v>0.44906822732121116</v>
      </c>
      <c r="J940">
        <f>($B$1+Table4[[#This Row],[Home Differential]])-Table4[[#This Row],[Away Differential]]</f>
        <v>-0.3870193798113829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0.50974302591638398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5.9615189993428262E-2</v>
      </c>
      <c r="H941" t="s">
        <v>14</v>
      </c>
      <c r="I941">
        <f>VLOOKUP(Table4[[#This Row],[Visitor]],'NHL Model'!$A$6:$B$38,2,FALSE)</f>
        <v>-0.10173040746987846</v>
      </c>
      <c r="J941">
        <f>($B$1+Table4[[#This Row],[Home Differential]])-Table4[[#This Row],[Away Differential]]</f>
        <v>0.22997041758360934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0.55793641912720349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0.24261452474052697</v>
      </c>
      <c r="H942" t="s">
        <v>21</v>
      </c>
      <c r="I942">
        <f>VLOOKUP(Table4[[#This Row],[Visitor]],'NHL Model'!$A$6:$B$38,2,FALSE)</f>
        <v>-6.6683170548020518E-2</v>
      </c>
      <c r="J942">
        <f>($B$1+Table4[[#This Row],[Home Differential]])-Table4[[#This Row],[Away Differential]]</f>
        <v>0.37792251540885013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0.58600989963658201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-0.35878259596109546</v>
      </c>
      <c r="H943" t="s">
        <v>38</v>
      </c>
      <c r="I943">
        <f>VLOOKUP(Table4[[#This Row],[Visitor]],'NHL Model'!$A$6:$B$38,2,FALSE)</f>
        <v>-0.41225364678728776</v>
      </c>
      <c r="J943">
        <f>($B$1+Table4[[#This Row],[Home Differential]])-Table4[[#This Row],[Away Differential]]</f>
        <v>0.12209587094649493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0.51088049623271015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-0.21661915454261307</v>
      </c>
      <c r="H944" t="s">
        <v>17</v>
      </c>
      <c r="I944">
        <f>VLOOKUP(Table4[[#This Row],[Visitor]],'NHL Model'!$A$6:$B$38,2,FALSE)</f>
        <v>0.16838500200194736</v>
      </c>
      <c r="J944">
        <f>($B$1+Table4[[#This Row],[Home Differential]])-Table4[[#This Row],[Away Differential]]</f>
        <v>-0.31637933642425786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0.49470458993464389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-0.91735746943655616</v>
      </c>
      <c r="H945" t="s">
        <v>24</v>
      </c>
      <c r="I945">
        <f>VLOOKUP(Table4[[#This Row],[Visitor]],'NHL Model'!$A$6:$B$38,2,FALSE)</f>
        <v>1.6161557760803764E-2</v>
      </c>
      <c r="J945">
        <f>($B$1+Table4[[#This Row],[Home Differential]])-Table4[[#This Row],[Away Differential]]</f>
        <v>-0.86489420707705733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0.5884562323010667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0.77383710114582016</v>
      </c>
      <c r="H946" t="s">
        <v>23</v>
      </c>
      <c r="I946">
        <f>VLOOKUP(Table4[[#This Row],[Visitor]],'NHL Model'!$A$6:$B$38,2,FALSE)</f>
        <v>8.4418744674710666E-2</v>
      </c>
      <c r="J946">
        <f>($B$1+Table4[[#This Row],[Home Differential]])-Table4[[#This Row],[Away Differential]]</f>
        <v>0.75804317659141207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0.62770646497211458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-0.12942754353881131</v>
      </c>
      <c r="H947" t="s">
        <v>36</v>
      </c>
      <c r="I947">
        <f>VLOOKUP(Table4[[#This Row],[Visitor]],'NHL Model'!$A$6:$B$38,2,FALSE)</f>
        <v>5.0237013717083105E-2</v>
      </c>
      <c r="J947">
        <f>($B$1+Table4[[#This Row],[Home Differential]])-Table4[[#This Row],[Away Differential]]</f>
        <v>-0.11103973713559182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0.49044114842696263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-4.3195749724159979E-4</v>
      </c>
      <c r="H948" t="s">
        <v>16</v>
      </c>
      <c r="I948">
        <f>VLOOKUP(Table4[[#This Row],[Visitor]],'NHL Model'!$A$6:$B$38,2,FALSE)</f>
        <v>-0.31883717525004912</v>
      </c>
      <c r="J948">
        <f>($B$1+Table4[[#This Row],[Home Differential]])-Table4[[#This Row],[Away Differential]]</f>
        <v>0.38703003787311013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0.62104656797942526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0.65260146250136963</v>
      </c>
      <c r="H949" t="s">
        <v>35</v>
      </c>
      <c r="I949">
        <f>VLOOKUP(Table4[[#This Row],[Visitor]],'NHL Model'!$A$6:$B$38,2,FALSE)</f>
        <v>-0.91735746943655616</v>
      </c>
      <c r="J949">
        <f>($B$1+Table4[[#This Row],[Home Differential]])-Table4[[#This Row],[Away Differential]]</f>
        <v>1.6385837520582283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0.74202485991631317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0.28840991013146466</v>
      </c>
      <c r="H950" t="s">
        <v>11</v>
      </c>
      <c r="I950">
        <f>VLOOKUP(Table4[[#This Row],[Visitor]],'NHL Model'!$A$6:$B$38,2,FALSE)</f>
        <v>0.24167918475059574</v>
      </c>
      <c r="J950">
        <f>($B$1+Table4[[#This Row],[Home Differential]])-Table4[[#This Row],[Away Differential]]</f>
        <v>0.1153555455011715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0.52989507202160602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-0.10173040746987846</v>
      </c>
      <c r="H951" t="s">
        <v>20</v>
      </c>
      <c r="I951">
        <f>VLOOKUP(Table4[[#This Row],[Visitor]],'NHL Model'!$A$6:$B$38,2,FALSE)</f>
        <v>0.21920515510044997</v>
      </c>
      <c r="J951">
        <f>($B$1+Table4[[#This Row],[Home Differential]])-Table4[[#This Row],[Away Differential]]</f>
        <v>-0.25231074245002583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0.50844594616979544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-0.21661915454261307</v>
      </c>
      <c r="H952" t="s">
        <v>40</v>
      </c>
      <c r="I952">
        <f>VLOOKUP(Table4[[#This Row],[Visitor]],'NHL Model'!$A$6:$B$38,2,FALSE)</f>
        <v>-5.9925012095478535E-2</v>
      </c>
      <c r="J952">
        <f>($B$1+Table4[[#This Row],[Home Differential]])-Table4[[#This Row],[Away Differential]]</f>
        <v>-8.8069322326831928E-2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0.46966058577566555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0.17839230571314843</v>
      </c>
      <c r="H953" t="s">
        <v>10</v>
      </c>
      <c r="I953">
        <f>VLOOKUP(Table4[[#This Row],[Visitor]],'NHL Model'!$A$6:$B$38,2,FALSE)</f>
        <v>-0.45443544272009573</v>
      </c>
      <c r="J953">
        <f>($B$1+Table4[[#This Row],[Home Differential]])-Table4[[#This Row],[Away Differential]]</f>
        <v>0.70145256855354676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0.61694441750016582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3.852494182308655E-2</v>
      </c>
      <c r="H954" t="s">
        <v>12</v>
      </c>
      <c r="I954">
        <f>VLOOKUP(Table4[[#This Row],[Visitor]],'NHL Model'!$A$6:$B$38,2,FALSE)</f>
        <v>1.8165919516425306</v>
      </c>
      <c r="J954">
        <f>($B$1+Table4[[#This Row],[Home Differential]])-Table4[[#This Row],[Away Differential]]</f>
        <v>-1.7094421896991414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0.7337322829575551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-0.30501317799182315</v>
      </c>
      <c r="H955" t="s">
        <v>26</v>
      </c>
      <c r="I955">
        <f>VLOOKUP(Table4[[#This Row],[Visitor]],'NHL Model'!$A$6:$B$38,2,FALSE)</f>
        <v>-8.7991118744577684E-2</v>
      </c>
      <c r="J955">
        <f>($B$1+Table4[[#This Row],[Home Differential]])-Table4[[#This Row],[Away Differential]]</f>
        <v>-0.14839723912694286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0.50986154990758714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5.9615189993428262E-2</v>
      </c>
      <c r="H956" t="s">
        <v>28</v>
      </c>
      <c r="I956">
        <f>VLOOKUP(Table4[[#This Row],[Visitor]],'NHL Model'!$A$6:$B$38,2,FALSE)</f>
        <v>-0.16769781981623849</v>
      </c>
      <c r="J956">
        <f>($B$1+Table4[[#This Row],[Home Differential]])-Table4[[#This Row],[Away Differential]]</f>
        <v>0.29593782992996936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0.57246230031943546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-0.35878259596109546</v>
      </c>
      <c r="H957" t="s">
        <v>25</v>
      </c>
      <c r="I957">
        <f>VLOOKUP(Table4[[#This Row],[Visitor]],'NHL Model'!$A$6:$B$38,2,FALSE)</f>
        <v>0.64590845617425174</v>
      </c>
      <c r="J957">
        <f>($B$1+Table4[[#This Row],[Home Differential]])-Table4[[#This Row],[Away Differential]]</f>
        <v>-0.93606623201504457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0.63356791858520523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-0.12942754353881131</v>
      </c>
      <c r="H958" t="s">
        <v>27</v>
      </c>
      <c r="I958">
        <f>VLOOKUP(Table4[[#This Row],[Visitor]],'NHL Model'!$A$6:$B$38,2,FALSE)</f>
        <v>0.24261452474052697</v>
      </c>
      <c r="J958">
        <f>($B$1+Table4[[#This Row],[Home Differential]])-Table4[[#This Row],[Away Differential]]</f>
        <v>-0.3034172481590357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0.4964406346763966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-0.41225364678728776</v>
      </c>
      <c r="H959" t="s">
        <v>39</v>
      </c>
      <c r="I959">
        <f>VLOOKUP(Table4[[#This Row],[Visitor]],'NHL Model'!$A$6:$B$38,2,FALSE)</f>
        <v>0.92184375119443818</v>
      </c>
      <c r="J959">
        <f>($B$1+Table4[[#This Row],[Home Differential]])-Table4[[#This Row],[Away Differential]]</f>
        <v>-1.2654725778614233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0.68503193641656135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-4.3195749724159979E-4</v>
      </c>
      <c r="H960" t="s">
        <v>12</v>
      </c>
      <c r="I960">
        <f>VLOOKUP(Table4[[#This Row],[Visitor]],'NHL Model'!$A$6:$B$38,2,FALSE)</f>
        <v>1.8165919516425306</v>
      </c>
      <c r="J960">
        <f>($B$1+Table4[[#This Row],[Home Differential]])-Table4[[#This Row],[Away Differential]]</f>
        <v>-1.7483990890194696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0.69897395197507695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-6.6683170548020518E-2</v>
      </c>
      <c r="H961" t="s">
        <v>14</v>
      </c>
      <c r="I961">
        <f>VLOOKUP(Table4[[#This Row],[Visitor]],'NHL Model'!$A$6:$B$38,2,FALSE)</f>
        <v>-0.10173040746987846</v>
      </c>
      <c r="J961">
        <f>($B$1+Table4[[#This Row],[Home Differential]])-Table4[[#This Row],[Away Differential]]</f>
        <v>0.10367205704216055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0.55813468605795302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8.4418744674710666E-2</v>
      </c>
      <c r="H962" t="s">
        <v>20</v>
      </c>
      <c r="I962">
        <f>VLOOKUP(Table4[[#This Row],[Visitor]],'NHL Model'!$A$6:$B$38,2,FALSE)</f>
        <v>0.21920515510044997</v>
      </c>
      <c r="J962">
        <f>($B$1+Table4[[#This Row],[Home Differential]])-Table4[[#This Row],[Away Differential]]</f>
        <v>-6.6161590305436696E-2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0.44911792663991995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-0.16769781981623849</v>
      </c>
      <c r="H963" t="s">
        <v>29</v>
      </c>
      <c r="I963">
        <f>VLOOKUP(Table4[[#This Row],[Visitor]],'NHL Model'!$A$6:$B$38,2,FALSE)</f>
        <v>-0.30501317799182315</v>
      </c>
      <c r="J963">
        <f>($B$1+Table4[[#This Row],[Home Differential]])-Table4[[#This Row],[Away Differential]]</f>
        <v>0.20594017829588726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0.56259019036958269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-0.31883717525004912</v>
      </c>
      <c r="H964" t="s">
        <v>39</v>
      </c>
      <c r="I964">
        <f>VLOOKUP(Table4[[#This Row],[Visitor]],'NHL Model'!$A$6:$B$38,2,FALSE)</f>
        <v>0.92184375119443818</v>
      </c>
      <c r="J964">
        <f>($B$1+Table4[[#This Row],[Home Differential]])-Table4[[#This Row],[Away Differential]]</f>
        <v>-1.1720561063241846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0.64398482075585906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0.16838500200194736</v>
      </c>
      <c r="H965" t="s">
        <v>36</v>
      </c>
      <c r="I965">
        <f>VLOOKUP(Table4[[#This Row],[Visitor]],'NHL Model'!$A$6:$B$38,2,FALSE)</f>
        <v>5.0237013717083105E-2</v>
      </c>
      <c r="J965">
        <f>($B$1+Table4[[#This Row],[Home Differential]])-Table4[[#This Row],[Away Differential]]</f>
        <v>0.18677280840516686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0.5760432201416873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0.65260146250136963</v>
      </c>
      <c r="H966" t="s">
        <v>37</v>
      </c>
      <c r="I966">
        <f>VLOOKUP(Table4[[#This Row],[Visitor]],'NHL Model'!$A$6:$B$38,2,FALSE)</f>
        <v>0.77383710114582016</v>
      </c>
      <c r="J966">
        <f>($B$1+Table4[[#This Row],[Home Differential]])-Table4[[#This Row],[Away Differential]]</f>
        <v>-5.2610818524147951E-2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0.51417439842819279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1.6161557760803764E-2</v>
      </c>
      <c r="H967" t="s">
        <v>11</v>
      </c>
      <c r="I967">
        <f>VLOOKUP(Table4[[#This Row],[Visitor]],'NHL Model'!$A$6:$B$38,2,FALSE)</f>
        <v>0.24167918475059574</v>
      </c>
      <c r="J967">
        <f>($B$1+Table4[[#This Row],[Home Differential]])-Table4[[#This Row],[Away Differential]]</f>
        <v>-0.15689280686948937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0.5141044483292686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-0.21661915454261307</v>
      </c>
      <c r="H968" t="s">
        <v>18</v>
      </c>
      <c r="I968">
        <f>VLOOKUP(Table4[[#This Row],[Visitor]],'NHL Model'!$A$6:$B$38,2,FALSE)</f>
        <v>-6.5759726104743493E-3</v>
      </c>
      <c r="J968">
        <f>($B$1+Table4[[#This Row],[Home Differential]])-Table4[[#This Row],[Away Differential]]</f>
        <v>-0.14141836181183612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0.52261199199180641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-5.9925012095478535E-2</v>
      </c>
      <c r="H969" t="s">
        <v>10</v>
      </c>
      <c r="I969">
        <f>VLOOKUP(Table4[[#This Row],[Visitor]],'NHL Model'!$A$6:$B$38,2,FALSE)</f>
        <v>-0.45443544272009573</v>
      </c>
      <c r="J969">
        <f>($B$1+Table4[[#This Row],[Home Differential]])-Table4[[#This Row],[Away Differential]]</f>
        <v>0.46313525074491979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0.59080268244771672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0.44906822732121116</v>
      </c>
      <c r="H970" t="s">
        <v>55</v>
      </c>
      <c r="I970">
        <f>VLOOKUP(Table4[[#This Row],[Visitor]],'NHL Model'!$A$6:$B$38,2,FALSE)</f>
        <v>0.17839230571314843</v>
      </c>
      <c r="J970">
        <f>($B$1+Table4[[#This Row],[Home Differential]])-Table4[[#This Row],[Away Differential]]</f>
        <v>0.33930074172836533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0.58177336246800893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-4.3195749724159979E-4</v>
      </c>
      <c r="H971" t="s">
        <v>30</v>
      </c>
      <c r="I971">
        <f>VLOOKUP(Table4[[#This Row],[Visitor]],'NHL Model'!$A$6:$B$38,2,FALSE)</f>
        <v>0.28840991013146466</v>
      </c>
      <c r="J971">
        <f>($B$1+Table4[[#This Row],[Home Differential]])-Table4[[#This Row],[Away Differential]]</f>
        <v>-0.22021704750840365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0.46601672771159802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-8.7991118744577684E-2</v>
      </c>
      <c r="H972" t="s">
        <v>20</v>
      </c>
      <c r="I972">
        <f>VLOOKUP(Table4[[#This Row],[Visitor]],'NHL Model'!$A$6:$B$38,2,FALSE)</f>
        <v>0.21920515510044997</v>
      </c>
      <c r="J972">
        <f>($B$1+Table4[[#This Row],[Home Differential]])-Table4[[#This Row],[Away Differential]]</f>
        <v>-0.23857145372472505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0.47297812261487077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1.6161557760803764E-2</v>
      </c>
      <c r="H973" t="s">
        <v>19</v>
      </c>
      <c r="I973">
        <f>VLOOKUP(Table4[[#This Row],[Visitor]],'NHL Model'!$A$6:$B$38,2,FALSE)</f>
        <v>-0.12942754353881131</v>
      </c>
      <c r="J973">
        <f>($B$1+Table4[[#This Row],[Home Differential]])-Table4[[#This Row],[Away Differential]]</f>
        <v>0.21421392141991769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0.56349776184877376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-0.35878259596109546</v>
      </c>
      <c r="H974" t="s">
        <v>35</v>
      </c>
      <c r="I974">
        <f>VLOOKUP(Table4[[#This Row],[Visitor]],'NHL Model'!$A$6:$B$38,2,FALSE)</f>
        <v>-0.91735746943655616</v>
      </c>
      <c r="J974">
        <f>($B$1+Table4[[#This Row],[Home Differential]])-Table4[[#This Row],[Away Differential]]</f>
        <v>0.62719969359576333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0.60879939890949952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-0.41225364678728776</v>
      </c>
      <c r="H975" t="s">
        <v>25</v>
      </c>
      <c r="I975">
        <f>VLOOKUP(Table4[[#This Row],[Visitor]],'NHL Model'!$A$6:$B$38,2,FALSE)</f>
        <v>0.64590845617425174</v>
      </c>
      <c r="J975">
        <f>($B$1+Table4[[#This Row],[Home Differential]])-Table4[[#This Row],[Away Differential]]</f>
        <v>-0.98953728284123688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0.63943331710734219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-0.16769781981623849</v>
      </c>
      <c r="H976" t="s">
        <v>11</v>
      </c>
      <c r="I976">
        <f>VLOOKUP(Table4[[#This Row],[Visitor]],'NHL Model'!$A$6:$B$38,2,FALSE)</f>
        <v>0.24167918475059574</v>
      </c>
      <c r="J976">
        <f>($B$1+Table4[[#This Row],[Home Differential]])-Table4[[#This Row],[Away Differential]]</f>
        <v>-0.34075218444653166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0.53427253002691033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-0.31883717525004912</v>
      </c>
      <c r="H977" t="s">
        <v>36</v>
      </c>
      <c r="I977">
        <f>VLOOKUP(Table4[[#This Row],[Visitor]],'NHL Model'!$A$6:$B$38,2,FALSE)</f>
        <v>5.0237013717083105E-2</v>
      </c>
      <c r="J977">
        <f>($B$1+Table4[[#This Row],[Home Differential]])-Table4[[#This Row],[Away Differential]]</f>
        <v>-0.3004493688468296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0.48295718443498292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3.852494182308655E-2</v>
      </c>
      <c r="H978" t="s">
        <v>30</v>
      </c>
      <c r="I978">
        <f>VLOOKUP(Table4[[#This Row],[Visitor]],'NHL Model'!$A$6:$B$38,2,FALSE)</f>
        <v>0.28840991013146466</v>
      </c>
      <c r="J978">
        <f>($B$1+Table4[[#This Row],[Home Differential]])-Table4[[#This Row],[Away Differential]]</f>
        <v>-0.18126014818807551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0.50065219526829152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-0.30501317799182315</v>
      </c>
      <c r="H979" t="s">
        <v>21</v>
      </c>
      <c r="I979">
        <f>VLOOKUP(Table4[[#This Row],[Visitor]],'NHL Model'!$A$6:$B$38,2,FALSE)</f>
        <v>-6.6683170548020518E-2</v>
      </c>
      <c r="J979">
        <f>($B$1+Table4[[#This Row],[Home Differential]])-Table4[[#This Row],[Away Differential]]</f>
        <v>-0.16970518732350004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0.47861546649161135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5.9615189993428262E-2</v>
      </c>
      <c r="H980" t="s">
        <v>19</v>
      </c>
      <c r="I980">
        <f>VLOOKUP(Table4[[#This Row],[Visitor]],'NHL Model'!$A$6:$B$38,2,FALSE)</f>
        <v>-0.12942754353881131</v>
      </c>
      <c r="J980">
        <f>($B$1+Table4[[#This Row],[Home Differential]])-Table4[[#This Row],[Away Differential]]</f>
        <v>0.25766755365254218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0.56826431994592397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0.24261452474052697</v>
      </c>
      <c r="H981" t="s">
        <v>55</v>
      </c>
      <c r="I981">
        <f>VLOOKUP(Table4[[#This Row],[Visitor]],'NHL Model'!$A$6:$B$38,2,FALSE)</f>
        <v>0.17839230571314843</v>
      </c>
      <c r="J981">
        <f>($B$1+Table4[[#This Row],[Home Differential]])-Table4[[#This Row],[Away Differential]]</f>
        <v>0.13284703914768117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0.55912684209303853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-0.10173040746987846</v>
      </c>
      <c r="H982" t="s">
        <v>23</v>
      </c>
      <c r="I982">
        <f>VLOOKUP(Table4[[#This Row],[Visitor]],'NHL Model'!$A$6:$B$38,2,FALSE)</f>
        <v>8.4418744674710666E-2</v>
      </c>
      <c r="J982">
        <f>($B$1+Table4[[#This Row],[Home Differential]])-Table4[[#This Row],[Away Differential]]</f>
        <v>-0.11752433202428653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0.47289159335228026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-5.9925012095478535E-2</v>
      </c>
      <c r="H983" t="s">
        <v>37</v>
      </c>
      <c r="I983">
        <f>VLOOKUP(Table4[[#This Row],[Visitor]],'NHL Model'!$A$6:$B$38,2,FALSE)</f>
        <v>0.77383710114582016</v>
      </c>
      <c r="J983">
        <f>($B$1+Table4[[#This Row],[Home Differential]])-Table4[[#This Row],[Away Differential]]</f>
        <v>-0.7651372931209961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0.61481821514589141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-4.3195749724159979E-4</v>
      </c>
      <c r="H984" t="s">
        <v>18</v>
      </c>
      <c r="I984">
        <f>VLOOKUP(Table4[[#This Row],[Visitor]],'NHL Model'!$A$6:$B$38,2,FALSE)</f>
        <v>-6.5759726104743493E-3</v>
      </c>
      <c r="J984">
        <f>($B$1+Table4[[#This Row],[Home Differential]])-Table4[[#This Row],[Away Differential]]</f>
        <v>7.476883523353535E-2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0.54022132024064118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-0.45443544272009573</v>
      </c>
      <c r="H985" t="s">
        <v>38</v>
      </c>
      <c r="I985">
        <f>VLOOKUP(Table4[[#This Row],[Visitor]],'NHL Model'!$A$6:$B$38,2,FALSE)</f>
        <v>-0.41225364678728776</v>
      </c>
      <c r="J985">
        <f>($B$1+Table4[[#This Row],[Home Differential]])-Table4[[#This Row],[Away Differential]]</f>
        <v>2.6443024187494613E-2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0.50038805111802376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0.92184375119443818</v>
      </c>
      <c r="H986" t="s">
        <v>12</v>
      </c>
      <c r="I986">
        <f>VLOOKUP(Table4[[#This Row],[Visitor]],'NHL Model'!$A$6:$B$38,2,FALSE)</f>
        <v>1.8165919516425306</v>
      </c>
      <c r="J986">
        <f>($B$1+Table4[[#This Row],[Home Differential]])-Table4[[#This Row],[Away Differential]]</f>
        <v>-0.82612338032778987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0.59780678777726459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-8.7991118744577684E-2</v>
      </c>
      <c r="H987" t="s">
        <v>11</v>
      </c>
      <c r="I987">
        <f>VLOOKUP(Table4[[#This Row],[Visitor]],'NHL Model'!$A$6:$B$38,2,FALSE)</f>
        <v>0.24167918475059574</v>
      </c>
      <c r="J987">
        <f>($B$1+Table4[[#This Row],[Home Differential]])-Table4[[#This Row],[Away Differential]]</f>
        <v>-0.26104548337487082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0.49144477245433837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0.16838500200194736</v>
      </c>
      <c r="H988" t="s">
        <v>25</v>
      </c>
      <c r="I988">
        <f>VLOOKUP(Table4[[#This Row],[Visitor]],'NHL Model'!$A$6:$B$38,2,FALSE)</f>
        <v>0.64590845617425174</v>
      </c>
      <c r="J988">
        <f>($B$1+Table4[[#This Row],[Home Differential]])-Table4[[#This Row],[Away Differential]]</f>
        <v>-0.40889863405200177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0.53923532920171935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-0.21661915454261307</v>
      </c>
      <c r="H989" t="s">
        <v>35</v>
      </c>
      <c r="I989">
        <f>VLOOKUP(Table4[[#This Row],[Visitor]],'NHL Model'!$A$6:$B$38,2,FALSE)</f>
        <v>-0.91735746943655616</v>
      </c>
      <c r="J989">
        <f>($B$1+Table4[[#This Row],[Home Differential]])-Table4[[#This Row],[Away Differential]]</f>
        <v>0.76936313501424569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0.6243937294175772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0.21920515510044997</v>
      </c>
      <c r="H990" t="s">
        <v>34</v>
      </c>
      <c r="I990">
        <f>VLOOKUP(Table4[[#This Row],[Visitor]],'NHL Model'!$A$6:$B$38,2,FALSE)</f>
        <v>0.65260146250136963</v>
      </c>
      <c r="J990">
        <f>($B$1+Table4[[#This Row],[Home Differential]])-Table4[[#This Row],[Away Differential]]</f>
        <v>-0.36477148728061703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0.57090089970873104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-6.6683170548020518E-2</v>
      </c>
      <c r="H991" t="s">
        <v>22</v>
      </c>
      <c r="I991">
        <f>VLOOKUP(Table4[[#This Row],[Visitor]],'NHL Model'!$A$6:$B$38,2,FALSE)</f>
        <v>0.44906822732121116</v>
      </c>
      <c r="J991">
        <f>($B$1+Table4[[#This Row],[Home Differential]])-Table4[[#This Row],[Away Differential]]</f>
        <v>-0.44712657774892905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0.50228405358866324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8.4418744674710666E-2</v>
      </c>
      <c r="H992" t="s">
        <v>29</v>
      </c>
      <c r="I992">
        <f>VLOOKUP(Table4[[#This Row],[Visitor]],'NHL Model'!$A$6:$B$38,2,FALSE)</f>
        <v>-0.30501317799182315</v>
      </c>
      <c r="J992">
        <f>($B$1+Table4[[#This Row],[Home Differential]])-Table4[[#This Row],[Away Differential]]</f>
        <v>0.45805674278683639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0.62883769838730497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-0.16769781981623849</v>
      </c>
      <c r="H993" t="s">
        <v>55</v>
      </c>
      <c r="I993">
        <f>VLOOKUP(Table4[[#This Row],[Visitor]],'NHL Model'!$A$6:$B$38,2,FALSE)</f>
        <v>0.17839230571314843</v>
      </c>
      <c r="J993">
        <f>($B$1+Table4[[#This Row],[Home Differential]])-Table4[[#This Row],[Away Differential]]</f>
        <v>-0.27746530540908432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0.49043599419021566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-0.31883717525004912</v>
      </c>
      <c r="H994" t="s">
        <v>25</v>
      </c>
      <c r="I994">
        <f>VLOOKUP(Table4[[#This Row],[Visitor]],'NHL Model'!$A$6:$B$38,2,FALSE)</f>
        <v>0.64590845617425174</v>
      </c>
      <c r="J994">
        <f>($B$1+Table4[[#This Row],[Home Differential]])-Table4[[#This Row],[Away Differential]]</f>
        <v>-0.89612081130399823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0.59829815575092382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3.852494182308655E-2</v>
      </c>
      <c r="H995" t="s">
        <v>18</v>
      </c>
      <c r="I995">
        <f>VLOOKUP(Table4[[#This Row],[Visitor]],'NHL Model'!$A$6:$B$38,2,FALSE)</f>
        <v>-6.5759726104743493E-3</v>
      </c>
      <c r="J995">
        <f>($B$1+Table4[[#This Row],[Home Differential]])-Table4[[#This Row],[Away Differential]]</f>
        <v>0.11372573455386351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0.50537552242267147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1.6161557760803764E-2</v>
      </c>
      <c r="H996" t="s">
        <v>15</v>
      </c>
      <c r="I996">
        <f>VLOOKUP(Table4[[#This Row],[Visitor]],'NHL Model'!$A$6:$B$38,2,FALSE)</f>
        <v>5.9615189993428262E-2</v>
      </c>
      <c r="J996">
        <f>($B$1+Table4[[#This Row],[Home Differential]])-Table4[[#This Row],[Away Differential]]</f>
        <v>2.5171187887678102E-2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0.4728595127227242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-0.10173040746987846</v>
      </c>
      <c r="H997" t="s">
        <v>27</v>
      </c>
      <c r="I997">
        <f>VLOOKUP(Table4[[#This Row],[Visitor]],'NHL Model'!$A$6:$B$38,2,FALSE)</f>
        <v>0.24261452474052697</v>
      </c>
      <c r="J997">
        <f>($B$1+Table4[[#This Row],[Home Differential]])-Table4[[#This Row],[Away Differential]]</f>
        <v>-0.27572011209010283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0.49590230030695565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-0.35878259596109546</v>
      </c>
      <c r="H998" t="s">
        <v>36</v>
      </c>
      <c r="I998">
        <f>VLOOKUP(Table4[[#This Row],[Visitor]],'NHL Model'!$A$6:$B$38,2,FALSE)</f>
        <v>5.0237013717083105E-2</v>
      </c>
      <c r="J998">
        <f>($B$1+Table4[[#This Row],[Home Differential]])-Table4[[#This Row],[Away Differential]]</f>
        <v>-0.34039478955787594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0.51810814715046416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-0.21661915454261307</v>
      </c>
      <c r="H999" t="s">
        <v>30</v>
      </c>
      <c r="I999">
        <f>VLOOKUP(Table4[[#This Row],[Visitor]],'NHL Model'!$A$6:$B$38,2,FALSE)</f>
        <v>0.28840991013146466</v>
      </c>
      <c r="J999">
        <f>($B$1+Table4[[#This Row],[Home Differential]])-Table4[[#This Row],[Away Differential]]</f>
        <v>-0.43640424455377513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0.52863970968276941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-0.12942754353881131</v>
      </c>
      <c r="H1000" t="s">
        <v>37</v>
      </c>
      <c r="I1000">
        <f>VLOOKUP(Table4[[#This Row],[Visitor]],'NHL Model'!$A$6:$B$38,2,FALSE)</f>
        <v>0.77383710114582016</v>
      </c>
      <c r="J1000">
        <f>($B$1+Table4[[#This Row],[Home Differential]])-Table4[[#This Row],[Away Differential]]</f>
        <v>-0.83463982456432884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0.6199384030227415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-5.9925012095478535E-2</v>
      </c>
      <c r="H1001" t="s">
        <v>38</v>
      </c>
      <c r="I1001">
        <f>VLOOKUP(Table4[[#This Row],[Visitor]],'NHL Model'!$A$6:$B$38,2,FALSE)</f>
        <v>-0.41225364678728776</v>
      </c>
      <c r="J1001">
        <f>($B$1+Table4[[#This Row],[Home Differential]])-Table4[[#This Row],[Away Differential]]</f>
        <v>0.42095345481211183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0.54366307304109696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-4.3195749724159979E-4</v>
      </c>
      <c r="H1002" t="s">
        <v>35</v>
      </c>
      <c r="I1002">
        <f>VLOOKUP(Table4[[#This Row],[Visitor]],'NHL Model'!$A$6:$B$38,2,FALSE)</f>
        <v>-0.91735746943655616</v>
      </c>
      <c r="J1002">
        <f>($B$1+Table4[[#This Row],[Home Differential]])-Table4[[#This Row],[Away Differential]]</f>
        <v>0.98555033205961717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0.68670003831053172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8.4418744674710666E-2</v>
      </c>
      <c r="H1003" t="s">
        <v>37</v>
      </c>
      <c r="I1003">
        <f>VLOOKUP(Table4[[#This Row],[Visitor]],'NHL Model'!$A$6:$B$38,2,FALSE)</f>
        <v>0.77383710114582016</v>
      </c>
      <c r="J1003">
        <f>($B$1+Table4[[#This Row],[Home Differential]])-Table4[[#This Row],[Away Differential]]</f>
        <v>-0.62079353635080692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0.559861394359636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1.8165919516425306</v>
      </c>
      <c r="H1004" t="s">
        <v>34</v>
      </c>
      <c r="I1004">
        <f>VLOOKUP(Table4[[#This Row],[Visitor]],'NHL Model'!$A$6:$B$38,2,FALSE)</f>
        <v>0.65260146250136963</v>
      </c>
      <c r="J1004">
        <f>($B$1+Table4[[#This Row],[Home Differential]])-Table4[[#This Row],[Away Differential]]</f>
        <v>1.2326153092614636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0.72780183014444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0.92184375119443818</v>
      </c>
      <c r="H1005" t="s">
        <v>10</v>
      </c>
      <c r="I1005">
        <f>VLOOKUP(Table4[[#This Row],[Visitor]],'NHL Model'!$A$6:$B$38,2,FALSE)</f>
        <v>-0.45443544272009573</v>
      </c>
      <c r="J1005">
        <f>($B$1+Table4[[#This Row],[Home Differential]])-Table4[[#This Row],[Away Differential]]</f>
        <v>1.4449040140348366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0.73708790923817458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1.6161557760803764E-2</v>
      </c>
      <c r="H1006" t="s">
        <v>26</v>
      </c>
      <c r="I1006">
        <f>VLOOKUP(Table4[[#This Row],[Visitor]],'NHL Model'!$A$6:$B$38,2,FALSE)</f>
        <v>-8.7991118744577684E-2</v>
      </c>
      <c r="J1006">
        <f>($B$1+Table4[[#This Row],[Home Differential]])-Table4[[#This Row],[Away Differential]]</f>
        <v>0.17277749662568403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0.52536906163499386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-0.10173040746987846</v>
      </c>
      <c r="H1007" t="s">
        <v>21</v>
      </c>
      <c r="I1007">
        <f>VLOOKUP(Table4[[#This Row],[Visitor]],'NHL Model'!$A$6:$B$38,2,FALSE)</f>
        <v>-6.6683170548020518E-2</v>
      </c>
      <c r="J1007">
        <f>($B$1+Table4[[#This Row],[Home Differential]])-Table4[[#This Row],[Away Differential]]</f>
        <v>3.3577583198444658E-2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0.54368322491939169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0.21920515510044997</v>
      </c>
      <c r="H1008" t="s">
        <v>17</v>
      </c>
      <c r="I1008">
        <f>VLOOKUP(Table4[[#This Row],[Visitor]],'NHL Model'!$A$6:$B$38,2,FALSE)</f>
        <v>0.16838500200194736</v>
      </c>
      <c r="J1008">
        <f>($B$1+Table4[[#This Row],[Home Differential]])-Table4[[#This Row],[Away Differential]]</f>
        <v>0.11944497321880523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0.55310227419452707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-0.45443544272009573</v>
      </c>
      <c r="H1009" t="s">
        <v>55</v>
      </c>
      <c r="I1009">
        <f>VLOOKUP(Table4[[#This Row],[Visitor]],'NHL Model'!$A$6:$B$38,2,FALSE)</f>
        <v>0.17839230571314843</v>
      </c>
      <c r="J1009">
        <f>($B$1+Table4[[#This Row],[Home Differential]])-Table4[[#This Row],[Away Differential]]</f>
        <v>-0.56420292831294161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0.52188909645087878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0.24261452474052697</v>
      </c>
      <c r="H1010" t="s">
        <v>15</v>
      </c>
      <c r="I1010">
        <f>VLOOKUP(Table4[[#This Row],[Visitor]],'NHL Model'!$A$6:$B$38,2,FALSE)</f>
        <v>5.9615189993428262E-2</v>
      </c>
      <c r="J1010">
        <f>($B$1+Table4[[#This Row],[Home Differential]])-Table4[[#This Row],[Away Differential]]</f>
        <v>0.25162415486740136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0.50227307136118227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-0.41225364678728776</v>
      </c>
      <c r="H1011" t="s">
        <v>36</v>
      </c>
      <c r="I1011">
        <f>VLOOKUP(Table4[[#This Row],[Visitor]],'NHL Model'!$A$6:$B$38,2,FALSE)</f>
        <v>5.0237013717083105E-2</v>
      </c>
      <c r="J1011">
        <f>($B$1+Table4[[#This Row],[Home Differential]])-Table4[[#This Row],[Away Differential]]</f>
        <v>-0.39386584038406824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0.52397354567260113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0.44906822732121116</v>
      </c>
      <c r="H1012" t="s">
        <v>16</v>
      </c>
      <c r="I1012">
        <f>VLOOKUP(Table4[[#This Row],[Visitor]],'NHL Model'!$A$6:$B$38,2,FALSE)</f>
        <v>-0.31883717525004912</v>
      </c>
      <c r="J1012">
        <f>($B$1+Table4[[#This Row],[Home Differential]])-Table4[[#This Row],[Away Differential]]</f>
        <v>0.83653022269156296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0.63631594238259437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-6.6683170548020518E-2</v>
      </c>
      <c r="H1013" t="s">
        <v>13</v>
      </c>
      <c r="I1013">
        <f>VLOOKUP(Table4[[#This Row],[Visitor]],'NHL Model'!$A$6:$B$38,2,FALSE)</f>
        <v>3.852494182308655E-2</v>
      </c>
      <c r="J1013">
        <f>($B$1+Table4[[#This Row],[Home Differential]])-Table4[[#This Row],[Away Differential]]</f>
        <v>-3.6583292250804464E-2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0.48227379964583705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8.4418744674710666E-2</v>
      </c>
      <c r="H1014" t="s">
        <v>33</v>
      </c>
      <c r="I1014">
        <f>VLOOKUP(Table4[[#This Row],[Visitor]],'NHL Model'!$A$6:$B$38,2,FALSE)</f>
        <v>-0.21661915454261307</v>
      </c>
      <c r="J1014">
        <f>($B$1+Table4[[#This Row],[Home Differential]])-Table4[[#This Row],[Away Differential]]</f>
        <v>0.36966271933762634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0.61197797403410159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0.64590845617425174</v>
      </c>
      <c r="H1015" t="s">
        <v>14</v>
      </c>
      <c r="I1015">
        <f>VLOOKUP(Table4[[#This Row],[Visitor]],'NHL Model'!$A$6:$B$38,2,FALSE)</f>
        <v>-0.10173040746987846</v>
      </c>
      <c r="J1015">
        <f>($B$1+Table4[[#This Row],[Home Differential]])-Table4[[#This Row],[Away Differential]]</f>
        <v>0.81626368376443281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0.66799272258711406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1.8165919516425306</v>
      </c>
      <c r="H1016" t="s">
        <v>17</v>
      </c>
      <c r="I1016">
        <f>VLOOKUP(Table4[[#This Row],[Visitor]],'NHL Model'!$A$6:$B$38,2,FALSE)</f>
        <v>0.16838500200194736</v>
      </c>
      <c r="J1016">
        <f>($B$1+Table4[[#This Row],[Home Differential]])-Table4[[#This Row],[Away Differential]]</f>
        <v>1.7168317697608859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0.84730296376312075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0.92184375119443818</v>
      </c>
      <c r="H1017" t="s">
        <v>20</v>
      </c>
      <c r="I1017">
        <f>VLOOKUP(Table4[[#This Row],[Visitor]],'NHL Model'!$A$6:$B$38,2,FALSE)</f>
        <v>0.21920515510044997</v>
      </c>
      <c r="J1017">
        <f>($B$1+Table4[[#This Row],[Home Differential]])-Table4[[#This Row],[Away Differential]]</f>
        <v>0.77126341621429084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0.64274171179522566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0.24167918475059574</v>
      </c>
      <c r="H1018" t="s">
        <v>26</v>
      </c>
      <c r="I1018">
        <f>VLOOKUP(Table4[[#This Row],[Visitor]],'NHL Model'!$A$6:$B$38,2,FALSE)</f>
        <v>-8.7991118744577684E-2</v>
      </c>
      <c r="J1018">
        <f>($B$1+Table4[[#This Row],[Home Differential]])-Table4[[#This Row],[Away Differential]]</f>
        <v>0.39829512361547603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0.56150988264720536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0.65260146250136963</v>
      </c>
      <c r="H1019" t="s">
        <v>55</v>
      </c>
      <c r="I1019">
        <f>VLOOKUP(Table4[[#This Row],[Visitor]],'NHL Model'!$A$6:$B$38,2,FALSE)</f>
        <v>0.17839230571314843</v>
      </c>
      <c r="J1019">
        <f>($B$1+Table4[[#This Row],[Home Differential]])-Table4[[#This Row],[Away Differential]]</f>
        <v>0.54283397690852375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0.62182880967062137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-6.5759726104743493E-3</v>
      </c>
      <c r="H1020" t="s">
        <v>19</v>
      </c>
      <c r="I1020">
        <f>VLOOKUP(Table4[[#This Row],[Visitor]],'NHL Model'!$A$6:$B$38,2,FALSE)</f>
        <v>-0.12942754353881131</v>
      </c>
      <c r="J1020">
        <f>($B$1+Table4[[#This Row],[Home Differential]])-Table4[[#This Row],[Away Differential]]</f>
        <v>0.19147639104863956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0.56100361454895276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5.9615189993428262E-2</v>
      </c>
      <c r="H1021" t="s">
        <v>16</v>
      </c>
      <c r="I1021">
        <f>VLOOKUP(Table4[[#This Row],[Visitor]],'NHL Model'!$A$6:$B$38,2,FALSE)</f>
        <v>-0.31883717525004912</v>
      </c>
      <c r="J1021">
        <f>($B$1+Table4[[#This Row],[Home Differential]])-Table4[[#This Row],[Away Differential]]</f>
        <v>0.44707718536377999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0.58904122551916172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-0.35878259596109546</v>
      </c>
      <c r="H1022" t="s">
        <v>29</v>
      </c>
      <c r="I1022">
        <f>VLOOKUP(Table4[[#This Row],[Visitor]],'NHL Model'!$A$6:$B$38,2,FALSE)</f>
        <v>-0.30501317799182315</v>
      </c>
      <c r="J1022">
        <f>($B$1+Table4[[#This Row],[Home Differential]])-Table4[[#This Row],[Away Differential]]</f>
        <v>1.4855402151030317E-2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0.54162953322360596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-0.91735746943655616</v>
      </c>
      <c r="H1023" t="s">
        <v>30</v>
      </c>
      <c r="I1023">
        <f>VLOOKUP(Table4[[#This Row],[Visitor]],'NHL Model'!$A$6:$B$38,2,FALSE)</f>
        <v>0.28840991013146466</v>
      </c>
      <c r="J1023">
        <f>($B$1+Table4[[#This Row],[Home Differential]])-Table4[[#This Row],[Away Differential]]</f>
        <v>-1.1371425594477182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0.60550577857570309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0.77383710114582016</v>
      </c>
      <c r="H1024" t="s">
        <v>28</v>
      </c>
      <c r="I1024">
        <f>VLOOKUP(Table4[[#This Row],[Visitor]],'NHL Model'!$A$6:$B$38,2,FALSE)</f>
        <v>-0.16769781981623849</v>
      </c>
      <c r="J1024">
        <f>($B$1+Table4[[#This Row],[Home Differential]])-Table4[[#This Row],[Away Differential]]</f>
        <v>1.0101597410823613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0.65536188041510224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-5.9925012095478535E-2</v>
      </c>
      <c r="H1025" t="s">
        <v>31</v>
      </c>
      <c r="I1025">
        <f>VLOOKUP(Table4[[#This Row],[Visitor]],'NHL Model'!$A$6:$B$38,2,FALSE)</f>
        <v>-4.3195749724159979E-4</v>
      </c>
      <c r="J1025">
        <f>($B$1+Table4[[#This Row],[Home Differential]])-Table4[[#This Row],[Away Differential]]</f>
        <v>9.1317655220656702E-3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0.54100169050673286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5.0237013717083105E-2</v>
      </c>
      <c r="H1026" t="s">
        <v>18</v>
      </c>
      <c r="I1026">
        <f>VLOOKUP(Table4[[#This Row],[Visitor]],'NHL Model'!$A$6:$B$38,2,FALSE)</f>
        <v>-6.5759726104743493E-3</v>
      </c>
      <c r="J1026">
        <f>($B$1+Table4[[#This Row],[Home Differential]])-Table4[[#This Row],[Away Differential]]</f>
        <v>0.12543780644786007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0.50666025440599283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0.24261452474052697</v>
      </c>
      <c r="H1027" t="s">
        <v>22</v>
      </c>
      <c r="I1027">
        <f>VLOOKUP(Table4[[#This Row],[Visitor]],'NHL Model'!$A$6:$B$38,2,FALSE)</f>
        <v>0.44906822732121116</v>
      </c>
      <c r="J1027">
        <f>($B$1+Table4[[#This Row],[Home Differential]])-Table4[[#This Row],[Away Differential]]</f>
        <v>-0.13782888246038155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0.47784379558297463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-6.6683170548020518E-2</v>
      </c>
      <c r="H1028" t="s">
        <v>33</v>
      </c>
      <c r="I1028">
        <f>VLOOKUP(Table4[[#This Row],[Visitor]],'NHL Model'!$A$6:$B$38,2,FALSE)</f>
        <v>-0.21661915454261307</v>
      </c>
      <c r="J1028">
        <f>($B$1+Table4[[#This Row],[Home Differential]])-Table4[[#This Row],[Away Differential]]</f>
        <v>0.21856080411489515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0.57073717426191584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8.4418744674710666E-2</v>
      </c>
      <c r="H1029" t="s">
        <v>22</v>
      </c>
      <c r="I1029">
        <f>VLOOKUP(Table4[[#This Row],[Visitor]],'NHL Model'!$A$6:$B$38,2,FALSE)</f>
        <v>0.44906822732121116</v>
      </c>
      <c r="J1029">
        <f>($B$1+Table4[[#This Row],[Home Differential]])-Table4[[#This Row],[Away Differential]]</f>
        <v>-0.29602466252619786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0.46104325381647748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0.64590845617425174</v>
      </c>
      <c r="H1030" t="s">
        <v>35</v>
      </c>
      <c r="I1030">
        <f>VLOOKUP(Table4[[#This Row],[Visitor]],'NHL Model'!$A$6:$B$38,2,FALSE)</f>
        <v>-0.91735746943655616</v>
      </c>
      <c r="J1030">
        <f>($B$1+Table4[[#This Row],[Home Differential]])-Table4[[#This Row],[Away Differential]]</f>
        <v>1.6318907457311105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0.76459253271690286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0.92184375119443818</v>
      </c>
      <c r="H1031" t="s">
        <v>17</v>
      </c>
      <c r="I1031">
        <f>VLOOKUP(Table4[[#This Row],[Visitor]],'NHL Model'!$A$6:$B$38,2,FALSE)</f>
        <v>0.16838500200194736</v>
      </c>
      <c r="J1031">
        <f>($B$1+Table4[[#This Row],[Home Differential]])-Table4[[#This Row],[Away Differential]]</f>
        <v>0.82208356931279336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0.66876888315612293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0.24167918475059574</v>
      </c>
      <c r="H1032" t="s">
        <v>28</v>
      </c>
      <c r="I1032">
        <f>VLOOKUP(Table4[[#This Row],[Visitor]],'NHL Model'!$A$6:$B$38,2,FALSE)</f>
        <v>-0.16769781981623849</v>
      </c>
      <c r="J1032">
        <f>($B$1+Table4[[#This Row],[Home Differential]])-Table4[[#This Row],[Away Differential]]</f>
        <v>0.47800182468713687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0.60374811459038702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0.65260146250136963</v>
      </c>
      <c r="H1033" t="s">
        <v>27</v>
      </c>
      <c r="I1033">
        <f>VLOOKUP(Table4[[#This Row],[Visitor]],'NHL Model'!$A$6:$B$38,2,FALSE)</f>
        <v>0.24261452474052697</v>
      </c>
      <c r="J1033">
        <f>($B$1+Table4[[#This Row],[Home Differential]])-Table4[[#This Row],[Away Differential]]</f>
        <v>0.47861175788114524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0.6091754094958417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1.6161557760803764E-2</v>
      </c>
      <c r="H1034" t="s">
        <v>16</v>
      </c>
      <c r="I1034">
        <f>VLOOKUP(Table4[[#This Row],[Visitor]],'NHL Model'!$A$6:$B$38,2,FALSE)</f>
        <v>-0.31883717525004912</v>
      </c>
      <c r="J1034">
        <f>($B$1+Table4[[#This Row],[Home Differential]])-Table4[[#This Row],[Away Differential]]</f>
        <v>0.4036235531311555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0.58427466742201151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-0.35878259596109546</v>
      </c>
      <c r="H1035" t="s">
        <v>12</v>
      </c>
      <c r="I1035">
        <f>VLOOKUP(Table4[[#This Row],[Visitor]],'NHL Model'!$A$6:$B$38,2,FALSE)</f>
        <v>1.8165919516425306</v>
      </c>
      <c r="J1035">
        <f>($B$1+Table4[[#This Row],[Home Differential]])-Table4[[#This Row],[Away Differential]]</f>
        <v>-2.1067497274833236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0.77731412788011067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0.77383710114582016</v>
      </c>
      <c r="H1036" t="s">
        <v>26</v>
      </c>
      <c r="I1036">
        <f>VLOOKUP(Table4[[#This Row],[Visitor]],'NHL Model'!$A$6:$B$38,2,FALSE)</f>
        <v>-8.7991118744577684E-2</v>
      </c>
      <c r="J1036">
        <f>($B$1+Table4[[#This Row],[Home Differential]])-Table4[[#This Row],[Away Differential]]</f>
        <v>0.93045304001070039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0.61306660496727705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-0.12942754353881131</v>
      </c>
      <c r="H1037" t="s">
        <v>31</v>
      </c>
      <c r="I1037">
        <f>VLOOKUP(Table4[[#This Row],[Visitor]],'NHL Model'!$A$6:$B$38,2,FALSE)</f>
        <v>-4.3195749724159979E-4</v>
      </c>
      <c r="J1037">
        <f>($B$1+Table4[[#This Row],[Home Differential]])-Table4[[#This Row],[Away Differential]]</f>
        <v>-6.0370765921267104E-2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0.46412676957782578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0.17839230571314843</v>
      </c>
      <c r="H1038" t="s">
        <v>10</v>
      </c>
      <c r="I1038">
        <f>VLOOKUP(Table4[[#This Row],[Visitor]],'NHL Model'!$A$6:$B$38,2,FALSE)</f>
        <v>-0.45443544272009573</v>
      </c>
      <c r="J1038">
        <f>($B$1+Table4[[#This Row],[Home Differential]])-Table4[[#This Row],[Away Differential]]</f>
        <v>0.70145256855354676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0.61694441750016582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-0.41225364678728776</v>
      </c>
      <c r="H1039" t="s">
        <v>29</v>
      </c>
      <c r="I1039">
        <f>VLOOKUP(Table4[[#This Row],[Visitor]],'NHL Model'!$A$6:$B$38,2,FALSE)</f>
        <v>-0.30501317799182315</v>
      </c>
      <c r="J1039">
        <f>($B$1+Table4[[#This Row],[Home Differential]])-Table4[[#This Row],[Away Differential]]</f>
        <v>-3.8615648675161984E-2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0.464235865298531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0.21920515510044997</v>
      </c>
      <c r="H1040" t="s">
        <v>14</v>
      </c>
      <c r="I1040">
        <f>VLOOKUP(Table4[[#This Row],[Visitor]],'NHL Model'!$A$6:$B$38,2,FALSE)</f>
        <v>-0.10173040746987846</v>
      </c>
      <c r="J1040">
        <f>($B$1+Table4[[#This Row],[Home Differential]])-Table4[[#This Row],[Away Differential]]</f>
        <v>0.38956038269063109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0.57544231682368352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-5.9925012095478535E-2</v>
      </c>
      <c r="H1041" t="s">
        <v>15</v>
      </c>
      <c r="I1041">
        <f>VLOOKUP(Table4[[#This Row],[Visitor]],'NHL Model'!$A$6:$B$38,2,FALSE)</f>
        <v>5.9615189993428262E-2</v>
      </c>
      <c r="J1041">
        <f>($B$1+Table4[[#This Row],[Home Differential]])-Table4[[#This Row],[Away Differential]]</f>
        <v>-5.0915381968604193E-2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0.53548664931250733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0.28840991013146466</v>
      </c>
      <c r="H1042" t="s">
        <v>13</v>
      </c>
      <c r="I1042">
        <f>VLOOKUP(Table4[[#This Row],[Visitor]],'NHL Model'!$A$6:$B$38,2,FALSE)</f>
        <v>3.852494182308655E-2</v>
      </c>
      <c r="J1042">
        <f>($B$1+Table4[[#This Row],[Home Differential]])-Table4[[#This Row],[Away Differential]]</f>
        <v>0.31850978842868072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0.55667741598313036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-0.91735746943655616</v>
      </c>
      <c r="H1043" t="s">
        <v>17</v>
      </c>
      <c r="I1043">
        <f>VLOOKUP(Table4[[#This Row],[Visitor]],'NHL Model'!$A$6:$B$38,2,FALSE)</f>
        <v>0.16838500200194736</v>
      </c>
      <c r="J1043">
        <f>($B$1+Table4[[#This Row],[Home Differential]])-Table4[[#This Row],[Away Differential]]</f>
        <v>-1.017117651318201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0.57157065882757752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8.4418744674710666E-2</v>
      </c>
      <c r="H1044" t="s">
        <v>19</v>
      </c>
      <c r="I1044">
        <f>VLOOKUP(Table4[[#This Row],[Visitor]],'NHL Model'!$A$6:$B$38,2,FALSE)</f>
        <v>-0.12942754353881131</v>
      </c>
      <c r="J1044">
        <f>($B$1+Table4[[#This Row],[Home Differential]])-Table4[[#This Row],[Away Differential]]</f>
        <v>0.28247110833382461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0.60957718816885431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0.92184375119443818</v>
      </c>
      <c r="H1045" t="s">
        <v>26</v>
      </c>
      <c r="I1045">
        <f>VLOOKUP(Table4[[#This Row],[Visitor]],'NHL Model'!$A$6:$B$38,2,FALSE)</f>
        <v>-8.7991118744577684E-2</v>
      </c>
      <c r="J1045">
        <f>($B$1+Table4[[#This Row],[Home Differential]])-Table4[[#This Row],[Away Differential]]</f>
        <v>1.0784596900593184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0.66375399486726649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0.65260146250136963</v>
      </c>
      <c r="H1046" t="s">
        <v>15</v>
      </c>
      <c r="I1046">
        <f>VLOOKUP(Table4[[#This Row],[Visitor]],'NHL Model'!$A$6:$B$38,2,FALSE)</f>
        <v>5.9615189993428262E-2</v>
      </c>
      <c r="J1046">
        <f>($B$1+Table4[[#This Row],[Home Differential]])-Table4[[#This Row],[Away Differential]]</f>
        <v>0.66161109262824391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0.56516057850551171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-6.5759726104743493E-3</v>
      </c>
      <c r="H1047" t="s">
        <v>33</v>
      </c>
      <c r="I1047">
        <f>VLOOKUP(Table4[[#This Row],[Visitor]],'NHL Model'!$A$6:$B$38,2,FALSE)</f>
        <v>-0.21661915454261307</v>
      </c>
      <c r="J1047">
        <f>($B$1+Table4[[#This Row],[Home Differential]])-Table4[[#This Row],[Away Differential]]</f>
        <v>0.27866800205244135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0.56327820193419498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1.6161557760803764E-2</v>
      </c>
      <c r="H1048" t="s">
        <v>13</v>
      </c>
      <c r="I1048">
        <f>VLOOKUP(Table4[[#This Row],[Visitor]],'NHL Model'!$A$6:$B$38,2,FALSE)</f>
        <v>3.852494182308655E-2</v>
      </c>
      <c r="J1048">
        <f>($B$1+Table4[[#This Row],[Home Differential]])-Table4[[#This Row],[Away Differential]]</f>
        <v>4.6261436058019814E-2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0.51268422320130169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0.28840991013146466</v>
      </c>
      <c r="H1049" t="s">
        <v>16</v>
      </c>
      <c r="I1049">
        <f>VLOOKUP(Table4[[#This Row],[Visitor]],'NHL Model'!$A$6:$B$38,2,FALSE)</f>
        <v>-0.31883717525004912</v>
      </c>
      <c r="J1049">
        <f>($B$1+Table4[[#This Row],[Home Differential]])-Table4[[#This Row],[Away Differential]]</f>
        <v>0.67587190550181631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0.62815501902326809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5.0237013717083105E-2</v>
      </c>
      <c r="H1050" t="s">
        <v>31</v>
      </c>
      <c r="I1050">
        <f>VLOOKUP(Table4[[#This Row],[Visitor]],'NHL Model'!$A$6:$B$38,2,FALSE)</f>
        <v>-4.3195749724159979E-4</v>
      </c>
      <c r="J1050">
        <f>($B$1+Table4[[#This Row],[Home Differential]])-Table4[[#This Row],[Away Differential]]</f>
        <v>0.11929379133462732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0.55308569060422297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0.24261452474052697</v>
      </c>
      <c r="H1051" t="s">
        <v>28</v>
      </c>
      <c r="I1051">
        <f>VLOOKUP(Table4[[#This Row],[Visitor]],'NHL Model'!$A$6:$B$38,2,FALSE)</f>
        <v>-0.16769781981623849</v>
      </c>
      <c r="J1051">
        <f>($B$1+Table4[[#This Row],[Home Differential]])-Table4[[#This Row],[Away Differential]]</f>
        <v>0.47893716467706809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0.59709049680789772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0.77383710114582016</v>
      </c>
      <c r="H1052" t="s">
        <v>25</v>
      </c>
      <c r="I1052">
        <f>VLOOKUP(Table4[[#This Row],[Visitor]],'NHL Model'!$A$6:$B$38,2,FALSE)</f>
        <v>0.64590845617425174</v>
      </c>
      <c r="J1052">
        <f>($B$1+Table4[[#This Row],[Home Differential]])-Table4[[#This Row],[Away Differential]]</f>
        <v>0.19655346509187099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0.49524474442003219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0.17839230571314843</v>
      </c>
      <c r="H1053" t="s">
        <v>14</v>
      </c>
      <c r="I1053">
        <f>VLOOKUP(Table4[[#This Row],[Visitor]],'NHL Model'!$A$6:$B$38,2,FALSE)</f>
        <v>-0.10173040746987846</v>
      </c>
      <c r="J1053">
        <f>($B$1+Table4[[#This Row],[Home Differential]])-Table4[[#This Row],[Away Differential]]</f>
        <v>0.34874753330332953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0.57096543404727074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-0.41225364678728776</v>
      </c>
      <c r="H1054" t="s">
        <v>32</v>
      </c>
      <c r="I1054">
        <f>VLOOKUP(Table4[[#This Row],[Visitor]],'NHL Model'!$A$6:$B$38,2,FALSE)</f>
        <v>-0.35878259596109546</v>
      </c>
      <c r="J1054">
        <f>($B$1+Table4[[#This Row],[Home Differential]])-Table4[[#This Row],[Away Differential]]</f>
        <v>1.5153769294110331E-2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0.54166226200250667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0.21920515510044997</v>
      </c>
      <c r="H1055" t="s">
        <v>10</v>
      </c>
      <c r="I1055">
        <f>VLOOKUP(Table4[[#This Row],[Visitor]],'NHL Model'!$A$6:$B$38,2,FALSE)</f>
        <v>-0.45443544272009573</v>
      </c>
      <c r="J1055">
        <f>($B$1+Table4[[#This Row],[Home Differential]])-Table4[[#This Row],[Away Differential]]</f>
        <v>0.74226541794084833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0.62142130027657871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-5.9925012095478535E-2</v>
      </c>
      <c r="H1056" t="s">
        <v>12</v>
      </c>
      <c r="I1056">
        <f>VLOOKUP(Table4[[#This Row],[Visitor]],'NHL Model'!$A$6:$B$38,2,FALSE)</f>
        <v>1.8165919516425306</v>
      </c>
      <c r="J1056">
        <f>($B$1+Table4[[#This Row],[Home Differential]])-Table4[[#This Row],[Away Differential]]</f>
        <v>-1.8078921436177064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0.74453155107172386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0.44906822732121116</v>
      </c>
      <c r="H1057" t="s">
        <v>21</v>
      </c>
      <c r="I1057">
        <f>VLOOKUP(Table4[[#This Row],[Visitor]],'NHL Model'!$A$6:$B$38,2,FALSE)</f>
        <v>-6.6683170548020518E-2</v>
      </c>
      <c r="J1057">
        <f>($B$1+Table4[[#This Row],[Home Differential]])-Table4[[#This Row],[Away Differential]]</f>
        <v>0.58437621798953432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0.6086564200115524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0.16838500200194736</v>
      </c>
      <c r="H1058" t="s">
        <v>29</v>
      </c>
      <c r="I1058">
        <f>VLOOKUP(Table4[[#This Row],[Visitor]],'NHL Model'!$A$6:$B$38,2,FALSE)</f>
        <v>-0.30501317799182315</v>
      </c>
      <c r="J1058">
        <f>($B$1+Table4[[#This Row],[Home Differential]])-Table4[[#This Row],[Away Differential]]</f>
        <v>0.54202300011407312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0.63549298055041814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0.65260146250136963</v>
      </c>
      <c r="H1059" t="s">
        <v>19</v>
      </c>
      <c r="I1059">
        <f>VLOOKUP(Table4[[#This Row],[Visitor]],'NHL Model'!$A$6:$B$38,2,FALSE)</f>
        <v>-0.12942754353881131</v>
      </c>
      <c r="J1059">
        <f>($B$1+Table4[[#This Row],[Home Differential]])-Table4[[#This Row],[Away Differential]]</f>
        <v>0.85065382616048346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0.65559448401196907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-6.5759726104743493E-3</v>
      </c>
      <c r="H1060" t="s">
        <v>31</v>
      </c>
      <c r="I1060">
        <f>VLOOKUP(Table4[[#This Row],[Visitor]],'NHL Model'!$A$6:$B$38,2,FALSE)</f>
        <v>-4.3195749724159979E-4</v>
      </c>
      <c r="J1060">
        <f>($B$1+Table4[[#This Row],[Home Differential]])-Table4[[#This Row],[Away Differential]]</f>
        <v>6.2480805007069852E-2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0.5468537052421435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5.0237013717083105E-2</v>
      </c>
      <c r="H1061" t="s">
        <v>33</v>
      </c>
      <c r="I1061">
        <f>VLOOKUP(Table4[[#This Row],[Visitor]],'NHL Model'!$A$6:$B$38,2,FALSE)</f>
        <v>-0.21661915454261307</v>
      </c>
      <c r="J1061">
        <f>($B$1+Table4[[#This Row],[Home Differential]])-Table4[[#This Row],[Away Differential]]</f>
        <v>0.33548098837999879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0.56951018729627456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-0.35878259596109546</v>
      </c>
      <c r="H1062" t="s">
        <v>11</v>
      </c>
      <c r="I1062">
        <f>VLOOKUP(Table4[[#This Row],[Visitor]],'NHL Model'!$A$6:$B$38,2,FALSE)</f>
        <v>0.24167918475059574</v>
      </c>
      <c r="J1062">
        <f>($B$1+Table4[[#This Row],[Home Differential]])-Table4[[#This Row],[Away Differential]]</f>
        <v>-0.53183696059138863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0.55523318717288694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-5.9925012095478535E-2</v>
      </c>
      <c r="H1063" t="s">
        <v>35</v>
      </c>
      <c r="I1063">
        <f>VLOOKUP(Table4[[#This Row],[Visitor]],'NHL Model'!$A$6:$B$38,2,FALSE)</f>
        <v>-0.91735746943655616</v>
      </c>
      <c r="J1063">
        <f>($B$1+Table4[[#This Row],[Home Differential]])-Table4[[#This Row],[Away Differential]]</f>
        <v>0.92605727746138022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0.64158197571788622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1.8165919516425306</v>
      </c>
      <c r="H1064" t="s">
        <v>14</v>
      </c>
      <c r="I1064">
        <f>VLOOKUP(Table4[[#This Row],[Visitor]],'NHL Model'!$A$6:$B$38,2,FALSE)</f>
        <v>-0.10173040746987846</v>
      </c>
      <c r="J1064">
        <f>($B$1+Table4[[#This Row],[Home Differential]])-Table4[[#This Row],[Away Differential]]</f>
        <v>1.9869471792327116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0.87031465784385853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0.92184375119443818</v>
      </c>
      <c r="H1065" t="s">
        <v>55</v>
      </c>
      <c r="I1065">
        <f>VLOOKUP(Table4[[#This Row],[Visitor]],'NHL Model'!$A$6:$B$38,2,FALSE)</f>
        <v>0.17839230571314843</v>
      </c>
      <c r="J1065">
        <f>($B$1+Table4[[#This Row],[Home Differential]])-Table4[[#This Row],[Away Differential]]</f>
        <v>0.8120762656015923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0.66767115226265228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-8.7991118744577684E-2</v>
      </c>
      <c r="H1066" t="s">
        <v>16</v>
      </c>
      <c r="I1066">
        <f>VLOOKUP(Table4[[#This Row],[Visitor]],'NHL Model'!$A$6:$B$38,2,FALSE)</f>
        <v>-0.31883717525004912</v>
      </c>
      <c r="J1066">
        <f>($B$1+Table4[[#This Row],[Home Differential]])-Table4[[#This Row],[Away Differential]]</f>
        <v>0.29947087662577404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0.60654799722810582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1.6161557760803764E-2</v>
      </c>
      <c r="H1067" t="s">
        <v>21</v>
      </c>
      <c r="I1067">
        <f>VLOOKUP(Table4[[#This Row],[Visitor]],'NHL Model'!$A$6:$B$38,2,FALSE)</f>
        <v>-6.6683170548020518E-2</v>
      </c>
      <c r="J1067">
        <f>($B$1+Table4[[#This Row],[Home Differential]])-Table4[[#This Row],[Away Differential]]</f>
        <v>0.15146954842912688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0.55661514505096954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5.9615189993428262E-2</v>
      </c>
      <c r="H1068" t="s">
        <v>13</v>
      </c>
      <c r="I1068">
        <f>VLOOKUP(Table4[[#This Row],[Visitor]],'NHL Model'!$A$6:$B$38,2,FALSE)</f>
        <v>3.852494182308655E-2</v>
      </c>
      <c r="J1068">
        <f>($B$1+Table4[[#This Row],[Home Differential]])-Table4[[#This Row],[Away Differential]]</f>
        <v>8.9715068290644323E-2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0.5174507812984519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-0.16769781981623849</v>
      </c>
      <c r="H1069" t="s">
        <v>25</v>
      </c>
      <c r="I1069">
        <f>VLOOKUP(Table4[[#This Row],[Visitor]],'NHL Model'!$A$6:$B$38,2,FALSE)</f>
        <v>0.64590845617425174</v>
      </c>
      <c r="J1069">
        <f>($B$1+Table4[[#This Row],[Home Differential]])-Table4[[#This Row],[Away Differential]]</f>
        <v>-0.7449814558701876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0.61260726143922861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-0.45443544272009573</v>
      </c>
      <c r="H1070" t="s">
        <v>34</v>
      </c>
      <c r="I1070">
        <f>VLOOKUP(Table4[[#This Row],[Visitor]],'NHL Model'!$A$6:$B$38,2,FALSE)</f>
        <v>0.65260146250136963</v>
      </c>
      <c r="J1070">
        <f>($B$1+Table4[[#This Row],[Home Differential]])-Table4[[#This Row],[Away Differential]]</f>
        <v>-1.0384120851011627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0.64479453946066612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0.16838500200194736</v>
      </c>
      <c r="H1071" t="s">
        <v>33</v>
      </c>
      <c r="I1071">
        <f>VLOOKUP(Table4[[#This Row],[Visitor]],'NHL Model'!$A$6:$B$38,2,FALSE)</f>
        <v>-0.21661915454261307</v>
      </c>
      <c r="J1071">
        <f>($B$1+Table4[[#This Row],[Home Differential]])-Table4[[#This Row],[Away Differential]]</f>
        <v>0.45362897666486302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0.61862218643303279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-6.5759726104743493E-3</v>
      </c>
      <c r="H1072" t="s">
        <v>21</v>
      </c>
      <c r="I1072">
        <f>VLOOKUP(Table4[[#This Row],[Visitor]],'NHL Model'!$A$6:$B$38,2,FALSE)</f>
        <v>-6.6683170548020518E-2</v>
      </c>
      <c r="J1072">
        <f>($B$1+Table4[[#This Row],[Home Differential]])-Table4[[#This Row],[Away Differential]]</f>
        <v>0.12873201805784878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0.55412099775114854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-0.35878259596109546</v>
      </c>
      <c r="H1073" t="s">
        <v>37</v>
      </c>
      <c r="I1073">
        <f>VLOOKUP(Table4[[#This Row],[Visitor]],'NHL Model'!$A$6:$B$38,2,FALSE)</f>
        <v>0.77383710114582016</v>
      </c>
      <c r="J1073">
        <f>($B$1+Table4[[#This Row],[Home Differential]])-Table4[[#This Row],[Away Differential]]</f>
        <v>-1.063994876986613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0.64760079195427811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-0.12942754353881131</v>
      </c>
      <c r="H1074" t="s">
        <v>30</v>
      </c>
      <c r="I1074">
        <f>VLOOKUP(Table4[[#This Row],[Visitor]],'NHL Model'!$A$6:$B$38,2,FALSE)</f>
        <v>0.28840991013146466</v>
      </c>
      <c r="J1074">
        <f>($B$1+Table4[[#This Row],[Home Differential]])-Table4[[#This Row],[Away Differential]]</f>
        <v>-0.34921263354997334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0.51656704146734567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-0.41225364678728776</v>
      </c>
      <c r="H1075" t="s">
        <v>11</v>
      </c>
      <c r="I1075">
        <f>VLOOKUP(Table4[[#This Row],[Visitor]],'NHL Model'!$A$6:$B$38,2,FALSE)</f>
        <v>0.24167918475059574</v>
      </c>
      <c r="J1075">
        <f>($B$1+Table4[[#This Row],[Home Differential]])-Table4[[#This Row],[Away Differential]]</f>
        <v>-0.58530801141758082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0.56109858569502391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0.21920515510044997</v>
      </c>
      <c r="H1076" t="s">
        <v>23</v>
      </c>
      <c r="I1076">
        <f>VLOOKUP(Table4[[#This Row],[Visitor]],'NHL Model'!$A$6:$B$38,2,FALSE)</f>
        <v>8.4418744674710666E-2</v>
      </c>
      <c r="J1076">
        <f>($B$1+Table4[[#This Row],[Home Differential]])-Table4[[#This Row],[Away Differential]]</f>
        <v>0.20341123054604193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0.56231278257292794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-5.9925012095478535E-2</v>
      </c>
      <c r="H1077" t="s">
        <v>29</v>
      </c>
      <c r="I1077">
        <f>VLOOKUP(Table4[[#This Row],[Visitor]],'NHL Model'!$A$6:$B$38,2,FALSE)</f>
        <v>-0.30501317799182315</v>
      </c>
      <c r="J1077">
        <f>($B$1+Table4[[#This Row],[Home Differential]])-Table4[[#This Row],[Away Differential]]</f>
        <v>0.31371298601664721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0.57441211003199277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-4.3195749724159979E-4</v>
      </c>
      <c r="H1078" t="s">
        <v>27</v>
      </c>
      <c r="I1078">
        <f>VLOOKUP(Table4[[#This Row],[Visitor]],'NHL Model'!$A$6:$B$38,2,FALSE)</f>
        <v>0.24261452474052697</v>
      </c>
      <c r="J1078">
        <f>($B$1+Table4[[#This Row],[Home Differential]])-Table4[[#This Row],[Away Differential]]</f>
        <v>-0.17442166211746596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0.44609912276757679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0.64590845617425174</v>
      </c>
      <c r="H1079" t="s">
        <v>14</v>
      </c>
      <c r="I1079">
        <f>VLOOKUP(Table4[[#This Row],[Visitor]],'NHL Model'!$A$6:$B$38,2,FALSE)</f>
        <v>-0.10173040746987846</v>
      </c>
      <c r="J1079">
        <f>($B$1+Table4[[#This Row],[Home Differential]])-Table4[[#This Row],[Away Differential]]</f>
        <v>0.81626368376443281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0.66799272258711406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-0.31883717525004912</v>
      </c>
      <c r="H1080" t="s">
        <v>35</v>
      </c>
      <c r="I1080">
        <f>VLOOKUP(Table4[[#This Row],[Visitor]],'NHL Model'!$A$6:$B$38,2,FALSE)</f>
        <v>-0.91735746943655616</v>
      </c>
      <c r="J1080">
        <f>($B$1+Table4[[#This Row],[Home Differential]])-Table4[[#This Row],[Away Differential]]</f>
        <v>0.66714511430680967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0.64372054994288697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1.8165919516425306</v>
      </c>
      <c r="H1081" t="s">
        <v>39</v>
      </c>
      <c r="I1081">
        <f>VLOOKUP(Table4[[#This Row],[Visitor]],'NHL Model'!$A$6:$B$38,2,FALSE)</f>
        <v>0.92184375119443818</v>
      </c>
      <c r="J1081">
        <f>($B$1+Table4[[#This Row],[Home Differential]])-Table4[[#This Row],[Away Differential]]</f>
        <v>0.96337302056839502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0.68329257903018548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5.9615189993428262E-2</v>
      </c>
      <c r="H1082" t="s">
        <v>24</v>
      </c>
      <c r="I1082">
        <f>VLOOKUP(Table4[[#This Row],[Visitor]],'NHL Model'!$A$6:$B$38,2,FALSE)</f>
        <v>1.6161557760803764E-2</v>
      </c>
      <c r="J1082">
        <f>($B$1+Table4[[#This Row],[Home Differential]])-Table4[[#This Row],[Away Differential]]</f>
        <v>0.11207845235292711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0.51871080302455785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0.44906822732121116</v>
      </c>
      <c r="H1083" t="s">
        <v>36</v>
      </c>
      <c r="I1083">
        <f>VLOOKUP(Table4[[#This Row],[Visitor]],'NHL Model'!$A$6:$B$38,2,FALSE)</f>
        <v>5.0237013717083105E-2</v>
      </c>
      <c r="J1083">
        <f>($B$1+Table4[[#This Row],[Home Differential]])-Table4[[#This Row],[Away Differential]]</f>
        <v>0.46745603372443068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0.57508616578694716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-6.6683170548020518E-2</v>
      </c>
      <c r="H1084" t="s">
        <v>40</v>
      </c>
      <c r="I1084">
        <f>VLOOKUP(Table4[[#This Row],[Visitor]],'NHL Model'!$A$6:$B$38,2,FALSE)</f>
        <v>-5.9925012095478535E-2</v>
      </c>
      <c r="J1084">
        <f>($B$1+Table4[[#This Row],[Home Differential]])-Table4[[#This Row],[Away Differential]]</f>
        <v>6.1866661667760621E-2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0.56080295853216411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-0.16769781981623849</v>
      </c>
      <c r="H1085" t="s">
        <v>15</v>
      </c>
      <c r="I1085">
        <f>VLOOKUP(Table4[[#This Row],[Visitor]],'NHL Model'!$A$6:$B$38,2,FALSE)</f>
        <v>5.9615189993428262E-2</v>
      </c>
      <c r="J1085">
        <f>($B$1+Table4[[#This Row],[Home Differential]])-Table4[[#This Row],[Away Differential]]</f>
        <v>-0.15868818968936416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0.54730856897491753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-8.7991118744577684E-2</v>
      </c>
      <c r="H1086" t="s">
        <v>18</v>
      </c>
      <c r="I1086">
        <f>VLOOKUP(Table4[[#This Row],[Visitor]],'NHL Model'!$A$6:$B$38,2,FALSE)</f>
        <v>-6.5759726104743493E-3</v>
      </c>
      <c r="J1086">
        <f>($B$1+Table4[[#This Row],[Home Differential]])-Table4[[#This Row],[Away Differential]]</f>
        <v>-1.2790326013800731E-2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0.47437598185609459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0.16838500200194736</v>
      </c>
      <c r="H1087" t="s">
        <v>11</v>
      </c>
      <c r="I1087">
        <f>VLOOKUP(Table4[[#This Row],[Visitor]],'NHL Model'!$A$6:$B$38,2,FALSE)</f>
        <v>0.24167918475059574</v>
      </c>
      <c r="J1087">
        <f>($B$1+Table4[[#This Row],[Home Differential]])-Table4[[#This Row],[Away Differential]]</f>
        <v>-4.6693626283457745E-3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0.46094385094389256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3.852494182308655E-2</v>
      </c>
      <c r="H1088" t="s">
        <v>27</v>
      </c>
      <c r="I1088">
        <f>VLOOKUP(Table4[[#This Row],[Visitor]],'NHL Model'!$A$6:$B$38,2,FALSE)</f>
        <v>0.24261452474052697</v>
      </c>
      <c r="J1088">
        <f>($B$1+Table4[[#This Row],[Home Differential]])-Table4[[#This Row],[Away Differential]]</f>
        <v>-0.13546476279713782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0.48051727409644052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0.65260146250136963</v>
      </c>
      <c r="H1089" t="s">
        <v>10</v>
      </c>
      <c r="I1089">
        <f>VLOOKUP(Table4[[#This Row],[Visitor]],'NHL Model'!$A$6:$B$38,2,FALSE)</f>
        <v>-0.45443544272009573</v>
      </c>
      <c r="J1089">
        <f>($B$1+Table4[[#This Row],[Home Differential]])-Table4[[#This Row],[Away Differential]]</f>
        <v>1.1756617253417678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0.69124556664614367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-0.30501317799182315</v>
      </c>
      <c r="H1090" t="s">
        <v>32</v>
      </c>
      <c r="I1090">
        <f>VLOOKUP(Table4[[#This Row],[Visitor]],'NHL Model'!$A$6:$B$38,2,FALSE)</f>
        <v>-0.35878259596109546</v>
      </c>
      <c r="J1090">
        <f>($B$1+Table4[[#This Row],[Home Differential]])-Table4[[#This Row],[Away Differential]]</f>
        <v>0.12239423808957492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0.55342578782568119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5.0237013717083105E-2</v>
      </c>
      <c r="H1091" t="s">
        <v>30</v>
      </c>
      <c r="I1091">
        <f>VLOOKUP(Table4[[#This Row],[Visitor]],'NHL Model'!$A$6:$B$38,2,FALSE)</f>
        <v>0.28840991013146466</v>
      </c>
      <c r="J1091">
        <f>($B$1+Table4[[#This Row],[Home Differential]])-Table4[[#This Row],[Away Differential]]</f>
        <v>-0.16954807629407895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0.49936746328497023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-0.21661915454261307</v>
      </c>
      <c r="H1092" t="s">
        <v>23</v>
      </c>
      <c r="I1092">
        <f>VLOOKUP(Table4[[#This Row],[Visitor]],'NHL Model'!$A$6:$B$38,2,FALSE)</f>
        <v>8.4418744674710666E-2</v>
      </c>
      <c r="J1092">
        <f>($B$1+Table4[[#This Row],[Home Differential]])-Table4[[#This Row],[Away Differential]]</f>
        <v>-0.23241307909702114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0.48549408155624302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-0.41225364678728776</v>
      </c>
      <c r="H1093" t="s">
        <v>37</v>
      </c>
      <c r="I1093">
        <f>VLOOKUP(Table4[[#This Row],[Visitor]],'NHL Model'!$A$6:$B$38,2,FALSE)</f>
        <v>0.77383710114582016</v>
      </c>
      <c r="J1093">
        <f>($B$1+Table4[[#This Row],[Home Differential]])-Table4[[#This Row],[Away Differential]]</f>
        <v>-1.1174659278128054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0.65346619047641508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0.21920515510044997</v>
      </c>
      <c r="H1094" t="s">
        <v>55</v>
      </c>
      <c r="I1094">
        <f>VLOOKUP(Table4[[#This Row],[Visitor]],'NHL Model'!$A$6:$B$38,2,FALSE)</f>
        <v>0.17839230571314843</v>
      </c>
      <c r="J1094">
        <f>($B$1+Table4[[#This Row],[Home Differential]])-Table4[[#This Row],[Away Differential]]</f>
        <v>0.10943766950760417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0.55200454330105642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-0.31883717525004912</v>
      </c>
      <c r="H1095" t="s">
        <v>11</v>
      </c>
      <c r="I1095">
        <f>VLOOKUP(Table4[[#This Row],[Visitor]],'NHL Model'!$A$6:$B$38,2,FALSE)</f>
        <v>0.24167918475059574</v>
      </c>
      <c r="J1095">
        <f>($B$1+Table4[[#This Row],[Home Differential]])-Table4[[#This Row],[Away Differential]]</f>
        <v>-0.49189153988034223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0.5199764627644764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-0.45443544272009573</v>
      </c>
      <c r="H1096" t="s">
        <v>12</v>
      </c>
      <c r="I1096">
        <f>VLOOKUP(Table4[[#This Row],[Visitor]],'NHL Model'!$A$6:$B$38,2,FALSE)</f>
        <v>1.8165919516425306</v>
      </c>
      <c r="J1096">
        <f>($B$1+Table4[[#This Row],[Home Differential]])-Table4[[#This Row],[Away Differential]]</f>
        <v>-2.2024025742423237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0.78780657299479717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-0.12942754353881131</v>
      </c>
      <c r="H1097" t="s">
        <v>25</v>
      </c>
      <c r="I1097">
        <f>VLOOKUP(Table4[[#This Row],[Visitor]],'NHL Model'!$A$6:$B$38,2,FALSE)</f>
        <v>0.64590845617425174</v>
      </c>
      <c r="J1097">
        <f>($B$1+Table4[[#This Row],[Home Differential]])-Table4[[#This Row],[Away Differential]]</f>
        <v>-0.70671117959276042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0.60590552965366862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0.17839230571314843</v>
      </c>
      <c r="H1098" t="s">
        <v>31</v>
      </c>
      <c r="I1098">
        <f>VLOOKUP(Table4[[#This Row],[Visitor]],'NHL Model'!$A$6:$B$38,2,FALSE)</f>
        <v>-4.3195749724159979E-4</v>
      </c>
      <c r="J1098">
        <f>($B$1+Table4[[#This Row],[Home Differential]])-Table4[[#This Row],[Away Differential]]</f>
        <v>0.24744908333069263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0.56714342555918196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0.44906822732121116</v>
      </c>
      <c r="H1099" t="s">
        <v>24</v>
      </c>
      <c r="I1099">
        <f>VLOOKUP(Table4[[#This Row],[Visitor]],'NHL Model'!$A$6:$B$38,2,FALSE)</f>
        <v>1.6161557760803764E-2</v>
      </c>
      <c r="J1099">
        <f>($B$1+Table4[[#This Row],[Home Differential]])-Table4[[#This Row],[Away Differential]]</f>
        <v>0.50153148968071004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0.56601692502745682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-0.16769781981623849</v>
      </c>
      <c r="H1100" t="s">
        <v>32</v>
      </c>
      <c r="I1100">
        <f>VLOOKUP(Table4[[#This Row],[Visitor]],'NHL Model'!$A$6:$B$38,2,FALSE)</f>
        <v>-0.35878259596109546</v>
      </c>
      <c r="J1100">
        <f>($B$1+Table4[[#This Row],[Home Differential]])-Table4[[#This Row],[Away Differential]]</f>
        <v>0.25970959626515955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0.56848831767062025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-8.7991118744577684E-2</v>
      </c>
      <c r="H1101" t="s">
        <v>21</v>
      </c>
      <c r="I1101">
        <f>VLOOKUP(Table4[[#This Row],[Visitor]],'NHL Model'!$A$6:$B$38,2,FALSE)</f>
        <v>-6.6683170548020518E-2</v>
      </c>
      <c r="J1101">
        <f>($B$1+Table4[[#This Row],[Home Differential]])-Table4[[#This Row],[Away Differential]]</f>
        <v>4.7316871923745438E-2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0.57888847485706396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0.16838500200194736</v>
      </c>
      <c r="H1102" t="s">
        <v>37</v>
      </c>
      <c r="I1102">
        <f>VLOOKUP(Table4[[#This Row],[Visitor]],'NHL Model'!$A$6:$B$38,2,FALSE)</f>
        <v>0.77383710114582016</v>
      </c>
      <c r="J1102">
        <f>($B$1+Table4[[#This Row],[Home Differential]])-Table4[[#This Row],[Away Differential]]</f>
        <v>-0.53682727902357019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0.55326820257079223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3.852494182308655E-2</v>
      </c>
      <c r="H1103" t="s">
        <v>23</v>
      </c>
      <c r="I1103">
        <f>VLOOKUP(Table4[[#This Row],[Visitor]],'NHL Model'!$A$6:$B$38,2,FALSE)</f>
        <v>8.4418744674710666E-2</v>
      </c>
      <c r="J1103">
        <f>($B$1+Table4[[#This Row],[Home Differential]])-Table4[[#This Row],[Away Differential]]</f>
        <v>2.2731017268678488E-2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0.54249343285823493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0.65260146250136963</v>
      </c>
      <c r="H1104" t="s">
        <v>39</v>
      </c>
      <c r="I1104">
        <f>VLOOKUP(Table4[[#This Row],[Visitor]],'NHL Model'!$A$6:$B$38,2,FALSE)</f>
        <v>0.92184375119443818</v>
      </c>
      <c r="J1104">
        <f>($B$1+Table4[[#This Row],[Home Differential]])-Table4[[#This Row],[Away Differential]]</f>
        <v>-0.20061746857276597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0.54581585032639779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-6.5759726104743493E-3</v>
      </c>
      <c r="H1105" t="s">
        <v>30</v>
      </c>
      <c r="I1105">
        <f>VLOOKUP(Table4[[#This Row],[Visitor]],'NHL Model'!$A$6:$B$38,2,FALSE)</f>
        <v>0.28840991013146466</v>
      </c>
      <c r="J1105">
        <f>($B$1+Table4[[#This Row],[Home Differential]])-Table4[[#This Row],[Away Differential]]</f>
        <v>-0.22636106262163641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0.50559944864704975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-0.30501317799182315</v>
      </c>
      <c r="H1106" t="s">
        <v>20</v>
      </c>
      <c r="I1106">
        <f>VLOOKUP(Table4[[#This Row],[Visitor]],'NHL Model'!$A$6:$B$38,2,FALSE)</f>
        <v>0.21920515510044997</v>
      </c>
      <c r="J1106">
        <f>($B$1+Table4[[#This Row],[Home Differential]])-Table4[[#This Row],[Away Differential]]</f>
        <v>-0.45559351297197048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0.53074463758079826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5.0237013717083105E-2</v>
      </c>
      <c r="H1107" t="s">
        <v>19</v>
      </c>
      <c r="I1107">
        <f>VLOOKUP(Table4[[#This Row],[Visitor]],'NHL Model'!$A$6:$B$38,2,FALSE)</f>
        <v>-0.12942754353881131</v>
      </c>
      <c r="J1107">
        <f>($B$1+Table4[[#This Row],[Home Differential]])-Table4[[#This Row],[Away Differential]]</f>
        <v>0.24828937737619702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0.56723559991103234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-0.10173040746987846</v>
      </c>
      <c r="H1108" t="s">
        <v>40</v>
      </c>
      <c r="I1108">
        <f>VLOOKUP(Table4[[#This Row],[Visitor]],'NHL Model'!$A$6:$B$38,2,FALSE)</f>
        <v>-5.9925012095478535E-2</v>
      </c>
      <c r="J1108">
        <f>($B$1+Table4[[#This Row],[Home Differential]])-Table4[[#This Row],[Away Differential]]</f>
        <v>2.6819424745902674E-2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0.54294190242829732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-0.21661915454261307</v>
      </c>
      <c r="H1109" t="s">
        <v>27</v>
      </c>
      <c r="I1109">
        <f>VLOOKUP(Table4[[#This Row],[Visitor]],'NHL Model'!$A$6:$B$38,2,FALSE)</f>
        <v>0.24261452474052697</v>
      </c>
      <c r="J1109">
        <f>($B$1+Table4[[#This Row],[Home Differential]])-Table4[[#This Row],[Away Differential]]</f>
        <v>-0.39060885916283744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0.5085047885109184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-0.41225364678728776</v>
      </c>
      <c r="H1110" t="s">
        <v>35</v>
      </c>
      <c r="I1110">
        <f>VLOOKUP(Table4[[#This Row],[Visitor]],'NHL Model'!$A$6:$B$38,2,FALSE)</f>
        <v>-0.91735746943655616</v>
      </c>
      <c r="J1110">
        <f>($B$1+Table4[[#This Row],[Home Differential]])-Table4[[#This Row],[Away Differential]]</f>
        <v>0.57372864276957103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0.60293400038736256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-4.3195749724159979E-4</v>
      </c>
      <c r="H1111" t="s">
        <v>23</v>
      </c>
      <c r="I1111">
        <f>VLOOKUP(Table4[[#This Row],[Visitor]],'NHL Model'!$A$6:$B$38,2,FALSE)</f>
        <v>8.4418744674710666E-2</v>
      </c>
      <c r="J1111">
        <f>($B$1+Table4[[#This Row],[Home Differential]])-Table4[[#This Row],[Away Differential]]</f>
        <v>-1.6225882051649668E-2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0.4231877726632885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-0.31883717525004912</v>
      </c>
      <c r="H1112" t="s">
        <v>37</v>
      </c>
      <c r="I1112">
        <f>VLOOKUP(Table4[[#This Row],[Visitor]],'NHL Model'!$A$6:$B$38,2,FALSE)</f>
        <v>0.77383710114582016</v>
      </c>
      <c r="J1112">
        <f>($B$1+Table4[[#This Row],[Home Differential]])-Table4[[#This Row],[Away Differential]]</f>
        <v>-1.0240494562755666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0.61233102911999671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-0.45443544272009573</v>
      </c>
      <c r="H1113" t="s">
        <v>29</v>
      </c>
      <c r="I1113">
        <f>VLOOKUP(Table4[[#This Row],[Visitor]],'NHL Model'!$A$6:$B$38,2,FALSE)</f>
        <v>-0.30501317799182315</v>
      </c>
      <c r="J1113">
        <f>($B$1+Table4[[#This Row],[Home Differential]])-Table4[[#This Row],[Away Differential]]</f>
        <v>-8.0797444607970004E-2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0.46886291189108048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0.92184375119443818</v>
      </c>
      <c r="H1114" t="s">
        <v>20</v>
      </c>
      <c r="I1114">
        <f>VLOOKUP(Table4[[#This Row],[Visitor]],'NHL Model'!$A$6:$B$38,2,FALSE)</f>
        <v>0.21920515510044997</v>
      </c>
      <c r="J1114">
        <f>($B$1+Table4[[#This Row],[Home Differential]])-Table4[[#This Row],[Away Differential]]</f>
        <v>0.77126341621429084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0.64274171179522566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0.28840991013146466</v>
      </c>
      <c r="H1115" t="s">
        <v>28</v>
      </c>
      <c r="I1115">
        <f>VLOOKUP(Table4[[#This Row],[Visitor]],'NHL Model'!$A$6:$B$38,2,FALSE)</f>
        <v>-0.16769781981623849</v>
      </c>
      <c r="J1115">
        <f>($B$1+Table4[[#This Row],[Home Differential]])-Table4[[#This Row],[Away Differential]]</f>
        <v>0.52473255006800579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0.61157609382354183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5.9615189993428262E-2</v>
      </c>
      <c r="H1116" t="s">
        <v>40</v>
      </c>
      <c r="I1116">
        <f>VLOOKUP(Table4[[#This Row],[Visitor]],'NHL Model'!$A$6:$B$38,2,FALSE)</f>
        <v>-5.9925012095478535E-2</v>
      </c>
      <c r="J1116">
        <f>($B$1+Table4[[#This Row],[Home Differential]])-Table4[[#This Row],[Away Differential]]</f>
        <v>0.18816502220920941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0.56064038065702537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-0.10173040746987846</v>
      </c>
      <c r="H1117" t="s">
        <v>25</v>
      </c>
      <c r="I1117">
        <f>VLOOKUP(Table4[[#This Row],[Visitor]],'NHL Model'!$A$6:$B$38,2,FALSE)</f>
        <v>0.64590845617425174</v>
      </c>
      <c r="J1117">
        <f>($B$1+Table4[[#This Row],[Home Differential]])-Table4[[#This Row],[Away Differential]]</f>
        <v>-0.67901404352382766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0.60537109987316473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0.17839230571314843</v>
      </c>
      <c r="H1118" t="s">
        <v>13</v>
      </c>
      <c r="I1118">
        <f>VLOOKUP(Table4[[#This Row],[Visitor]],'NHL Model'!$A$6:$B$38,2,FALSE)</f>
        <v>3.852494182308655E-2</v>
      </c>
      <c r="J1118">
        <f>($B$1+Table4[[#This Row],[Home Differential]])-Table4[[#This Row],[Away Differential]]</f>
        <v>0.20849218401036448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0.53047979621851915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0.44906822732121116</v>
      </c>
      <c r="H1119" t="s">
        <v>12</v>
      </c>
      <c r="I1119">
        <f>VLOOKUP(Table4[[#This Row],[Visitor]],'NHL Model'!$A$6:$B$38,2,FALSE)</f>
        <v>1.8165919516425306</v>
      </c>
      <c r="J1119">
        <f>($B$1+Table4[[#This Row],[Home Differential]])-Table4[[#This Row],[Away Differential]]</f>
        <v>-1.2988989042010168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0.68414674879316262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5.9615189993428262E-2</v>
      </c>
      <c r="H1120" t="s">
        <v>36</v>
      </c>
      <c r="I1120">
        <f>VLOOKUP(Table4[[#This Row],[Visitor]],'NHL Model'!$A$6:$B$38,2,FALSE)</f>
        <v>5.0237013717083105E-2</v>
      </c>
      <c r="J1120">
        <f>($B$1+Table4[[#This Row],[Home Differential]])-Table4[[#This Row],[Away Differential]]</f>
        <v>7.8002996396647761E-2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0.5277871497903045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-6.6683170548020518E-2</v>
      </c>
      <c r="H1121" t="s">
        <v>19</v>
      </c>
      <c r="I1121">
        <f>VLOOKUP(Table4[[#This Row],[Visitor]],'NHL Model'!$A$6:$B$38,2,FALSE)</f>
        <v>-0.12942754353881131</v>
      </c>
      <c r="J1121">
        <f>($B$1+Table4[[#This Row],[Home Differential]])-Table4[[#This Row],[Away Differential]]</f>
        <v>0.13136919311109341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0.5684268978210627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-0.31883717525004912</v>
      </c>
      <c r="H1122" t="s">
        <v>13</v>
      </c>
      <c r="I1122">
        <f>VLOOKUP(Table4[[#This Row],[Visitor]],'NHL Model'!$A$6:$B$38,2,FALSE)</f>
        <v>3.852494182308655E-2</v>
      </c>
      <c r="J1122">
        <f>($B$1+Table4[[#This Row],[Home Differential]])-Table4[[#This Row],[Away Differential]]</f>
        <v>-0.28873729695283301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0.49321091399012318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0.92184375119443818</v>
      </c>
      <c r="H1123" t="s">
        <v>24</v>
      </c>
      <c r="I1123">
        <f>VLOOKUP(Table4[[#This Row],[Visitor]],'NHL Model'!$A$6:$B$38,2,FALSE)</f>
        <v>1.6161557760803764E-2</v>
      </c>
      <c r="J1123">
        <f>($B$1+Table4[[#This Row],[Home Differential]])-Table4[[#This Row],[Away Differential]]</f>
        <v>0.97430701355393701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0.65232917815968039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-8.7991118744577684E-2</v>
      </c>
      <c r="H1124" t="s">
        <v>36</v>
      </c>
      <c r="I1124">
        <f>VLOOKUP(Table4[[#This Row],[Visitor]],'NHL Model'!$A$6:$B$38,2,FALSE)</f>
        <v>5.0237013717083105E-2</v>
      </c>
      <c r="J1124">
        <f>($B$1+Table4[[#This Row],[Home Differential]])-Table4[[#This Row],[Away Differential]]</f>
        <v>-6.9603312341358192E-2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0.45444350488349899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0.24167918475059574</v>
      </c>
      <c r="H1125" t="s">
        <v>32</v>
      </c>
      <c r="I1125">
        <f>VLOOKUP(Table4[[#This Row],[Visitor]],'NHL Model'!$A$6:$B$38,2,FALSE)</f>
        <v>-0.35878259596109546</v>
      </c>
      <c r="J1125">
        <f>($B$1+Table4[[#This Row],[Home Differential]])-Table4[[#This Row],[Away Differential]]</f>
        <v>0.66908660083199378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0.62470877173636374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-6.5759726104743493E-3</v>
      </c>
      <c r="H1126" t="s">
        <v>25</v>
      </c>
      <c r="I1126">
        <f>VLOOKUP(Table4[[#This Row],[Visitor]],'NHL Model'!$A$6:$B$38,2,FALSE)</f>
        <v>0.64590845617425174</v>
      </c>
      <c r="J1126">
        <f>($B$1+Table4[[#This Row],[Home Differential]])-Table4[[#This Row],[Away Differential]]</f>
        <v>-0.58385960866442344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0.59493332704140789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-0.30501317799182315</v>
      </c>
      <c r="H1127" t="s">
        <v>33</v>
      </c>
      <c r="I1127">
        <f>VLOOKUP(Table4[[#This Row],[Visitor]],'NHL Model'!$A$6:$B$38,2,FALSE)</f>
        <v>-0.21661915454261307</v>
      </c>
      <c r="J1127">
        <f>($B$1+Table4[[#This Row],[Home Differential]])-Table4[[#This Row],[Away Differential]]</f>
        <v>-1.976920332890747E-2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0.46945826230856486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0.28840991013146466</v>
      </c>
      <c r="H1128" t="s">
        <v>10</v>
      </c>
      <c r="I1128">
        <f>VLOOKUP(Table4[[#This Row],[Visitor]],'NHL Model'!$A$6:$B$38,2,FALSE)</f>
        <v>-0.45443544272009573</v>
      </c>
      <c r="J1128">
        <f>($B$1+Table4[[#This Row],[Home Differential]])-Table4[[#This Row],[Away Differential]]</f>
        <v>0.81147017297186297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0.64302919608420495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0.24261452474052697</v>
      </c>
      <c r="H1129" t="s">
        <v>28</v>
      </c>
      <c r="I1129">
        <f>VLOOKUP(Table4[[#This Row],[Visitor]],'NHL Model'!$A$6:$B$38,2,FALSE)</f>
        <v>-0.16769781981623849</v>
      </c>
      <c r="J1129">
        <f>($B$1+Table4[[#This Row],[Home Differential]])-Table4[[#This Row],[Away Differential]]</f>
        <v>0.47893716467706809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0.59709049680789772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-0.10173040746987846</v>
      </c>
      <c r="H1130" t="s">
        <v>12</v>
      </c>
      <c r="I1130">
        <f>VLOOKUP(Table4[[#This Row],[Visitor]],'NHL Model'!$A$6:$B$38,2,FALSE)</f>
        <v>1.8165919516425306</v>
      </c>
      <c r="J1130">
        <f>($B$1+Table4[[#This Row],[Home Differential]])-Table4[[#This Row],[Away Differential]]</f>
        <v>-1.8496975389921064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0.74911730916807018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-0.91735746943655616</v>
      </c>
      <c r="H1131" t="s">
        <v>22</v>
      </c>
      <c r="I1131">
        <f>VLOOKUP(Table4[[#This Row],[Visitor]],'NHL Model'!$A$6:$B$38,2,FALSE)</f>
        <v>0.44906822732121116</v>
      </c>
      <c r="J1131">
        <f>($B$1+Table4[[#This Row],[Home Differential]])-Table4[[#This Row],[Away Differential]]</f>
        <v>-1.2978008766374647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0.60964935584503732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0.77383710114582016</v>
      </c>
      <c r="H1132" t="s">
        <v>34</v>
      </c>
      <c r="I1132">
        <f>VLOOKUP(Table4[[#This Row],[Visitor]],'NHL Model'!$A$6:$B$38,2,FALSE)</f>
        <v>0.65260146250136963</v>
      </c>
      <c r="J1132">
        <f>($B$1+Table4[[#This Row],[Home Differential]])-Table4[[#This Row],[Away Differential]]</f>
        <v>0.1898604587647531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0.49451056865925769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0.17839230571314843</v>
      </c>
      <c r="H1133" t="s">
        <v>17</v>
      </c>
      <c r="I1133">
        <f>VLOOKUP(Table4[[#This Row],[Visitor]],'NHL Model'!$A$6:$B$38,2,FALSE)</f>
        <v>0.16838500200194736</v>
      </c>
      <c r="J1133">
        <f>($B$1+Table4[[#This Row],[Home Differential]])-Table4[[#This Row],[Away Differential]]</f>
        <v>7.863212383150367E-2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0.54862539141811428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-0.41225364678728776</v>
      </c>
      <c r="H1134" t="s">
        <v>31</v>
      </c>
      <c r="I1134">
        <f>VLOOKUP(Table4[[#This Row],[Visitor]],'NHL Model'!$A$6:$B$38,2,FALSE)</f>
        <v>-4.3195749724159979E-4</v>
      </c>
      <c r="J1134">
        <f>($B$1+Table4[[#This Row],[Home Differential]])-Table4[[#This Row],[Away Differential]]</f>
        <v>-0.34319686916974351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0.49764628482379092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-5.9925012095478535E-2</v>
      </c>
      <c r="H1135" t="s">
        <v>20</v>
      </c>
      <c r="I1135">
        <f>VLOOKUP(Table4[[#This Row],[Visitor]],'NHL Model'!$A$6:$B$38,2,FALSE)</f>
        <v>0.21920515510044997</v>
      </c>
      <c r="J1135">
        <f>($B$1+Table4[[#This Row],[Home Differential]])-Table4[[#This Row],[Away Differential]]</f>
        <v>-0.2105053470756259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0.50386018807344912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8.4418744674710666E-2</v>
      </c>
      <c r="H1136" t="s">
        <v>21</v>
      </c>
      <c r="I1136">
        <f>VLOOKUP(Table4[[#This Row],[Visitor]],'NHL Model'!$A$6:$B$38,2,FALSE)</f>
        <v>-6.6683170548020518E-2</v>
      </c>
      <c r="J1136">
        <f>($B$1+Table4[[#This Row],[Home Differential]])-Table4[[#This Row],[Away Differential]]</f>
        <v>0.21972673534303377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0.60269457137105009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-0.12942754353881131</v>
      </c>
      <c r="H1137" t="s">
        <v>15</v>
      </c>
      <c r="I1137">
        <f>VLOOKUP(Table4[[#This Row],[Visitor]],'NHL Model'!$A$6:$B$38,2,FALSE)</f>
        <v>5.9615189993428262E-2</v>
      </c>
      <c r="J1137">
        <f>($B$1+Table4[[#This Row],[Home Differential]])-Table4[[#This Row],[Away Differential]]</f>
        <v>-0.12041791341193697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0.54060625917060945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-0.31883717525004912</v>
      </c>
      <c r="H1138" t="s">
        <v>31</v>
      </c>
      <c r="I1138">
        <f>VLOOKUP(Table4[[#This Row],[Visitor]],'NHL Model'!$A$6:$B$38,2,FALSE)</f>
        <v>-4.3195749724159979E-4</v>
      </c>
      <c r="J1138">
        <f>($B$1+Table4[[#This Row],[Home Differential]])-Table4[[#This Row],[Away Differential]]</f>
        <v>-0.2497803976325049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0.45685973526826662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0.24167918475059574</v>
      </c>
      <c r="H1139" t="s">
        <v>34</v>
      </c>
      <c r="I1139">
        <f>VLOOKUP(Table4[[#This Row],[Visitor]],'NHL Model'!$A$6:$B$38,2,FALSE)</f>
        <v>0.65260146250136963</v>
      </c>
      <c r="J1139">
        <f>($B$1+Table4[[#This Row],[Home Differential]])-Table4[[#This Row],[Away Differential]]</f>
        <v>-0.34229745763047126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0.55705481255662281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-6.5759726104743493E-3</v>
      </c>
      <c r="H1140" t="s">
        <v>28</v>
      </c>
      <c r="I1140">
        <f>VLOOKUP(Table4[[#This Row],[Visitor]],'NHL Model'!$A$6:$B$38,2,FALSE)</f>
        <v>-0.16769781981623849</v>
      </c>
      <c r="J1140">
        <f>($B$1+Table4[[#This Row],[Home Differential]])-Table4[[#This Row],[Away Differential]]</f>
        <v>0.22974666732606674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0.56520159492246425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-0.30501317799182315</v>
      </c>
      <c r="H1141" t="s">
        <v>24</v>
      </c>
      <c r="I1141">
        <f>VLOOKUP(Table4[[#This Row],[Visitor]],'NHL Model'!$A$6:$B$38,2,FALSE)</f>
        <v>1.6161557760803764E-2</v>
      </c>
      <c r="J1141">
        <f>($B$1+Table4[[#This Row],[Home Differential]])-Table4[[#This Row],[Away Differential]]</f>
        <v>-0.25254991563232432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0.52128636661517325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0.28840991013146466</v>
      </c>
      <c r="H1142" t="s">
        <v>39</v>
      </c>
      <c r="I1142">
        <f>VLOOKUP(Table4[[#This Row],[Visitor]],'NHL Model'!$A$6:$B$38,2,FALSE)</f>
        <v>0.92184375119443818</v>
      </c>
      <c r="J1142">
        <f>($B$1+Table4[[#This Row],[Home Differential]])-Table4[[#This Row],[Away Differential]]</f>
        <v>-0.56480902094267094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0.59411932324326489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5.0237013717083105E-2</v>
      </c>
      <c r="H1143" t="s">
        <v>14</v>
      </c>
      <c r="I1143">
        <f>VLOOKUP(Table4[[#This Row],[Visitor]],'NHL Model'!$A$6:$B$38,2,FALSE)</f>
        <v>-0.10173040746987846</v>
      </c>
      <c r="J1143">
        <f>($B$1+Table4[[#This Row],[Home Differential]])-Table4[[#This Row],[Away Differential]]</f>
        <v>0.22059224130726418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0.55690769909231186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0.24261452474052697</v>
      </c>
      <c r="H1144" t="s">
        <v>10</v>
      </c>
      <c r="I1144">
        <f>VLOOKUP(Table4[[#This Row],[Visitor]],'NHL Model'!$A$6:$B$38,2,FALSE)</f>
        <v>-0.45443544272009573</v>
      </c>
      <c r="J1144">
        <f>($B$1+Table4[[#This Row],[Home Differential]])-Table4[[#This Row],[Away Differential]]</f>
        <v>0.76567478758092533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0.62854359906856083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-0.91735746943655616</v>
      </c>
      <c r="H1145" t="s">
        <v>33</v>
      </c>
      <c r="I1145">
        <f>VLOOKUP(Table4[[#This Row],[Visitor]],'NHL Model'!$A$6:$B$38,2,FALSE)</f>
        <v>-0.21661915454261307</v>
      </c>
      <c r="J1145">
        <f>($B$1+Table4[[#This Row],[Home Differential]])-Table4[[#This Row],[Away Differential]]</f>
        <v>-0.63211349477364054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0.53662812799445836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0.77383710114582016</v>
      </c>
      <c r="H1146" t="s">
        <v>32</v>
      </c>
      <c r="I1146">
        <f>VLOOKUP(Table4[[#This Row],[Visitor]],'NHL Model'!$A$6:$B$38,2,FALSE)</f>
        <v>-0.35878259596109546</v>
      </c>
      <c r="J1146">
        <f>($B$1+Table4[[#This Row],[Home Differential]])-Table4[[#This Row],[Away Differential]]</f>
        <v>1.2012445172272181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0.67632253756107885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0.17839230571314843</v>
      </c>
      <c r="H1147" t="s">
        <v>22</v>
      </c>
      <c r="I1147">
        <f>VLOOKUP(Table4[[#This Row],[Visitor]],'NHL Model'!$A$6:$B$38,2,FALSE)</f>
        <v>0.44906822732121116</v>
      </c>
      <c r="J1147">
        <f>($B$1+Table4[[#This Row],[Home Differential]])-Table4[[#This Row],[Away Differential]]</f>
        <v>-0.20205110148776012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0.48945330559934552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-0.41225364678728776</v>
      </c>
      <c r="H1148" t="s">
        <v>13</v>
      </c>
      <c r="I1148">
        <f>VLOOKUP(Table4[[#This Row],[Visitor]],'NHL Model'!$A$6:$B$38,2,FALSE)</f>
        <v>3.852494182308655E-2</v>
      </c>
      <c r="J1148">
        <f>($B$1+Table4[[#This Row],[Home Differential]])-Table4[[#This Row],[Away Differential]]</f>
        <v>-0.38215376849007165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0.53430991416445373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0.21920515510044997</v>
      </c>
      <c r="H1149" t="s">
        <v>17</v>
      </c>
      <c r="I1149">
        <f>VLOOKUP(Table4[[#This Row],[Visitor]],'NHL Model'!$A$6:$B$38,2,FALSE)</f>
        <v>0.16838500200194736</v>
      </c>
      <c r="J1149">
        <f>($B$1+Table4[[#This Row],[Home Differential]])-Table4[[#This Row],[Away Differential]]</f>
        <v>0.11944497321880523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0.55310227419452707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-5.9925012095478535E-2</v>
      </c>
      <c r="H1150" t="s">
        <v>12</v>
      </c>
      <c r="I1150">
        <f>VLOOKUP(Table4[[#This Row],[Visitor]],'NHL Model'!$A$6:$B$38,2,FALSE)</f>
        <v>1.8165919516425306</v>
      </c>
      <c r="J1150">
        <f>($B$1+Table4[[#This Row],[Home Differential]])-Table4[[#This Row],[Away Differential]]</f>
        <v>-1.8078921436177064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0.74453155107172386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8.4418744674710666E-2</v>
      </c>
      <c r="H1151" t="s">
        <v>26</v>
      </c>
      <c r="I1151">
        <f>VLOOKUP(Table4[[#This Row],[Visitor]],'NHL Model'!$A$6:$B$38,2,FALSE)</f>
        <v>-8.7991118744577684E-2</v>
      </c>
      <c r="J1151">
        <f>($B$1+Table4[[#This Row],[Home Differential]])-Table4[[#This Row],[Away Differential]]</f>
        <v>0.24103468353959095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0.57189435643212094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5.9615189993428262E-2</v>
      </c>
      <c r="H1152" t="s">
        <v>10</v>
      </c>
      <c r="I1152">
        <f>VLOOKUP(Table4[[#This Row],[Visitor]],'NHL Model'!$A$6:$B$38,2,FALSE)</f>
        <v>-0.45443544272009573</v>
      </c>
      <c r="J1152">
        <f>($B$1+Table4[[#This Row],[Home Differential]])-Table4[[#This Row],[Away Differential]]</f>
        <v>0.5826754528338266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0.60391540258009857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-6.6683170548020518E-2</v>
      </c>
      <c r="H1153" t="s">
        <v>34</v>
      </c>
      <c r="I1153">
        <f>VLOOKUP(Table4[[#This Row],[Visitor]],'NHL Model'!$A$6:$B$38,2,FALSE)</f>
        <v>0.65260146250136963</v>
      </c>
      <c r="J1153">
        <f>($B$1+Table4[[#This Row],[Home Differential]])-Table4[[#This Row],[Away Differential]]</f>
        <v>-0.65065981292908759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0.58815133263058927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8.4418744674710666E-2</v>
      </c>
      <c r="H1154" t="s">
        <v>32</v>
      </c>
      <c r="I1154">
        <f>VLOOKUP(Table4[[#This Row],[Visitor]],'NHL Model'!$A$6:$B$38,2,FALSE)</f>
        <v>-0.35878259596109546</v>
      </c>
      <c r="J1154">
        <f>($B$1+Table4[[#This Row],[Home Differential]])-Table4[[#This Row],[Away Differential]]</f>
        <v>0.51182616075610876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0.63473582568834253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0.64590845617425174</v>
      </c>
      <c r="H1155" t="s">
        <v>24</v>
      </c>
      <c r="I1155">
        <f>VLOOKUP(Table4[[#This Row],[Visitor]],'NHL Model'!$A$6:$B$38,2,FALSE)</f>
        <v>1.6161557760803764E-2</v>
      </c>
      <c r="J1155">
        <f>($B$1+Table4[[#This Row],[Home Differential]])-Table4[[#This Row],[Away Differential]]</f>
        <v>0.69837171853375057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0.62917917683796598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-0.16769781981623849</v>
      </c>
      <c r="H1156" t="s">
        <v>33</v>
      </c>
      <c r="I1156">
        <f>VLOOKUP(Table4[[#This Row],[Visitor]],'NHL Model'!$A$6:$B$38,2,FALSE)</f>
        <v>-0.21661915454261307</v>
      </c>
      <c r="J1156">
        <f>($B$1+Table4[[#This Row],[Home Differential]])-Table4[[#This Row],[Away Differential]]</f>
        <v>0.11754615484667719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0.54560426753637425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-0.31883717525004912</v>
      </c>
      <c r="H1157" t="s">
        <v>38</v>
      </c>
      <c r="I1157">
        <f>VLOOKUP(Table4[[#This Row],[Visitor]],'NHL Model'!$A$6:$B$38,2,FALSE)</f>
        <v>-0.41225364678728776</v>
      </c>
      <c r="J1157">
        <f>($B$1+Table4[[#This Row],[Home Differential]])-Table4[[#This Row],[Away Differential]]</f>
        <v>0.16204129165754128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0.54615907046901346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1.8165919516425306</v>
      </c>
      <c r="H1158" t="s">
        <v>40</v>
      </c>
      <c r="I1158">
        <f>VLOOKUP(Table4[[#This Row],[Visitor]],'NHL Model'!$A$6:$B$38,2,FALSE)</f>
        <v>-5.9925012095478535E-2</v>
      </c>
      <c r="J1158">
        <f>($B$1+Table4[[#This Row],[Home Differential]])-Table4[[#This Row],[Away Differential]]</f>
        <v>1.9451417838583118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0.87234696792209909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-8.7991118744577684E-2</v>
      </c>
      <c r="H1159" t="s">
        <v>27</v>
      </c>
      <c r="I1159">
        <f>VLOOKUP(Table4[[#This Row],[Visitor]],'NHL Model'!$A$6:$B$38,2,FALSE)</f>
        <v>0.24261452474052697</v>
      </c>
      <c r="J1159">
        <f>($B$1+Table4[[#This Row],[Home Differential]])-Table4[[#This Row],[Away Differential]]</f>
        <v>-0.26198082336480205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0.46061406200681509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0.16838500200194736</v>
      </c>
      <c r="H1160" t="s">
        <v>31</v>
      </c>
      <c r="I1160">
        <f>VLOOKUP(Table4[[#This Row],[Visitor]],'NHL Model'!$A$6:$B$38,2,FALSE)</f>
        <v>-4.3195749724159979E-4</v>
      </c>
      <c r="J1160">
        <f>($B$1+Table4[[#This Row],[Home Differential]])-Table4[[#This Row],[Away Differential]]</f>
        <v>0.23744177961949156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0.60208256102515822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3.852494182308655E-2</v>
      </c>
      <c r="H1161" t="s">
        <v>55</v>
      </c>
      <c r="I1161">
        <f>VLOOKUP(Table4[[#This Row],[Visitor]],'NHL Model'!$A$6:$B$38,2,FALSE)</f>
        <v>0.17839230571314843</v>
      </c>
      <c r="J1161">
        <f>($B$1+Table4[[#This Row],[Home Differential]])-Table4[[#This Row],[Away Differential]]</f>
        <v>-7.1242543769759276E-2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0.46781480641363671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-0.30501317799182315</v>
      </c>
      <c r="H1162" t="s">
        <v>18</v>
      </c>
      <c r="I1162">
        <f>VLOOKUP(Table4[[#This Row],[Visitor]],'NHL Model'!$A$6:$B$38,2,FALSE)</f>
        <v>-6.5759726104743493E-3</v>
      </c>
      <c r="J1162">
        <f>($B$1+Table4[[#This Row],[Home Differential]])-Table4[[#This Row],[Away Differential]]</f>
        <v>-0.22981238526104619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0.53230819519884653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0.28840991013146466</v>
      </c>
      <c r="H1163" t="s">
        <v>11</v>
      </c>
      <c r="I1163">
        <f>VLOOKUP(Table4[[#This Row],[Visitor]],'NHL Model'!$A$6:$B$38,2,FALSE)</f>
        <v>0.24167918475059574</v>
      </c>
      <c r="J1163">
        <f>($B$1+Table4[[#This Row],[Home Differential]])-Table4[[#This Row],[Away Differential]]</f>
        <v>0.1153555455011715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0.52989507202160602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-0.10173040746987846</v>
      </c>
      <c r="H1164" t="s">
        <v>39</v>
      </c>
      <c r="I1164">
        <f>VLOOKUP(Table4[[#This Row],[Visitor]],'NHL Model'!$A$6:$B$38,2,FALSE)</f>
        <v>0.92184375119443818</v>
      </c>
      <c r="J1164">
        <f>($B$1+Table4[[#This Row],[Home Differential]])-Table4[[#This Row],[Away Differential]]</f>
        <v>-0.95494933854401398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0.65096971918238389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-0.91735746943655616</v>
      </c>
      <c r="H1165" t="s">
        <v>19</v>
      </c>
      <c r="I1165">
        <f>VLOOKUP(Table4[[#This Row],[Visitor]],'NHL Model'!$A$6:$B$38,2,FALSE)</f>
        <v>-0.12942754353881131</v>
      </c>
      <c r="J1165">
        <f>($B$1+Table4[[#This Row],[Home Differential]])-Table4[[#This Row],[Away Differential]]</f>
        <v>-0.71930510577744222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0.53890271537970058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0.77383710114582016</v>
      </c>
      <c r="H1166" t="s">
        <v>36</v>
      </c>
      <c r="I1166">
        <f>VLOOKUP(Table4[[#This Row],[Visitor]],'NHL Model'!$A$6:$B$38,2,FALSE)</f>
        <v>5.0237013717083105E-2</v>
      </c>
      <c r="J1166">
        <f>($B$1+Table4[[#This Row],[Home Differential]])-Table4[[#This Row],[Away Differential]]</f>
        <v>0.79222490754903963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0.61071102901918117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0.21920515510044997</v>
      </c>
      <c r="H1167" t="s">
        <v>22</v>
      </c>
      <c r="I1167">
        <f>VLOOKUP(Table4[[#This Row],[Visitor]],'NHL Model'!$A$6:$B$38,2,FALSE)</f>
        <v>0.44906822732121116</v>
      </c>
      <c r="J1167">
        <f>($B$1+Table4[[#This Row],[Home Differential]])-Table4[[#This Row],[Away Differential]]</f>
        <v>-0.16123825210045856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0.48497642282293268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0.64590845617425174</v>
      </c>
      <c r="H1168" t="s">
        <v>18</v>
      </c>
      <c r="I1168">
        <f>VLOOKUP(Table4[[#This Row],[Visitor]],'NHL Model'!$A$6:$B$38,2,FALSE)</f>
        <v>-6.5759726104743493E-3</v>
      </c>
      <c r="J1168">
        <f>($B$1+Table4[[#This Row],[Home Differential]])-Table4[[#This Row],[Away Differential]]</f>
        <v>0.7211092489050287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0.61827112411510632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-0.16769781981623849</v>
      </c>
      <c r="H1169" t="s">
        <v>21</v>
      </c>
      <c r="I1169">
        <f>VLOOKUP(Table4[[#This Row],[Visitor]],'NHL Model'!$A$6:$B$38,2,FALSE)</f>
        <v>-6.6683170548020518E-2</v>
      </c>
      <c r="J1169">
        <f>($B$1+Table4[[#This Row],[Home Differential]])-Table4[[#This Row],[Away Differential]]</f>
        <v>-3.2389829147915369E-2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0.46355293664667224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1.6161557760803764E-2</v>
      </c>
      <c r="H1170" t="s">
        <v>10</v>
      </c>
      <c r="I1170">
        <f>VLOOKUP(Table4[[#This Row],[Visitor]],'NHL Model'!$A$6:$B$38,2,FALSE)</f>
        <v>-0.45443544272009573</v>
      </c>
      <c r="J1170">
        <f>($B$1+Table4[[#This Row],[Home Differential]])-Table4[[#This Row],[Away Differential]]</f>
        <v>0.53922182060120205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0.59914884448294836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5.9615189993428262E-2</v>
      </c>
      <c r="H1171" t="s">
        <v>11</v>
      </c>
      <c r="I1171">
        <f>VLOOKUP(Table4[[#This Row],[Visitor]],'NHL Model'!$A$6:$B$38,2,FALSE)</f>
        <v>0.24167918475059574</v>
      </c>
      <c r="J1171">
        <f>($B$1+Table4[[#This Row],[Home Differential]])-Table4[[#This Row],[Away Differential]]</f>
        <v>-0.11343917463686487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0.5093378902321184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0.24261452474052697</v>
      </c>
      <c r="H1172" t="s">
        <v>39</v>
      </c>
      <c r="I1172">
        <f>VLOOKUP(Table4[[#This Row],[Visitor]],'NHL Model'!$A$6:$B$38,2,FALSE)</f>
        <v>0.92184375119443818</v>
      </c>
      <c r="J1172">
        <f>($B$1+Table4[[#This Row],[Home Differential]])-Table4[[#This Row],[Away Differential]]</f>
        <v>-0.61060440633360857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0.60864567918244661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0.77383710114582016</v>
      </c>
      <c r="H1173" t="s">
        <v>29</v>
      </c>
      <c r="I1173">
        <f>VLOOKUP(Table4[[#This Row],[Visitor]],'NHL Model'!$A$6:$B$38,2,FALSE)</f>
        <v>-0.30501317799182315</v>
      </c>
      <c r="J1173">
        <f>($B$1+Table4[[#This Row],[Home Differential]])-Table4[[#This Row],[Away Differential]]</f>
        <v>1.1474750992579459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0.67042441026004129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-4.3195749724159979E-4</v>
      </c>
      <c r="H1174" t="s">
        <v>19</v>
      </c>
      <c r="I1174">
        <f>VLOOKUP(Table4[[#This Row],[Visitor]],'NHL Model'!$A$6:$B$38,2,FALSE)</f>
        <v>-0.12942754353881131</v>
      </c>
      <c r="J1174">
        <f>($B$1+Table4[[#This Row],[Home Differential]])-Table4[[#This Row],[Away Differential]]</f>
        <v>0.19762040616187232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0.60026966240618751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1.8165919516425306</v>
      </c>
      <c r="H1175" t="s">
        <v>16</v>
      </c>
      <c r="I1175">
        <f>VLOOKUP(Table4[[#This Row],[Visitor]],'NHL Model'!$A$6:$B$38,2,FALSE)</f>
        <v>-0.31883717525004912</v>
      </c>
      <c r="J1175">
        <f>($B$1+Table4[[#This Row],[Home Differential]])-Table4[[#This Row],[Away Differential]]</f>
        <v>2.2040539470128824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0.90074781278423544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0.28840991013146466</v>
      </c>
      <c r="H1176" t="s">
        <v>14</v>
      </c>
      <c r="I1176">
        <f>VLOOKUP(Table4[[#This Row],[Visitor]],'NHL Model'!$A$6:$B$38,2,FALSE)</f>
        <v>-0.10173040746987846</v>
      </c>
      <c r="J1176">
        <f>($B$1+Table4[[#This Row],[Home Differential]])-Table4[[#This Row],[Away Differential]]</f>
        <v>0.45876513772164573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0.59708590168692066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-0.21661915454261307</v>
      </c>
      <c r="H1177" t="s">
        <v>35</v>
      </c>
      <c r="I1177">
        <f>VLOOKUP(Table4[[#This Row],[Visitor]],'NHL Model'!$A$6:$B$38,2,FALSE)</f>
        <v>-0.91735746943655616</v>
      </c>
      <c r="J1177">
        <f>($B$1+Table4[[#This Row],[Home Differential]])-Table4[[#This Row],[Away Differential]]</f>
        <v>0.76936313501424569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0.6243937294175772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0.21920515510044997</v>
      </c>
      <c r="H1178" t="s">
        <v>38</v>
      </c>
      <c r="I1178">
        <f>VLOOKUP(Table4[[#This Row],[Visitor]],'NHL Model'!$A$6:$B$38,2,FALSE)</f>
        <v>-0.41225364678728776</v>
      </c>
      <c r="J1178">
        <f>($B$1+Table4[[#This Row],[Home Differential]])-Table4[[#This Row],[Away Differential]]</f>
        <v>0.70008362200804042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0.57428169086995884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-6.6683170548020518E-2</v>
      </c>
      <c r="H1179" t="s">
        <v>39</v>
      </c>
      <c r="I1179">
        <f>VLOOKUP(Table4[[#This Row],[Visitor]],'NHL Model'!$A$6:$B$38,2,FALSE)</f>
        <v>0.92184375119443818</v>
      </c>
      <c r="J1179">
        <f>($B$1+Table4[[#This Row],[Home Differential]])-Table4[[#This Row],[Away Differential]]</f>
        <v>-0.91990210162215613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0.63307053887223241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8.4418744674710666E-2</v>
      </c>
      <c r="H1180" t="s">
        <v>30</v>
      </c>
      <c r="I1180">
        <f>VLOOKUP(Table4[[#This Row],[Visitor]],'NHL Model'!$A$6:$B$38,2,FALSE)</f>
        <v>0.28840991013146466</v>
      </c>
      <c r="J1180">
        <f>($B$1+Table4[[#This Row],[Home Differential]])-Table4[[#This Row],[Away Differential]]</f>
        <v>-0.13536634533645139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0.45670920194893128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-0.16769781981623849</v>
      </c>
      <c r="H1181" t="s">
        <v>25</v>
      </c>
      <c r="I1181">
        <f>VLOOKUP(Table4[[#This Row],[Visitor]],'NHL Model'!$A$6:$B$38,2,FALSE)</f>
        <v>0.64590845617425174</v>
      </c>
      <c r="J1181">
        <f>($B$1+Table4[[#This Row],[Home Differential]])-Table4[[#This Row],[Away Differential]]</f>
        <v>-0.7449814558701876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0.61260726143922861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-0.45443544272009573</v>
      </c>
      <c r="H1182" t="s">
        <v>40</v>
      </c>
      <c r="I1182">
        <f>VLOOKUP(Table4[[#This Row],[Visitor]],'NHL Model'!$A$6:$B$38,2,FALSE)</f>
        <v>-5.9925012095478535E-2</v>
      </c>
      <c r="J1182">
        <f>($B$1+Table4[[#This Row],[Home Differential]])-Table4[[#This Row],[Away Differential]]</f>
        <v>-0.32588561050431464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0.49574736139842968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0.16838500200194736</v>
      </c>
      <c r="H1183" t="s">
        <v>32</v>
      </c>
      <c r="I1183">
        <f>VLOOKUP(Table4[[#This Row],[Visitor]],'NHL Model'!$A$6:$B$38,2,FALSE)</f>
        <v>-0.35878259596109546</v>
      </c>
      <c r="J1183">
        <f>($B$1+Table4[[#This Row],[Home Differential]])-Table4[[#This Row],[Away Differential]]</f>
        <v>0.59579241808334538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0.6413911078514557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0.24167918475059574</v>
      </c>
      <c r="H1184" t="s">
        <v>36</v>
      </c>
      <c r="I1184">
        <f>VLOOKUP(Table4[[#This Row],[Visitor]],'NHL Model'!$A$6:$B$38,2,FALSE)</f>
        <v>5.0237013717083105E-2</v>
      </c>
      <c r="J1184">
        <f>($B$1+Table4[[#This Row],[Home Differential]])-Table4[[#This Row],[Away Differential]]</f>
        <v>0.26006699115381526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0.55913976627636808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5.9615189993428262E-2</v>
      </c>
      <c r="H1185" t="s">
        <v>24</v>
      </c>
      <c r="I1185">
        <f>VLOOKUP(Table4[[#This Row],[Visitor]],'NHL Model'!$A$6:$B$38,2,FALSE)</f>
        <v>1.6161557760803764E-2</v>
      </c>
      <c r="J1185">
        <f>($B$1+Table4[[#This Row],[Home Differential]])-Table4[[#This Row],[Away Differential]]</f>
        <v>0.11207845235292711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0.51871080302455785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-0.10173040746987846</v>
      </c>
      <c r="H1186" t="s">
        <v>26</v>
      </c>
      <c r="I1186">
        <f>VLOOKUP(Table4[[#This Row],[Visitor]],'NHL Model'!$A$6:$B$38,2,FALSE)</f>
        <v>-8.7991118744577684E-2</v>
      </c>
      <c r="J1186">
        <f>($B$1+Table4[[#This Row],[Home Differential]])-Table4[[#This Row],[Away Differential]]</f>
        <v>5.4885531395001824E-2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0.5124371415034159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0.77383710114582016</v>
      </c>
      <c r="H1187" t="s">
        <v>18</v>
      </c>
      <c r="I1187">
        <f>VLOOKUP(Table4[[#This Row],[Visitor]],'NHL Model'!$A$6:$B$38,2,FALSE)</f>
        <v>-6.5759726104743493E-3</v>
      </c>
      <c r="J1187">
        <f>($B$1+Table4[[#This Row],[Home Differential]])-Table4[[#This Row],[Away Differential]]</f>
        <v>0.84903789387659712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0.5906209277576665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0.44906822732121116</v>
      </c>
      <c r="H1188" t="s">
        <v>27</v>
      </c>
      <c r="I1188">
        <f>VLOOKUP(Table4[[#This Row],[Visitor]],'NHL Model'!$A$6:$B$38,2,FALSE)</f>
        <v>0.24261452474052697</v>
      </c>
      <c r="J1188">
        <f>($B$1+Table4[[#This Row],[Home Differential]])-Table4[[#This Row],[Away Differential]]</f>
        <v>0.27507852270098682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0.56907908003506069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1.8165919516425306</v>
      </c>
      <c r="H1189" t="s">
        <v>38</v>
      </c>
      <c r="I1189">
        <f>VLOOKUP(Table4[[#This Row],[Visitor]],'NHL Model'!$A$6:$B$38,2,FALSE)</f>
        <v>-0.41225364678728776</v>
      </c>
      <c r="J1189">
        <f>($B$1+Table4[[#This Row],[Home Differential]])-Table4[[#This Row],[Away Differential]]</f>
        <v>2.2974704185501209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0.87173466991573156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3.852494182308655E-2</v>
      </c>
      <c r="H1190" t="s">
        <v>35</v>
      </c>
      <c r="I1190">
        <f>VLOOKUP(Table4[[#This Row],[Visitor]],'NHL Model'!$A$6:$B$38,2,FALSE)</f>
        <v>-0.91735746943655616</v>
      </c>
      <c r="J1190">
        <f>($B$1+Table4[[#This Row],[Home Differential]])-Table4[[#This Row],[Away Differential]]</f>
        <v>1.0245072313799453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0.65238124383205509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-0.21661915454261307</v>
      </c>
      <c r="H1191" t="s">
        <v>31</v>
      </c>
      <c r="I1191">
        <f>VLOOKUP(Table4[[#This Row],[Visitor]],'NHL Model'!$A$6:$B$38,2,FALSE)</f>
        <v>-4.3195749724159979E-4</v>
      </c>
      <c r="J1191">
        <f>($B$1+Table4[[#This Row],[Home Differential]])-Table4[[#This Row],[Away Differential]]</f>
        <v>-0.14756237692506888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0.47618655579357622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0.64590845617425174</v>
      </c>
      <c r="H1192" t="s">
        <v>28</v>
      </c>
      <c r="I1192">
        <f>VLOOKUP(Table4[[#This Row],[Visitor]],'NHL Model'!$A$6:$B$38,2,FALSE)</f>
        <v>-0.16769781981623849</v>
      </c>
      <c r="J1192">
        <f>($B$1+Table4[[#This Row],[Home Differential]])-Table4[[#This Row],[Away Differential]]</f>
        <v>0.88223109611079287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0.68236013718607025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0.92184375119443818</v>
      </c>
      <c r="H1193" t="s">
        <v>40</v>
      </c>
      <c r="I1193">
        <f>VLOOKUP(Table4[[#This Row],[Visitor]],'NHL Model'!$A$6:$B$38,2,FALSE)</f>
        <v>-5.9925012095478535E-2</v>
      </c>
      <c r="J1193">
        <f>($B$1+Table4[[#This Row],[Home Differential]])-Table4[[#This Row],[Away Differential]]</f>
        <v>1.0503935834102194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0.69381288731510138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0.16838500200194736</v>
      </c>
      <c r="H1194" t="s">
        <v>10</v>
      </c>
      <c r="I1194">
        <f>VLOOKUP(Table4[[#This Row],[Visitor]],'NHL Model'!$A$6:$B$38,2,FALSE)</f>
        <v>-0.45443544272009573</v>
      </c>
      <c r="J1194">
        <f>($B$1+Table4[[#This Row],[Home Differential]])-Table4[[#This Row],[Away Differential]]</f>
        <v>0.6914452648423457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0.6518835529661422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0.24167918475059574</v>
      </c>
      <c r="H1195" t="s">
        <v>21</v>
      </c>
      <c r="I1195">
        <f>VLOOKUP(Table4[[#This Row],[Visitor]],'NHL Model'!$A$6:$B$38,2,FALSE)</f>
        <v>-6.6683170548020518E-2</v>
      </c>
      <c r="J1195">
        <f>($B$1+Table4[[#This Row],[Home Differential]])-Table4[[#This Row],[Away Differential]]</f>
        <v>0.37698717541891891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0.59266751741907131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3.852494182308655E-2</v>
      </c>
      <c r="H1196" t="s">
        <v>29</v>
      </c>
      <c r="I1196">
        <f>VLOOKUP(Table4[[#This Row],[Visitor]],'NHL Model'!$A$6:$B$38,2,FALSE)</f>
        <v>-0.30501317799182315</v>
      </c>
      <c r="J1196">
        <f>($B$1+Table4[[#This Row],[Home Differential]])-Table4[[#This Row],[Away Differential]]</f>
        <v>0.4121629399352123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0.58521137814616164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0.65260146250136963</v>
      </c>
      <c r="H1197" t="s">
        <v>38</v>
      </c>
      <c r="I1197">
        <f>VLOOKUP(Table4[[#This Row],[Visitor]],'NHL Model'!$A$6:$B$38,2,FALSE)</f>
        <v>-0.41225364678728776</v>
      </c>
      <c r="J1197">
        <f>($B$1+Table4[[#This Row],[Home Differential]])-Table4[[#This Row],[Away Differential]]</f>
        <v>1.1334799294089599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0.64433478302937286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1.6161557760803764E-2</v>
      </c>
      <c r="H1198" t="s">
        <v>22</v>
      </c>
      <c r="I1198">
        <f>VLOOKUP(Table4[[#This Row],[Visitor]],'NHL Model'!$A$6:$B$38,2,FALSE)</f>
        <v>0.44906822732121116</v>
      </c>
      <c r="J1198">
        <f>($B$1+Table4[[#This Row],[Home Differential]])-Table4[[#This Row],[Away Differential]]</f>
        <v>-0.36428184944010478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0.50724887861656298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5.9615189993428262E-2</v>
      </c>
      <c r="H1199" t="s">
        <v>18</v>
      </c>
      <c r="I1199">
        <f>VLOOKUP(Table4[[#This Row],[Visitor]],'NHL Model'!$A$6:$B$38,2,FALSE)</f>
        <v>-6.5759726104743493E-3</v>
      </c>
      <c r="J1199">
        <f>($B$1+Table4[[#This Row],[Home Differential]])-Table4[[#This Row],[Away Differential]]</f>
        <v>0.13481598272420522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0.50768897444088446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5.0237013717083105E-2</v>
      </c>
      <c r="H1200" t="s">
        <v>23</v>
      </c>
      <c r="I1200">
        <f>VLOOKUP(Table4[[#This Row],[Visitor]],'NHL Model'!$A$6:$B$38,2,FALSE)</f>
        <v>8.4418744674710666E-2</v>
      </c>
      <c r="J1200">
        <f>($B$1+Table4[[#This Row],[Home Differential]])-Table4[[#This Row],[Away Differential]]</f>
        <v>3.444308916267505E-2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0.54377816484155628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0.24261452474052697</v>
      </c>
      <c r="H1201" t="s">
        <v>26</v>
      </c>
      <c r="I1201">
        <f>VLOOKUP(Table4[[#This Row],[Visitor]],'NHL Model'!$A$6:$B$38,2,FALSE)</f>
        <v>-8.7991118744577684E-2</v>
      </c>
      <c r="J1201">
        <f>($B$1+Table4[[#This Row],[Home Differential]])-Table4[[#This Row],[Away Differential]]</f>
        <v>0.39923046360540726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0.55479522136007264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-0.35878259596109546</v>
      </c>
      <c r="H1202" t="s">
        <v>55</v>
      </c>
      <c r="I1202">
        <f>VLOOKUP(Table4[[#This Row],[Visitor]],'NHL Model'!$A$6:$B$38,2,FALSE)</f>
        <v>0.17839230571314843</v>
      </c>
      <c r="J1202">
        <f>($B$1+Table4[[#This Row],[Home Differential]])-Table4[[#This Row],[Away Differential]]</f>
        <v>-0.46855008155394129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0.51139665133619239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-0.21661915454261307</v>
      </c>
      <c r="H1203" t="s">
        <v>19</v>
      </c>
      <c r="I1203">
        <f>VLOOKUP(Table4[[#This Row],[Visitor]],'NHL Model'!$A$6:$B$38,2,FALSE)</f>
        <v>-0.12942754353881131</v>
      </c>
      <c r="J1203">
        <f>($B$1+Table4[[#This Row],[Home Differential]])-Table4[[#This Row],[Away Differential]]</f>
        <v>-1.8566790883499162E-2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0.46203664648676696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0.77383710114582016</v>
      </c>
      <c r="H1204" t="s">
        <v>14</v>
      </c>
      <c r="I1204">
        <f>VLOOKUP(Table4[[#This Row],[Visitor]],'NHL Model'!$A$6:$B$38,2,FALSE)</f>
        <v>-0.10173040746987846</v>
      </c>
      <c r="J1204">
        <f>($B$1+Table4[[#This Row],[Home Differential]])-Table4[[#This Row],[Away Differential]]</f>
        <v>0.94419232873600123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0.64084632767084604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0.21920515510044997</v>
      </c>
      <c r="H1205" t="s">
        <v>16</v>
      </c>
      <c r="I1205">
        <f>VLOOKUP(Table4[[#This Row],[Visitor]],'NHL Model'!$A$6:$B$38,2,FALSE)</f>
        <v>-0.31883717525004912</v>
      </c>
      <c r="J1205">
        <f>($B$1+Table4[[#This Row],[Home Differential]])-Table4[[#This Row],[Away Differential]]</f>
        <v>0.60666715047080166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0.60654712321564175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-4.3195749724159979E-4</v>
      </c>
      <c r="H1206" t="s">
        <v>35</v>
      </c>
      <c r="I1206">
        <f>VLOOKUP(Table4[[#This Row],[Visitor]],'NHL Model'!$A$6:$B$38,2,FALSE)</f>
        <v>-0.91735746943655616</v>
      </c>
      <c r="J1206">
        <f>($B$1+Table4[[#This Row],[Home Differential]])-Table4[[#This Row],[Away Differential]]</f>
        <v>0.98555033205961717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0.68670003831053172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0.28840991013146466</v>
      </c>
      <c r="H1207" t="s">
        <v>27</v>
      </c>
      <c r="I1207">
        <f>VLOOKUP(Table4[[#This Row],[Visitor]],'NHL Model'!$A$6:$B$38,2,FALSE)</f>
        <v>0.24261452474052697</v>
      </c>
      <c r="J1207">
        <f>($B$1+Table4[[#This Row],[Home Differential]])-Table4[[#This Row],[Away Differential]]</f>
        <v>0.11442020551124027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0.56093818926141081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-4.3195749724159979E-4</v>
      </c>
      <c r="H1208" t="s">
        <v>16</v>
      </c>
      <c r="I1208">
        <f>VLOOKUP(Table4[[#This Row],[Visitor]],'NHL Model'!$A$6:$B$38,2,FALSE)</f>
        <v>-0.31883717525004912</v>
      </c>
      <c r="J1208">
        <f>($B$1+Table4[[#This Row],[Home Differential]])-Table4[[#This Row],[Away Differential]]</f>
        <v>0.38703003787311013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0.62104656797942526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0.64590845617425174</v>
      </c>
      <c r="H1209" t="s">
        <v>30</v>
      </c>
      <c r="I1209">
        <f>VLOOKUP(Table4[[#This Row],[Visitor]],'NHL Model'!$A$6:$B$38,2,FALSE)</f>
        <v>0.28840991013146466</v>
      </c>
      <c r="J1209">
        <f>($B$1+Table4[[#This Row],[Home Differential]])-Table4[[#This Row],[Away Differential]]</f>
        <v>0.42612336616308966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0.6119601301045493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-0.16769781981623849</v>
      </c>
      <c r="H1210" t="s">
        <v>40</v>
      </c>
      <c r="I1210">
        <f>VLOOKUP(Table4[[#This Row],[Visitor]],'NHL Model'!$A$6:$B$38,2,FALSE)</f>
        <v>-5.9925012095478535E-2</v>
      </c>
      <c r="J1210">
        <f>($B$1+Table4[[#This Row],[Home Differential]])-Table4[[#This Row],[Away Differential]]</f>
        <v>-3.9147987600457353E-2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0.46429425913776662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0.92184375119443818</v>
      </c>
      <c r="H1211" t="s">
        <v>12</v>
      </c>
      <c r="I1211">
        <f>VLOOKUP(Table4[[#This Row],[Visitor]],'NHL Model'!$A$6:$B$38,2,FALSE)</f>
        <v>1.8165919516425306</v>
      </c>
      <c r="J1211">
        <f>($B$1+Table4[[#This Row],[Home Differential]])-Table4[[#This Row],[Away Differential]]</f>
        <v>-0.82612338032778987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0.59780678777726459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0.16838500200194736</v>
      </c>
      <c r="H1212" t="s">
        <v>20</v>
      </c>
      <c r="I1212">
        <f>VLOOKUP(Table4[[#This Row],[Visitor]],'NHL Model'!$A$6:$B$38,2,FALSE)</f>
        <v>0.21920515510044997</v>
      </c>
      <c r="J1212">
        <f>($B$1+Table4[[#This Row],[Home Differential]])-Table4[[#This Row],[Away Differential]]</f>
        <v>1.7804667021800002E-2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0.55750860241031552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3.852494182308655E-2</v>
      </c>
      <c r="H1213" t="s">
        <v>19</v>
      </c>
      <c r="I1213">
        <f>VLOOKUP(Table4[[#This Row],[Visitor]],'NHL Model'!$A$6:$B$38,2,FALSE)</f>
        <v>-0.12942754353881131</v>
      </c>
      <c r="J1213">
        <f>($B$1+Table4[[#This Row],[Home Differential]])-Table4[[#This Row],[Away Differential]]</f>
        <v>0.23657730548220046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0.56595086792771099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1.6161557760803764E-2</v>
      </c>
      <c r="H1214" t="s">
        <v>18</v>
      </c>
      <c r="I1214">
        <f>VLOOKUP(Table4[[#This Row],[Visitor]],'NHL Model'!$A$6:$B$38,2,FALSE)</f>
        <v>-6.5759726104743493E-3</v>
      </c>
      <c r="J1214">
        <f>($B$1+Table4[[#This Row],[Home Differential]])-Table4[[#This Row],[Away Differential]]</f>
        <v>9.1362350491580716E-2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0.50292241634373425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5.9615189993428262E-2</v>
      </c>
      <c r="H1215" t="s">
        <v>26</v>
      </c>
      <c r="I1215">
        <f>VLOOKUP(Table4[[#This Row],[Visitor]],'NHL Model'!$A$6:$B$38,2,FALSE)</f>
        <v>-8.7991118744577684E-2</v>
      </c>
      <c r="J1215">
        <f>($B$1+Table4[[#This Row],[Home Differential]])-Table4[[#This Row],[Away Differential]]</f>
        <v>0.21623112885830856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0.53013561973214407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5.0237013717083105E-2</v>
      </c>
      <c r="H1216" t="s">
        <v>34</v>
      </c>
      <c r="I1216">
        <f>VLOOKUP(Table4[[#This Row],[Visitor]],'NHL Model'!$A$6:$B$38,2,FALSE)</f>
        <v>0.65260146250136963</v>
      </c>
      <c r="J1216">
        <f>($B$1+Table4[[#This Row],[Home Differential]])-Table4[[#This Row],[Away Differential]]</f>
        <v>-0.53373962866398394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0.58943551744010281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-0.10173040746987846</v>
      </c>
      <c r="H1217" t="s">
        <v>11</v>
      </c>
      <c r="I1217">
        <f>VLOOKUP(Table4[[#This Row],[Visitor]],'NHL Model'!$A$6:$B$38,2,FALSE)</f>
        <v>0.24167918475059574</v>
      </c>
      <c r="J1217">
        <f>($B$1+Table4[[#This Row],[Home Differential]])-Table4[[#This Row],[Away Differential]]</f>
        <v>-0.2747847721001716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0.52703636846084645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-0.35878259596109546</v>
      </c>
      <c r="H1218" t="s">
        <v>10</v>
      </c>
      <c r="I1218">
        <f>VLOOKUP(Table4[[#This Row],[Visitor]],'NHL Model'!$A$6:$B$38,2,FALSE)</f>
        <v>-0.45443544272009573</v>
      </c>
      <c r="J1218">
        <f>($B$1+Table4[[#This Row],[Home Differential]])-Table4[[#This Row],[Away Differential]]</f>
        <v>0.1642776668793029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0.55802010563933002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-0.21661915454261307</v>
      </c>
      <c r="H1219" t="s">
        <v>29</v>
      </c>
      <c r="I1219">
        <f>VLOOKUP(Table4[[#This Row],[Visitor]],'NHL Model'!$A$6:$B$38,2,FALSE)</f>
        <v>-0.30501317799182315</v>
      </c>
      <c r="J1219">
        <f>($B$1+Table4[[#This Row],[Home Differential]])-Table4[[#This Row],[Away Differential]]</f>
        <v>0.15701884356951268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0.55722386373168376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0.77383710114582016</v>
      </c>
      <c r="H1220" t="s">
        <v>21</v>
      </c>
      <c r="I1220">
        <f>VLOOKUP(Table4[[#This Row],[Visitor]],'NHL Model'!$A$6:$B$38,2,FALSE)</f>
        <v>-6.6683170548020518E-2</v>
      </c>
      <c r="J1220">
        <f>($B$1+Table4[[#This Row],[Home Differential]])-Table4[[#This Row],[Away Differential]]</f>
        <v>0.90914509181414327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0.64428128324378642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-0.41225364678728776</v>
      </c>
      <c r="H1221" t="s">
        <v>55</v>
      </c>
      <c r="I1221">
        <f>VLOOKUP(Table4[[#This Row],[Visitor]],'NHL Model'!$A$6:$B$38,2,FALSE)</f>
        <v>0.17839230571314843</v>
      </c>
      <c r="J1221">
        <f>($B$1+Table4[[#This Row],[Home Differential]])-Table4[[#This Row],[Away Differential]]</f>
        <v>-0.52202113238013359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0.51726204985832924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0.44906822732121116</v>
      </c>
      <c r="H1222" t="s">
        <v>23</v>
      </c>
      <c r="I1222">
        <f>VLOOKUP(Table4[[#This Row],[Visitor]],'NHL Model'!$A$6:$B$38,2,FALSE)</f>
        <v>8.4418744674710666E-2</v>
      </c>
      <c r="J1222">
        <f>($B$1+Table4[[#This Row],[Home Differential]])-Table4[[#This Row],[Away Differential]]</f>
        <v>0.43327430276680312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0.59208160173988056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1.8165919516425306</v>
      </c>
      <c r="H1223" t="s">
        <v>35</v>
      </c>
      <c r="I1223">
        <f>VLOOKUP(Table4[[#This Row],[Visitor]],'NHL Model'!$A$6:$B$38,2,FALSE)</f>
        <v>-0.91735746943655616</v>
      </c>
      <c r="J1223">
        <f>($B$1+Table4[[#This Row],[Home Differential]])-Table4[[#This Row],[Away Differential]]</f>
        <v>2.8025742411993892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0.96640128311534179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-8.7991118744577684E-2</v>
      </c>
      <c r="H1224" t="s">
        <v>34</v>
      </c>
      <c r="I1224">
        <f>VLOOKUP(Table4[[#This Row],[Visitor]],'NHL Model'!$A$6:$B$38,2,FALSE)</f>
        <v>0.65260146250136963</v>
      </c>
      <c r="J1224">
        <f>($B$1+Table4[[#This Row],[Home Differential]])-Table4[[#This Row],[Away Differential]]</f>
        <v>-0.67196776112564471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0.57048433487030359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-6.5759726104743493E-3</v>
      </c>
      <c r="H1225" t="s">
        <v>24</v>
      </c>
      <c r="I1225">
        <f>VLOOKUP(Table4[[#This Row],[Visitor]],'NHL Model'!$A$6:$B$38,2,FALSE)</f>
        <v>1.6161557760803764E-2</v>
      </c>
      <c r="J1225">
        <f>($B$1+Table4[[#This Row],[Home Differential]])-Table4[[#This Row],[Away Differential]]</f>
        <v>4.5887289749024493E-2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0.51145009762758675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5.9615189993428262E-2</v>
      </c>
      <c r="H1226" t="s">
        <v>22</v>
      </c>
      <c r="I1226">
        <f>VLOOKUP(Table4[[#This Row],[Visitor]],'NHL Model'!$A$6:$B$38,2,FALSE)</f>
        <v>0.44906822732121116</v>
      </c>
      <c r="J1226">
        <f>($B$1+Table4[[#This Row],[Home Differential]])-Table4[[#This Row],[Away Differential]]</f>
        <v>-0.32082821720748028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0.50248232051941277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5.0237013717083105E-2</v>
      </c>
      <c r="H1227" t="s">
        <v>25</v>
      </c>
      <c r="I1227">
        <f>VLOOKUP(Table4[[#This Row],[Visitor]],'NHL Model'!$A$6:$B$38,2,FALSE)</f>
        <v>0.64590845617425174</v>
      </c>
      <c r="J1227">
        <f>($B$1+Table4[[#This Row],[Home Differential]])-Table4[[#This Row],[Away Differential]]</f>
        <v>-0.52704662233686606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0.5887013416793283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0.24261452474052697</v>
      </c>
      <c r="H1228" t="s">
        <v>21</v>
      </c>
      <c r="I1228">
        <f>VLOOKUP(Table4[[#This Row],[Visitor]],'NHL Model'!$A$6:$B$38,2,FALSE)</f>
        <v>-6.6683170548020518E-2</v>
      </c>
      <c r="J1228">
        <f>($B$1+Table4[[#This Row],[Home Differential]])-Table4[[#This Row],[Away Differential]]</f>
        <v>0.37792251540885013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0.58600989963658201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-0.10173040746987846</v>
      </c>
      <c r="H1229" t="s">
        <v>11</v>
      </c>
      <c r="I1229">
        <f>VLOOKUP(Table4[[#This Row],[Visitor]],'NHL Model'!$A$6:$B$38,2,FALSE)</f>
        <v>0.24167918475059574</v>
      </c>
      <c r="J1229">
        <f>($B$1+Table4[[#This Row],[Home Differential]])-Table4[[#This Row],[Away Differential]]</f>
        <v>-0.2747847721001716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0.52703636846084645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8.4418744674710666E-2</v>
      </c>
      <c r="H1230" t="s">
        <v>37</v>
      </c>
      <c r="I1230">
        <f>VLOOKUP(Table4[[#This Row],[Visitor]],'NHL Model'!$A$6:$B$38,2,FALSE)</f>
        <v>0.77383710114582016</v>
      </c>
      <c r="J1230">
        <f>($B$1+Table4[[#This Row],[Home Differential]])-Table4[[#This Row],[Away Differential]]</f>
        <v>-0.62079353635080692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0.559861394359636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3.852494182308655E-2</v>
      </c>
      <c r="H1231" t="s">
        <v>29</v>
      </c>
      <c r="I1231">
        <f>VLOOKUP(Table4[[#This Row],[Visitor]],'NHL Model'!$A$6:$B$38,2,FALSE)</f>
        <v>-0.30501317799182315</v>
      </c>
      <c r="J1231">
        <f>($B$1+Table4[[#This Row],[Home Differential]])-Table4[[#This Row],[Away Differential]]</f>
        <v>0.4121629399352123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0.58521137814616164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-0.21661915454261307</v>
      </c>
      <c r="H1232" t="s">
        <v>10</v>
      </c>
      <c r="I1232">
        <f>VLOOKUP(Table4[[#This Row],[Visitor]],'NHL Model'!$A$6:$B$38,2,FALSE)</f>
        <v>-0.45443544272009573</v>
      </c>
      <c r="J1232">
        <f>($B$1+Table4[[#This Row],[Home Differential]])-Table4[[#This Row],[Away Differential]]</f>
        <v>0.30644110829778526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0.5736144361474077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-5.9925012095478535E-2</v>
      </c>
      <c r="H1233" t="s">
        <v>32</v>
      </c>
      <c r="I1233">
        <f>VLOOKUP(Table4[[#This Row],[Visitor]],'NHL Model'!$A$6:$B$38,2,FALSE)</f>
        <v>-0.35878259596109546</v>
      </c>
      <c r="J1233">
        <f>($B$1+Table4[[#This Row],[Home Differential]])-Table4[[#This Row],[Away Differential]]</f>
        <v>0.36748240398591953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0.58031023733303033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-4.3195749724159979E-4</v>
      </c>
      <c r="H1234" t="s">
        <v>29</v>
      </c>
      <c r="I1234">
        <f>VLOOKUP(Table4[[#This Row],[Visitor]],'NHL Model'!$A$6:$B$38,2,FALSE)</f>
        <v>-0.30501317799182315</v>
      </c>
      <c r="J1234">
        <f>($B$1+Table4[[#This Row],[Home Differential]])-Table4[[#This Row],[Away Differential]]</f>
        <v>0.37320604061488416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0.61953017262463816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0.64590845617425174</v>
      </c>
      <c r="H1235" t="s">
        <v>21</v>
      </c>
      <c r="I1235">
        <f>VLOOKUP(Table4[[#This Row],[Visitor]],'NHL Model'!$A$6:$B$38,2,FALSE)</f>
        <v>-6.6683170548020518E-2</v>
      </c>
      <c r="J1235">
        <f>($B$1+Table4[[#This Row],[Home Differential]])-Table4[[#This Row],[Away Differential]]</f>
        <v>0.78121644684257485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0.67127954001475454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0.92184375119443818</v>
      </c>
      <c r="H1236" t="s">
        <v>16</v>
      </c>
      <c r="I1236">
        <f>VLOOKUP(Table4[[#This Row],[Visitor]],'NHL Model'!$A$6:$B$38,2,FALSE)</f>
        <v>-0.31883717525004912</v>
      </c>
      <c r="J1236">
        <f>($B$1+Table4[[#This Row],[Home Differential]])-Table4[[#This Row],[Away Differential]]</f>
        <v>1.3093057465647899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0.72221373217723772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-8.7991118744577684E-2</v>
      </c>
      <c r="H1237" t="s">
        <v>28</v>
      </c>
      <c r="I1237">
        <f>VLOOKUP(Table4[[#This Row],[Visitor]],'NHL Model'!$A$6:$B$38,2,FALSE)</f>
        <v>-0.16769781981623849</v>
      </c>
      <c r="J1237">
        <f>($B$1+Table4[[#This Row],[Home Differential]])-Table4[[#This Row],[Away Differential]]</f>
        <v>0.14833152119196341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0.58996907202837967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0.65260146250136963</v>
      </c>
      <c r="H1238" t="s">
        <v>32</v>
      </c>
      <c r="I1238">
        <f>VLOOKUP(Table4[[#This Row],[Visitor]],'NHL Model'!$A$6:$B$38,2,FALSE)</f>
        <v>-0.35878259596109546</v>
      </c>
      <c r="J1238">
        <f>($B$1+Table4[[#This Row],[Home Differential]])-Table4[[#This Row],[Away Differential]]</f>
        <v>1.0800088785827677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0.68075312153145728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-6.5759726104743493E-3</v>
      </c>
      <c r="H1239" t="s">
        <v>11</v>
      </c>
      <c r="I1239">
        <f>VLOOKUP(Table4[[#This Row],[Visitor]],'NHL Model'!$A$6:$B$38,2,FALSE)</f>
        <v>0.24167918475059574</v>
      </c>
      <c r="J1239">
        <f>($B$1+Table4[[#This Row],[Home Differential]])-Table4[[#This Row],[Away Differential]]</f>
        <v>-0.17963033724076749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0.5165985956290895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1.6161557760803764E-2</v>
      </c>
      <c r="H1240" t="s">
        <v>27</v>
      </c>
      <c r="I1240">
        <f>VLOOKUP(Table4[[#This Row],[Visitor]],'NHL Model'!$A$6:$B$38,2,FALSE)</f>
        <v>0.24261452474052697</v>
      </c>
      <c r="J1240">
        <f>($B$1+Table4[[#This Row],[Home Differential]])-Table4[[#This Row],[Away Differential]]</f>
        <v>-0.15782814685942059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0.48297038017537774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5.0237013717083105E-2</v>
      </c>
      <c r="H1241" t="s">
        <v>37</v>
      </c>
      <c r="I1241">
        <f>VLOOKUP(Table4[[#This Row],[Visitor]],'NHL Model'!$A$6:$B$38,2,FALSE)</f>
        <v>0.77383710114582016</v>
      </c>
      <c r="J1241">
        <f>($B$1+Table4[[#This Row],[Home Differential]])-Table4[[#This Row],[Away Differential]]</f>
        <v>-0.65497526730843447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0.60273421504840119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-0.91735746943655616</v>
      </c>
      <c r="H1242" t="s">
        <v>12</v>
      </c>
      <c r="I1242">
        <f>VLOOKUP(Table4[[#This Row],[Visitor]],'NHL Model'!$A$6:$B$38,2,FALSE)</f>
        <v>1.8165919516425306</v>
      </c>
      <c r="J1242">
        <f>($B$1+Table4[[#This Row],[Home Differential]])-Table4[[#This Row],[Away Differential]]</f>
        <v>-2.6653246009587841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0.83858586626496656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0.17839230571314843</v>
      </c>
      <c r="H1243" t="s">
        <v>17</v>
      </c>
      <c r="I1243">
        <f>VLOOKUP(Table4[[#This Row],[Visitor]],'NHL Model'!$A$6:$B$38,2,FALSE)</f>
        <v>0.16838500200194736</v>
      </c>
      <c r="J1243">
        <f>($B$1+Table4[[#This Row],[Home Differential]])-Table4[[#This Row],[Away Differential]]</f>
        <v>7.863212383150367E-2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0.54862539141811428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-0.41225364678728776</v>
      </c>
      <c r="H1244" t="s">
        <v>20</v>
      </c>
      <c r="I1244">
        <f>VLOOKUP(Table4[[#This Row],[Visitor]],'NHL Model'!$A$6:$B$38,2,FALSE)</f>
        <v>0.21920515510044997</v>
      </c>
      <c r="J1244">
        <f>($B$1+Table4[[#This Row],[Home Differential]])-Table4[[#This Row],[Away Differential]]</f>
        <v>-0.56283398176743504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0.54250816340397279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5.9615189993428262E-2</v>
      </c>
      <c r="H1245" t="s">
        <v>23</v>
      </c>
      <c r="I1245">
        <f>VLOOKUP(Table4[[#This Row],[Visitor]],'NHL Model'!$A$6:$B$38,2,FALSE)</f>
        <v>8.4418744674710666E-2</v>
      </c>
      <c r="J1245">
        <f>($B$1+Table4[[#This Row],[Home Differential]])-Table4[[#This Row],[Away Differential]]</f>
        <v>4.3821265439020207E-2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0.54480688487644791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-0.21661915454261307</v>
      </c>
      <c r="H1246" t="s">
        <v>17</v>
      </c>
      <c r="I1246">
        <f>VLOOKUP(Table4[[#This Row],[Visitor]],'NHL Model'!$A$6:$B$38,2,FALSE)</f>
        <v>0.16838500200194736</v>
      </c>
      <c r="J1246">
        <f>($B$1+Table4[[#This Row],[Home Differential]])-Table4[[#This Row],[Away Differential]]</f>
        <v>-0.31637933642425786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0.49470458993464389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-0.12942754353881131</v>
      </c>
      <c r="H1247" t="s">
        <v>22</v>
      </c>
      <c r="I1247">
        <f>VLOOKUP(Table4[[#This Row],[Visitor]],'NHL Model'!$A$6:$B$38,2,FALSE)</f>
        <v>0.44906822732121116</v>
      </c>
      <c r="J1247">
        <f>($B$1+Table4[[#This Row],[Home Differential]])-Table4[[#This Row],[Away Differential]]</f>
        <v>-0.50987095073971989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0.52071799270889119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-4.3195749724159979E-4</v>
      </c>
      <c r="H1248" t="s">
        <v>33</v>
      </c>
      <c r="I1248">
        <f>VLOOKUP(Table4[[#This Row],[Visitor]],'NHL Model'!$A$6:$B$38,2,FALSE)</f>
        <v>-0.21661915454261307</v>
      </c>
      <c r="J1248">
        <f>($B$1+Table4[[#This Row],[Home Differential]])-Table4[[#This Row],[Away Differential]]</f>
        <v>0.28481201716567406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0.60267044827143479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8.4418744674710666E-2</v>
      </c>
      <c r="H1249" t="s">
        <v>28</v>
      </c>
      <c r="I1249">
        <f>VLOOKUP(Table4[[#This Row],[Visitor]],'NHL Model'!$A$6:$B$38,2,FALSE)</f>
        <v>-0.16769781981623849</v>
      </c>
      <c r="J1249">
        <f>($B$1+Table4[[#This Row],[Home Differential]])-Table4[[#This Row],[Away Differential]]</f>
        <v>0.32074138461125179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0.61377516854236591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-0.45443544272009573</v>
      </c>
      <c r="H1250" t="s">
        <v>25</v>
      </c>
      <c r="I1250">
        <f>VLOOKUP(Table4[[#This Row],[Visitor]],'NHL Model'!$A$6:$B$38,2,FALSE)</f>
        <v>0.64590845617425174</v>
      </c>
      <c r="J1250">
        <f>($B$1+Table4[[#This Row],[Home Differential]])-Table4[[#This Row],[Away Differential]]</f>
        <v>-1.0317190787740449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0.64406036369989161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1.8165919516425306</v>
      </c>
      <c r="H1251" t="s">
        <v>16</v>
      </c>
      <c r="I1251">
        <f>VLOOKUP(Table4[[#This Row],[Visitor]],'NHL Model'!$A$6:$B$38,2,FALSE)</f>
        <v>-0.31883717525004912</v>
      </c>
      <c r="J1251">
        <f>($B$1+Table4[[#This Row],[Home Differential]])-Table4[[#This Row],[Away Differential]]</f>
        <v>2.2040539470128824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0.90074781278423544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0.92184375119443818</v>
      </c>
      <c r="H1252" t="s">
        <v>34</v>
      </c>
      <c r="I1252">
        <f>VLOOKUP(Table4[[#This Row],[Visitor]],'NHL Model'!$A$6:$B$38,2,FALSE)</f>
        <v>0.65260146250136963</v>
      </c>
      <c r="J1252">
        <f>($B$1+Table4[[#This Row],[Home Differential]])-Table4[[#This Row],[Away Differential]]</f>
        <v>0.33786710881337112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0.54529694168380805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-8.7991118744577684E-2</v>
      </c>
      <c r="H1253" t="s">
        <v>27</v>
      </c>
      <c r="I1253">
        <f>VLOOKUP(Table4[[#This Row],[Visitor]],'NHL Model'!$A$6:$B$38,2,FALSE)</f>
        <v>0.24261452474052697</v>
      </c>
      <c r="J1253">
        <f>($B$1+Table4[[#This Row],[Home Differential]])-Table4[[#This Row],[Away Differential]]</f>
        <v>-0.26198082336480205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0.46061406200681509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3.852494182308655E-2</v>
      </c>
      <c r="H1254" t="s">
        <v>38</v>
      </c>
      <c r="I1254">
        <f>VLOOKUP(Table4[[#This Row],[Visitor]],'NHL Model'!$A$6:$B$38,2,FALSE)</f>
        <v>-0.41225364678728776</v>
      </c>
      <c r="J1254">
        <f>($B$1+Table4[[#This Row],[Home Differential]])-Table4[[#This Row],[Away Differential]]</f>
        <v>0.51940340873067692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0.55446234115526583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-6.5759726104743493E-3</v>
      </c>
      <c r="H1255" t="s">
        <v>37</v>
      </c>
      <c r="I1255">
        <f>VLOOKUP(Table4[[#This Row],[Visitor]],'NHL Model'!$A$6:$B$38,2,FALSE)</f>
        <v>0.77383710114582016</v>
      </c>
      <c r="J1255">
        <f>($B$1+Table4[[#This Row],[Home Differential]])-Table4[[#This Row],[Away Differential]]</f>
        <v>-0.71178825363599185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0.60896620041048077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1.6161557760803764E-2</v>
      </c>
      <c r="H1256" t="s">
        <v>14</v>
      </c>
      <c r="I1256">
        <f>VLOOKUP(Table4[[#This Row],[Visitor]],'NHL Model'!$A$6:$B$38,2,FALSE)</f>
        <v>-0.10173040746987846</v>
      </c>
      <c r="J1256">
        <f>($B$1+Table4[[#This Row],[Home Differential]])-Table4[[#This Row],[Away Differential]]</f>
        <v>0.18651678535098482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0.55316986103005328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0.28840991013146466</v>
      </c>
      <c r="H1257" t="s">
        <v>19</v>
      </c>
      <c r="I1257">
        <f>VLOOKUP(Table4[[#This Row],[Visitor]],'NHL Model'!$A$6:$B$38,2,FALSE)</f>
        <v>-0.12942754353881131</v>
      </c>
      <c r="J1257">
        <f>($B$1+Table4[[#This Row],[Home Differential]])-Table4[[#This Row],[Away Differential]]</f>
        <v>0.48646227379057855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0.60737811345003023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5.0237013717083105E-2</v>
      </c>
      <c r="H1258" t="s">
        <v>11</v>
      </c>
      <c r="I1258">
        <f>VLOOKUP(Table4[[#This Row],[Visitor]],'NHL Model'!$A$6:$B$38,2,FALSE)</f>
        <v>0.24167918475059574</v>
      </c>
      <c r="J1258">
        <f>($B$1+Table4[[#This Row],[Home Differential]])-Table4[[#This Row],[Away Differential]]</f>
        <v>-0.12281735091321003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0.51036661026701002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-0.35878259596109546</v>
      </c>
      <c r="H1259" t="s">
        <v>20</v>
      </c>
      <c r="I1259">
        <f>VLOOKUP(Table4[[#This Row],[Visitor]],'NHL Model'!$A$6:$B$38,2,FALSE)</f>
        <v>0.21920515510044997</v>
      </c>
      <c r="J1259">
        <f>($B$1+Table4[[#This Row],[Home Differential]])-Table4[[#This Row],[Away Differential]]</f>
        <v>-0.50936293094124285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0.53664276488183593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-0.91735746943655616</v>
      </c>
      <c r="H1260" t="s">
        <v>40</v>
      </c>
      <c r="I1260">
        <f>VLOOKUP(Table4[[#This Row],[Visitor]],'NHL Model'!$A$6:$B$38,2,FALSE)</f>
        <v>-5.9925012095478535E-2</v>
      </c>
      <c r="J1260">
        <f>($B$1+Table4[[#This Row],[Home Differential]])-Table4[[#This Row],[Away Differential]]</f>
        <v>-0.78880763722077507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0.54652665466859918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0.17839230571314843</v>
      </c>
      <c r="H1261" t="s">
        <v>29</v>
      </c>
      <c r="I1261">
        <f>VLOOKUP(Table4[[#This Row],[Visitor]],'NHL Model'!$A$6:$B$38,2,FALSE)</f>
        <v>-0.30501317799182315</v>
      </c>
      <c r="J1261">
        <f>($B$1+Table4[[#This Row],[Home Differential]])-Table4[[#This Row],[Away Differential]]</f>
        <v>0.55203030382527418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0.60055384508444187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-6.6683170548020518E-2</v>
      </c>
      <c r="H1262" t="s">
        <v>37</v>
      </c>
      <c r="I1262">
        <f>VLOOKUP(Table4[[#This Row],[Visitor]],'NHL Model'!$A$6:$B$38,2,FALSE)</f>
        <v>0.77383710114582016</v>
      </c>
      <c r="J1262">
        <f>($B$1+Table4[[#This Row],[Home Differential]])-Table4[[#This Row],[Away Differential]]</f>
        <v>-0.77189545157353812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0.60145003023888777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-0.45443544272009573</v>
      </c>
      <c r="H1263" t="s">
        <v>35</v>
      </c>
      <c r="I1263">
        <f>VLOOKUP(Table4[[#This Row],[Visitor]],'NHL Model'!$A$6:$B$38,2,FALSE)</f>
        <v>-0.91735746943655616</v>
      </c>
      <c r="J1263">
        <f>($B$1+Table4[[#This Row],[Home Differential]])-Table4[[#This Row],[Away Differential]]</f>
        <v>0.53154684683676301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0.59830695379481302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1.8165919516425306</v>
      </c>
      <c r="H1264" t="s">
        <v>20</v>
      </c>
      <c r="I1264">
        <f>VLOOKUP(Table4[[#This Row],[Visitor]],'NHL Model'!$A$6:$B$38,2,FALSE)</f>
        <v>0.21920515510044997</v>
      </c>
      <c r="J1264">
        <f>($B$1+Table4[[#This Row],[Home Differential]])-Table4[[#This Row],[Away Differential]]</f>
        <v>1.6660116166623833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0.82274976689719104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0.92184375119443818</v>
      </c>
      <c r="H1265" t="s">
        <v>15</v>
      </c>
      <c r="I1265">
        <f>VLOOKUP(Table4[[#This Row],[Visitor]],'NHL Model'!$A$6:$B$38,2,FALSE)</f>
        <v>5.9615189993428262E-2</v>
      </c>
      <c r="J1265">
        <f>($B$1+Table4[[#This Row],[Home Differential]])-Table4[[#This Row],[Away Differential]]</f>
        <v>0.93085338132131246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0.61133316685890726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-8.7991118744577684E-2</v>
      </c>
      <c r="H1266" t="s">
        <v>24</v>
      </c>
      <c r="I1266">
        <f>VLOOKUP(Table4[[#This Row],[Visitor]],'NHL Model'!$A$6:$B$38,2,FALSE)</f>
        <v>1.6161557760803764E-2</v>
      </c>
      <c r="J1266">
        <f>($B$1+Table4[[#This Row],[Home Differential]])-Table4[[#This Row],[Away Differential]]</f>
        <v>-3.552785638507884E-2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0.46341575574530586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3.852494182308655E-2</v>
      </c>
      <c r="H1267" t="s">
        <v>17</v>
      </c>
      <c r="I1267">
        <f>VLOOKUP(Table4[[#This Row],[Visitor]],'NHL Model'!$A$6:$B$38,2,FALSE)</f>
        <v>0.16838500200194736</v>
      </c>
      <c r="J1267">
        <f>($B$1+Table4[[#This Row],[Home Differential]])-Table4[[#This Row],[Away Differential]]</f>
        <v>-6.123524005855821E-2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0.466717075520166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-6.5759726104743493E-3</v>
      </c>
      <c r="H1268" t="s">
        <v>28</v>
      </c>
      <c r="I1268">
        <f>VLOOKUP(Table4[[#This Row],[Visitor]],'NHL Model'!$A$6:$B$38,2,FALSE)</f>
        <v>-0.16769781981623849</v>
      </c>
      <c r="J1268">
        <f>($B$1+Table4[[#This Row],[Home Differential]])-Table4[[#This Row],[Away Differential]]</f>
        <v>0.22974666732606674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0.56520159492246425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-0.30501317799182315</v>
      </c>
      <c r="H1269" t="s">
        <v>34</v>
      </c>
      <c r="I1269">
        <f>VLOOKUP(Table4[[#This Row],[Visitor]],'NHL Model'!$A$6:$B$38,2,FALSE)</f>
        <v>0.65260146250136963</v>
      </c>
      <c r="J1269">
        <f>($B$1+Table4[[#This Row],[Home Differential]])-Table4[[#This Row],[Away Differential]]</f>
        <v>-0.8889898203728902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0.62840396704494217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0.28840991013146466</v>
      </c>
      <c r="H1270" t="s">
        <v>36</v>
      </c>
      <c r="I1270">
        <f>VLOOKUP(Table4[[#This Row],[Visitor]],'NHL Model'!$A$6:$B$38,2,FALSE)</f>
        <v>5.0237013717083105E-2</v>
      </c>
      <c r="J1270">
        <f>($B$1+Table4[[#This Row],[Home Differential]])-Table4[[#This Row],[Away Differential]]</f>
        <v>0.30679771653468413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0.56698688689835985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-0.10173040746987846</v>
      </c>
      <c r="H1271" t="s">
        <v>22</v>
      </c>
      <c r="I1271">
        <f>VLOOKUP(Table4[[#This Row],[Visitor]],'NHL Model'!$A$6:$B$38,2,FALSE)</f>
        <v>0.44906822732121116</v>
      </c>
      <c r="J1271">
        <f>($B$1+Table4[[#This Row],[Home Differential]])-Table4[[#This Row],[Away Differential]]</f>
        <v>-0.48217381467078702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0.52018079874814094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-0.35878259596109546</v>
      </c>
      <c r="H1272" t="s">
        <v>16</v>
      </c>
      <c r="I1272">
        <f>VLOOKUP(Table4[[#This Row],[Visitor]],'NHL Model'!$A$6:$B$38,2,FALSE)</f>
        <v>-0.31883717525004912</v>
      </c>
      <c r="J1272">
        <f>($B$1+Table4[[#This Row],[Home Differential]])-Table4[[#This Row],[Away Differential]]</f>
        <v>2.867939940925629E-2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0.54314592857839306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-0.21661915454261307</v>
      </c>
      <c r="H1273" t="s">
        <v>38</v>
      </c>
      <c r="I1273">
        <f>VLOOKUP(Table4[[#This Row],[Visitor]],'NHL Model'!$A$6:$B$38,2,FALSE)</f>
        <v>-0.41225364678728776</v>
      </c>
      <c r="J1273">
        <f>($B$1+Table4[[#This Row],[Home Differential]])-Table4[[#This Row],[Away Differential]]</f>
        <v>0.26425931236497729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0.52647482674078794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-0.12942754353881131</v>
      </c>
      <c r="H1274" t="s">
        <v>11</v>
      </c>
      <c r="I1274">
        <f>VLOOKUP(Table4[[#This Row],[Visitor]],'NHL Model'!$A$6:$B$38,2,FALSE)</f>
        <v>0.24167918475059574</v>
      </c>
      <c r="J1274">
        <f>($B$1+Table4[[#This Row],[Home Differential]])-Table4[[#This Row],[Away Differential]]</f>
        <v>-0.30248190816910447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0.52756216218742069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0.17839230571314843</v>
      </c>
      <c r="H1275" t="s">
        <v>25</v>
      </c>
      <c r="I1275">
        <f>VLOOKUP(Table4[[#This Row],[Visitor]],'NHL Model'!$A$6:$B$38,2,FALSE)</f>
        <v>0.64590845617425174</v>
      </c>
      <c r="J1275">
        <f>($B$1+Table4[[#This Row],[Home Differential]])-Table4[[#This Row],[Away Differential]]</f>
        <v>-0.39889133034080071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0.57464360672436943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-5.9925012095478535E-2</v>
      </c>
      <c r="H1276" t="s">
        <v>27</v>
      </c>
      <c r="I1276">
        <f>VLOOKUP(Table4[[#This Row],[Visitor]],'NHL Model'!$A$6:$B$38,2,FALSE)</f>
        <v>0.24261452474052697</v>
      </c>
      <c r="J1276">
        <f>($B$1+Table4[[#This Row],[Home Differential]])-Table4[[#This Row],[Away Differential]]</f>
        <v>-0.23391471671570291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0.49131654221060933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-4.3195749724159979E-4</v>
      </c>
      <c r="H1277" t="s">
        <v>38</v>
      </c>
      <c r="I1277">
        <f>VLOOKUP(Table4[[#This Row],[Visitor]],'NHL Model'!$A$6:$B$38,2,FALSE)</f>
        <v>-0.41225364678728776</v>
      </c>
      <c r="J1277">
        <f>($B$1+Table4[[#This Row],[Home Differential]])-Table4[[#This Row],[Away Differential]]</f>
        <v>0.48044650941034878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0.5892869717267365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-0.16769781981623849</v>
      </c>
      <c r="H1278" t="s">
        <v>21</v>
      </c>
      <c r="I1278">
        <f>VLOOKUP(Table4[[#This Row],[Visitor]],'NHL Model'!$A$6:$B$38,2,FALSE)</f>
        <v>-6.6683170548020518E-2</v>
      </c>
      <c r="J1278">
        <f>($B$1+Table4[[#This Row],[Home Differential]])-Table4[[#This Row],[Away Differential]]</f>
        <v>-3.2389829147915369E-2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0.46355293664667224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-0.31883717525004912</v>
      </c>
      <c r="H1279" t="s">
        <v>55</v>
      </c>
      <c r="I1279">
        <f>VLOOKUP(Table4[[#This Row],[Visitor]],'NHL Model'!$A$6:$B$38,2,FALSE)</f>
        <v>0.17839230571314843</v>
      </c>
      <c r="J1279">
        <f>($B$1+Table4[[#This Row],[Home Differential]])-Table4[[#This Row],[Away Differential]]</f>
        <v>-0.42860466084289495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0.47647550030280494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1.6161557760803764E-2</v>
      </c>
      <c r="H1280" t="s">
        <v>36</v>
      </c>
      <c r="I1280">
        <f>VLOOKUP(Table4[[#This Row],[Visitor]],'NHL Model'!$A$6:$B$38,2,FALSE)</f>
        <v>5.0237013717083105E-2</v>
      </c>
      <c r="J1280">
        <f>($B$1+Table4[[#This Row],[Home Differential]])-Table4[[#This Row],[Away Differential]]</f>
        <v>3.4549364164023259E-2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0.52302059169315429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0.28840991013146466</v>
      </c>
      <c r="H1281" t="s">
        <v>18</v>
      </c>
      <c r="I1281">
        <f>VLOOKUP(Table4[[#This Row],[Visitor]],'NHL Model'!$A$6:$B$38,2,FALSE)</f>
        <v>-6.5759726104743493E-3</v>
      </c>
      <c r="J1281">
        <f>($B$1+Table4[[#This Row],[Home Differential]])-Table4[[#This Row],[Away Differential]]</f>
        <v>0.36361070286224156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0.54692779244823286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0.44906822732121116</v>
      </c>
      <c r="H1282" t="s">
        <v>14</v>
      </c>
      <c r="I1282">
        <f>VLOOKUP(Table4[[#This Row],[Visitor]],'NHL Model'!$A$6:$B$38,2,FALSE)</f>
        <v>-0.10173040746987846</v>
      </c>
      <c r="J1282">
        <f>($B$1+Table4[[#This Row],[Home Differential]])-Table4[[#This Row],[Away Differential]]</f>
        <v>0.61942345491139228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0.60522146443861202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-0.45443544272009573</v>
      </c>
      <c r="H1283" t="s">
        <v>23</v>
      </c>
      <c r="I1283">
        <f>VLOOKUP(Table4[[#This Row],[Visitor]],'NHL Model'!$A$6:$B$38,2,FALSE)</f>
        <v>8.4418744674710666E-2</v>
      </c>
      <c r="J1283">
        <f>($B$1+Table4[[#This Row],[Home Differential]])-Table4[[#This Row],[Away Differential]]</f>
        <v>-0.47022936727450382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0.51158085717900714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0.16838500200194736</v>
      </c>
      <c r="H1284" t="s">
        <v>12</v>
      </c>
      <c r="I1284">
        <f>VLOOKUP(Table4[[#This Row],[Visitor]],'NHL Model'!$A$6:$B$38,2,FALSE)</f>
        <v>1.8165919516425306</v>
      </c>
      <c r="J1284">
        <f>($B$1+Table4[[#This Row],[Home Differential]])-Table4[[#This Row],[Away Differential]]</f>
        <v>-1.5795821295202805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0.68307298108641501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0.24167918475059574</v>
      </c>
      <c r="H1285" t="s">
        <v>15</v>
      </c>
      <c r="I1285">
        <f>VLOOKUP(Table4[[#This Row],[Visitor]],'NHL Model'!$A$6:$B$38,2,FALSE)</f>
        <v>5.9615189993428262E-2</v>
      </c>
      <c r="J1285">
        <f>($B$1+Table4[[#This Row],[Home Differential]])-Table4[[#This Row],[Away Differential]]</f>
        <v>0.25068881487747013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0.50898028282499863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-0.30501317799182315</v>
      </c>
      <c r="H1286" t="s">
        <v>33</v>
      </c>
      <c r="I1286">
        <f>VLOOKUP(Table4[[#This Row],[Visitor]],'NHL Model'!$A$6:$B$38,2,FALSE)</f>
        <v>-0.21661915454261307</v>
      </c>
      <c r="J1286">
        <f>($B$1+Table4[[#This Row],[Home Differential]])-Table4[[#This Row],[Away Differential]]</f>
        <v>-1.976920332890747E-2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0.46945826230856486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0.24261452474052697</v>
      </c>
      <c r="H1287" t="s">
        <v>25</v>
      </c>
      <c r="I1287">
        <f>VLOOKUP(Table4[[#This Row],[Visitor]],'NHL Model'!$A$6:$B$38,2,FALSE)</f>
        <v>0.64590845617425174</v>
      </c>
      <c r="J1287">
        <f>($B$1+Table4[[#This Row],[Home Differential]])-Table4[[#This Row],[Away Differential]]</f>
        <v>-0.33466911131342214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0.56302663918717222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-0.35878259596109546</v>
      </c>
      <c r="H1288" t="s">
        <v>13</v>
      </c>
      <c r="I1288">
        <f>VLOOKUP(Table4[[#This Row],[Visitor]],'NHL Model'!$A$6:$B$38,2,FALSE)</f>
        <v>3.852494182308655E-2</v>
      </c>
      <c r="J1288">
        <f>($B$1+Table4[[#This Row],[Home Differential]])-Table4[[#This Row],[Away Differential]]</f>
        <v>-0.32868271766387935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0.52844451564231676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-0.91735746943655616</v>
      </c>
      <c r="H1289" t="s">
        <v>34</v>
      </c>
      <c r="I1289">
        <f>VLOOKUP(Table4[[#This Row],[Visitor]],'NHL Model'!$A$6:$B$38,2,FALSE)</f>
        <v>0.65260146250136963</v>
      </c>
      <c r="J1289">
        <f>($B$1+Table4[[#This Row],[Home Differential]])-Table4[[#This Row],[Away Differential]]</f>
        <v>-1.5013341118176231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0.69557383273083562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0.77383710114582016</v>
      </c>
      <c r="H1290" t="s">
        <v>26</v>
      </c>
      <c r="I1290">
        <f>VLOOKUP(Table4[[#This Row],[Visitor]],'NHL Model'!$A$6:$B$38,2,FALSE)</f>
        <v>-8.7991118744577684E-2</v>
      </c>
      <c r="J1290">
        <f>($B$1+Table4[[#This Row],[Home Differential]])-Table4[[#This Row],[Away Differential]]</f>
        <v>0.93045304001070039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0.61306660496727705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-0.12942754353881131</v>
      </c>
      <c r="H1291" t="s">
        <v>39</v>
      </c>
      <c r="I1291">
        <f>VLOOKUP(Table4[[#This Row],[Visitor]],'NHL Model'!$A$6:$B$38,2,FALSE)</f>
        <v>0.92184375119443818</v>
      </c>
      <c r="J1291">
        <f>($B$1+Table4[[#This Row],[Home Differential]])-Table4[[#This Row],[Away Differential]]</f>
        <v>-0.98264647461294685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0.65151564872142309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0.21920515510044997</v>
      </c>
      <c r="H1292" t="s">
        <v>40</v>
      </c>
      <c r="I1292">
        <f>VLOOKUP(Table4[[#This Row],[Visitor]],'NHL Model'!$A$6:$B$38,2,FALSE)</f>
        <v>-5.9925012095478535E-2</v>
      </c>
      <c r="J1292">
        <f>($B$1+Table4[[#This Row],[Home Differential]])-Table4[[#This Row],[Away Differential]]</f>
        <v>0.34775498731623111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0.57814627835350552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-6.6683170548020518E-2</v>
      </c>
      <c r="H1293" t="s">
        <v>24</v>
      </c>
      <c r="I1293">
        <f>VLOOKUP(Table4[[#This Row],[Visitor]],'NHL Model'!$A$6:$B$38,2,FALSE)</f>
        <v>1.6161557760803764E-2</v>
      </c>
      <c r="J1293">
        <f>($B$1+Table4[[#This Row],[Home Differential]])-Table4[[#This Row],[Away Differential]]</f>
        <v>-1.4219908188521677E-2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0.481011878796203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-0.16769781981623849</v>
      </c>
      <c r="H1294" t="s">
        <v>22</v>
      </c>
      <c r="I1294">
        <f>VLOOKUP(Table4[[#This Row],[Visitor]],'NHL Model'!$A$6:$B$38,2,FALSE)</f>
        <v>0.44906822732121116</v>
      </c>
      <c r="J1294">
        <f>($B$1+Table4[[#This Row],[Home Differential]])-Table4[[#This Row],[Away Differential]]</f>
        <v>-0.54814122701714707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0.52741696031420471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-0.31883717525004912</v>
      </c>
      <c r="H1295" t="s">
        <v>12</v>
      </c>
      <c r="I1295">
        <f>VLOOKUP(Table4[[#This Row],[Visitor]],'NHL Model'!$A$6:$B$38,2,FALSE)</f>
        <v>1.8165919516425306</v>
      </c>
      <c r="J1295">
        <f>($B$1+Table4[[#This Row],[Home Differential]])-Table4[[#This Row],[Away Differential]]</f>
        <v>-2.0668043067722772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0.74213241074154546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0.65260146250136963</v>
      </c>
      <c r="H1296" t="s">
        <v>31</v>
      </c>
      <c r="I1296">
        <f>VLOOKUP(Table4[[#This Row],[Visitor]],'NHL Model'!$A$6:$B$38,2,FALSE)</f>
        <v>-4.3195749724159979E-4</v>
      </c>
      <c r="J1296">
        <f>($B$1+Table4[[#This Row],[Home Differential]])-Table4[[#This Row],[Away Differential]]</f>
        <v>0.72165824011891377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0.64144457470515981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0.28840991013146466</v>
      </c>
      <c r="H1297" t="s">
        <v>25</v>
      </c>
      <c r="I1297">
        <f>VLOOKUP(Table4[[#This Row],[Visitor]],'NHL Model'!$A$6:$B$38,2,FALSE)</f>
        <v>0.64590845617425174</v>
      </c>
      <c r="J1297">
        <f>($B$1+Table4[[#This Row],[Home Differential]])-Table4[[#This Row],[Away Differential]]</f>
        <v>-0.2888737259224845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0.54846594124084724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0.24261452474052697</v>
      </c>
      <c r="H1298" t="s">
        <v>18</v>
      </c>
      <c r="I1298">
        <f>VLOOKUP(Table4[[#This Row],[Visitor]],'NHL Model'!$A$6:$B$38,2,FALSE)</f>
        <v>-6.5759726104743493E-3</v>
      </c>
      <c r="J1298">
        <f>($B$1+Table4[[#This Row],[Home Differential]])-Table4[[#This Row],[Away Differential]]</f>
        <v>0.31781531747130393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0.53234954415046198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-0.91735746943655616</v>
      </c>
      <c r="H1299" t="s">
        <v>14</v>
      </c>
      <c r="I1299">
        <f>VLOOKUP(Table4[[#This Row],[Visitor]],'NHL Model'!$A$6:$B$38,2,FALSE)</f>
        <v>-0.10173040746987846</v>
      </c>
      <c r="J1299">
        <f>($B$1+Table4[[#This Row],[Home Differential]])-Table4[[#This Row],[Away Differential]]</f>
        <v>-0.74700224184637509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0.54923061619842106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0.17839230571314843</v>
      </c>
      <c r="H1300" t="s">
        <v>40</v>
      </c>
      <c r="I1300">
        <f>VLOOKUP(Table4[[#This Row],[Visitor]],'NHL Model'!$A$6:$B$38,2,FALSE)</f>
        <v>-5.9925012095478535E-2</v>
      </c>
      <c r="J1300">
        <f>($B$1+Table4[[#This Row],[Home Differential]])-Table4[[#This Row],[Away Differential]]</f>
        <v>0.30694213792892955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0.57366939557709262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-0.41225364678728776</v>
      </c>
      <c r="H1301" t="s">
        <v>13</v>
      </c>
      <c r="I1301">
        <f>VLOOKUP(Table4[[#This Row],[Visitor]],'NHL Model'!$A$6:$B$38,2,FALSE)</f>
        <v>3.852494182308655E-2</v>
      </c>
      <c r="J1301">
        <f>($B$1+Table4[[#This Row],[Home Differential]])-Table4[[#This Row],[Away Differential]]</f>
        <v>-0.38215376849007165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0.53430991416445373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8.4418744674710666E-2</v>
      </c>
      <c r="H1302" t="s">
        <v>39</v>
      </c>
      <c r="I1302">
        <f>VLOOKUP(Table4[[#This Row],[Visitor]],'NHL Model'!$A$6:$B$38,2,FALSE)</f>
        <v>0.92184375119443818</v>
      </c>
      <c r="J1302">
        <f>($B$1+Table4[[#This Row],[Home Differential]])-Table4[[#This Row],[Away Differential]]</f>
        <v>-0.76880018639942493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0.59151883622672385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-0.45443544272009573</v>
      </c>
      <c r="H1303" t="s">
        <v>33</v>
      </c>
      <c r="I1303">
        <f>VLOOKUP(Table4[[#This Row],[Visitor]],'NHL Model'!$A$6:$B$38,2,FALSE)</f>
        <v>-0.21661915454261307</v>
      </c>
      <c r="J1303">
        <f>($B$1+Table4[[#This Row],[Home Differential]])-Table4[[#This Row],[Away Differential]]</f>
        <v>-0.16919146805718008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0.48584883472428886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0.24167918475059574</v>
      </c>
      <c r="H1304" t="s">
        <v>26</v>
      </c>
      <c r="I1304">
        <f>VLOOKUP(Table4[[#This Row],[Visitor]],'NHL Model'!$A$6:$B$38,2,FALSE)</f>
        <v>-8.7991118744577684E-2</v>
      </c>
      <c r="J1304">
        <f>($B$1+Table4[[#This Row],[Home Differential]])-Table4[[#This Row],[Away Differential]]</f>
        <v>0.39829512361547603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0.56150988264720536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5.0237013717083105E-2</v>
      </c>
      <c r="H1305" t="s">
        <v>19</v>
      </c>
      <c r="I1305">
        <f>VLOOKUP(Table4[[#This Row],[Visitor]],'NHL Model'!$A$6:$B$38,2,FALSE)</f>
        <v>-0.12942754353881131</v>
      </c>
      <c r="J1305">
        <f>($B$1+Table4[[#This Row],[Home Differential]])-Table4[[#This Row],[Away Differential]]</f>
        <v>0.24828937737619702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0.56723559991103234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0.77383710114582016</v>
      </c>
      <c r="H1306" t="s">
        <v>15</v>
      </c>
      <c r="I1306">
        <f>VLOOKUP(Table4[[#This Row],[Visitor]],'NHL Model'!$A$6:$B$38,2,FALSE)</f>
        <v>5.9615189993428262E-2</v>
      </c>
      <c r="J1306">
        <f>($B$1+Table4[[#This Row],[Home Differential]])-Table4[[#This Row],[Away Differential]]</f>
        <v>0.78284673127269444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0.56054445496838667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0.21920515510044997</v>
      </c>
      <c r="H1307" t="s">
        <v>32</v>
      </c>
      <c r="I1307">
        <f>VLOOKUP(Table4[[#This Row],[Visitor]],'NHL Model'!$A$6:$B$38,2,FALSE)</f>
        <v>-0.35878259596109546</v>
      </c>
      <c r="J1307">
        <f>($B$1+Table4[[#This Row],[Home Differential]])-Table4[[#This Row],[Away Differential]]</f>
        <v>0.64661257118184801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0.61092885516189221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-0.31883717525004912</v>
      </c>
      <c r="H1308" t="s">
        <v>13</v>
      </c>
      <c r="I1308">
        <f>VLOOKUP(Table4[[#This Row],[Visitor]],'NHL Model'!$A$6:$B$38,2,FALSE)</f>
        <v>3.852494182308655E-2</v>
      </c>
      <c r="J1308">
        <f>($B$1+Table4[[#This Row],[Home Differential]])-Table4[[#This Row],[Away Differential]]</f>
        <v>-0.28873729695283301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0.49321091399012318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1.8165919516425306</v>
      </c>
      <c r="H1309" t="s">
        <v>32</v>
      </c>
      <c r="I1309">
        <f>VLOOKUP(Table4[[#This Row],[Visitor]],'NHL Model'!$A$6:$B$38,2,FALSE)</f>
        <v>-0.35878259596109546</v>
      </c>
      <c r="J1309">
        <f>($B$1+Table4[[#This Row],[Home Differential]])-Table4[[#This Row],[Away Differential]]</f>
        <v>2.2439993677239287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0.9051295447304859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0.16838500200194736</v>
      </c>
      <c r="H1310" t="s">
        <v>38</v>
      </c>
      <c r="I1310">
        <f>VLOOKUP(Table4[[#This Row],[Visitor]],'NHL Model'!$A$6:$B$38,2,FALSE)</f>
        <v>-0.41225364678728776</v>
      </c>
      <c r="J1310">
        <f>($B$1+Table4[[#This Row],[Home Differential]])-Table4[[#This Row],[Away Differential]]</f>
        <v>0.64926346890953779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0.60520022253841743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-0.30501317799182315</v>
      </c>
      <c r="H1311" t="s">
        <v>31</v>
      </c>
      <c r="I1311">
        <f>VLOOKUP(Table4[[#This Row],[Visitor]],'NHL Model'!$A$6:$B$38,2,FALSE)</f>
        <v>-4.3195749724159979E-4</v>
      </c>
      <c r="J1311">
        <f>($B$1+Table4[[#This Row],[Home Differential]])-Table4[[#This Row],[Away Differential]]</f>
        <v>-0.23595640037427895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0.48588275900061639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0.17839230571314843</v>
      </c>
      <c r="H1312" t="s">
        <v>35</v>
      </c>
      <c r="I1312">
        <f>VLOOKUP(Table4[[#This Row],[Visitor]],'NHL Model'!$A$6:$B$38,2,FALSE)</f>
        <v>-0.91735746943655616</v>
      </c>
      <c r="J1312">
        <f>($B$1+Table4[[#This Row],[Home Differential]])-Table4[[#This Row],[Away Differential]]</f>
        <v>1.1643745952700071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0.66772371077033532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-5.9925012095478535E-2</v>
      </c>
      <c r="H1313" t="s">
        <v>33</v>
      </c>
      <c r="I1313">
        <f>VLOOKUP(Table4[[#This Row],[Visitor]],'NHL Model'!$A$6:$B$38,2,FALSE)</f>
        <v>-0.21661915454261307</v>
      </c>
      <c r="J1313">
        <f>($B$1+Table4[[#This Row],[Home Differential]])-Table4[[#This Row],[Away Differential]]</f>
        <v>0.22531896256743714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0.55742618719878445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39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0.63157894736842102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3.8888888888888888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3.3684210526315788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40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42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0.42105263157894735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2.9473684210526314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3.4210526315789473</v>
      </c>
    </row>
    <row r="4" spans="1:18" x14ac:dyDescent="0.2">
      <c r="A4" s="4" t="s">
        <v>23</v>
      </c>
      <c r="B4">
        <f>SUM(Table1[[#This Row],[W]:[OTL]])</f>
        <v>38</v>
      </c>
      <c r="C4">
        <f>COUNTIF(NHL2025_26Results[Winning Team],Standings!A4)</f>
        <v>20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44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8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0.42105263157894735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2.8421052631578947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3.6315789473684212</v>
      </c>
    </row>
    <row r="5" spans="1:18" x14ac:dyDescent="0.2">
      <c r="A5" s="4" t="s">
        <v>16</v>
      </c>
      <c r="B5">
        <f>SUM(Table1[[#This Row],[W]:[OTL]])</f>
        <v>39</v>
      </c>
      <c r="C5">
        <f>COUNTIF(NHL2025_26Results[Winning Team],Standings!A5)</f>
        <v>17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38</v>
      </c>
      <c r="G5">
        <f>COUNTIFS('NHL2025-26Results'!$D:$D,A5,'NHL2025-26Results'!$G:$G,A5)</f>
        <v>11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0.61111111111111116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3.2352941176470589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2.5625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38</v>
      </c>
      <c r="C6">
        <f>COUNTIF(NHL2025_26Results[Winning Team],Standings!A6)</f>
        <v>24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0.65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3.1578947368421053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38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0.3888888888888889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38</v>
      </c>
      <c r="C8">
        <f>COUNTIF(NHL2025_26Results[Winning Team],Standings!A8)</f>
        <v>29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65</v>
      </c>
      <c r="G8">
        <f>COUNTIFS('NHL2025-26Results'!$D:$D,A8,'NHL2025-26Results'!$G:$G,A8)</f>
        <v>16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0.88888888888888884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4.4444444444444446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2.3125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38</v>
      </c>
      <c r="C9">
        <f>COUNTIF(NHL2025_26Results[Winning Team],Standings!A9)</f>
        <v>17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0.47058823529411764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3.4117647058823528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40</v>
      </c>
      <c r="C11">
        <f>COUNTIF(NHL2025_26Results[Winning Team],Standings!A11)</f>
        <v>23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49</v>
      </c>
      <c r="G11">
        <f>COUNTIFS('NHL2025-26Results'!$D:$D,A11,'NHL2025-26Results'!$G:$G,A11)</f>
        <v>13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0.61904761904761907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3.4285714285714284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40</v>
      </c>
      <c r="C12">
        <f>COUNTIF(NHL2025_26Results[Winning Team],Standings!A12)</f>
        <v>20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38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44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0.56521739130434778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3.3043478260869565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3.4761904761904763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38</v>
      </c>
      <c r="C14">
        <f>COUNTIF(NHL2025_26Results[Winning Team],Standings!A14)</f>
        <v>16</v>
      </c>
      <c r="D14">
        <f>COUNTIFS('NHL2025-26Results'!$H:$H,A14,'NHL2025-26Results'!$F:$F,"")</f>
        <v>13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40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54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0.61111111111111116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3.0555555555555554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38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46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3.5555555555555554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3.2777777777777777</v>
      </c>
    </row>
    <row r="17" spans="1:18" x14ac:dyDescent="0.2">
      <c r="A17" s="4" t="s">
        <v>29</v>
      </c>
      <c r="B17">
        <f>SUM(Table1[[#This Row],[W]:[OTL]])</f>
        <v>38</v>
      </c>
      <c r="C17">
        <f>COUNTIF(NHL2025_26Results[Winning Team],Standings!A17)</f>
        <v>17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38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7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0.41176470588235292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3.4705882352941178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39</v>
      </c>
      <c r="C19">
        <f>COUNTIF(NHL2025_26Results[Winning Team],Standings!A19)</f>
        <v>21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2.8333333333333335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3.4</v>
      </c>
    </row>
    <row r="20" spans="1:18" x14ac:dyDescent="0.2">
      <c r="A20" s="4" t="s">
        <v>15</v>
      </c>
      <c r="B20">
        <f>SUM(Table1[[#This Row],[W]:[OTL]])</f>
        <v>41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0.60869565217391308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3.3809523809523809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2.5238095238095237</v>
      </c>
    </row>
    <row r="21" spans="1:18" x14ac:dyDescent="0.2">
      <c r="A21" s="4" t="s">
        <v>36</v>
      </c>
      <c r="B21">
        <f>SUM(Table1[[#This Row],[W]:[OTL]])</f>
        <v>38</v>
      </c>
      <c r="C21">
        <f>COUNTIF(NHL2025_26Results[Winning Team],Standings!A21)</f>
        <v>18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0.44444444444444442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3.1764705882352939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37</v>
      </c>
      <c r="C22">
        <f>COUNTIF(NHL2025_26Results[Winning Team],Standings!A22)</f>
        <v>19</v>
      </c>
      <c r="D22">
        <f>COUNTIFS('NHL2025-26Results'!$H:$H,A22,'NHL2025-26Results'!$F:$F,"")</f>
        <v>11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6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0.47058823529411764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3.125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3.1176470588235294</v>
      </c>
    </row>
    <row r="23" spans="1:18" x14ac:dyDescent="0.2">
      <c r="A23" s="4" t="s">
        <v>14</v>
      </c>
      <c r="B23">
        <f>SUM(Table1[[#This Row],[W]:[OTL]])</f>
        <v>37</v>
      </c>
      <c r="C23">
        <f>COUNTIF(NHL2025_26Results[Winning Team],Standings!A23)</f>
        <v>16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41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39</v>
      </c>
      <c r="C24">
        <f>COUNTIF(NHL2025_26Results[Winning Team],Standings!A24)</f>
        <v>19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41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37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39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0.42105263157894735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2.5555555555555554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2.7894736842105261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40</v>
      </c>
      <c r="C26">
        <f>COUNTIF(NHL2025_26Results[Winning Team],Standings!A26)</f>
        <v>15</v>
      </c>
      <c r="D26">
        <f>COUNTIFS('NHL2025-26Results'!$H:$H,A26,'NHL2025-26Results'!$F:$F,"")</f>
        <v>17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38</v>
      </c>
      <c r="C27">
        <f>COUNTIF(NHL2025_26Results[Winning Team],Standings!A27)</f>
        <v>22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47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38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40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40</v>
      </c>
      <c r="C29">
        <f>COUNTIF(NHL2025_26Results[Winning Team],Standings!A29)</f>
        <v>18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38</v>
      </c>
      <c r="C30">
        <f>COUNTIF(NHL2025_26Results[Winning Team],Standings!A30)</f>
        <v>16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37</v>
      </c>
      <c r="C31">
        <f>COUNTIF(NHL2025_26Results[Winning Team],Standings!A31)</f>
        <v>17</v>
      </c>
      <c r="D31">
        <f>COUNTIFS('NHL2025-26Results'!$H:$H,A31,'NHL2025-26Results'!$F:$F,"")</f>
        <v>9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5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0.42105263157894735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3.4210526315789473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3.6111111111111112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39</v>
      </c>
      <c r="C32">
        <f>COUNTIF(NHL2025_26Results[Winning Team],Standings!A32)</f>
        <v>20</v>
      </c>
      <c r="D32">
        <f>COUNTIFS('NHL2025-26Results'!$H:$H,A32,'NHL2025-26Results'!$F:$F,"")</f>
        <v>14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7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0.47368421052631576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3.5294117647058822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3.0555555555555554</v>
      </c>
    </row>
    <row r="33" spans="1:18" x14ac:dyDescent="0.2">
      <c r="A33" s="4" t="s">
        <v>40</v>
      </c>
      <c r="B33">
        <f>SUM(Table1[[#This Row],[W]:[OTL]])</f>
        <v>37</v>
      </c>
      <c r="C33">
        <f>COUNTIF(NHL2025_26Results[Winning Team],Standings!A33)</f>
        <v>15</v>
      </c>
      <c r="D33">
        <f>COUNTIFS('NHL2025-26Results'!$H:$H,A33,'NHL2025-26Results'!$F:$F,"")</f>
        <v>18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97"/>
  <sheetViews>
    <sheetView tabSelected="1" topLeftCell="A14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21</v>
      </c>
      <c r="D17" s="19" t="s">
        <v>24</v>
      </c>
      <c r="E17" s="19" t="s">
        <v>21</v>
      </c>
      <c r="F17">
        <v>5</v>
      </c>
      <c r="G17">
        <v>4</v>
      </c>
      <c r="H17">
        <v>0.52739999999999998</v>
      </c>
      <c r="I17" s="19" t="s">
        <v>249</v>
      </c>
      <c r="J17" s="19" t="s">
        <v>21</v>
      </c>
      <c r="K17">
        <v>3</v>
      </c>
      <c r="L17">
        <v>2</v>
      </c>
      <c r="M17">
        <v>7.0000000000000007E-2</v>
      </c>
      <c r="N17" s="19" t="s">
        <v>21</v>
      </c>
      <c r="O17" s="19" t="s">
        <v>289</v>
      </c>
      <c r="P17" s="19" t="s">
        <v>287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25</v>
      </c>
      <c r="D18" s="19" t="s">
        <v>29</v>
      </c>
      <c r="E18" s="19" t="s">
        <v>25</v>
      </c>
      <c r="F18">
        <v>4</v>
      </c>
      <c r="G18">
        <v>2</v>
      </c>
      <c r="H18">
        <v>0.76490000000000002</v>
      </c>
      <c r="I18" s="19" t="s">
        <v>248</v>
      </c>
      <c r="J18" s="19" t="s">
        <v>25</v>
      </c>
      <c r="K18">
        <v>3</v>
      </c>
      <c r="L18">
        <v>2</v>
      </c>
      <c r="M18">
        <v>1.43</v>
      </c>
      <c r="N18" s="19" t="s">
        <v>25</v>
      </c>
      <c r="O18" s="19" t="s">
        <v>288</v>
      </c>
      <c r="P18" s="19" t="s">
        <v>291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16</v>
      </c>
      <c r="D19" s="19" t="s">
        <v>55</v>
      </c>
      <c r="E19" s="19" t="s">
        <v>16</v>
      </c>
      <c r="F19">
        <v>2</v>
      </c>
      <c r="G19">
        <v>0</v>
      </c>
      <c r="H19">
        <v>0.56730000000000003</v>
      </c>
      <c r="I19" s="19" t="s">
        <v>249</v>
      </c>
      <c r="J19" s="19" t="s">
        <v>55</v>
      </c>
      <c r="K19">
        <v>3</v>
      </c>
      <c r="L19">
        <v>2</v>
      </c>
      <c r="M19">
        <v>-0.92</v>
      </c>
      <c r="N19" s="19" t="s">
        <v>16</v>
      </c>
      <c r="O19" s="19" t="s">
        <v>284</v>
      </c>
      <c r="P19" s="19" t="s">
        <v>285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17</v>
      </c>
      <c r="D20" s="19" t="s">
        <v>40</v>
      </c>
      <c r="E20" s="19" t="s">
        <v>17</v>
      </c>
      <c r="F20">
        <v>4</v>
      </c>
      <c r="G20">
        <v>3</v>
      </c>
      <c r="H20">
        <v>0.78990000000000005</v>
      </c>
      <c r="I20" s="19" t="s">
        <v>249</v>
      </c>
      <c r="J20" s="19" t="s">
        <v>40</v>
      </c>
      <c r="K20">
        <v>3</v>
      </c>
      <c r="L20">
        <v>2</v>
      </c>
      <c r="M20">
        <v>-0.33</v>
      </c>
      <c r="N20" s="19" t="s">
        <v>17</v>
      </c>
      <c r="O20" s="19" t="s">
        <v>288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0.64583333333333337</v>
      </c>
      <c r="C21" s="19" t="s">
        <v>11</v>
      </c>
      <c r="D21" s="19" t="s">
        <v>28</v>
      </c>
      <c r="E21" s="19" t="s">
        <v>11</v>
      </c>
      <c r="F21">
        <v>4</v>
      </c>
      <c r="G21">
        <v>3</v>
      </c>
      <c r="H21">
        <v>0.52759999999999996</v>
      </c>
      <c r="I21" s="19" t="s">
        <v>249</v>
      </c>
      <c r="J21" s="19" t="s">
        <v>28</v>
      </c>
      <c r="K21">
        <v>3</v>
      </c>
      <c r="L21">
        <v>2</v>
      </c>
      <c r="M21">
        <v>-0.02</v>
      </c>
      <c r="N21" s="19" t="s">
        <v>11</v>
      </c>
      <c r="O21" s="19" t="s">
        <v>292</v>
      </c>
      <c r="P21" s="19" t="s">
        <v>288</v>
      </c>
      <c r="Q21" s="19" t="s">
        <v>287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38</v>
      </c>
      <c r="D24" s="19" t="s">
        <v>34</v>
      </c>
      <c r="E24" s="19" t="s">
        <v>34</v>
      </c>
      <c r="F24">
        <v>3</v>
      </c>
      <c r="G24">
        <v>4</v>
      </c>
      <c r="H24">
        <v>0.78480000000000005</v>
      </c>
      <c r="I24" s="19" t="s">
        <v>249</v>
      </c>
      <c r="J24" s="19" t="s">
        <v>34</v>
      </c>
      <c r="K24">
        <v>3</v>
      </c>
      <c r="L24">
        <v>2</v>
      </c>
      <c r="M24">
        <v>-0.77</v>
      </c>
      <c r="N24" s="19" t="s">
        <v>38</v>
      </c>
      <c r="O24" s="19" t="s">
        <v>289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32</v>
      </c>
      <c r="D26" s="19" t="s">
        <v>26</v>
      </c>
      <c r="E26" s="19" t="s">
        <v>26</v>
      </c>
      <c r="F26">
        <v>3</v>
      </c>
      <c r="G26">
        <v>4</v>
      </c>
      <c r="H26">
        <v>0.50860000000000005</v>
      </c>
      <c r="I26" s="19" t="s">
        <v>249</v>
      </c>
      <c r="J26" s="19" t="s">
        <v>32</v>
      </c>
      <c r="K26">
        <v>3</v>
      </c>
      <c r="L26">
        <v>2</v>
      </c>
      <c r="M26">
        <v>0.08</v>
      </c>
      <c r="N26" s="19" t="s">
        <v>26</v>
      </c>
      <c r="O26" s="19" t="s">
        <v>291</v>
      </c>
      <c r="P26" s="19" t="s">
        <v>289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15</v>
      </c>
      <c r="D36" s="19" t="s">
        <v>20</v>
      </c>
      <c r="E36" s="19" t="s">
        <v>20</v>
      </c>
      <c r="F36">
        <v>1</v>
      </c>
      <c r="G36">
        <v>3</v>
      </c>
      <c r="H36">
        <v>0.82699999999999996</v>
      </c>
      <c r="I36" s="19" t="s">
        <v>249</v>
      </c>
      <c r="J36" s="19" t="s">
        <v>15</v>
      </c>
      <c r="K36">
        <v>3</v>
      </c>
      <c r="L36">
        <v>2</v>
      </c>
      <c r="M36">
        <v>0.12</v>
      </c>
      <c r="N36" s="19" t="s">
        <v>20</v>
      </c>
      <c r="O36" s="19" t="s">
        <v>284</v>
      </c>
      <c r="P36" s="19" t="s">
        <v>291</v>
      </c>
      <c r="Q36" s="19" t="s">
        <v>287</v>
      </c>
      <c r="R36" s="19" t="s">
        <v>248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40</v>
      </c>
      <c r="D43" s="19" t="s">
        <v>39</v>
      </c>
      <c r="E43" s="19" t="s">
        <v>39</v>
      </c>
      <c r="F43">
        <v>4</v>
      </c>
      <c r="G43">
        <v>5</v>
      </c>
      <c r="H43">
        <v>0.66220000000000001</v>
      </c>
      <c r="I43" s="19" t="s">
        <v>249</v>
      </c>
      <c r="J43" s="19" t="s">
        <v>39</v>
      </c>
      <c r="K43">
        <v>3</v>
      </c>
      <c r="L43">
        <v>2</v>
      </c>
      <c r="M43">
        <v>-0.87</v>
      </c>
      <c r="N43" s="19" t="s">
        <v>39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35</v>
      </c>
      <c r="D44" s="19" t="s">
        <v>21</v>
      </c>
      <c r="E44" s="19" t="s">
        <v>21</v>
      </c>
      <c r="F44">
        <v>3</v>
      </c>
      <c r="G44">
        <v>4</v>
      </c>
      <c r="H44">
        <v>0.73719999999999997</v>
      </c>
      <c r="I44" s="19" t="s">
        <v>249</v>
      </c>
      <c r="J44" s="19" t="s">
        <v>21</v>
      </c>
      <c r="K44">
        <v>3</v>
      </c>
      <c r="L44">
        <v>2</v>
      </c>
      <c r="M44">
        <v>-1.08</v>
      </c>
      <c r="N44" s="19" t="s">
        <v>21</v>
      </c>
      <c r="O44" s="19" t="s">
        <v>284</v>
      </c>
      <c r="P44" s="19" t="s">
        <v>283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29</v>
      </c>
      <c r="D56" s="19" t="s">
        <v>35</v>
      </c>
      <c r="E56" s="19" t="s">
        <v>35</v>
      </c>
      <c r="F56">
        <v>2</v>
      </c>
      <c r="G56">
        <v>3</v>
      </c>
      <c r="H56">
        <v>0.59950000000000003</v>
      </c>
      <c r="I56" s="19" t="s">
        <v>249</v>
      </c>
      <c r="J56" s="19" t="s">
        <v>29</v>
      </c>
      <c r="K56">
        <v>3</v>
      </c>
      <c r="L56">
        <v>2</v>
      </c>
      <c r="M56">
        <v>0.34</v>
      </c>
      <c r="N56" s="19" t="s">
        <v>29</v>
      </c>
      <c r="O56" s="19" t="s">
        <v>292</v>
      </c>
      <c r="P56" s="19" t="s">
        <v>284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14</v>
      </c>
      <c r="D57" s="19" t="s">
        <v>18</v>
      </c>
      <c r="E57" s="19" t="s">
        <v>18</v>
      </c>
      <c r="F57">
        <v>3</v>
      </c>
      <c r="G57">
        <v>4</v>
      </c>
      <c r="H57">
        <v>0.73029999999999995</v>
      </c>
      <c r="I57" s="19" t="s">
        <v>249</v>
      </c>
      <c r="J57" s="19" t="s">
        <v>14</v>
      </c>
      <c r="K57">
        <v>3</v>
      </c>
      <c r="L57">
        <v>2</v>
      </c>
      <c r="M57">
        <v>0.77</v>
      </c>
      <c r="N57" s="19" t="s">
        <v>18</v>
      </c>
      <c r="O57" s="19" t="s">
        <v>284</v>
      </c>
      <c r="P57" s="19" t="s">
        <v>289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28</v>
      </c>
      <c r="D59" s="19" t="s">
        <v>36</v>
      </c>
      <c r="E59" s="19" t="s">
        <v>28</v>
      </c>
      <c r="F59">
        <v>4</v>
      </c>
      <c r="G59">
        <v>3</v>
      </c>
      <c r="H59">
        <v>0.55700000000000005</v>
      </c>
      <c r="I59" s="19" t="s">
        <v>249</v>
      </c>
      <c r="J59" s="19" t="s">
        <v>36</v>
      </c>
      <c r="K59">
        <v>3</v>
      </c>
      <c r="L59">
        <v>2</v>
      </c>
      <c r="M59">
        <v>-0.03</v>
      </c>
      <c r="N59" s="19" t="s">
        <v>36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22</v>
      </c>
      <c r="D60" s="19" t="s">
        <v>25</v>
      </c>
      <c r="E60" s="19" t="s">
        <v>25</v>
      </c>
      <c r="F60">
        <v>3</v>
      </c>
      <c r="G60">
        <v>4</v>
      </c>
      <c r="H60">
        <v>0.52529999999999999</v>
      </c>
      <c r="I60" s="19" t="s">
        <v>249</v>
      </c>
      <c r="J60" s="19" t="s">
        <v>22</v>
      </c>
      <c r="K60">
        <v>3</v>
      </c>
      <c r="L60">
        <v>2</v>
      </c>
      <c r="M60">
        <v>0.48</v>
      </c>
      <c r="N60" s="19" t="s">
        <v>25</v>
      </c>
      <c r="O60" s="19" t="s">
        <v>284</v>
      </c>
      <c r="P60" s="19" t="s">
        <v>291</v>
      </c>
      <c r="Q60" s="19" t="s">
        <v>287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0.83333333333333337</v>
      </c>
      <c r="C61" s="19" t="s">
        <v>40</v>
      </c>
      <c r="D61" s="19" t="s">
        <v>21</v>
      </c>
      <c r="E61" s="19" t="s">
        <v>40</v>
      </c>
      <c r="F61">
        <v>3</v>
      </c>
      <c r="G61">
        <v>2</v>
      </c>
      <c r="H61">
        <v>0.61360000000000003</v>
      </c>
      <c r="I61" s="19" t="s">
        <v>249</v>
      </c>
      <c r="J61" s="19" t="s">
        <v>21</v>
      </c>
      <c r="K61">
        <v>3</v>
      </c>
      <c r="L61">
        <v>2</v>
      </c>
      <c r="M61">
        <v>-0.28000000000000003</v>
      </c>
      <c r="N61" s="19" t="s">
        <v>21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12</v>
      </c>
      <c r="D62" s="19" t="s">
        <v>11</v>
      </c>
      <c r="E62" s="19" t="s">
        <v>12</v>
      </c>
      <c r="F62">
        <v>4</v>
      </c>
      <c r="G62">
        <v>1</v>
      </c>
      <c r="H62">
        <v>0.94750000000000001</v>
      </c>
      <c r="I62" s="19" t="s">
        <v>249</v>
      </c>
      <c r="J62" s="19" t="s">
        <v>12</v>
      </c>
      <c r="K62">
        <v>3</v>
      </c>
      <c r="L62">
        <v>2</v>
      </c>
      <c r="M62">
        <v>1.69</v>
      </c>
      <c r="N62" s="19" t="s">
        <v>12</v>
      </c>
      <c r="O62" s="19" t="s">
        <v>288</v>
      </c>
      <c r="P62" s="19" t="s">
        <v>284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24</v>
      </c>
      <c r="D64" s="19" t="s">
        <v>37</v>
      </c>
      <c r="E64" s="19" t="s">
        <v>37</v>
      </c>
      <c r="F64">
        <v>2</v>
      </c>
      <c r="G64">
        <v>3</v>
      </c>
      <c r="H64">
        <v>0.68110000000000004</v>
      </c>
      <c r="I64" s="19" t="s">
        <v>249</v>
      </c>
      <c r="J64" s="19" t="s">
        <v>37</v>
      </c>
      <c r="K64">
        <v>3</v>
      </c>
      <c r="L64">
        <v>2</v>
      </c>
      <c r="M64">
        <v>-0.61</v>
      </c>
      <c r="N64" s="19" t="s">
        <v>37</v>
      </c>
      <c r="O64" s="19" t="s">
        <v>289</v>
      </c>
      <c r="P64" s="19" t="s">
        <v>1714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27</v>
      </c>
      <c r="D66" s="19" t="s">
        <v>20</v>
      </c>
      <c r="E66" s="19" t="s">
        <v>27</v>
      </c>
      <c r="F66">
        <v>4</v>
      </c>
      <c r="G66">
        <v>3</v>
      </c>
      <c r="H66">
        <v>0.58589999999999998</v>
      </c>
      <c r="I66" s="19" t="s">
        <v>249</v>
      </c>
      <c r="J66" s="19" t="s">
        <v>27</v>
      </c>
      <c r="K66">
        <v>3</v>
      </c>
      <c r="L66">
        <v>2</v>
      </c>
      <c r="M66">
        <v>0.05</v>
      </c>
      <c r="N66" s="19" t="s">
        <v>20</v>
      </c>
      <c r="O66" s="19" t="s">
        <v>284</v>
      </c>
      <c r="P66" s="19" t="s">
        <v>291</v>
      </c>
      <c r="Q66" s="19" t="s">
        <v>287</v>
      </c>
      <c r="R66" s="19" t="s">
        <v>249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19</v>
      </c>
      <c r="D67" s="19" t="s">
        <v>33</v>
      </c>
      <c r="E67" s="19" t="s">
        <v>19</v>
      </c>
      <c r="F67">
        <v>5</v>
      </c>
      <c r="G67">
        <v>4</v>
      </c>
      <c r="H67">
        <v>0.66810000000000003</v>
      </c>
      <c r="I67" s="19" t="s">
        <v>249</v>
      </c>
      <c r="J67" s="19" t="s">
        <v>19</v>
      </c>
      <c r="K67">
        <v>3</v>
      </c>
      <c r="L67">
        <v>2</v>
      </c>
      <c r="M67">
        <v>0.46</v>
      </c>
      <c r="N67" s="19" t="s">
        <v>33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28</v>
      </c>
      <c r="D74" s="19" t="s">
        <v>20</v>
      </c>
      <c r="E74" s="19" t="s">
        <v>20</v>
      </c>
      <c r="F74">
        <v>3</v>
      </c>
      <c r="G74">
        <v>4</v>
      </c>
      <c r="H74">
        <v>0.65100000000000002</v>
      </c>
      <c r="I74" s="19" t="s">
        <v>248</v>
      </c>
      <c r="J74" s="19" t="s">
        <v>20</v>
      </c>
      <c r="K74">
        <v>3</v>
      </c>
      <c r="L74">
        <v>2</v>
      </c>
      <c r="M74">
        <v>-0.59</v>
      </c>
      <c r="N74" s="19" t="s">
        <v>20</v>
      </c>
      <c r="O74" s="19" t="s">
        <v>284</v>
      </c>
      <c r="P74" s="19" t="s">
        <v>291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27</v>
      </c>
      <c r="D75" s="19" t="s">
        <v>25</v>
      </c>
      <c r="E75" s="19" t="s">
        <v>25</v>
      </c>
      <c r="F75">
        <v>2</v>
      </c>
      <c r="G75">
        <v>3</v>
      </c>
      <c r="H75">
        <v>0.73609999999999998</v>
      </c>
      <c r="I75" s="19" t="s">
        <v>249</v>
      </c>
      <c r="J75" s="19" t="s">
        <v>25</v>
      </c>
      <c r="K75">
        <v>3</v>
      </c>
      <c r="L75">
        <v>2</v>
      </c>
      <c r="M75">
        <v>-0.39</v>
      </c>
      <c r="N75" s="19" t="s">
        <v>25</v>
      </c>
      <c r="O75" s="19" t="s">
        <v>291</v>
      </c>
      <c r="P75" s="19" t="s">
        <v>289</v>
      </c>
      <c r="Q75" s="19" t="s">
        <v>287</v>
      </c>
      <c r="R75" s="19" t="s">
        <v>248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15</v>
      </c>
      <c r="D76" s="19" t="s">
        <v>18</v>
      </c>
      <c r="E76" s="19" t="s">
        <v>18</v>
      </c>
      <c r="F76">
        <v>1</v>
      </c>
      <c r="G76">
        <v>3</v>
      </c>
      <c r="H76">
        <v>0.72430000000000005</v>
      </c>
      <c r="I76" s="19" t="s">
        <v>249</v>
      </c>
      <c r="J76" s="19" t="s">
        <v>15</v>
      </c>
      <c r="K76">
        <v>3</v>
      </c>
      <c r="L76">
        <v>2</v>
      </c>
      <c r="M76">
        <v>0.53</v>
      </c>
      <c r="N76" s="19" t="s">
        <v>15</v>
      </c>
      <c r="O76" s="19" t="s">
        <v>283</v>
      </c>
      <c r="P76" s="19" t="s">
        <v>289</v>
      </c>
      <c r="Q76" s="19" t="s">
        <v>287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40</v>
      </c>
      <c r="D78" s="19" t="s">
        <v>22</v>
      </c>
      <c r="E78" s="19" t="s">
        <v>22</v>
      </c>
      <c r="F78">
        <v>4</v>
      </c>
      <c r="G78">
        <v>5</v>
      </c>
      <c r="H78">
        <v>0.60980000000000001</v>
      </c>
      <c r="I78" s="19" t="s">
        <v>249</v>
      </c>
      <c r="J78" s="19" t="s">
        <v>22</v>
      </c>
      <c r="K78">
        <v>3</v>
      </c>
      <c r="L78">
        <v>2</v>
      </c>
      <c r="M78">
        <v>-1.01</v>
      </c>
      <c r="N78" s="19" t="s">
        <v>40</v>
      </c>
      <c r="O78" s="19" t="s">
        <v>283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0.91666666666666663</v>
      </c>
      <c r="C80" s="19" t="s">
        <v>13</v>
      </c>
      <c r="D80" s="19" t="s">
        <v>16</v>
      </c>
      <c r="E80" s="19" t="s">
        <v>13</v>
      </c>
      <c r="F80">
        <v>3</v>
      </c>
      <c r="G80">
        <v>1</v>
      </c>
      <c r="H80">
        <v>0.80530000000000002</v>
      </c>
      <c r="I80" s="19" t="s">
        <v>249</v>
      </c>
      <c r="J80" s="19" t="s">
        <v>13</v>
      </c>
      <c r="K80">
        <v>3</v>
      </c>
      <c r="L80">
        <v>2</v>
      </c>
      <c r="M80">
        <v>0.77</v>
      </c>
      <c r="N80" s="19" t="s">
        <v>16</v>
      </c>
      <c r="O80" s="19" t="s">
        <v>287</v>
      </c>
      <c r="P80" s="19" t="s">
        <v>284</v>
      </c>
      <c r="Q80" s="19" t="s">
        <v>287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0.625</v>
      </c>
      <c r="C82" s="19" t="s">
        <v>14</v>
      </c>
      <c r="D82" s="19" t="s">
        <v>33</v>
      </c>
      <c r="E82" s="19" t="s">
        <v>33</v>
      </c>
      <c r="F82">
        <v>3</v>
      </c>
      <c r="G82">
        <v>4</v>
      </c>
      <c r="H82">
        <v>0.5595</v>
      </c>
      <c r="I82" s="19" t="s">
        <v>249</v>
      </c>
      <c r="J82" s="19" t="s">
        <v>14</v>
      </c>
      <c r="K82">
        <v>3</v>
      </c>
      <c r="L82">
        <v>2</v>
      </c>
      <c r="M82">
        <v>0.51</v>
      </c>
      <c r="N82" s="19" t="s">
        <v>33</v>
      </c>
      <c r="O82" s="19" t="s">
        <v>283</v>
      </c>
      <c r="P82" s="19" t="s">
        <v>288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0.52083333333333337</v>
      </c>
      <c r="C83" s="19" t="s">
        <v>24</v>
      </c>
      <c r="D83" s="19" t="s">
        <v>31</v>
      </c>
      <c r="E83" s="19" t="s">
        <v>31</v>
      </c>
      <c r="F83">
        <v>3</v>
      </c>
      <c r="G83">
        <v>4</v>
      </c>
      <c r="H83">
        <v>0.55169999999999997</v>
      </c>
      <c r="I83" s="19" t="s">
        <v>249</v>
      </c>
      <c r="J83" s="19" t="s">
        <v>31</v>
      </c>
      <c r="K83">
        <v>3</v>
      </c>
      <c r="L83">
        <v>2</v>
      </c>
      <c r="M83">
        <v>-0.35</v>
      </c>
      <c r="N83" s="19" t="s">
        <v>24</v>
      </c>
      <c r="O83" s="19" t="s">
        <v>289</v>
      </c>
      <c r="P83" s="19" t="s">
        <v>287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0.75</v>
      </c>
      <c r="C86" s="19" t="s">
        <v>34</v>
      </c>
      <c r="D86" s="19" t="s">
        <v>21</v>
      </c>
      <c r="E86" s="19" t="s">
        <v>21</v>
      </c>
      <c r="F86">
        <v>3</v>
      </c>
      <c r="G86">
        <v>4</v>
      </c>
      <c r="H86">
        <v>0.61240000000000006</v>
      </c>
      <c r="I86" s="19" t="s">
        <v>249</v>
      </c>
      <c r="J86" s="19" t="s">
        <v>21</v>
      </c>
      <c r="K86">
        <v>3</v>
      </c>
      <c r="L86">
        <v>2</v>
      </c>
      <c r="M86">
        <v>-0.06</v>
      </c>
      <c r="N86" s="19" t="s">
        <v>34</v>
      </c>
      <c r="O86" s="19" t="s">
        <v>288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0.625</v>
      </c>
      <c r="C89" s="19" t="s">
        <v>14</v>
      </c>
      <c r="D89" s="19" t="s">
        <v>55</v>
      </c>
      <c r="E89" s="19" t="s">
        <v>14</v>
      </c>
      <c r="F89">
        <v>4</v>
      </c>
      <c r="G89">
        <v>3</v>
      </c>
      <c r="H89">
        <v>0.66879999999999995</v>
      </c>
      <c r="I89" s="19" t="s">
        <v>249</v>
      </c>
      <c r="J89" s="19" t="s">
        <v>14</v>
      </c>
      <c r="K89">
        <v>3</v>
      </c>
      <c r="L89">
        <v>2</v>
      </c>
      <c r="M89">
        <v>0.05</v>
      </c>
      <c r="N89" s="19" t="s">
        <v>55</v>
      </c>
      <c r="O89" s="19" t="s">
        <v>289</v>
      </c>
      <c r="P89" s="19" t="s">
        <v>283</v>
      </c>
      <c r="Q89" s="19" t="s">
        <v>287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21</v>
      </c>
      <c r="D99" s="19" t="s">
        <v>55</v>
      </c>
      <c r="E99" s="19" t="s">
        <v>21</v>
      </c>
      <c r="F99">
        <v>4</v>
      </c>
      <c r="G99">
        <v>3</v>
      </c>
      <c r="H99">
        <v>0.66569999999999996</v>
      </c>
      <c r="I99" s="19" t="s">
        <v>249</v>
      </c>
      <c r="J99" s="19" t="s">
        <v>21</v>
      </c>
      <c r="K99">
        <v>3</v>
      </c>
      <c r="L99">
        <v>2</v>
      </c>
      <c r="M99">
        <v>0.17</v>
      </c>
      <c r="N99" s="19" t="s">
        <v>21</v>
      </c>
      <c r="O99" s="19" t="s">
        <v>289</v>
      </c>
      <c r="P99" s="19" t="s">
        <v>287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19</v>
      </c>
      <c r="D103" s="19" t="s">
        <v>10</v>
      </c>
      <c r="E103" s="19" t="s">
        <v>19</v>
      </c>
      <c r="F103">
        <v>4</v>
      </c>
      <c r="G103">
        <v>3</v>
      </c>
      <c r="H103">
        <v>0.54720000000000002</v>
      </c>
      <c r="I103" s="19" t="s">
        <v>248</v>
      </c>
      <c r="J103" s="19" t="s">
        <v>19</v>
      </c>
      <c r="K103">
        <v>3</v>
      </c>
      <c r="L103">
        <v>2</v>
      </c>
      <c r="M103">
        <v>0.32</v>
      </c>
      <c r="N103" s="19" t="s">
        <v>19</v>
      </c>
      <c r="O103" s="19" t="s">
        <v>291</v>
      </c>
      <c r="P103" s="19" t="s">
        <v>284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0.8125</v>
      </c>
      <c r="C119" s="19" t="s">
        <v>23</v>
      </c>
      <c r="D119" s="19" t="s">
        <v>27</v>
      </c>
      <c r="E119" s="19" t="s">
        <v>27</v>
      </c>
      <c r="F119">
        <v>2</v>
      </c>
      <c r="G119">
        <v>3</v>
      </c>
      <c r="H119">
        <v>0.50270000000000004</v>
      </c>
      <c r="I119" s="19" t="s">
        <v>249</v>
      </c>
      <c r="J119" s="19" t="s">
        <v>27</v>
      </c>
      <c r="K119">
        <v>3</v>
      </c>
      <c r="L119">
        <v>2</v>
      </c>
      <c r="M119">
        <v>-0.48</v>
      </c>
      <c r="N119" s="19" t="s">
        <v>23</v>
      </c>
      <c r="O119" s="19" t="s">
        <v>283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21</v>
      </c>
      <c r="D129" s="19" t="s">
        <v>38</v>
      </c>
      <c r="E129" s="19" t="s">
        <v>38</v>
      </c>
      <c r="F129">
        <v>3</v>
      </c>
      <c r="G129">
        <v>4</v>
      </c>
      <c r="H129">
        <v>0.5171</v>
      </c>
      <c r="I129" s="19" t="s">
        <v>249</v>
      </c>
      <c r="J129" s="19" t="s">
        <v>21</v>
      </c>
      <c r="K129">
        <v>3</v>
      </c>
      <c r="L129">
        <v>2</v>
      </c>
      <c r="M129">
        <v>0.75</v>
      </c>
      <c r="N129" s="19" t="s">
        <v>38</v>
      </c>
      <c r="O129" s="19" t="s">
        <v>289</v>
      </c>
      <c r="P129" s="19" t="s">
        <v>283</v>
      </c>
      <c r="Q129" s="19" t="s">
        <v>287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35</v>
      </c>
      <c r="O131" s="19" t="s">
        <v>284</v>
      </c>
      <c r="P131" s="19" t="s">
        <v>288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0.70833333333333337</v>
      </c>
      <c r="C133" s="19" t="s">
        <v>23</v>
      </c>
      <c r="D133" s="19" t="s">
        <v>30</v>
      </c>
      <c r="E133" s="19" t="s">
        <v>30</v>
      </c>
      <c r="F133">
        <v>2</v>
      </c>
      <c r="G133">
        <v>3</v>
      </c>
      <c r="H133">
        <v>0.63270000000000004</v>
      </c>
      <c r="I133" s="19" t="s">
        <v>249</v>
      </c>
      <c r="J133" s="19" t="s">
        <v>30</v>
      </c>
      <c r="K133">
        <v>3</v>
      </c>
      <c r="L133">
        <v>2</v>
      </c>
      <c r="M133">
        <v>-0.45</v>
      </c>
      <c r="N133" s="19" t="s">
        <v>23</v>
      </c>
      <c r="O133" s="19" t="s">
        <v>291</v>
      </c>
      <c r="P133" s="19" t="s">
        <v>284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36</v>
      </c>
      <c r="D135" s="19" t="s">
        <v>10</v>
      </c>
      <c r="E135" s="19" t="s">
        <v>36</v>
      </c>
      <c r="F135">
        <v>3</v>
      </c>
      <c r="G135">
        <v>2</v>
      </c>
      <c r="H135">
        <v>0.54479999999999995</v>
      </c>
      <c r="I135" s="19" t="s">
        <v>249</v>
      </c>
      <c r="J135" s="19" t="s">
        <v>36</v>
      </c>
      <c r="K135">
        <v>3</v>
      </c>
      <c r="L135">
        <v>2</v>
      </c>
      <c r="M135">
        <v>0.51</v>
      </c>
      <c r="N135" s="19" t="s">
        <v>36</v>
      </c>
      <c r="O135" s="19" t="s">
        <v>288</v>
      </c>
      <c r="P135" s="19" t="s">
        <v>289</v>
      </c>
      <c r="Q135" s="19" t="s">
        <v>285</v>
      </c>
      <c r="R135" s="19" t="s">
        <v>248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18</v>
      </c>
      <c r="D137" s="19" t="s">
        <v>14</v>
      </c>
      <c r="E137" s="19" t="s">
        <v>14</v>
      </c>
      <c r="F137">
        <v>3</v>
      </c>
      <c r="G137">
        <v>4</v>
      </c>
      <c r="H137">
        <v>0.5988</v>
      </c>
      <c r="I137" s="19" t="s">
        <v>249</v>
      </c>
      <c r="J137" s="19" t="s">
        <v>14</v>
      </c>
      <c r="K137">
        <v>3</v>
      </c>
      <c r="L137">
        <v>2</v>
      </c>
      <c r="M137">
        <v>-0.11</v>
      </c>
      <c r="N137" s="19" t="s">
        <v>18</v>
      </c>
      <c r="O137" s="19" t="s">
        <v>289</v>
      </c>
      <c r="P137" s="19" t="s">
        <v>285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24</v>
      </c>
      <c r="D138" s="19" t="s">
        <v>23</v>
      </c>
      <c r="E138" s="19" t="s">
        <v>24</v>
      </c>
      <c r="F138">
        <v>4</v>
      </c>
      <c r="G138">
        <v>3</v>
      </c>
      <c r="H138">
        <v>0.79630000000000001</v>
      </c>
      <c r="I138" s="19" t="s">
        <v>249</v>
      </c>
      <c r="J138" s="19" t="s">
        <v>24</v>
      </c>
      <c r="K138">
        <v>3</v>
      </c>
      <c r="L138">
        <v>2</v>
      </c>
      <c r="M138">
        <v>0.14000000000000001</v>
      </c>
      <c r="N138" s="19" t="s">
        <v>23</v>
      </c>
      <c r="O138" s="19" t="s">
        <v>287</v>
      </c>
      <c r="P138" s="19" t="s">
        <v>291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0.54166666666666663</v>
      </c>
      <c r="C141" s="19" t="s">
        <v>26</v>
      </c>
      <c r="D141" s="19" t="s">
        <v>22</v>
      </c>
      <c r="E141" s="19" t="s">
        <v>26</v>
      </c>
      <c r="F141">
        <v>5</v>
      </c>
      <c r="G141">
        <v>4</v>
      </c>
      <c r="H141">
        <v>0.50509999999999999</v>
      </c>
      <c r="I141" s="19" t="s">
        <v>249</v>
      </c>
      <c r="J141" s="19" t="s">
        <v>22</v>
      </c>
      <c r="K141">
        <v>3</v>
      </c>
      <c r="L141">
        <v>2</v>
      </c>
      <c r="M141">
        <v>-0.73</v>
      </c>
      <c r="N141" s="19" t="s">
        <v>26</v>
      </c>
      <c r="O141" s="19" t="s">
        <v>291</v>
      </c>
      <c r="P141" s="19" t="s">
        <v>284</v>
      </c>
      <c r="Q141" s="19" t="s">
        <v>287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14</v>
      </c>
      <c r="D144" s="19" t="s">
        <v>18</v>
      </c>
      <c r="E144" s="19" t="s">
        <v>18</v>
      </c>
      <c r="F144">
        <v>2</v>
      </c>
      <c r="G144">
        <v>4</v>
      </c>
      <c r="H144">
        <v>0.80289999999999995</v>
      </c>
      <c r="I144" s="19" t="s">
        <v>249</v>
      </c>
      <c r="J144" s="19" t="s">
        <v>14</v>
      </c>
      <c r="K144">
        <v>3</v>
      </c>
      <c r="L144">
        <v>2</v>
      </c>
      <c r="M144">
        <v>0.01</v>
      </c>
      <c r="N144" s="19" t="s">
        <v>14</v>
      </c>
      <c r="O144" s="19" t="s">
        <v>289</v>
      </c>
      <c r="P144" s="19" t="s">
        <v>291</v>
      </c>
      <c r="Q144" s="19" t="s">
        <v>287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31</v>
      </c>
      <c r="D148" s="19" t="s">
        <v>32</v>
      </c>
      <c r="E148" s="19" t="s">
        <v>31</v>
      </c>
      <c r="F148">
        <v>5</v>
      </c>
      <c r="G148">
        <v>1</v>
      </c>
      <c r="H148">
        <v>0.85919999999999996</v>
      </c>
      <c r="I148" s="19" t="s">
        <v>249</v>
      </c>
      <c r="J148" s="19" t="s">
        <v>31</v>
      </c>
      <c r="K148">
        <v>3</v>
      </c>
      <c r="L148">
        <v>2</v>
      </c>
      <c r="M148">
        <v>0.88</v>
      </c>
      <c r="N148" s="19" t="s">
        <v>32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13</v>
      </c>
      <c r="D149" s="19" t="s">
        <v>28</v>
      </c>
      <c r="E149" s="19" t="s">
        <v>13</v>
      </c>
      <c r="F149">
        <v>4</v>
      </c>
      <c r="G149">
        <v>2</v>
      </c>
      <c r="H149">
        <v>0.52090000000000003</v>
      </c>
      <c r="I149" s="19" t="s">
        <v>249</v>
      </c>
      <c r="J149" s="19" t="s">
        <v>13</v>
      </c>
      <c r="K149">
        <v>3</v>
      </c>
      <c r="L149">
        <v>2</v>
      </c>
      <c r="M149">
        <v>0.55000000000000004</v>
      </c>
      <c r="N149" s="19" t="s">
        <v>28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25</v>
      </c>
      <c r="D151" s="19" t="s">
        <v>11</v>
      </c>
      <c r="E151" s="19" t="s">
        <v>25</v>
      </c>
      <c r="F151">
        <v>4</v>
      </c>
      <c r="G151">
        <v>3</v>
      </c>
      <c r="H151">
        <v>0.5484</v>
      </c>
      <c r="I151" s="19" t="s">
        <v>249</v>
      </c>
      <c r="J151" s="19" t="s">
        <v>25</v>
      </c>
      <c r="K151">
        <v>3</v>
      </c>
      <c r="L151">
        <v>2</v>
      </c>
      <c r="M151">
        <v>0.6</v>
      </c>
      <c r="N151" s="19" t="s">
        <v>11</v>
      </c>
      <c r="O151" s="19" t="s">
        <v>284</v>
      </c>
      <c r="P151" s="19" t="s">
        <v>283</v>
      </c>
      <c r="Q151" s="19" t="s">
        <v>285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36</v>
      </c>
      <c r="D153" s="19" t="s">
        <v>23</v>
      </c>
      <c r="E153" s="19" t="s">
        <v>36</v>
      </c>
      <c r="F153">
        <v>4</v>
      </c>
      <c r="G153">
        <v>3</v>
      </c>
      <c r="H153">
        <v>0.72799999999999998</v>
      </c>
      <c r="I153" s="19" t="s">
        <v>249</v>
      </c>
      <c r="J153" s="19" t="s">
        <v>36</v>
      </c>
      <c r="K153">
        <v>3</v>
      </c>
      <c r="L153">
        <v>2</v>
      </c>
      <c r="M153">
        <v>0.38</v>
      </c>
      <c r="N153" s="19" t="s">
        <v>23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17</v>
      </c>
      <c r="D155" s="19" t="s">
        <v>16</v>
      </c>
      <c r="E155" s="19" t="s">
        <v>16</v>
      </c>
      <c r="F155">
        <v>3</v>
      </c>
      <c r="G155">
        <v>4</v>
      </c>
      <c r="H155">
        <v>0.622</v>
      </c>
      <c r="I155" s="19" t="s">
        <v>248</v>
      </c>
      <c r="J155" s="19" t="s">
        <v>17</v>
      </c>
      <c r="K155">
        <v>3</v>
      </c>
      <c r="L155">
        <v>2</v>
      </c>
      <c r="M155">
        <v>0.43</v>
      </c>
      <c r="N155" s="19" t="s">
        <v>17</v>
      </c>
      <c r="O155" s="19" t="s">
        <v>283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22</v>
      </c>
      <c r="D156" s="19" t="s">
        <v>15</v>
      </c>
      <c r="E156" s="19" t="s">
        <v>15</v>
      </c>
      <c r="F156">
        <v>3</v>
      </c>
      <c r="G156">
        <v>4</v>
      </c>
      <c r="H156">
        <v>0.76980000000000004</v>
      </c>
      <c r="I156" s="19" t="s">
        <v>249</v>
      </c>
      <c r="J156" s="19" t="s">
        <v>22</v>
      </c>
      <c r="K156">
        <v>3</v>
      </c>
      <c r="L156">
        <v>2</v>
      </c>
      <c r="M156">
        <v>0.68</v>
      </c>
      <c r="N156" s="19" t="s">
        <v>15</v>
      </c>
      <c r="O156" s="19" t="s">
        <v>291</v>
      </c>
      <c r="P156" s="19" t="s">
        <v>292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0.83333333333333337</v>
      </c>
      <c r="C157" s="19" t="s">
        <v>34</v>
      </c>
      <c r="D157" s="19" t="s">
        <v>29</v>
      </c>
      <c r="E157" s="19" t="s">
        <v>34</v>
      </c>
      <c r="F157">
        <v>4</v>
      </c>
      <c r="G157">
        <v>3</v>
      </c>
      <c r="H157">
        <v>0.87450000000000006</v>
      </c>
      <c r="I157" s="19" t="s">
        <v>248</v>
      </c>
      <c r="J157" s="19" t="s">
        <v>34</v>
      </c>
      <c r="K157">
        <v>3</v>
      </c>
      <c r="L157">
        <v>2</v>
      </c>
      <c r="M157">
        <v>1.08</v>
      </c>
      <c r="N157" s="19" t="s">
        <v>29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0.91666666666666663</v>
      </c>
      <c r="C159" s="19" t="s">
        <v>13</v>
      </c>
      <c r="D159" s="19" t="s">
        <v>32</v>
      </c>
      <c r="E159" s="19" t="s">
        <v>32</v>
      </c>
      <c r="F159">
        <v>2</v>
      </c>
      <c r="G159">
        <v>3</v>
      </c>
      <c r="H159">
        <v>0.58230000000000004</v>
      </c>
      <c r="I159" s="19" t="s">
        <v>249</v>
      </c>
      <c r="J159" s="19" t="s">
        <v>13</v>
      </c>
      <c r="K159">
        <v>3</v>
      </c>
      <c r="L159">
        <v>2</v>
      </c>
      <c r="M159">
        <v>0.54</v>
      </c>
      <c r="N159" s="19" t="s">
        <v>32</v>
      </c>
      <c r="O159" s="19" t="s">
        <v>284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18</v>
      </c>
      <c r="O160" s="19" t="s">
        <v>284</v>
      </c>
      <c r="P160" s="19" t="s">
        <v>288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20</v>
      </c>
      <c r="D164" s="19" t="s">
        <v>12</v>
      </c>
      <c r="E164" s="19" t="s">
        <v>12</v>
      </c>
      <c r="F164">
        <v>2</v>
      </c>
      <c r="G164">
        <v>4</v>
      </c>
      <c r="H164">
        <v>0.76419999999999999</v>
      </c>
      <c r="I164" s="19" t="s">
        <v>249</v>
      </c>
      <c r="J164" s="19" t="s">
        <v>12</v>
      </c>
      <c r="K164">
        <v>3</v>
      </c>
      <c r="L164">
        <v>2</v>
      </c>
      <c r="M164">
        <v>-1.46</v>
      </c>
      <c r="N164" s="19" t="s">
        <v>12</v>
      </c>
      <c r="O164" s="19" t="s">
        <v>283</v>
      </c>
      <c r="P164" s="19" t="s">
        <v>288</v>
      </c>
      <c r="Q164" s="19" t="s">
        <v>287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16</v>
      </c>
      <c r="D167" s="19" t="s">
        <v>17</v>
      </c>
      <c r="E167" s="19" t="s">
        <v>16</v>
      </c>
      <c r="F167">
        <v>4</v>
      </c>
      <c r="G167">
        <v>3</v>
      </c>
      <c r="H167">
        <v>0.62190000000000001</v>
      </c>
      <c r="I167" s="19" t="s">
        <v>249</v>
      </c>
      <c r="J167" s="19" t="s">
        <v>17</v>
      </c>
      <c r="K167">
        <v>3</v>
      </c>
      <c r="L167">
        <v>2</v>
      </c>
      <c r="M167">
        <v>-0.48</v>
      </c>
      <c r="N167" s="19" t="s">
        <v>16</v>
      </c>
      <c r="O167" s="19" t="s">
        <v>291</v>
      </c>
      <c r="P167" s="19" t="s">
        <v>284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0.875</v>
      </c>
      <c r="C168" s="19" t="s">
        <v>13</v>
      </c>
      <c r="D168" s="19" t="s">
        <v>31</v>
      </c>
      <c r="E168" s="19" t="s">
        <v>31</v>
      </c>
      <c r="F168">
        <v>4</v>
      </c>
      <c r="G168">
        <v>5</v>
      </c>
      <c r="H168">
        <v>0.62739999999999996</v>
      </c>
      <c r="I168" s="19" t="s">
        <v>249</v>
      </c>
      <c r="J168" s="19" t="s">
        <v>31</v>
      </c>
      <c r="K168">
        <v>3</v>
      </c>
      <c r="L168">
        <v>2</v>
      </c>
      <c r="M168">
        <v>-0.17</v>
      </c>
      <c r="N168" s="19" t="s">
        <v>13</v>
      </c>
      <c r="O168" s="19" t="s">
        <v>288</v>
      </c>
      <c r="P168" s="19" t="s">
        <v>287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37</v>
      </c>
      <c r="O170" s="19" t="s">
        <v>284</v>
      </c>
      <c r="P170" s="19" t="s">
        <v>289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39</v>
      </c>
      <c r="D171" s="19" t="s">
        <v>10</v>
      </c>
      <c r="E171" s="19" t="s">
        <v>39</v>
      </c>
      <c r="F171">
        <v>5</v>
      </c>
      <c r="G171">
        <v>1</v>
      </c>
      <c r="H171">
        <v>0.71579999999999999</v>
      </c>
      <c r="I171" s="19" t="s">
        <v>249</v>
      </c>
      <c r="J171" s="19" t="s">
        <v>39</v>
      </c>
      <c r="K171">
        <v>3</v>
      </c>
      <c r="L171">
        <v>2</v>
      </c>
      <c r="M171">
        <v>1.45</v>
      </c>
      <c r="N171" s="19" t="s">
        <v>10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40</v>
      </c>
      <c r="D174" s="19" t="s">
        <v>34</v>
      </c>
      <c r="E174" s="19" t="s">
        <v>34</v>
      </c>
      <c r="F174">
        <v>2</v>
      </c>
      <c r="G174">
        <v>3</v>
      </c>
      <c r="H174">
        <v>0.83430000000000004</v>
      </c>
      <c r="I174" s="19" t="s">
        <v>249</v>
      </c>
      <c r="J174" s="19" t="s">
        <v>34</v>
      </c>
      <c r="K174">
        <v>3</v>
      </c>
      <c r="L174">
        <v>2</v>
      </c>
      <c r="M174">
        <v>-0.52</v>
      </c>
      <c r="N174" s="19" t="s">
        <v>34</v>
      </c>
      <c r="O174" s="19" t="s">
        <v>291</v>
      </c>
      <c r="P174" s="19" t="s">
        <v>289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0.83333333333333337</v>
      </c>
      <c r="C175" s="19" t="s">
        <v>35</v>
      </c>
      <c r="D175" s="19" t="s">
        <v>29</v>
      </c>
      <c r="E175" s="19" t="s">
        <v>29</v>
      </c>
      <c r="F175">
        <v>3</v>
      </c>
      <c r="G175">
        <v>4</v>
      </c>
      <c r="H175">
        <v>0.75290000000000001</v>
      </c>
      <c r="I175" s="19" t="s">
        <v>249</v>
      </c>
      <c r="J175" s="19" t="s">
        <v>29</v>
      </c>
      <c r="K175">
        <v>3</v>
      </c>
      <c r="L175">
        <v>2</v>
      </c>
      <c r="M175">
        <v>-0.54</v>
      </c>
      <c r="N175" s="19" t="s">
        <v>35</v>
      </c>
      <c r="O175" s="19" t="s">
        <v>291</v>
      </c>
      <c r="P175" s="19" t="s">
        <v>284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24</v>
      </c>
      <c r="D176" s="19" t="s">
        <v>22</v>
      </c>
      <c r="E176" s="19" t="s">
        <v>24</v>
      </c>
      <c r="F176">
        <v>4</v>
      </c>
      <c r="G176">
        <v>3</v>
      </c>
      <c r="H176">
        <v>0.60270000000000001</v>
      </c>
      <c r="I176" s="19" t="s">
        <v>249</v>
      </c>
      <c r="J176" s="19" t="s">
        <v>22</v>
      </c>
      <c r="K176">
        <v>3</v>
      </c>
      <c r="L176">
        <v>2</v>
      </c>
      <c r="M176">
        <v>-0.38</v>
      </c>
      <c r="N176" s="19" t="s">
        <v>22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55</v>
      </c>
      <c r="D183" s="19" t="s">
        <v>29</v>
      </c>
      <c r="E183" s="19" t="s">
        <v>55</v>
      </c>
      <c r="F183">
        <v>4</v>
      </c>
      <c r="G183">
        <v>2</v>
      </c>
      <c r="H183">
        <v>0.71530000000000005</v>
      </c>
      <c r="I183" s="19" t="s">
        <v>249</v>
      </c>
      <c r="J183" s="19" t="s">
        <v>55</v>
      </c>
      <c r="K183">
        <v>3</v>
      </c>
      <c r="L183">
        <v>2</v>
      </c>
      <c r="M183">
        <v>0.66</v>
      </c>
      <c r="N183" s="19" t="s">
        <v>29</v>
      </c>
      <c r="O183" s="19" t="s">
        <v>291</v>
      </c>
      <c r="P183" s="19" t="s">
        <v>289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0.83333333333333337</v>
      </c>
      <c r="C184" s="19" t="s">
        <v>35</v>
      </c>
      <c r="D184" s="19" t="s">
        <v>23</v>
      </c>
      <c r="E184" s="19" t="s">
        <v>35</v>
      </c>
      <c r="F184">
        <v>4</v>
      </c>
      <c r="G184">
        <v>3</v>
      </c>
      <c r="H184">
        <v>0.57420000000000004</v>
      </c>
      <c r="I184" s="19" t="s">
        <v>249</v>
      </c>
      <c r="J184" s="19" t="s">
        <v>23</v>
      </c>
      <c r="K184">
        <v>3</v>
      </c>
      <c r="L184">
        <v>2</v>
      </c>
      <c r="M184">
        <v>-0.86</v>
      </c>
      <c r="N184" s="19" t="s">
        <v>23</v>
      </c>
      <c r="O184" s="19" t="s">
        <v>284</v>
      </c>
      <c r="P184" s="19" t="s">
        <v>289</v>
      </c>
      <c r="Q184" s="19" t="s">
        <v>285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20</v>
      </c>
      <c r="D187" s="19" t="s">
        <v>34</v>
      </c>
      <c r="E187" s="19" t="s">
        <v>34</v>
      </c>
      <c r="F187">
        <v>3</v>
      </c>
      <c r="G187">
        <v>4</v>
      </c>
      <c r="H187">
        <v>0.59099999999999997</v>
      </c>
      <c r="I187" s="19" t="s">
        <v>249</v>
      </c>
      <c r="J187" s="19" t="s">
        <v>34</v>
      </c>
      <c r="K187">
        <v>3</v>
      </c>
      <c r="L187">
        <v>2</v>
      </c>
      <c r="M187">
        <v>-0.21</v>
      </c>
      <c r="N187" s="19" t="s">
        <v>34</v>
      </c>
      <c r="O187" s="19" t="s">
        <v>284</v>
      </c>
      <c r="P187" s="19" t="s">
        <v>283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16</v>
      </c>
      <c r="D189" s="19" t="s">
        <v>21</v>
      </c>
      <c r="E189" s="19" t="s">
        <v>16</v>
      </c>
      <c r="F189">
        <v>4</v>
      </c>
      <c r="G189">
        <v>2</v>
      </c>
      <c r="H189">
        <v>0.67530000000000001</v>
      </c>
      <c r="I189" s="19" t="s">
        <v>249</v>
      </c>
      <c r="J189" s="19" t="s">
        <v>21</v>
      </c>
      <c r="K189">
        <v>3</v>
      </c>
      <c r="L189">
        <v>2</v>
      </c>
      <c r="M189">
        <v>-0.24</v>
      </c>
      <c r="N189" s="19" t="s">
        <v>16</v>
      </c>
      <c r="O189" s="19" t="s">
        <v>284</v>
      </c>
      <c r="P189" s="19" t="s">
        <v>287</v>
      </c>
      <c r="Q189" s="19" t="s">
        <v>287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60</v>
      </c>
      <c r="O193" s="19" t="s">
        <v>60</v>
      </c>
      <c r="P193" s="19" t="s">
        <v>60</v>
      </c>
      <c r="Q193" s="19" t="s">
        <v>60</v>
      </c>
      <c r="R193" s="19" t="s">
        <v>60</v>
      </c>
      <c r="S193" s="19" t="s">
        <v>60</v>
      </c>
      <c r="T193" s="19" t="s">
        <v>281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60</v>
      </c>
      <c r="O194" s="19" t="s">
        <v>60</v>
      </c>
      <c r="P194" s="19" t="s">
        <v>60</v>
      </c>
      <c r="Q194" s="19" t="s">
        <v>60</v>
      </c>
      <c r="R194" s="19" t="s">
        <v>60</v>
      </c>
      <c r="S194" s="19" t="s">
        <v>60</v>
      </c>
      <c r="T194" s="19" t="s">
        <v>281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60</v>
      </c>
      <c r="O195" s="19" t="s">
        <v>60</v>
      </c>
      <c r="P195" s="19" t="s">
        <v>60</v>
      </c>
      <c r="Q195" s="19" t="s">
        <v>60</v>
      </c>
      <c r="R195" s="19" t="s">
        <v>60</v>
      </c>
      <c r="S195" s="19" t="s">
        <v>60</v>
      </c>
      <c r="T195" s="19" t="s">
        <v>281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60</v>
      </c>
      <c r="O196" s="19" t="s">
        <v>60</v>
      </c>
      <c r="P196" s="19" t="s">
        <v>60</v>
      </c>
      <c r="Q196" s="19" t="s">
        <v>60</v>
      </c>
      <c r="R196" s="19" t="s">
        <v>60</v>
      </c>
      <c r="S196" s="19" t="s">
        <v>60</v>
      </c>
      <c r="T196" s="19" t="s">
        <v>281</v>
      </c>
    </row>
    <row r="197" spans="1:20" x14ac:dyDescent="0.2">
      <c r="A197" s="1">
        <v>46021</v>
      </c>
      <c r="B197" s="2">
        <v>0.91666666666666663</v>
      </c>
      <c r="C197" s="19" t="s">
        <v>38</v>
      </c>
      <c r="D197" s="19" t="s">
        <v>27</v>
      </c>
      <c r="E197" s="19" t="s">
        <v>27</v>
      </c>
      <c r="F197">
        <v>2</v>
      </c>
      <c r="G197">
        <v>4</v>
      </c>
      <c r="H197">
        <v>0.77549999999999997</v>
      </c>
      <c r="I197" s="19" t="s">
        <v>249</v>
      </c>
      <c r="J197" s="19" t="s">
        <v>27</v>
      </c>
      <c r="K197">
        <v>3</v>
      </c>
      <c r="L197">
        <v>2</v>
      </c>
      <c r="M197">
        <v>-0.59</v>
      </c>
      <c r="N197" s="19" t="s">
        <v>60</v>
      </c>
      <c r="O197" s="19" t="s">
        <v>60</v>
      </c>
      <c r="P197" s="19" t="s">
        <v>60</v>
      </c>
      <c r="Q197" s="19" t="s">
        <v>60</v>
      </c>
      <c r="R197" s="19" t="s">
        <v>60</v>
      </c>
      <c r="S197" s="19" t="s">
        <v>60</v>
      </c>
      <c r="T19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2182</v>
      </c>
      <c r="W2" s="19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2183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2184</v>
      </c>
      <c r="W4" s="19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342</v>
      </c>
      <c r="C5">
        <v>30</v>
      </c>
      <c r="D5" s="19" t="s">
        <v>328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2185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333</v>
      </c>
      <c r="C6">
        <v>29</v>
      </c>
      <c r="D6" s="19" t="s">
        <v>334</v>
      </c>
      <c r="E6" s="19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2186</v>
      </c>
      <c r="W6" s="19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352</v>
      </c>
      <c r="C7">
        <v>32</v>
      </c>
      <c r="D7" s="19" t="s">
        <v>353</v>
      </c>
      <c r="E7" s="19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s="19" t="s">
        <v>2641</v>
      </c>
      <c r="W7" s="19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s="19" t="s">
        <v>2187</v>
      </c>
      <c r="W8" s="19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s="19" t="s">
        <v>60</v>
      </c>
    </row>
    <row r="9" spans="1:31" x14ac:dyDescent="0.2">
      <c r="A9">
        <v>8</v>
      </c>
      <c r="B9" s="19" t="s">
        <v>358</v>
      </c>
      <c r="C9">
        <v>28</v>
      </c>
      <c r="D9" s="19" t="s">
        <v>359</v>
      </c>
      <c r="E9" s="1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2189</v>
      </c>
      <c r="W9" s="1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369</v>
      </c>
      <c r="C10">
        <v>24</v>
      </c>
      <c r="D10" s="19" t="s">
        <v>359</v>
      </c>
      <c r="E10" s="19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2190</v>
      </c>
      <c r="W10" s="19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347</v>
      </c>
      <c r="C11">
        <v>29</v>
      </c>
      <c r="D11" s="19" t="s">
        <v>346</v>
      </c>
      <c r="E11" s="19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2192</v>
      </c>
      <c r="W11" s="19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350</v>
      </c>
      <c r="C12">
        <v>22</v>
      </c>
      <c r="D12" s="19" t="s">
        <v>334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2193</v>
      </c>
      <c r="W12" s="19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2194</v>
      </c>
      <c r="W13" s="19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2195</v>
      </c>
      <c r="W14" s="19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329</v>
      </c>
      <c r="C15">
        <v>20</v>
      </c>
      <c r="D15" s="19" t="s">
        <v>330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1759</v>
      </c>
      <c r="W15" s="19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2196</v>
      </c>
      <c r="W16" s="19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336</v>
      </c>
      <c r="C17">
        <v>21</v>
      </c>
      <c r="D17" s="19" t="s">
        <v>337</v>
      </c>
      <c r="E17" s="19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s="19" t="s">
        <v>2030</v>
      </c>
      <c r="W17" s="19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s="19" t="s">
        <v>60</v>
      </c>
    </row>
    <row r="18" spans="1:31" x14ac:dyDescent="0.2">
      <c r="A18">
        <v>17</v>
      </c>
      <c r="B18" s="19" t="s">
        <v>374</v>
      </c>
      <c r="C18">
        <v>37</v>
      </c>
      <c r="D18" s="19" t="s">
        <v>375</v>
      </c>
      <c r="E18" s="19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s="19" t="s">
        <v>2198</v>
      </c>
      <c r="W18" s="19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s="19" t="s">
        <v>60</v>
      </c>
    </row>
    <row r="19" spans="1:31" x14ac:dyDescent="0.2">
      <c r="A19">
        <v>18</v>
      </c>
      <c r="B19" s="19" t="s">
        <v>376</v>
      </c>
      <c r="C19">
        <v>23</v>
      </c>
      <c r="D19" s="19" t="s">
        <v>373</v>
      </c>
      <c r="E19" s="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s="19" t="s">
        <v>2642</v>
      </c>
      <c r="W19" s="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s="19" t="s">
        <v>60</v>
      </c>
    </row>
    <row r="20" spans="1:31" x14ac:dyDescent="0.2">
      <c r="A20">
        <v>19</v>
      </c>
      <c r="B20" s="19" t="s">
        <v>364</v>
      </c>
      <c r="C20">
        <v>26</v>
      </c>
      <c r="D20" s="19" t="s">
        <v>365</v>
      </c>
      <c r="E20" s="19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s="19" t="s">
        <v>2643</v>
      </c>
      <c r="W20" s="19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s="19" t="s">
        <v>60</v>
      </c>
    </row>
    <row r="21" spans="1:31" x14ac:dyDescent="0.2">
      <c r="A21">
        <v>20</v>
      </c>
      <c r="B21" s="19" t="s">
        <v>343</v>
      </c>
      <c r="C21">
        <v>29</v>
      </c>
      <c r="D21" s="19" t="s">
        <v>344</v>
      </c>
      <c r="E21" s="19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s="19" t="s">
        <v>1762</v>
      </c>
      <c r="W21" s="19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s="19" t="s">
        <v>60</v>
      </c>
    </row>
    <row r="22" spans="1:31" x14ac:dyDescent="0.2">
      <c r="A22">
        <v>21</v>
      </c>
      <c r="B22" s="19" t="s">
        <v>360</v>
      </c>
      <c r="C22">
        <v>29</v>
      </c>
      <c r="D22" s="19" t="s">
        <v>361</v>
      </c>
      <c r="E22" s="19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s="19" t="s">
        <v>2199</v>
      </c>
      <c r="W22" s="19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s="19" t="s">
        <v>60</v>
      </c>
    </row>
    <row r="23" spans="1:31" x14ac:dyDescent="0.2">
      <c r="A23">
        <v>22</v>
      </c>
      <c r="B23" s="19" t="s">
        <v>392</v>
      </c>
      <c r="C23">
        <v>29</v>
      </c>
      <c r="D23" s="19" t="s">
        <v>356</v>
      </c>
      <c r="E23" s="19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s="19" t="s">
        <v>2200</v>
      </c>
      <c r="W23" s="19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s="19" t="s">
        <v>60</v>
      </c>
    </row>
    <row r="24" spans="1:31" x14ac:dyDescent="0.2">
      <c r="A24">
        <v>23</v>
      </c>
      <c r="B24" s="19" t="s">
        <v>380</v>
      </c>
      <c r="C24">
        <v>28</v>
      </c>
      <c r="D24" s="19" t="s">
        <v>373</v>
      </c>
      <c r="E24" s="19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s="19" t="s">
        <v>2644</v>
      </c>
      <c r="W24" s="19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s="19" t="s">
        <v>60</v>
      </c>
    </row>
    <row r="25" spans="1:31" x14ac:dyDescent="0.2">
      <c r="A25">
        <v>24</v>
      </c>
      <c r="B25" s="19" t="s">
        <v>355</v>
      </c>
      <c r="C25">
        <v>27</v>
      </c>
      <c r="D25" s="19" t="s">
        <v>356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1847</v>
      </c>
      <c r="W25" s="19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436</v>
      </c>
      <c r="C26">
        <v>24</v>
      </c>
      <c r="D26" s="19" t="s">
        <v>426</v>
      </c>
      <c r="E26" s="19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2202</v>
      </c>
      <c r="W26" s="19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383</v>
      </c>
      <c r="C27">
        <v>28</v>
      </c>
      <c r="D27" s="19" t="s">
        <v>384</v>
      </c>
      <c r="E27" s="19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1891</v>
      </c>
      <c r="W27" s="19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377</v>
      </c>
      <c r="C28">
        <v>38</v>
      </c>
      <c r="D28" s="19" t="s">
        <v>378</v>
      </c>
      <c r="E28" s="19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s="19" t="s">
        <v>2645</v>
      </c>
      <c r="W28" s="19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s="19" t="s">
        <v>60</v>
      </c>
    </row>
    <row r="29" spans="1:31" x14ac:dyDescent="0.2">
      <c r="A29">
        <v>28</v>
      </c>
      <c r="B29" s="19" t="s">
        <v>395</v>
      </c>
      <c r="C29">
        <v>31</v>
      </c>
      <c r="D29" s="19" t="s">
        <v>353</v>
      </c>
      <c r="E29" s="1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s="19" t="s">
        <v>2646</v>
      </c>
      <c r="W29" s="1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344</v>
      </c>
      <c r="E30" s="19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s="19" t="s">
        <v>2203</v>
      </c>
      <c r="W30" s="19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s="19" t="s">
        <v>60</v>
      </c>
    </row>
    <row r="31" spans="1:31" x14ac:dyDescent="0.2">
      <c r="A31">
        <v>30</v>
      </c>
      <c r="B31" s="19" t="s">
        <v>400</v>
      </c>
      <c r="C31">
        <v>30</v>
      </c>
      <c r="D31" s="19" t="s">
        <v>375</v>
      </c>
      <c r="E31" s="19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s="19" t="s">
        <v>2204</v>
      </c>
      <c r="W31" s="19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s="19" t="s">
        <v>60</v>
      </c>
    </row>
    <row r="32" spans="1:31" x14ac:dyDescent="0.2">
      <c r="A32">
        <v>31</v>
      </c>
      <c r="B32" s="19" t="s">
        <v>362</v>
      </c>
      <c r="C32">
        <v>34</v>
      </c>
      <c r="D32" s="19" t="s">
        <v>363</v>
      </c>
      <c r="E32" s="19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2205</v>
      </c>
      <c r="W32" s="19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425</v>
      </c>
      <c r="C33">
        <v>27</v>
      </c>
      <c r="D33" s="19" t="s">
        <v>426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2207</v>
      </c>
      <c r="W33" s="19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398</v>
      </c>
      <c r="C34">
        <v>26</v>
      </c>
      <c r="D34" s="19" t="s">
        <v>328</v>
      </c>
      <c r="E34" s="19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2208</v>
      </c>
      <c r="W34" s="19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370</v>
      </c>
      <c r="C35">
        <v>25</v>
      </c>
      <c r="D35" s="19" t="s">
        <v>365</v>
      </c>
      <c r="E35" s="19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s="19" t="s">
        <v>2647</v>
      </c>
      <c r="W35" s="19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s="19" t="s">
        <v>60</v>
      </c>
    </row>
    <row r="36" spans="1:31" x14ac:dyDescent="0.2">
      <c r="A36">
        <v>35</v>
      </c>
      <c r="B36" s="19" t="s">
        <v>414</v>
      </c>
      <c r="C36">
        <v>24</v>
      </c>
      <c r="D36" s="19" t="s">
        <v>415</v>
      </c>
      <c r="E36" s="19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s="19" t="s">
        <v>2648</v>
      </c>
      <c r="W36" s="19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s="19" t="s">
        <v>60</v>
      </c>
    </row>
    <row r="37" spans="1:31" x14ac:dyDescent="0.2">
      <c r="A37">
        <v>36</v>
      </c>
      <c r="B37" s="19" t="s">
        <v>354</v>
      </c>
      <c r="C37">
        <v>22</v>
      </c>
      <c r="D37" s="19" t="s">
        <v>337</v>
      </c>
      <c r="E37" s="19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2209</v>
      </c>
      <c r="W37" s="19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462</v>
      </c>
      <c r="C38">
        <v>21</v>
      </c>
      <c r="D38" s="19" t="s">
        <v>365</v>
      </c>
      <c r="E38" s="19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s="19" t="s">
        <v>2649</v>
      </c>
      <c r="W38" s="19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s="19" t="s">
        <v>60</v>
      </c>
    </row>
    <row r="39" spans="1:31" x14ac:dyDescent="0.2">
      <c r="A39">
        <v>38</v>
      </c>
      <c r="B39" s="19" t="s">
        <v>372</v>
      </c>
      <c r="C39">
        <v>29</v>
      </c>
      <c r="D39" s="19" t="s">
        <v>373</v>
      </c>
      <c r="E39" s="1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s="19" t="s">
        <v>2651</v>
      </c>
      <c r="W39" s="1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s="19" t="s">
        <v>60</v>
      </c>
    </row>
    <row r="40" spans="1:31" x14ac:dyDescent="0.2">
      <c r="A40">
        <v>39</v>
      </c>
      <c r="B40" s="19" t="s">
        <v>394</v>
      </c>
      <c r="C40">
        <v>35</v>
      </c>
      <c r="D40" s="19" t="s">
        <v>361</v>
      </c>
      <c r="E40" s="19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s="19" t="s">
        <v>2652</v>
      </c>
      <c r="W40" s="19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s="19" t="s">
        <v>60</v>
      </c>
    </row>
    <row r="41" spans="1:31" x14ac:dyDescent="0.2">
      <c r="A41">
        <v>40</v>
      </c>
      <c r="B41" s="19" t="s">
        <v>381</v>
      </c>
      <c r="C41">
        <v>28</v>
      </c>
      <c r="D41" s="19" t="s">
        <v>337</v>
      </c>
      <c r="E41" s="19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s="19" t="s">
        <v>2210</v>
      </c>
      <c r="W41" s="19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s="19" t="s">
        <v>60</v>
      </c>
    </row>
    <row r="42" spans="1:31" x14ac:dyDescent="0.2">
      <c r="A42">
        <v>41</v>
      </c>
      <c r="B42" s="19" t="s">
        <v>409</v>
      </c>
      <c r="C42">
        <v>26</v>
      </c>
      <c r="D42" s="19" t="s">
        <v>334</v>
      </c>
      <c r="E42" s="19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s="19" t="s">
        <v>2211</v>
      </c>
      <c r="W42" s="19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s="19" t="s">
        <v>60</v>
      </c>
    </row>
    <row r="43" spans="1:31" x14ac:dyDescent="0.2">
      <c r="A43">
        <v>42</v>
      </c>
      <c r="B43" s="19" t="s">
        <v>396</v>
      </c>
      <c r="C43">
        <v>23</v>
      </c>
      <c r="D43" s="19" t="s">
        <v>361</v>
      </c>
      <c r="E43" s="19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s="19" t="s">
        <v>2653</v>
      </c>
      <c r="W43" s="19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s="19" t="s">
        <v>60</v>
      </c>
    </row>
    <row r="44" spans="1:31" x14ac:dyDescent="0.2">
      <c r="A44">
        <v>43</v>
      </c>
      <c r="B44" s="19" t="s">
        <v>470</v>
      </c>
      <c r="C44">
        <v>28</v>
      </c>
      <c r="D44" s="19" t="s">
        <v>439</v>
      </c>
      <c r="E44" s="19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s="19" t="s">
        <v>2213</v>
      </c>
      <c r="W44" s="19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s="19" t="s">
        <v>60</v>
      </c>
    </row>
    <row r="45" spans="1:31" x14ac:dyDescent="0.2">
      <c r="A45">
        <v>44</v>
      </c>
      <c r="B45" s="19" t="s">
        <v>367</v>
      </c>
      <c r="C45">
        <v>31</v>
      </c>
      <c r="D45" s="19" t="s">
        <v>368</v>
      </c>
      <c r="E45" s="19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s="19" t="s">
        <v>2214</v>
      </c>
      <c r="W45" s="19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s="19" t="s">
        <v>2215</v>
      </c>
      <c r="W46" s="19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449</v>
      </c>
      <c r="C47">
        <v>28</v>
      </c>
      <c r="D47" s="19" t="s">
        <v>415</v>
      </c>
      <c r="E47" s="19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s="19" t="s">
        <v>2654</v>
      </c>
      <c r="W47" s="19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s="19" t="s">
        <v>60</v>
      </c>
    </row>
    <row r="48" spans="1:31" x14ac:dyDescent="0.2">
      <c r="A48">
        <v>47</v>
      </c>
      <c r="B48" s="19" t="s">
        <v>391</v>
      </c>
      <c r="C48">
        <v>40</v>
      </c>
      <c r="D48" s="19" t="s">
        <v>368</v>
      </c>
      <c r="E48" s="19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s="19" t="s">
        <v>2217</v>
      </c>
      <c r="W48" s="19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s="19" t="s">
        <v>60</v>
      </c>
    </row>
    <row r="49" spans="1:31" x14ac:dyDescent="0.2">
      <c r="A49">
        <v>48</v>
      </c>
      <c r="B49" s="19" t="s">
        <v>423</v>
      </c>
      <c r="C49">
        <v>26</v>
      </c>
      <c r="D49" s="19" t="s">
        <v>346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2218</v>
      </c>
      <c r="W49" s="1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457</v>
      </c>
      <c r="C50">
        <v>20</v>
      </c>
      <c r="D50" s="19" t="s">
        <v>365</v>
      </c>
      <c r="E50" s="19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s="19" t="s">
        <v>2655</v>
      </c>
      <c r="W50" s="19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s="19" t="s">
        <v>60</v>
      </c>
    </row>
    <row r="51" spans="1:31" x14ac:dyDescent="0.2">
      <c r="A51">
        <v>50</v>
      </c>
      <c r="B51" s="19" t="s">
        <v>386</v>
      </c>
      <c r="C51">
        <v>30</v>
      </c>
      <c r="D51" s="19" t="s">
        <v>387</v>
      </c>
      <c r="E51" s="19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s="19" t="s">
        <v>2656</v>
      </c>
      <c r="W51" s="19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s="19" t="s">
        <v>60</v>
      </c>
    </row>
    <row r="52" spans="1:31" x14ac:dyDescent="0.2">
      <c r="A52">
        <v>51</v>
      </c>
      <c r="B52" s="19" t="s">
        <v>411</v>
      </c>
      <c r="C52">
        <v>27</v>
      </c>
      <c r="D52" s="19" t="s">
        <v>412</v>
      </c>
      <c r="E52" s="19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s="19" t="s">
        <v>2099</v>
      </c>
      <c r="W52" s="19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s="19" t="s">
        <v>60</v>
      </c>
    </row>
    <row r="53" spans="1:31" x14ac:dyDescent="0.2">
      <c r="A53">
        <v>52</v>
      </c>
      <c r="B53" s="19" t="s">
        <v>465</v>
      </c>
      <c r="C53">
        <v>32</v>
      </c>
      <c r="D53" s="19" t="s">
        <v>328</v>
      </c>
      <c r="E53" s="19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s="19" t="s">
        <v>2136</v>
      </c>
      <c r="W53" s="19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s="19" t="s">
        <v>60</v>
      </c>
    </row>
    <row r="54" spans="1:31" x14ac:dyDescent="0.2">
      <c r="A54">
        <v>53</v>
      </c>
      <c r="B54" s="19" t="s">
        <v>475</v>
      </c>
      <c r="C54">
        <v>34</v>
      </c>
      <c r="D54" s="19" t="s">
        <v>476</v>
      </c>
      <c r="E54" s="19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s="19" t="s">
        <v>2219</v>
      </c>
      <c r="W54" s="19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s="19" t="s">
        <v>60</v>
      </c>
    </row>
    <row r="55" spans="1:31" x14ac:dyDescent="0.2">
      <c r="A55">
        <v>54</v>
      </c>
      <c r="B55" s="19" t="s">
        <v>478</v>
      </c>
      <c r="C55">
        <v>33</v>
      </c>
      <c r="D55" s="19" t="s">
        <v>378</v>
      </c>
      <c r="E55" s="19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s="19" t="s">
        <v>2657</v>
      </c>
      <c r="W55" s="19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s="19" t="s">
        <v>60</v>
      </c>
    </row>
    <row r="56" spans="1:31" x14ac:dyDescent="0.2">
      <c r="A56">
        <v>55</v>
      </c>
      <c r="B56" s="19" t="s">
        <v>422</v>
      </c>
      <c r="C56">
        <v>29</v>
      </c>
      <c r="D56" s="19" t="s">
        <v>412</v>
      </c>
      <c r="E56" s="19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s="19" t="s">
        <v>2100</v>
      </c>
      <c r="W56" s="19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s="19" t="s">
        <v>60</v>
      </c>
    </row>
    <row r="57" spans="1:31" x14ac:dyDescent="0.2">
      <c r="A57">
        <v>56</v>
      </c>
      <c r="B57" s="19" t="s">
        <v>403</v>
      </c>
      <c r="C57">
        <v>27</v>
      </c>
      <c r="D57" s="19" t="s">
        <v>404</v>
      </c>
      <c r="E57" s="19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s="19" t="s">
        <v>2220</v>
      </c>
      <c r="W57" s="19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s="19" t="s">
        <v>60</v>
      </c>
    </row>
    <row r="58" spans="1:31" x14ac:dyDescent="0.2">
      <c r="A58">
        <v>57</v>
      </c>
      <c r="B58" s="19" t="s">
        <v>385</v>
      </c>
      <c r="C58">
        <v>27</v>
      </c>
      <c r="D58" s="19" t="s">
        <v>353</v>
      </c>
      <c r="E58" s="19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s="19" t="s">
        <v>1813</v>
      </c>
      <c r="W58" s="19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s="19" t="s">
        <v>60</v>
      </c>
    </row>
    <row r="59" spans="1:31" x14ac:dyDescent="0.2">
      <c r="A59">
        <v>58</v>
      </c>
      <c r="B59" s="19" t="s">
        <v>418</v>
      </c>
      <c r="C59">
        <v>29</v>
      </c>
      <c r="D59" s="19" t="s">
        <v>334</v>
      </c>
      <c r="E59" s="1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s="19" t="s">
        <v>2221</v>
      </c>
      <c r="W59" s="1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s="19" t="s">
        <v>60</v>
      </c>
    </row>
    <row r="60" spans="1:31" x14ac:dyDescent="0.2">
      <c r="A60">
        <v>59</v>
      </c>
      <c r="B60" s="19" t="s">
        <v>447</v>
      </c>
      <c r="C60">
        <v>35</v>
      </c>
      <c r="D60" s="19" t="s">
        <v>448</v>
      </c>
      <c r="E60" s="19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s="19" t="s">
        <v>2222</v>
      </c>
      <c r="W60" s="19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s="19" t="s">
        <v>60</v>
      </c>
    </row>
    <row r="61" spans="1:31" x14ac:dyDescent="0.2">
      <c r="A61">
        <v>60</v>
      </c>
      <c r="B61" s="19" t="s">
        <v>428</v>
      </c>
      <c r="C61">
        <v>29</v>
      </c>
      <c r="D61" s="19" t="s">
        <v>429</v>
      </c>
      <c r="E61" s="19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s="19" t="s">
        <v>2223</v>
      </c>
      <c r="W61" s="19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s="19" t="s">
        <v>60</v>
      </c>
    </row>
    <row r="62" spans="1:31" x14ac:dyDescent="0.2">
      <c r="A62">
        <v>61</v>
      </c>
      <c r="B62" s="19" t="s">
        <v>458</v>
      </c>
      <c r="C62">
        <v>22</v>
      </c>
      <c r="D62" s="19" t="s">
        <v>412</v>
      </c>
      <c r="E62" s="19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s="19" t="s">
        <v>2101</v>
      </c>
      <c r="W62" s="19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s="19" t="s">
        <v>60</v>
      </c>
    </row>
    <row r="63" spans="1:31" x14ac:dyDescent="0.2">
      <c r="A63">
        <v>62</v>
      </c>
      <c r="B63" s="19" t="s">
        <v>410</v>
      </c>
      <c r="C63">
        <v>27</v>
      </c>
      <c r="D63" s="19" t="s">
        <v>404</v>
      </c>
      <c r="E63" s="19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s="19" t="s">
        <v>2225</v>
      </c>
      <c r="W63" s="19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s="19" t="s">
        <v>60</v>
      </c>
    </row>
    <row r="64" spans="1:31" x14ac:dyDescent="0.2">
      <c r="A64">
        <v>63</v>
      </c>
      <c r="B64" s="19" t="s">
        <v>420</v>
      </c>
      <c r="C64">
        <v>30</v>
      </c>
      <c r="D64" s="19" t="s">
        <v>321</v>
      </c>
      <c r="E64" s="19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s="19" t="s">
        <v>2226</v>
      </c>
      <c r="W64" s="19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s="19" t="s">
        <v>60</v>
      </c>
    </row>
    <row r="65" spans="1:31" x14ac:dyDescent="0.2">
      <c r="A65">
        <v>64</v>
      </c>
      <c r="B65" s="19" t="s">
        <v>433</v>
      </c>
      <c r="C65">
        <v>30</v>
      </c>
      <c r="D65" s="19" t="s">
        <v>346</v>
      </c>
      <c r="E65" s="19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s="19" t="s">
        <v>2227</v>
      </c>
      <c r="W65" s="19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s="19" t="s">
        <v>60</v>
      </c>
    </row>
    <row r="66" spans="1:31" x14ac:dyDescent="0.2">
      <c r="A66">
        <v>65</v>
      </c>
      <c r="B66" s="19" t="s">
        <v>469</v>
      </c>
      <c r="C66">
        <v>24</v>
      </c>
      <c r="D66" s="19" t="s">
        <v>373</v>
      </c>
      <c r="E66" s="19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s="19" t="s">
        <v>2658</v>
      </c>
      <c r="W66" s="19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s="19" t="s">
        <v>60</v>
      </c>
    </row>
    <row r="67" spans="1:31" x14ac:dyDescent="0.2">
      <c r="A67">
        <v>66</v>
      </c>
      <c r="B67" s="19" t="s">
        <v>438</v>
      </c>
      <c r="C67">
        <v>29</v>
      </c>
      <c r="D67" s="19" t="s">
        <v>439</v>
      </c>
      <c r="E67" s="19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s="19" t="s">
        <v>2228</v>
      </c>
      <c r="W67" s="19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s="19" t="s">
        <v>60</v>
      </c>
    </row>
    <row r="68" spans="1:31" x14ac:dyDescent="0.2">
      <c r="A68">
        <v>67</v>
      </c>
      <c r="B68" s="19" t="s">
        <v>460</v>
      </c>
      <c r="C68">
        <v>26</v>
      </c>
      <c r="D68" s="19" t="s">
        <v>1022</v>
      </c>
      <c r="E68" s="19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s="19" t="s">
        <v>2229</v>
      </c>
      <c r="W68" s="19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s="19" t="s">
        <v>60</v>
      </c>
    </row>
    <row r="69" spans="1:31" x14ac:dyDescent="0.2">
      <c r="A69">
        <v>67</v>
      </c>
      <c r="B69" s="19" t="s">
        <v>460</v>
      </c>
      <c r="C69">
        <v>26</v>
      </c>
      <c r="D69" s="19" t="s">
        <v>461</v>
      </c>
      <c r="E69" s="1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s="19" t="s">
        <v>1720</v>
      </c>
      <c r="W69" s="1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s="19" t="s">
        <v>60</v>
      </c>
    </row>
    <row r="70" spans="1:31" x14ac:dyDescent="0.2">
      <c r="A70">
        <v>67</v>
      </c>
      <c r="B70" s="19" t="s">
        <v>460</v>
      </c>
      <c r="C70">
        <v>26</v>
      </c>
      <c r="D70" s="19" t="s">
        <v>359</v>
      </c>
      <c r="E70" s="19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s="19" t="s">
        <v>2230</v>
      </c>
      <c r="W70" s="19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s="19" t="s">
        <v>60</v>
      </c>
    </row>
    <row r="71" spans="1:31" x14ac:dyDescent="0.2">
      <c r="A71">
        <v>68</v>
      </c>
      <c r="B71" s="19" t="s">
        <v>456</v>
      </c>
      <c r="C71">
        <v>28</v>
      </c>
      <c r="D71" s="19" t="s">
        <v>387</v>
      </c>
      <c r="E71" s="19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s="19" t="s">
        <v>2659</v>
      </c>
      <c r="W71" s="19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s="19" t="s">
        <v>60</v>
      </c>
    </row>
    <row r="72" spans="1:31" x14ac:dyDescent="0.2">
      <c r="A72">
        <v>69</v>
      </c>
      <c r="B72" s="19" t="s">
        <v>416</v>
      </c>
      <c r="C72">
        <v>30</v>
      </c>
      <c r="D72" s="19" t="s">
        <v>330</v>
      </c>
      <c r="E72" s="19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s="19" t="s">
        <v>2660</v>
      </c>
      <c r="W72" s="19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s="19" t="s">
        <v>60</v>
      </c>
    </row>
    <row r="73" spans="1:31" x14ac:dyDescent="0.2">
      <c r="A73">
        <v>70</v>
      </c>
      <c r="B73" s="19" t="s">
        <v>443</v>
      </c>
      <c r="C73">
        <v>36</v>
      </c>
      <c r="D73" s="19" t="s">
        <v>368</v>
      </c>
      <c r="E73" s="19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s="19" t="s">
        <v>2232</v>
      </c>
      <c r="W73" s="19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s="19" t="s">
        <v>60</v>
      </c>
    </row>
    <row r="74" spans="1:31" x14ac:dyDescent="0.2">
      <c r="A74">
        <v>71</v>
      </c>
      <c r="B74" s="19" t="s">
        <v>417</v>
      </c>
      <c r="C74">
        <v>27</v>
      </c>
      <c r="D74" s="19" t="s">
        <v>368</v>
      </c>
      <c r="E74" s="19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s="19" t="s">
        <v>2234</v>
      </c>
      <c r="W74" s="19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s="19" t="s">
        <v>60</v>
      </c>
    </row>
    <row r="75" spans="1:31" x14ac:dyDescent="0.2">
      <c r="A75">
        <v>72</v>
      </c>
      <c r="B75" s="19" t="s">
        <v>542</v>
      </c>
      <c r="C75">
        <v>24</v>
      </c>
      <c r="D75" s="19" t="s">
        <v>426</v>
      </c>
      <c r="E75" s="19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s="19" t="s">
        <v>2235</v>
      </c>
      <c r="W75" s="19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s="19" t="s">
        <v>60</v>
      </c>
    </row>
    <row r="76" spans="1:31" x14ac:dyDescent="0.2">
      <c r="A76">
        <v>73</v>
      </c>
      <c r="B76" s="19" t="s">
        <v>504</v>
      </c>
      <c r="C76">
        <v>31</v>
      </c>
      <c r="D76" s="19" t="s">
        <v>476</v>
      </c>
      <c r="E76" s="19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s="19" t="s">
        <v>2236</v>
      </c>
      <c r="W76" s="19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s="19" t="s">
        <v>60</v>
      </c>
    </row>
    <row r="77" spans="1:31" x14ac:dyDescent="0.2">
      <c r="A77">
        <v>74</v>
      </c>
      <c r="B77" s="19" t="s">
        <v>472</v>
      </c>
      <c r="C77">
        <v>32</v>
      </c>
      <c r="D77" s="19" t="s">
        <v>402</v>
      </c>
      <c r="E77" s="19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s="19" t="s">
        <v>2237</v>
      </c>
      <c r="W77" s="19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s="19" t="s">
        <v>60</v>
      </c>
    </row>
    <row r="78" spans="1:31" x14ac:dyDescent="0.2">
      <c r="A78">
        <v>75</v>
      </c>
      <c r="B78" s="19" t="s">
        <v>459</v>
      </c>
      <c r="C78">
        <v>32</v>
      </c>
      <c r="D78" s="19" t="s">
        <v>344</v>
      </c>
      <c r="E78" s="19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s="19" t="s">
        <v>2238</v>
      </c>
      <c r="W78" s="19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s="19" t="s">
        <v>60</v>
      </c>
    </row>
    <row r="79" spans="1:31" x14ac:dyDescent="0.2">
      <c r="A79">
        <v>76</v>
      </c>
      <c r="B79" s="19" t="s">
        <v>427</v>
      </c>
      <c r="C79">
        <v>23</v>
      </c>
      <c r="D79" s="19" t="s">
        <v>402</v>
      </c>
      <c r="E79" s="1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s="19" t="s">
        <v>1871</v>
      </c>
      <c r="W79" s="1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s="19" t="s">
        <v>60</v>
      </c>
    </row>
    <row r="80" spans="1:31" x14ac:dyDescent="0.2">
      <c r="A80">
        <v>77</v>
      </c>
      <c r="B80" s="19" t="s">
        <v>388</v>
      </c>
      <c r="C80">
        <v>39</v>
      </c>
      <c r="D80" s="19" t="s">
        <v>378</v>
      </c>
      <c r="E80" s="19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s="19" t="s">
        <v>389</v>
      </c>
      <c r="W80" s="19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s="19" t="s">
        <v>60</v>
      </c>
    </row>
    <row r="81" spans="1:31" x14ac:dyDescent="0.2">
      <c r="A81">
        <v>78</v>
      </c>
      <c r="B81" s="19" t="s">
        <v>431</v>
      </c>
      <c r="C81">
        <v>25</v>
      </c>
      <c r="D81" s="19" t="s">
        <v>384</v>
      </c>
      <c r="E81" s="19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s="19" t="s">
        <v>2661</v>
      </c>
      <c r="W81" s="19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s="19" t="s">
        <v>60</v>
      </c>
    </row>
    <row r="82" spans="1:31" x14ac:dyDescent="0.2">
      <c r="A82">
        <v>79</v>
      </c>
      <c r="B82" s="19" t="s">
        <v>434</v>
      </c>
      <c r="C82">
        <v>20</v>
      </c>
      <c r="D82" s="19" t="s">
        <v>337</v>
      </c>
      <c r="E82" s="19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s="19" t="s">
        <v>2239</v>
      </c>
      <c r="W82" s="19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s="19" t="s">
        <v>60</v>
      </c>
    </row>
    <row r="83" spans="1:31" x14ac:dyDescent="0.2">
      <c r="A83">
        <v>80</v>
      </c>
      <c r="B83" s="19" t="s">
        <v>397</v>
      </c>
      <c r="C83">
        <v>20</v>
      </c>
      <c r="D83" s="19" t="s">
        <v>324</v>
      </c>
      <c r="E83" s="19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s="19" t="s">
        <v>1764</v>
      </c>
      <c r="W83" s="19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s="19" t="s">
        <v>60</v>
      </c>
    </row>
    <row r="84" spans="1:31" x14ac:dyDescent="0.2">
      <c r="A84">
        <v>81</v>
      </c>
      <c r="B84" s="19" t="s">
        <v>493</v>
      </c>
      <c r="C84">
        <v>33</v>
      </c>
      <c r="D84" s="19" t="s">
        <v>344</v>
      </c>
      <c r="E84" s="19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s="19" t="s">
        <v>2240</v>
      </c>
      <c r="W84" s="19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s="19" t="s">
        <v>60</v>
      </c>
    </row>
    <row r="85" spans="1:31" x14ac:dyDescent="0.2">
      <c r="A85">
        <v>82</v>
      </c>
      <c r="B85" s="19" t="s">
        <v>535</v>
      </c>
      <c r="C85">
        <v>26</v>
      </c>
      <c r="D85" s="19" t="s">
        <v>536</v>
      </c>
      <c r="E85" s="19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s="19" t="s">
        <v>2241</v>
      </c>
      <c r="W85" s="19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s="19" t="s">
        <v>60</v>
      </c>
    </row>
    <row r="86" spans="1:31" x14ac:dyDescent="0.2">
      <c r="A86">
        <v>83</v>
      </c>
      <c r="B86" s="19" t="s">
        <v>440</v>
      </c>
      <c r="C86">
        <v>32</v>
      </c>
      <c r="D86" s="19" t="s">
        <v>363</v>
      </c>
      <c r="E86" s="19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s="19" t="s">
        <v>2242</v>
      </c>
      <c r="W86" s="19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s="19" t="s">
        <v>60</v>
      </c>
    </row>
    <row r="87" spans="1:31" x14ac:dyDescent="0.2">
      <c r="A87">
        <v>84</v>
      </c>
      <c r="B87" s="19" t="s">
        <v>441</v>
      </c>
      <c r="C87">
        <v>30</v>
      </c>
      <c r="D87" s="19" t="s">
        <v>344</v>
      </c>
      <c r="E87" s="19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s="19" t="s">
        <v>2243</v>
      </c>
      <c r="W87" s="19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s="19" t="s">
        <v>60</v>
      </c>
    </row>
    <row r="88" spans="1:31" x14ac:dyDescent="0.2">
      <c r="A88">
        <v>85</v>
      </c>
      <c r="B88" s="19" t="s">
        <v>515</v>
      </c>
      <c r="C88">
        <v>25</v>
      </c>
      <c r="D88" s="19" t="s">
        <v>439</v>
      </c>
      <c r="E88" s="19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s="19" t="s">
        <v>2104</v>
      </c>
      <c r="W88" s="19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s="19" t="s">
        <v>60</v>
      </c>
    </row>
    <row r="89" spans="1:31" x14ac:dyDescent="0.2">
      <c r="A89">
        <v>86</v>
      </c>
      <c r="B89" s="19" t="s">
        <v>487</v>
      </c>
      <c r="C89">
        <v>35</v>
      </c>
      <c r="D89" s="19" t="s">
        <v>359</v>
      </c>
      <c r="E89" s="1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s="19" t="s">
        <v>2244</v>
      </c>
      <c r="W89" s="1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s="19" t="s">
        <v>60</v>
      </c>
    </row>
    <row r="90" spans="1:31" x14ac:dyDescent="0.2">
      <c r="A90">
        <v>87</v>
      </c>
      <c r="B90" s="19" t="s">
        <v>463</v>
      </c>
      <c r="C90">
        <v>24</v>
      </c>
      <c r="D90" s="19" t="s">
        <v>375</v>
      </c>
      <c r="E90" s="19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s="19" t="s">
        <v>2245</v>
      </c>
      <c r="W90" s="19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s="19" t="s">
        <v>60</v>
      </c>
    </row>
    <row r="91" spans="1:31" x14ac:dyDescent="0.2">
      <c r="A91">
        <v>88</v>
      </c>
      <c r="B91" s="19" t="s">
        <v>580</v>
      </c>
      <c r="C91">
        <v>21</v>
      </c>
      <c r="D91" s="19" t="s">
        <v>365</v>
      </c>
      <c r="E91" s="19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s="19" t="s">
        <v>2662</v>
      </c>
      <c r="W91" s="19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s="19" t="s">
        <v>60</v>
      </c>
    </row>
    <row r="92" spans="1:31" x14ac:dyDescent="0.2">
      <c r="A92">
        <v>89</v>
      </c>
      <c r="B92" s="19" t="s">
        <v>454</v>
      </c>
      <c r="C92">
        <v>28</v>
      </c>
      <c r="D92" s="19" t="s">
        <v>368</v>
      </c>
      <c r="E92" s="19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s="19" t="s">
        <v>2246</v>
      </c>
      <c r="W92" s="19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s="19" t="s">
        <v>60</v>
      </c>
    </row>
    <row r="93" spans="1:31" x14ac:dyDescent="0.2">
      <c r="A93">
        <v>90</v>
      </c>
      <c r="B93" s="19" t="s">
        <v>480</v>
      </c>
      <c r="C93">
        <v>30</v>
      </c>
      <c r="D93" s="19" t="s">
        <v>375</v>
      </c>
      <c r="E93" s="19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s="19" t="s">
        <v>2247</v>
      </c>
      <c r="W93" s="19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s="19" t="s">
        <v>60</v>
      </c>
    </row>
    <row r="94" spans="1:31" x14ac:dyDescent="0.2">
      <c r="A94">
        <v>91</v>
      </c>
      <c r="B94" s="19" t="s">
        <v>538</v>
      </c>
      <c r="C94">
        <v>29</v>
      </c>
      <c r="D94" s="19" t="s">
        <v>375</v>
      </c>
      <c r="E94" s="19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s="19" t="s">
        <v>2248</v>
      </c>
      <c r="W94" s="19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s="19" t="s">
        <v>60</v>
      </c>
    </row>
    <row r="95" spans="1:31" x14ac:dyDescent="0.2">
      <c r="A95">
        <v>92</v>
      </c>
      <c r="B95" s="19" t="s">
        <v>562</v>
      </c>
      <c r="C95">
        <v>29</v>
      </c>
      <c r="D95" s="19" t="s">
        <v>359</v>
      </c>
      <c r="E95" s="19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s="19" t="s">
        <v>2249</v>
      </c>
      <c r="W95" s="19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s="19" t="s">
        <v>60</v>
      </c>
    </row>
    <row r="96" spans="1:31" x14ac:dyDescent="0.2">
      <c r="A96">
        <v>93</v>
      </c>
      <c r="B96" s="19" t="s">
        <v>544</v>
      </c>
      <c r="C96">
        <v>38</v>
      </c>
      <c r="D96" s="19" t="s">
        <v>426</v>
      </c>
      <c r="E96" s="19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s="19" t="s">
        <v>2250</v>
      </c>
      <c r="W96" s="19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s="19" t="s">
        <v>60</v>
      </c>
    </row>
    <row r="97" spans="1:31" x14ac:dyDescent="0.2">
      <c r="A97">
        <v>94</v>
      </c>
      <c r="B97" s="19" t="s">
        <v>508</v>
      </c>
      <c r="C97">
        <v>28</v>
      </c>
      <c r="D97" s="19" t="s">
        <v>361</v>
      </c>
      <c r="E97" s="19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s="19" t="s">
        <v>2663</v>
      </c>
      <c r="W97" s="19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s="19" t="s">
        <v>60</v>
      </c>
    </row>
    <row r="98" spans="1:31" x14ac:dyDescent="0.2">
      <c r="A98">
        <v>95</v>
      </c>
      <c r="B98" s="19" t="s">
        <v>466</v>
      </c>
      <c r="C98">
        <v>24</v>
      </c>
      <c r="D98" s="19" t="s">
        <v>412</v>
      </c>
      <c r="E98" s="19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s="19" t="s">
        <v>2105</v>
      </c>
      <c r="W98" s="19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s="19" t="s">
        <v>60</v>
      </c>
    </row>
    <row r="99" spans="1:31" x14ac:dyDescent="0.2">
      <c r="A99">
        <v>96</v>
      </c>
      <c r="B99" s="19" t="s">
        <v>492</v>
      </c>
      <c r="C99">
        <v>25</v>
      </c>
      <c r="D99" s="19" t="s">
        <v>368</v>
      </c>
      <c r="E99" s="1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s="19" t="s">
        <v>2251</v>
      </c>
      <c r="W99" s="1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s="19" t="s">
        <v>60</v>
      </c>
    </row>
    <row r="100" spans="1:31" x14ac:dyDescent="0.2">
      <c r="A100">
        <v>97</v>
      </c>
      <c r="B100" s="19" t="s">
        <v>532</v>
      </c>
      <c r="C100">
        <v>29</v>
      </c>
      <c r="D100" s="19" t="s">
        <v>353</v>
      </c>
      <c r="E100" s="19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s="19" t="s">
        <v>2664</v>
      </c>
      <c r="W100" s="19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s="19" t="s">
        <v>60</v>
      </c>
    </row>
    <row r="101" spans="1:31" x14ac:dyDescent="0.2">
      <c r="A101">
        <v>98</v>
      </c>
      <c r="B101" s="19" t="s">
        <v>603</v>
      </c>
      <c r="C101">
        <v>25</v>
      </c>
      <c r="D101" s="19" t="s">
        <v>402</v>
      </c>
      <c r="E101" s="19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s="19" t="s">
        <v>2252</v>
      </c>
      <c r="W101" s="19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s="19" t="s">
        <v>60</v>
      </c>
    </row>
    <row r="102" spans="1:31" x14ac:dyDescent="0.2">
      <c r="A102">
        <v>99</v>
      </c>
      <c r="B102" s="19" t="s">
        <v>406</v>
      </c>
      <c r="C102">
        <v>27</v>
      </c>
      <c r="D102" s="19" t="s">
        <v>363</v>
      </c>
      <c r="E102" s="19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s="19" t="s">
        <v>407</v>
      </c>
      <c r="W102" s="19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520</v>
      </c>
      <c r="C103">
        <v>35</v>
      </c>
      <c r="D103" s="19" t="s">
        <v>378</v>
      </c>
      <c r="E103" s="19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s="19" t="s">
        <v>2666</v>
      </c>
      <c r="W103" s="19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s="19" t="s">
        <v>60</v>
      </c>
    </row>
    <row r="104" spans="1:31" x14ac:dyDescent="0.2">
      <c r="A104">
        <v>101</v>
      </c>
      <c r="B104" s="19" t="s">
        <v>509</v>
      </c>
      <c r="C104">
        <v>34</v>
      </c>
      <c r="D104" s="19" t="s">
        <v>321</v>
      </c>
      <c r="E104" s="19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s="19" t="s">
        <v>2253</v>
      </c>
      <c r="W104" s="19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23</v>
      </c>
      <c r="D105" s="19" t="s">
        <v>426</v>
      </c>
      <c r="E105" s="19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s="19" t="s">
        <v>2254</v>
      </c>
      <c r="W105" s="19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s="19" t="s">
        <v>60</v>
      </c>
    </row>
    <row r="106" spans="1:31" x14ac:dyDescent="0.2">
      <c r="A106">
        <v>103</v>
      </c>
      <c r="B106" s="19" t="s">
        <v>481</v>
      </c>
      <c r="C106">
        <v>28</v>
      </c>
      <c r="D106" s="19" t="s">
        <v>356</v>
      </c>
      <c r="E106" s="19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s="19" t="s">
        <v>2256</v>
      </c>
      <c r="W106" s="19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s="19" t="s">
        <v>60</v>
      </c>
    </row>
    <row r="107" spans="1:31" x14ac:dyDescent="0.2">
      <c r="A107">
        <v>104</v>
      </c>
      <c r="B107" s="19" t="s">
        <v>483</v>
      </c>
      <c r="C107">
        <v>29</v>
      </c>
      <c r="D107" s="19" t="s">
        <v>448</v>
      </c>
      <c r="E107" s="19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s="19" t="s">
        <v>2257</v>
      </c>
      <c r="W107" s="19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s="19" t="s">
        <v>60</v>
      </c>
    </row>
    <row r="108" spans="1:31" x14ac:dyDescent="0.2">
      <c r="A108">
        <v>105</v>
      </c>
      <c r="B108" s="19" t="s">
        <v>516</v>
      </c>
      <c r="C108">
        <v>26</v>
      </c>
      <c r="D108" s="19" t="s">
        <v>365</v>
      </c>
      <c r="E108" s="19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s="19" t="s">
        <v>1873</v>
      </c>
      <c r="W108" s="19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s="19" t="s">
        <v>60</v>
      </c>
    </row>
    <row r="109" spans="1:31" x14ac:dyDescent="0.2">
      <c r="A109">
        <v>106</v>
      </c>
      <c r="B109" s="19" t="s">
        <v>517</v>
      </c>
      <c r="C109">
        <v>25</v>
      </c>
      <c r="D109" s="19" t="s">
        <v>344</v>
      </c>
      <c r="E109" s="1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s="19" t="s">
        <v>2259</v>
      </c>
      <c r="W109" s="1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s="19" t="s">
        <v>60</v>
      </c>
    </row>
    <row r="110" spans="1:31" x14ac:dyDescent="0.2">
      <c r="A110">
        <v>107</v>
      </c>
      <c r="B110" s="19" t="s">
        <v>502</v>
      </c>
      <c r="C110">
        <v>23</v>
      </c>
      <c r="D110" s="19" t="s">
        <v>476</v>
      </c>
      <c r="E110" s="19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s="19" t="s">
        <v>2260</v>
      </c>
      <c r="W110" s="19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s="19" t="s">
        <v>60</v>
      </c>
    </row>
    <row r="111" spans="1:31" x14ac:dyDescent="0.2">
      <c r="A111">
        <v>108</v>
      </c>
      <c r="B111" s="19" t="s">
        <v>571</v>
      </c>
      <c r="C111">
        <v>35</v>
      </c>
      <c r="D111" s="19" t="s">
        <v>387</v>
      </c>
      <c r="E111" s="19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s="19" t="s">
        <v>2667</v>
      </c>
      <c r="W111" s="19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s="19" t="s">
        <v>60</v>
      </c>
    </row>
    <row r="112" spans="1:31" x14ac:dyDescent="0.2">
      <c r="A112">
        <v>109</v>
      </c>
      <c r="B112" s="19" t="s">
        <v>572</v>
      </c>
      <c r="C112">
        <v>31</v>
      </c>
      <c r="D112" s="19" t="s">
        <v>378</v>
      </c>
      <c r="E112" s="19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s="19" t="s">
        <v>2668</v>
      </c>
      <c r="W112" s="19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s="19" t="s">
        <v>60</v>
      </c>
    </row>
    <row r="113" spans="1:31" x14ac:dyDescent="0.2">
      <c r="A113">
        <v>110</v>
      </c>
      <c r="B113" s="19" t="s">
        <v>477</v>
      </c>
      <c r="C113">
        <v>31</v>
      </c>
      <c r="D113" s="19" t="s">
        <v>361</v>
      </c>
      <c r="E113" s="19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s="19" t="s">
        <v>2669</v>
      </c>
      <c r="W113" s="19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s="19" t="s">
        <v>60</v>
      </c>
    </row>
    <row r="114" spans="1:31" x14ac:dyDescent="0.2">
      <c r="A114">
        <v>111</v>
      </c>
      <c r="B114" s="19" t="s">
        <v>510</v>
      </c>
      <c r="C114">
        <v>27</v>
      </c>
      <c r="D114" s="19" t="s">
        <v>412</v>
      </c>
      <c r="E114" s="19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s="19" t="s">
        <v>2106</v>
      </c>
      <c r="W114" s="19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s="19" t="s">
        <v>60</v>
      </c>
    </row>
    <row r="115" spans="1:31" x14ac:dyDescent="0.2">
      <c r="A115">
        <v>112</v>
      </c>
      <c r="B115" s="19" t="s">
        <v>537</v>
      </c>
      <c r="C115">
        <v>33</v>
      </c>
      <c r="D115" s="19" t="s">
        <v>324</v>
      </c>
      <c r="E115" s="19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s="19" t="s">
        <v>2261</v>
      </c>
      <c r="W115" s="19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s="19" t="s">
        <v>60</v>
      </c>
    </row>
    <row r="116" spans="1:31" x14ac:dyDescent="0.2">
      <c r="A116">
        <v>113</v>
      </c>
      <c r="B116" s="19" t="s">
        <v>663</v>
      </c>
      <c r="C116">
        <v>26</v>
      </c>
      <c r="D116" s="19" t="s">
        <v>555</v>
      </c>
      <c r="E116" s="19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s="19" t="s">
        <v>2670</v>
      </c>
      <c r="W116" s="19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s="19" t="s">
        <v>60</v>
      </c>
    </row>
    <row r="117" spans="1:31" x14ac:dyDescent="0.2">
      <c r="A117">
        <v>114</v>
      </c>
      <c r="B117" s="19" t="s">
        <v>499</v>
      </c>
      <c r="C117">
        <v>23</v>
      </c>
      <c r="D117" s="19" t="s">
        <v>439</v>
      </c>
      <c r="E117" s="19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s="19" t="s">
        <v>2262</v>
      </c>
      <c r="W117" s="19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s="19" t="s">
        <v>60</v>
      </c>
    </row>
    <row r="118" spans="1:31" x14ac:dyDescent="0.2">
      <c r="A118">
        <v>115</v>
      </c>
      <c r="B118" s="19" t="s">
        <v>543</v>
      </c>
      <c r="C118">
        <v>29</v>
      </c>
      <c r="D118" s="19" t="s">
        <v>415</v>
      </c>
      <c r="E118" s="19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s="19" t="s">
        <v>2671</v>
      </c>
      <c r="W118" s="19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s="19" t="s">
        <v>60</v>
      </c>
    </row>
    <row r="119" spans="1:31" x14ac:dyDescent="0.2">
      <c r="A119">
        <v>116</v>
      </c>
      <c r="B119" s="19" t="s">
        <v>560</v>
      </c>
      <c r="C119">
        <v>35</v>
      </c>
      <c r="D119" s="19" t="s">
        <v>555</v>
      </c>
      <c r="E119" s="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s="19" t="s">
        <v>2672</v>
      </c>
      <c r="W119" s="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s="19" t="s">
        <v>60</v>
      </c>
    </row>
    <row r="120" spans="1:31" x14ac:dyDescent="0.2">
      <c r="A120">
        <v>117</v>
      </c>
      <c r="B120" s="19" t="s">
        <v>501</v>
      </c>
      <c r="C120">
        <v>29</v>
      </c>
      <c r="D120" s="19" t="s">
        <v>402</v>
      </c>
      <c r="E120" s="19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s="19" t="s">
        <v>2263</v>
      </c>
      <c r="W120" s="19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s="19" t="s">
        <v>60</v>
      </c>
    </row>
    <row r="121" spans="1:31" x14ac:dyDescent="0.2">
      <c r="A121">
        <v>118</v>
      </c>
      <c r="B121" s="19" t="s">
        <v>518</v>
      </c>
      <c r="C121">
        <v>23</v>
      </c>
      <c r="D121" s="19" t="s">
        <v>324</v>
      </c>
      <c r="E121" s="19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s="19" t="s">
        <v>2264</v>
      </c>
      <c r="W121" s="19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485</v>
      </c>
      <c r="C122">
        <v>21</v>
      </c>
      <c r="D122" s="19" t="s">
        <v>384</v>
      </c>
      <c r="E122" s="19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s="19" t="s">
        <v>2673</v>
      </c>
      <c r="W122" s="19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s="19" t="s">
        <v>60</v>
      </c>
    </row>
    <row r="123" spans="1:31" x14ac:dyDescent="0.2">
      <c r="A123">
        <v>120</v>
      </c>
      <c r="B123" s="19" t="s">
        <v>503</v>
      </c>
      <c r="C123">
        <v>29</v>
      </c>
      <c r="D123" s="19" t="s">
        <v>429</v>
      </c>
      <c r="E123" s="19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s="19" t="s">
        <v>2265</v>
      </c>
      <c r="W123" s="19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s="19" t="s">
        <v>60</v>
      </c>
    </row>
    <row r="124" spans="1:31" x14ac:dyDescent="0.2">
      <c r="A124">
        <v>121</v>
      </c>
      <c r="B124" s="19" t="s">
        <v>474</v>
      </c>
      <c r="C124">
        <v>24</v>
      </c>
      <c r="D124" s="19" t="s">
        <v>404</v>
      </c>
      <c r="E124" s="19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s="19" t="s">
        <v>2210</v>
      </c>
      <c r="W124" s="19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479</v>
      </c>
      <c r="C125">
        <v>18</v>
      </c>
      <c r="D125" s="19" t="s">
        <v>387</v>
      </c>
      <c r="E125" s="19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s="19" t="s">
        <v>2674</v>
      </c>
      <c r="W125" s="19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s="19" t="s">
        <v>60</v>
      </c>
    </row>
    <row r="126" spans="1:31" x14ac:dyDescent="0.2">
      <c r="A126">
        <v>123</v>
      </c>
      <c r="B126" s="19" t="s">
        <v>661</v>
      </c>
      <c r="C126">
        <v>31</v>
      </c>
      <c r="D126" s="19" t="s">
        <v>555</v>
      </c>
      <c r="E126" s="19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s="19" t="s">
        <v>2676</v>
      </c>
      <c r="W126" s="19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494</v>
      </c>
      <c r="C127">
        <v>25</v>
      </c>
      <c r="D127" s="19" t="s">
        <v>384</v>
      </c>
      <c r="E127" s="19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s="19" t="s">
        <v>2677</v>
      </c>
      <c r="W127" s="19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s="19" t="s">
        <v>60</v>
      </c>
    </row>
    <row r="128" spans="1:31" x14ac:dyDescent="0.2">
      <c r="A128">
        <v>125</v>
      </c>
      <c r="B128" s="19" t="s">
        <v>604</v>
      </c>
      <c r="C128">
        <v>31</v>
      </c>
      <c r="D128" s="19" t="s">
        <v>324</v>
      </c>
      <c r="E128" s="19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s="19" t="s">
        <v>2266</v>
      </c>
      <c r="W128" s="19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s="19" t="s">
        <v>60</v>
      </c>
    </row>
    <row r="129" spans="1:31" x14ac:dyDescent="0.2">
      <c r="A129">
        <v>126</v>
      </c>
      <c r="B129" s="19" t="s">
        <v>583</v>
      </c>
      <c r="C129">
        <v>36</v>
      </c>
      <c r="D129" s="19" t="s">
        <v>448</v>
      </c>
      <c r="E129" s="1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s="19" t="s">
        <v>2267</v>
      </c>
      <c r="W129" s="1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s="19" t="s">
        <v>60</v>
      </c>
    </row>
    <row r="130" spans="1:31" x14ac:dyDescent="0.2">
      <c r="A130">
        <v>127</v>
      </c>
      <c r="B130" s="19" t="s">
        <v>512</v>
      </c>
      <c r="C130">
        <v>22</v>
      </c>
      <c r="D130" s="19" t="s">
        <v>402</v>
      </c>
      <c r="E130" s="19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s="19" t="s">
        <v>2268</v>
      </c>
      <c r="W130" s="19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s="19" t="s">
        <v>60</v>
      </c>
    </row>
    <row r="131" spans="1:31" x14ac:dyDescent="0.2">
      <c r="A131">
        <v>128</v>
      </c>
      <c r="B131" s="19" t="s">
        <v>513</v>
      </c>
      <c r="C131">
        <v>30</v>
      </c>
      <c r="D131" s="19" t="s">
        <v>330</v>
      </c>
      <c r="E131" s="19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s="19" t="s">
        <v>2678</v>
      </c>
      <c r="W131" s="19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444</v>
      </c>
      <c r="C132">
        <v>21</v>
      </c>
      <c r="D132" s="19" t="s">
        <v>412</v>
      </c>
      <c r="E132" s="19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s="19" t="s">
        <v>445</v>
      </c>
      <c r="W132" s="19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558</v>
      </c>
      <c r="C133">
        <v>23</v>
      </c>
      <c r="D133" s="19" t="s">
        <v>363</v>
      </c>
      <c r="E133" s="19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s="19" t="s">
        <v>2269</v>
      </c>
      <c r="W133" s="19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34</v>
      </c>
      <c r="D134" s="19" t="s">
        <v>361</v>
      </c>
      <c r="E134" s="19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s="19" t="s">
        <v>2679</v>
      </c>
      <c r="W134" s="19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s="19" t="s">
        <v>60</v>
      </c>
    </row>
    <row r="135" spans="1:31" x14ac:dyDescent="0.2">
      <c r="A135">
        <v>132</v>
      </c>
      <c r="B135" s="19" t="s">
        <v>506</v>
      </c>
      <c r="C135">
        <v>37</v>
      </c>
      <c r="D135" s="19" t="s">
        <v>373</v>
      </c>
      <c r="E135" s="19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s="19" t="s">
        <v>2680</v>
      </c>
      <c r="W135" s="19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s="19" t="s">
        <v>60</v>
      </c>
    </row>
    <row r="136" spans="1:31" x14ac:dyDescent="0.2">
      <c r="A136">
        <v>133</v>
      </c>
      <c r="B136" s="19" t="s">
        <v>549</v>
      </c>
      <c r="C136">
        <v>31</v>
      </c>
      <c r="D136" s="19" t="s">
        <v>356</v>
      </c>
      <c r="E136" s="19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s="19" t="s">
        <v>2270</v>
      </c>
      <c r="W136" s="19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s="19" t="s">
        <v>60</v>
      </c>
    </row>
    <row r="137" spans="1:31" x14ac:dyDescent="0.2">
      <c r="A137">
        <v>134</v>
      </c>
      <c r="B137" s="19" t="s">
        <v>489</v>
      </c>
      <c r="C137">
        <v>23</v>
      </c>
      <c r="D137" s="19" t="s">
        <v>337</v>
      </c>
      <c r="E137" s="19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s="19" t="s">
        <v>2271</v>
      </c>
      <c r="W137" s="19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451</v>
      </c>
      <c r="C138">
        <v>29</v>
      </c>
      <c r="D138" s="19" t="s">
        <v>404</v>
      </c>
      <c r="E138" s="19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s="19" t="s">
        <v>2272</v>
      </c>
      <c r="W138" s="19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s="19" t="s">
        <v>60</v>
      </c>
    </row>
    <row r="139" spans="1:31" x14ac:dyDescent="0.2">
      <c r="A139">
        <v>136</v>
      </c>
      <c r="B139" s="19" t="s">
        <v>540</v>
      </c>
      <c r="C139">
        <v>28</v>
      </c>
      <c r="D139" s="19" t="s">
        <v>353</v>
      </c>
      <c r="E139" s="1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s="19" t="s">
        <v>2681</v>
      </c>
      <c r="W139" s="1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s="19" t="s">
        <v>60</v>
      </c>
    </row>
    <row r="140" spans="1:31" x14ac:dyDescent="0.2">
      <c r="A140">
        <v>137</v>
      </c>
      <c r="B140" s="19" t="s">
        <v>497</v>
      </c>
      <c r="C140">
        <v>33</v>
      </c>
      <c r="D140" s="19" t="s">
        <v>384</v>
      </c>
      <c r="E140" s="19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s="19" t="s">
        <v>2682</v>
      </c>
      <c r="W140" s="19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s="19" t="s">
        <v>60</v>
      </c>
    </row>
    <row r="141" spans="1:31" x14ac:dyDescent="0.2">
      <c r="A141">
        <v>138</v>
      </c>
      <c r="B141" s="19" t="s">
        <v>587</v>
      </c>
      <c r="C141">
        <v>29</v>
      </c>
      <c r="D141" s="19" t="s">
        <v>461</v>
      </c>
      <c r="E141" s="19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s="19" t="s">
        <v>2273</v>
      </c>
      <c r="W141" s="19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s="19" t="s">
        <v>60</v>
      </c>
    </row>
    <row r="142" spans="1:31" x14ac:dyDescent="0.2">
      <c r="A142">
        <v>139</v>
      </c>
      <c r="B142" s="19" t="s">
        <v>567</v>
      </c>
      <c r="C142">
        <v>28</v>
      </c>
      <c r="D142" s="19" t="s">
        <v>461</v>
      </c>
      <c r="E142" s="19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s="19" t="s">
        <v>2274</v>
      </c>
      <c r="W142" s="19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s="19" t="s">
        <v>60</v>
      </c>
    </row>
    <row r="143" spans="1:31" x14ac:dyDescent="0.2">
      <c r="A143">
        <v>140</v>
      </c>
      <c r="B143" s="19" t="s">
        <v>473</v>
      </c>
      <c r="C143">
        <v>34</v>
      </c>
      <c r="D143" s="19" t="s">
        <v>337</v>
      </c>
      <c r="E143" s="19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s="19" t="s">
        <v>2275</v>
      </c>
      <c r="W143" s="19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s="19" t="s">
        <v>60</v>
      </c>
    </row>
    <row r="144" spans="1:31" x14ac:dyDescent="0.2">
      <c r="A144">
        <v>141</v>
      </c>
      <c r="B144" s="19" t="s">
        <v>570</v>
      </c>
      <c r="C144">
        <v>25</v>
      </c>
      <c r="D144" s="19" t="s">
        <v>337</v>
      </c>
      <c r="E144" s="19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s="19" t="s">
        <v>2276</v>
      </c>
      <c r="W144" s="19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s="19" t="s">
        <v>60</v>
      </c>
    </row>
    <row r="145" spans="1:31" x14ac:dyDescent="0.2">
      <c r="A145">
        <v>142</v>
      </c>
      <c r="B145" s="19" t="s">
        <v>523</v>
      </c>
      <c r="C145">
        <v>32</v>
      </c>
      <c r="D145" s="19" t="s">
        <v>363</v>
      </c>
      <c r="E145" s="19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s="19" t="s">
        <v>1913</v>
      </c>
      <c r="W145" s="19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s="19" t="s">
        <v>60</v>
      </c>
    </row>
    <row r="146" spans="1:31" x14ac:dyDescent="0.2">
      <c r="A146">
        <v>143</v>
      </c>
      <c r="B146" s="19" t="s">
        <v>628</v>
      </c>
      <c r="C146">
        <v>30</v>
      </c>
      <c r="D146" s="19" t="s">
        <v>321</v>
      </c>
      <c r="E146" s="19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s="19" t="s">
        <v>1773</v>
      </c>
      <c r="W146" s="19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s="19" t="s">
        <v>60</v>
      </c>
    </row>
    <row r="147" spans="1:31" x14ac:dyDescent="0.2">
      <c r="A147">
        <v>144</v>
      </c>
      <c r="B147" s="19" t="s">
        <v>467</v>
      </c>
      <c r="C147">
        <v>27</v>
      </c>
      <c r="D147" s="19" t="s">
        <v>461</v>
      </c>
      <c r="E147" s="19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s="19" t="s">
        <v>2278</v>
      </c>
      <c r="W147" s="19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s="19" t="s">
        <v>60</v>
      </c>
    </row>
    <row r="148" spans="1:31" x14ac:dyDescent="0.2">
      <c r="A148">
        <v>145</v>
      </c>
      <c r="B148" s="19" t="s">
        <v>731</v>
      </c>
      <c r="C148">
        <v>35</v>
      </c>
      <c r="D148" s="19" t="s">
        <v>476</v>
      </c>
      <c r="E148" s="19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s="19" t="s">
        <v>2279</v>
      </c>
      <c r="W148" s="19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s="19" t="s">
        <v>60</v>
      </c>
    </row>
    <row r="149" spans="1:31" x14ac:dyDescent="0.2">
      <c r="A149">
        <v>146</v>
      </c>
      <c r="B149" s="19" t="s">
        <v>511</v>
      </c>
      <c r="C149">
        <v>26</v>
      </c>
      <c r="D149" s="19" t="s">
        <v>415</v>
      </c>
      <c r="E149" s="1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s="19" t="s">
        <v>2683</v>
      </c>
      <c r="W149" s="1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s="19" t="s">
        <v>60</v>
      </c>
    </row>
    <row r="150" spans="1:31" x14ac:dyDescent="0.2">
      <c r="A150">
        <v>147</v>
      </c>
      <c r="B150" s="19" t="s">
        <v>554</v>
      </c>
      <c r="C150">
        <v>23</v>
      </c>
      <c r="D150" s="19" t="s">
        <v>555</v>
      </c>
      <c r="E150" s="19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s="19" t="s">
        <v>2684</v>
      </c>
      <c r="W150" s="19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605</v>
      </c>
      <c r="C151">
        <v>30</v>
      </c>
      <c r="D151" s="19" t="s">
        <v>536</v>
      </c>
      <c r="E151" s="19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s="19" t="s">
        <v>2280</v>
      </c>
      <c r="W151" s="19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s="19" t="s">
        <v>60</v>
      </c>
    </row>
    <row r="152" spans="1:31" x14ac:dyDescent="0.2">
      <c r="A152">
        <v>149</v>
      </c>
      <c r="B152" s="19" t="s">
        <v>496</v>
      </c>
      <c r="C152">
        <v>23</v>
      </c>
      <c r="D152" s="19" t="s">
        <v>429</v>
      </c>
      <c r="E152" s="19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s="19" t="s">
        <v>2281</v>
      </c>
      <c r="W152" s="19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669</v>
      </c>
      <c r="C153">
        <v>31</v>
      </c>
      <c r="D153" s="19" t="s">
        <v>373</v>
      </c>
      <c r="E153" s="19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s="19" t="s">
        <v>2016</v>
      </c>
      <c r="W153" s="19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s="19" t="s">
        <v>60</v>
      </c>
    </row>
    <row r="154" spans="1:31" x14ac:dyDescent="0.2">
      <c r="A154">
        <v>151</v>
      </c>
      <c r="B154" s="19" t="s">
        <v>541</v>
      </c>
      <c r="C154">
        <v>33</v>
      </c>
      <c r="D154" s="19" t="s">
        <v>415</v>
      </c>
      <c r="E154" s="19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s="19" t="s">
        <v>2685</v>
      </c>
      <c r="W154" s="19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s="19" t="s">
        <v>60</v>
      </c>
    </row>
    <row r="155" spans="1:31" x14ac:dyDescent="0.2">
      <c r="A155">
        <v>152</v>
      </c>
      <c r="B155" s="19" t="s">
        <v>674</v>
      </c>
      <c r="C155">
        <v>23</v>
      </c>
      <c r="D155" s="19" t="s">
        <v>324</v>
      </c>
      <c r="E155" s="19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s="19" t="s">
        <v>2282</v>
      </c>
      <c r="W155" s="19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s="19" t="s">
        <v>60</v>
      </c>
    </row>
    <row r="156" spans="1:31" x14ac:dyDescent="0.2">
      <c r="A156">
        <v>153</v>
      </c>
      <c r="B156" s="19" t="s">
        <v>486</v>
      </c>
      <c r="C156">
        <v>24</v>
      </c>
      <c r="D156" s="19" t="s">
        <v>404</v>
      </c>
      <c r="E156" s="19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s="19" t="s">
        <v>2283</v>
      </c>
      <c r="W156" s="19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s="19" t="s">
        <v>60</v>
      </c>
    </row>
    <row r="157" spans="1:31" x14ac:dyDescent="0.2">
      <c r="A157">
        <v>154</v>
      </c>
      <c r="B157" s="19" t="s">
        <v>568</v>
      </c>
      <c r="C157">
        <v>31</v>
      </c>
      <c r="D157" s="19" t="s">
        <v>375</v>
      </c>
      <c r="E157" s="19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s="19" t="s">
        <v>2284</v>
      </c>
      <c r="W157" s="19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s="19" t="s">
        <v>60</v>
      </c>
    </row>
    <row r="158" spans="1:31" x14ac:dyDescent="0.2">
      <c r="A158">
        <v>155</v>
      </c>
      <c r="B158" s="19" t="s">
        <v>592</v>
      </c>
      <c r="C158">
        <v>27</v>
      </c>
      <c r="D158" s="19" t="s">
        <v>321</v>
      </c>
      <c r="E158" s="19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s="19" t="s">
        <v>2286</v>
      </c>
      <c r="W158" s="19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s="19" t="s">
        <v>60</v>
      </c>
    </row>
    <row r="159" spans="1:31" x14ac:dyDescent="0.2">
      <c r="A159">
        <v>156</v>
      </c>
      <c r="B159" s="19" t="s">
        <v>626</v>
      </c>
      <c r="C159">
        <v>26</v>
      </c>
      <c r="D159" s="19" t="s">
        <v>439</v>
      </c>
      <c r="E159" s="1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s="19" t="s">
        <v>2287</v>
      </c>
      <c r="W159" s="1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s="19" t="s">
        <v>60</v>
      </c>
    </row>
    <row r="160" spans="1:31" x14ac:dyDescent="0.2">
      <c r="A160">
        <v>157</v>
      </c>
      <c r="B160" s="19" t="s">
        <v>491</v>
      </c>
      <c r="C160">
        <v>22</v>
      </c>
      <c r="D160" s="19" t="s">
        <v>330</v>
      </c>
      <c r="E160" s="19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s="19" t="s">
        <v>1916</v>
      </c>
      <c r="W160" s="19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s="19" t="s">
        <v>60</v>
      </c>
    </row>
    <row r="161" spans="1:31" x14ac:dyDescent="0.2">
      <c r="A161">
        <v>158</v>
      </c>
      <c r="B161" s="19" t="s">
        <v>723</v>
      </c>
      <c r="C161">
        <v>29</v>
      </c>
      <c r="D161" s="19" t="s">
        <v>353</v>
      </c>
      <c r="E161" s="19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s="19" t="s">
        <v>2686</v>
      </c>
      <c r="W161" s="19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s="19" t="s">
        <v>60</v>
      </c>
    </row>
    <row r="162" spans="1:31" x14ac:dyDescent="0.2">
      <c r="A162">
        <v>159</v>
      </c>
      <c r="B162" s="19" t="s">
        <v>599</v>
      </c>
      <c r="C162">
        <v>24</v>
      </c>
      <c r="D162" s="19" t="s">
        <v>439</v>
      </c>
      <c r="E162" s="19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s="19" t="s">
        <v>2288</v>
      </c>
      <c r="W162" s="19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s="19" t="s">
        <v>60</v>
      </c>
    </row>
    <row r="163" spans="1:31" x14ac:dyDescent="0.2">
      <c r="A163">
        <v>160</v>
      </c>
      <c r="B163" s="19" t="s">
        <v>584</v>
      </c>
      <c r="C163">
        <v>26</v>
      </c>
      <c r="D163" s="19" t="s">
        <v>415</v>
      </c>
      <c r="E163" s="19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s="19" t="s">
        <v>2687</v>
      </c>
      <c r="W163" s="19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s="19" t="s">
        <v>60</v>
      </c>
    </row>
    <row r="164" spans="1:31" x14ac:dyDescent="0.2">
      <c r="A164">
        <v>161</v>
      </c>
      <c r="B164" s="19" t="s">
        <v>557</v>
      </c>
      <c r="C164">
        <v>23</v>
      </c>
      <c r="D164" s="19" t="s">
        <v>448</v>
      </c>
      <c r="E164" s="19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s="19" t="s">
        <v>2289</v>
      </c>
      <c r="W164" s="19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s="19" t="s">
        <v>60</v>
      </c>
    </row>
    <row r="165" spans="1:31" x14ac:dyDescent="0.2">
      <c r="A165">
        <v>162</v>
      </c>
      <c r="B165" s="19" t="s">
        <v>586</v>
      </c>
      <c r="C165">
        <v>23</v>
      </c>
      <c r="D165" s="19" t="s">
        <v>359</v>
      </c>
      <c r="E165" s="19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s="19" t="s">
        <v>2290</v>
      </c>
      <c r="W165" s="19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s="19" t="s">
        <v>60</v>
      </c>
    </row>
    <row r="166" spans="1:31" x14ac:dyDescent="0.2">
      <c r="A166">
        <v>163</v>
      </c>
      <c r="B166" s="19" t="s">
        <v>613</v>
      </c>
      <c r="C166">
        <v>33</v>
      </c>
      <c r="D166" s="19" t="s">
        <v>536</v>
      </c>
      <c r="E166" s="19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s="19" t="s">
        <v>2292</v>
      </c>
      <c r="W166" s="19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s="19" t="s">
        <v>60</v>
      </c>
    </row>
    <row r="167" spans="1:31" x14ac:dyDescent="0.2">
      <c r="A167">
        <v>164</v>
      </c>
      <c r="B167" s="19" t="s">
        <v>564</v>
      </c>
      <c r="C167">
        <v>34</v>
      </c>
      <c r="D167" s="19" t="s">
        <v>476</v>
      </c>
      <c r="E167" s="19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s="19" t="s">
        <v>2293</v>
      </c>
      <c r="W167" s="19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s="19" t="s">
        <v>60</v>
      </c>
    </row>
    <row r="168" spans="1:31" x14ac:dyDescent="0.2">
      <c r="A168">
        <v>165</v>
      </c>
      <c r="B168" s="19" t="s">
        <v>938</v>
      </c>
      <c r="C168">
        <v>33</v>
      </c>
      <c r="D168" s="19" t="s">
        <v>328</v>
      </c>
      <c r="E168" s="19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s="19" t="s">
        <v>2294</v>
      </c>
      <c r="W168" s="19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s="19" t="s">
        <v>60</v>
      </c>
    </row>
    <row r="169" spans="1:31" x14ac:dyDescent="0.2">
      <c r="A169">
        <v>166</v>
      </c>
      <c r="B169" s="19" t="s">
        <v>619</v>
      </c>
      <c r="C169">
        <v>22</v>
      </c>
      <c r="D169" s="19" t="s">
        <v>365</v>
      </c>
      <c r="E169" s="1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s="19" t="s">
        <v>2688</v>
      </c>
      <c r="W169" s="1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s="19" t="s">
        <v>60</v>
      </c>
    </row>
    <row r="170" spans="1:31" x14ac:dyDescent="0.2">
      <c r="A170">
        <v>167</v>
      </c>
      <c r="B170" s="19" t="s">
        <v>620</v>
      </c>
      <c r="C170">
        <v>38</v>
      </c>
      <c r="D170" s="19" t="s">
        <v>429</v>
      </c>
      <c r="E170" s="19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s="19" t="s">
        <v>2295</v>
      </c>
      <c r="W170" s="19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s="19" t="s">
        <v>60</v>
      </c>
    </row>
    <row r="171" spans="1:31" x14ac:dyDescent="0.2">
      <c r="A171">
        <v>168</v>
      </c>
      <c r="B171" s="19" t="s">
        <v>547</v>
      </c>
      <c r="C171">
        <v>24</v>
      </c>
      <c r="D171" s="19" t="s">
        <v>363</v>
      </c>
      <c r="E171" s="19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s="19" t="s">
        <v>2296</v>
      </c>
      <c r="W171" s="19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s="19" t="s">
        <v>60</v>
      </c>
    </row>
    <row r="172" spans="1:31" x14ac:dyDescent="0.2">
      <c r="A172">
        <v>169</v>
      </c>
      <c r="B172" s="19" t="s">
        <v>521</v>
      </c>
      <c r="C172">
        <v>21</v>
      </c>
      <c r="D172" s="19" t="s">
        <v>368</v>
      </c>
      <c r="E172" s="19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s="19" t="s">
        <v>2297</v>
      </c>
      <c r="W172" s="19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s="19" t="s">
        <v>60</v>
      </c>
    </row>
    <row r="173" spans="1:31" x14ac:dyDescent="0.2">
      <c r="A173">
        <v>170</v>
      </c>
      <c r="B173" s="19" t="s">
        <v>575</v>
      </c>
      <c r="C173">
        <v>21</v>
      </c>
      <c r="D173" s="19" t="s">
        <v>415</v>
      </c>
      <c r="E173" s="19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s="19" t="s">
        <v>2689</v>
      </c>
      <c r="W173" s="19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s="19" t="s">
        <v>60</v>
      </c>
    </row>
    <row r="174" spans="1:31" x14ac:dyDescent="0.2">
      <c r="A174">
        <v>171</v>
      </c>
      <c r="B174" s="19" t="s">
        <v>653</v>
      </c>
      <c r="C174">
        <v>37</v>
      </c>
      <c r="D174" s="19" t="s">
        <v>426</v>
      </c>
      <c r="E174" s="19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s="19" t="s">
        <v>2299</v>
      </c>
      <c r="W174" s="19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s="19" t="s">
        <v>60</v>
      </c>
    </row>
    <row r="175" spans="1:31" x14ac:dyDescent="0.2">
      <c r="A175">
        <v>172</v>
      </c>
      <c r="B175" s="19" t="s">
        <v>578</v>
      </c>
      <c r="C175">
        <v>30</v>
      </c>
      <c r="D175" s="19" t="s">
        <v>461</v>
      </c>
      <c r="E175" s="19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s="19" t="s">
        <v>2300</v>
      </c>
      <c r="W175" s="19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s="19" t="s">
        <v>60</v>
      </c>
    </row>
    <row r="176" spans="1:31" x14ac:dyDescent="0.2">
      <c r="A176">
        <v>173</v>
      </c>
      <c r="B176" s="19" t="s">
        <v>534</v>
      </c>
      <c r="C176">
        <v>30</v>
      </c>
      <c r="D176" s="19" t="s">
        <v>344</v>
      </c>
      <c r="E176" s="19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s="19" t="s">
        <v>1767</v>
      </c>
      <c r="W176" s="19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s="19" t="s">
        <v>60</v>
      </c>
    </row>
    <row r="177" spans="1:31" x14ac:dyDescent="0.2">
      <c r="A177">
        <v>174</v>
      </c>
      <c r="B177" s="19" t="s">
        <v>635</v>
      </c>
      <c r="C177">
        <v>32</v>
      </c>
      <c r="D177" s="19" t="s">
        <v>363</v>
      </c>
      <c r="E177" s="19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s="19" t="s">
        <v>2301</v>
      </c>
      <c r="W177" s="19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s="19" t="s">
        <v>60</v>
      </c>
    </row>
    <row r="178" spans="1:31" x14ac:dyDescent="0.2">
      <c r="A178">
        <v>175</v>
      </c>
      <c r="B178" s="19" t="s">
        <v>539</v>
      </c>
      <c r="C178">
        <v>30</v>
      </c>
      <c r="D178" s="19" t="s">
        <v>476</v>
      </c>
      <c r="E178" s="19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s="19" t="s">
        <v>2302</v>
      </c>
      <c r="W178" s="19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s="19" t="s">
        <v>60</v>
      </c>
    </row>
    <row r="179" spans="1:31" x14ac:dyDescent="0.2">
      <c r="A179">
        <v>176</v>
      </c>
      <c r="B179" s="19" t="s">
        <v>606</v>
      </c>
      <c r="C179">
        <v>40</v>
      </c>
      <c r="D179" s="19" t="s">
        <v>321</v>
      </c>
      <c r="E179" s="1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s="19" t="s">
        <v>2303</v>
      </c>
      <c r="W179" s="1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s="19" t="s">
        <v>60</v>
      </c>
    </row>
    <row r="180" spans="1:31" x14ac:dyDescent="0.2">
      <c r="A180">
        <v>177</v>
      </c>
      <c r="B180" s="19" t="s">
        <v>610</v>
      </c>
      <c r="C180">
        <v>29</v>
      </c>
      <c r="D180" s="19" t="s">
        <v>555</v>
      </c>
      <c r="E180" s="19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s="19" t="s">
        <v>2690</v>
      </c>
      <c r="W180" s="19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s="19" t="s">
        <v>60</v>
      </c>
    </row>
    <row r="181" spans="1:31" x14ac:dyDescent="0.2">
      <c r="A181">
        <v>178</v>
      </c>
      <c r="B181" s="19" t="s">
        <v>614</v>
      </c>
      <c r="C181">
        <v>20</v>
      </c>
      <c r="D181" s="19" t="s">
        <v>373</v>
      </c>
      <c r="E181" s="19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s="19" t="s">
        <v>2692</v>
      </c>
      <c r="W181" s="19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s="19" t="s">
        <v>60</v>
      </c>
    </row>
    <row r="182" spans="1:31" x14ac:dyDescent="0.2">
      <c r="A182">
        <v>179</v>
      </c>
      <c r="B182" s="19" t="s">
        <v>563</v>
      </c>
      <c r="C182">
        <v>26</v>
      </c>
      <c r="D182" s="19" t="s">
        <v>448</v>
      </c>
      <c r="E182" s="19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s="19" t="s">
        <v>2304</v>
      </c>
      <c r="W182" s="19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s="19" t="s">
        <v>60</v>
      </c>
    </row>
    <row r="183" spans="1:31" x14ac:dyDescent="0.2">
      <c r="A183">
        <v>180</v>
      </c>
      <c r="B183" s="19" t="s">
        <v>618</v>
      </c>
      <c r="C183">
        <v>32</v>
      </c>
      <c r="D183" s="19" t="s">
        <v>448</v>
      </c>
      <c r="E183" s="19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s="19" t="s">
        <v>2305</v>
      </c>
      <c r="W183" s="19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s="19" t="s">
        <v>60</v>
      </c>
    </row>
    <row r="184" spans="1:31" x14ac:dyDescent="0.2">
      <c r="A184">
        <v>181</v>
      </c>
      <c r="B184" s="19" t="s">
        <v>588</v>
      </c>
      <c r="C184">
        <v>22</v>
      </c>
      <c r="D184" s="19" t="s">
        <v>404</v>
      </c>
      <c r="E184" s="19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s="19" t="s">
        <v>2306</v>
      </c>
      <c r="W184" s="19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s="19" t="s">
        <v>60</v>
      </c>
    </row>
    <row r="185" spans="1:31" x14ac:dyDescent="0.2">
      <c r="A185">
        <v>182</v>
      </c>
      <c r="B185" s="19" t="s">
        <v>621</v>
      </c>
      <c r="C185">
        <v>33</v>
      </c>
      <c r="D185" s="19" t="s">
        <v>321</v>
      </c>
      <c r="E185" s="19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2308</v>
      </c>
      <c r="W185" s="19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651</v>
      </c>
      <c r="C186">
        <v>38</v>
      </c>
      <c r="D186" s="19" t="s">
        <v>378</v>
      </c>
      <c r="E186" s="19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s="19" t="s">
        <v>2694</v>
      </c>
      <c r="W186" s="19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s="19" t="s">
        <v>60</v>
      </c>
    </row>
    <row r="187" spans="1:31" x14ac:dyDescent="0.2">
      <c r="A187">
        <v>184</v>
      </c>
      <c r="B187" s="19" t="s">
        <v>625</v>
      </c>
      <c r="C187">
        <v>28</v>
      </c>
      <c r="D187" s="19" t="s">
        <v>356</v>
      </c>
      <c r="E187" s="19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s="19" t="s">
        <v>2309</v>
      </c>
      <c r="W187" s="19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s="19" t="s">
        <v>60</v>
      </c>
    </row>
    <row r="188" spans="1:31" x14ac:dyDescent="0.2">
      <c r="A188">
        <v>185</v>
      </c>
      <c r="B188" s="19" t="s">
        <v>593</v>
      </c>
      <c r="C188">
        <v>25</v>
      </c>
      <c r="D188" s="19" t="s">
        <v>368</v>
      </c>
      <c r="E188" s="19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s="19" t="s">
        <v>2310</v>
      </c>
      <c r="W188" s="19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576</v>
      </c>
      <c r="C189">
        <v>31</v>
      </c>
      <c r="D189" s="19" t="s">
        <v>384</v>
      </c>
      <c r="E189" s="1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s="19" t="s">
        <v>2695</v>
      </c>
      <c r="W189" s="1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s="19" t="s">
        <v>60</v>
      </c>
    </row>
    <row r="190" spans="1:31" x14ac:dyDescent="0.2">
      <c r="A190">
        <v>187</v>
      </c>
      <c r="B190" s="19" t="s">
        <v>524</v>
      </c>
      <c r="C190">
        <v>30</v>
      </c>
      <c r="D190" s="19" t="s">
        <v>321</v>
      </c>
      <c r="E190" s="19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s="19" t="s">
        <v>2311</v>
      </c>
      <c r="W190" s="19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s="19" t="s">
        <v>60</v>
      </c>
    </row>
    <row r="191" spans="1:31" x14ac:dyDescent="0.2">
      <c r="A191">
        <v>188</v>
      </c>
      <c r="B191" s="19" t="s">
        <v>577</v>
      </c>
      <c r="C191">
        <v>34</v>
      </c>
      <c r="D191" s="19" t="s">
        <v>324</v>
      </c>
      <c r="E191" s="19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s="19" t="s">
        <v>2312</v>
      </c>
      <c r="W191" s="19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32</v>
      </c>
      <c r="D192" s="19" t="s">
        <v>375</v>
      </c>
      <c r="E192" s="19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s="19" t="s">
        <v>2313</v>
      </c>
      <c r="W192" s="19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s="19" t="s">
        <v>60</v>
      </c>
    </row>
    <row r="193" spans="1:31" x14ac:dyDescent="0.2">
      <c r="A193">
        <v>190</v>
      </c>
      <c r="B193" s="19" t="s">
        <v>773</v>
      </c>
      <c r="C193">
        <v>34</v>
      </c>
      <c r="D193" s="19" t="s">
        <v>359</v>
      </c>
      <c r="E193" s="19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s="19" t="s">
        <v>2314</v>
      </c>
      <c r="W193" s="19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s="19" t="s">
        <v>60</v>
      </c>
    </row>
    <row r="194" spans="1:31" x14ac:dyDescent="0.2">
      <c r="A194">
        <v>191</v>
      </c>
      <c r="B194" s="19" t="s">
        <v>783</v>
      </c>
      <c r="C194">
        <v>30</v>
      </c>
      <c r="D194" s="19" t="s">
        <v>353</v>
      </c>
      <c r="E194" s="19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s="19" t="s">
        <v>2696</v>
      </c>
      <c r="W194" s="19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s="19" t="s">
        <v>60</v>
      </c>
    </row>
    <row r="195" spans="1:31" x14ac:dyDescent="0.2">
      <c r="A195">
        <v>192</v>
      </c>
      <c r="B195" s="19" t="s">
        <v>665</v>
      </c>
      <c r="C195">
        <v>27</v>
      </c>
      <c r="D195" s="19" t="s">
        <v>378</v>
      </c>
      <c r="E195" s="19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s="19" t="s">
        <v>2697</v>
      </c>
      <c r="W195" s="19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s="19" t="s">
        <v>60</v>
      </c>
    </row>
    <row r="196" spans="1:31" x14ac:dyDescent="0.2">
      <c r="A196">
        <v>193</v>
      </c>
      <c r="B196" s="19" t="s">
        <v>642</v>
      </c>
      <c r="C196">
        <v>24</v>
      </c>
      <c r="D196" s="19" t="s">
        <v>439</v>
      </c>
      <c r="E196" s="19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s="19" t="s">
        <v>2315</v>
      </c>
      <c r="W196" s="19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s="19" t="s">
        <v>60</v>
      </c>
    </row>
    <row r="197" spans="1:31" x14ac:dyDescent="0.2">
      <c r="A197">
        <v>194</v>
      </c>
      <c r="B197" s="19" t="s">
        <v>607</v>
      </c>
      <c r="C197">
        <v>22</v>
      </c>
      <c r="D197" s="19" t="s">
        <v>429</v>
      </c>
      <c r="E197" s="19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s="19" t="s">
        <v>2316</v>
      </c>
      <c r="W197" s="19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s="19" t="s">
        <v>60</v>
      </c>
    </row>
    <row r="198" spans="1:31" x14ac:dyDescent="0.2">
      <c r="A198">
        <v>195</v>
      </c>
      <c r="B198" s="19" t="s">
        <v>668</v>
      </c>
      <c r="C198">
        <v>34</v>
      </c>
      <c r="D198" s="19" t="s">
        <v>448</v>
      </c>
      <c r="E198" s="19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s="19" t="s">
        <v>2317</v>
      </c>
      <c r="W198" s="19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s="19" t="s">
        <v>60</v>
      </c>
    </row>
    <row r="199" spans="1:31" x14ac:dyDescent="0.2">
      <c r="A199">
        <v>196</v>
      </c>
      <c r="B199" s="19" t="s">
        <v>612</v>
      </c>
      <c r="C199">
        <v>25</v>
      </c>
      <c r="D199" s="19" t="s">
        <v>448</v>
      </c>
      <c r="E199" s="1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s="19" t="s">
        <v>2318</v>
      </c>
      <c r="W199" s="1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s="19" t="s">
        <v>60</v>
      </c>
    </row>
    <row r="200" spans="1:31" x14ac:dyDescent="0.2">
      <c r="A200">
        <v>197</v>
      </c>
      <c r="B200" s="19" t="s">
        <v>565</v>
      </c>
      <c r="C200">
        <v>24</v>
      </c>
      <c r="D200" s="19" t="s">
        <v>387</v>
      </c>
      <c r="E200" s="19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s="19" t="s">
        <v>2017</v>
      </c>
      <c r="W200" s="19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589</v>
      </c>
      <c r="C201">
        <v>34</v>
      </c>
      <c r="D201" s="19" t="s">
        <v>461</v>
      </c>
      <c r="E201" s="19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s="19" t="s">
        <v>2319</v>
      </c>
      <c r="W201" s="19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s="19" t="s">
        <v>60</v>
      </c>
    </row>
    <row r="202" spans="1:31" x14ac:dyDescent="0.2">
      <c r="A202">
        <v>199</v>
      </c>
      <c r="B202" s="19" t="s">
        <v>681</v>
      </c>
      <c r="C202">
        <v>24</v>
      </c>
      <c r="D202" s="19" t="s">
        <v>429</v>
      </c>
      <c r="E202" s="19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s="19" t="s">
        <v>2320</v>
      </c>
      <c r="W202" s="19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s="19" t="s">
        <v>60</v>
      </c>
    </row>
    <row r="203" spans="1:31" x14ac:dyDescent="0.2">
      <c r="A203">
        <v>200</v>
      </c>
      <c r="B203" s="19" t="s">
        <v>574</v>
      </c>
      <c r="C203">
        <v>31</v>
      </c>
      <c r="D203" s="19" t="s">
        <v>365</v>
      </c>
      <c r="E203" s="19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s="19" t="s">
        <v>2698</v>
      </c>
      <c r="W203" s="19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s="19" t="s">
        <v>60</v>
      </c>
    </row>
    <row r="204" spans="1:31" x14ac:dyDescent="0.2">
      <c r="A204">
        <v>201</v>
      </c>
      <c r="B204" s="19" t="s">
        <v>627</v>
      </c>
      <c r="C204">
        <v>29</v>
      </c>
      <c r="D204" s="19" t="s">
        <v>361</v>
      </c>
      <c r="E204" s="19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s="19" t="s">
        <v>2699</v>
      </c>
      <c r="W204" s="19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s="19" t="s">
        <v>60</v>
      </c>
    </row>
    <row r="205" spans="1:31" x14ac:dyDescent="0.2">
      <c r="A205">
        <v>202</v>
      </c>
      <c r="B205" s="19" t="s">
        <v>596</v>
      </c>
      <c r="C205">
        <v>21</v>
      </c>
      <c r="D205" s="19" t="s">
        <v>404</v>
      </c>
      <c r="E205" s="19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s="19" t="s">
        <v>1723</v>
      </c>
      <c r="W205" s="19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s="19" t="s">
        <v>60</v>
      </c>
    </row>
    <row r="206" spans="1:31" x14ac:dyDescent="0.2">
      <c r="A206">
        <v>203</v>
      </c>
      <c r="B206" s="19" t="s">
        <v>652</v>
      </c>
      <c r="C206">
        <v>28</v>
      </c>
      <c r="D206" s="19" t="s">
        <v>378</v>
      </c>
      <c r="E206" s="19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s="19" t="s">
        <v>2700</v>
      </c>
      <c r="W206" s="19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s="19" t="s">
        <v>60</v>
      </c>
    </row>
    <row r="207" spans="1:31" x14ac:dyDescent="0.2">
      <c r="A207">
        <v>204</v>
      </c>
      <c r="B207" s="19" t="s">
        <v>526</v>
      </c>
      <c r="C207">
        <v>34</v>
      </c>
      <c r="D207" s="19" t="s">
        <v>387</v>
      </c>
      <c r="E207" s="19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s="19" t="s">
        <v>527</v>
      </c>
      <c r="W207" s="19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s="19" t="s">
        <v>60</v>
      </c>
    </row>
    <row r="208" spans="1:31" x14ac:dyDescent="0.2">
      <c r="A208">
        <v>205</v>
      </c>
      <c r="B208" s="19" t="s">
        <v>529</v>
      </c>
      <c r="C208">
        <v>25</v>
      </c>
      <c r="D208" s="19" t="s">
        <v>426</v>
      </c>
      <c r="E208" s="19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s="19" t="s">
        <v>530</v>
      </c>
      <c r="W208" s="19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s="19" t="s">
        <v>60</v>
      </c>
    </row>
    <row r="209" spans="1:31" x14ac:dyDescent="0.2">
      <c r="A209">
        <v>206</v>
      </c>
      <c r="B209" s="19" t="s">
        <v>533</v>
      </c>
      <c r="C209">
        <v>29</v>
      </c>
      <c r="D209" s="19" t="s">
        <v>328</v>
      </c>
      <c r="E209" s="1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s="19" t="s">
        <v>2321</v>
      </c>
      <c r="W209" s="1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s="19" t="s">
        <v>60</v>
      </c>
    </row>
    <row r="210" spans="1:31" x14ac:dyDescent="0.2">
      <c r="A210">
        <v>207</v>
      </c>
      <c r="B210" s="19" t="s">
        <v>633</v>
      </c>
      <c r="C210">
        <v>23</v>
      </c>
      <c r="D210" s="19" t="s">
        <v>375</v>
      </c>
      <c r="E210" s="19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s="19" t="s">
        <v>2322</v>
      </c>
      <c r="W210" s="19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s="19" t="s">
        <v>60</v>
      </c>
    </row>
    <row r="211" spans="1:31" x14ac:dyDescent="0.2">
      <c r="A211">
        <v>208</v>
      </c>
      <c r="B211" s="19" t="s">
        <v>699</v>
      </c>
      <c r="C211">
        <v>25</v>
      </c>
      <c r="D211" s="19" t="s">
        <v>439</v>
      </c>
      <c r="E211" s="19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s="19" t="s">
        <v>2323</v>
      </c>
      <c r="W211" s="19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s="19" t="s">
        <v>60</v>
      </c>
    </row>
    <row r="212" spans="1:31" x14ac:dyDescent="0.2">
      <c r="A212">
        <v>209</v>
      </c>
      <c r="B212" s="19" t="s">
        <v>582</v>
      </c>
      <c r="C212">
        <v>34</v>
      </c>
      <c r="D212" s="19" t="s">
        <v>439</v>
      </c>
      <c r="E212" s="19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s="19" t="s">
        <v>1650</v>
      </c>
      <c r="W212" s="19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s="19" t="s">
        <v>60</v>
      </c>
    </row>
    <row r="213" spans="1:31" x14ac:dyDescent="0.2">
      <c r="A213">
        <v>210</v>
      </c>
      <c r="B213" s="19" t="s">
        <v>556</v>
      </c>
      <c r="C213">
        <v>28</v>
      </c>
      <c r="D213" s="19" t="s">
        <v>461</v>
      </c>
      <c r="E213" s="19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s="19" t="s">
        <v>2324</v>
      </c>
      <c r="W213" s="19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639</v>
      </c>
      <c r="C214">
        <v>22</v>
      </c>
      <c r="D214" s="19" t="s">
        <v>365</v>
      </c>
      <c r="E214" s="19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s="19" t="s">
        <v>2701</v>
      </c>
      <c r="W214" s="19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s="19" t="s">
        <v>60</v>
      </c>
    </row>
    <row r="215" spans="1:31" x14ac:dyDescent="0.2">
      <c r="A215">
        <v>212</v>
      </c>
      <c r="B215" s="19" t="s">
        <v>667</v>
      </c>
      <c r="C215">
        <v>24</v>
      </c>
      <c r="D215" s="19" t="s">
        <v>415</v>
      </c>
      <c r="E215" s="19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s="19" t="s">
        <v>1906</v>
      </c>
      <c r="W215" s="19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s="19" t="s">
        <v>60</v>
      </c>
    </row>
    <row r="216" spans="1:31" x14ac:dyDescent="0.2">
      <c r="A216">
        <v>213</v>
      </c>
      <c r="B216" s="19" t="s">
        <v>644</v>
      </c>
      <c r="C216">
        <v>29</v>
      </c>
      <c r="D216" s="19" t="s">
        <v>461</v>
      </c>
      <c r="E216" s="19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s="19" t="s">
        <v>2325</v>
      </c>
      <c r="W216" s="19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s="19" t="s">
        <v>60</v>
      </c>
    </row>
    <row r="217" spans="1:31" x14ac:dyDescent="0.2">
      <c r="A217">
        <v>214</v>
      </c>
      <c r="B217" s="19" t="s">
        <v>716</v>
      </c>
      <c r="C217">
        <v>30</v>
      </c>
      <c r="D217" s="19" t="s">
        <v>361</v>
      </c>
      <c r="E217" s="19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s="19" t="s">
        <v>2702</v>
      </c>
      <c r="W217" s="19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s="19" t="s">
        <v>60</v>
      </c>
    </row>
    <row r="218" spans="1:31" x14ac:dyDescent="0.2">
      <c r="A218">
        <v>215</v>
      </c>
      <c r="B218" s="19" t="s">
        <v>717</v>
      </c>
      <c r="C218">
        <v>23</v>
      </c>
      <c r="D218" s="19" t="s">
        <v>415</v>
      </c>
      <c r="E218" s="19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s="19" t="s">
        <v>2703</v>
      </c>
      <c r="W218" s="19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s="19" t="s">
        <v>60</v>
      </c>
    </row>
    <row r="219" spans="1:31" x14ac:dyDescent="0.2">
      <c r="A219">
        <v>216</v>
      </c>
      <c r="B219" s="19" t="s">
        <v>611</v>
      </c>
      <c r="C219">
        <v>35</v>
      </c>
      <c r="D219" s="19" t="s">
        <v>328</v>
      </c>
      <c r="E219" s="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s="19" t="s">
        <v>2326</v>
      </c>
      <c r="W219" s="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s="19" t="s">
        <v>60</v>
      </c>
    </row>
    <row r="220" spans="1:31" x14ac:dyDescent="0.2">
      <c r="A220">
        <v>217</v>
      </c>
      <c r="B220" s="19" t="s">
        <v>617</v>
      </c>
      <c r="C220">
        <v>34</v>
      </c>
      <c r="D220" s="19" t="s">
        <v>402</v>
      </c>
      <c r="E220" s="19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s="19" t="s">
        <v>2327</v>
      </c>
      <c r="W220" s="19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s="19" t="s">
        <v>60</v>
      </c>
    </row>
    <row r="221" spans="1:31" x14ac:dyDescent="0.2">
      <c r="A221">
        <v>218</v>
      </c>
      <c r="B221" s="19" t="s">
        <v>546</v>
      </c>
      <c r="C221">
        <v>24</v>
      </c>
      <c r="D221" s="19" t="s">
        <v>536</v>
      </c>
      <c r="E221" s="19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s="19" t="s">
        <v>1760</v>
      </c>
      <c r="W221" s="19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s="19" t="s">
        <v>60</v>
      </c>
    </row>
    <row r="222" spans="1:31" x14ac:dyDescent="0.2">
      <c r="A222">
        <v>219</v>
      </c>
      <c r="B222" s="19" t="s">
        <v>801</v>
      </c>
      <c r="C222">
        <v>24</v>
      </c>
      <c r="D222" s="19" t="s">
        <v>387</v>
      </c>
      <c r="E222" s="19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s="19" t="s">
        <v>2704</v>
      </c>
      <c r="W222" s="19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s="19" t="s">
        <v>60</v>
      </c>
    </row>
    <row r="223" spans="1:31" x14ac:dyDescent="0.2">
      <c r="A223">
        <v>220</v>
      </c>
      <c r="B223" s="19" t="s">
        <v>622</v>
      </c>
      <c r="C223">
        <v>20</v>
      </c>
      <c r="D223" s="19" t="s">
        <v>330</v>
      </c>
      <c r="E223" s="19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s="19" t="s">
        <v>2705</v>
      </c>
      <c r="W223" s="19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s="19" t="s">
        <v>60</v>
      </c>
    </row>
    <row r="224" spans="1:31" x14ac:dyDescent="0.2">
      <c r="A224">
        <v>221</v>
      </c>
      <c r="B224" s="19" t="s">
        <v>759</v>
      </c>
      <c r="C224">
        <v>31</v>
      </c>
      <c r="D224" s="19" t="s">
        <v>334</v>
      </c>
      <c r="E224" s="19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s="19" t="s">
        <v>2328</v>
      </c>
      <c r="W224" s="19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s="19" t="s">
        <v>60</v>
      </c>
    </row>
    <row r="225" spans="1:31" x14ac:dyDescent="0.2">
      <c r="A225">
        <v>222</v>
      </c>
      <c r="B225" s="19" t="s">
        <v>624</v>
      </c>
      <c r="C225">
        <v>28</v>
      </c>
      <c r="D225" s="19" t="s">
        <v>412</v>
      </c>
      <c r="E225" s="19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s="19" t="s">
        <v>2112</v>
      </c>
      <c r="W225" s="19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s="19" t="s">
        <v>60</v>
      </c>
    </row>
    <row r="226" spans="1:31" x14ac:dyDescent="0.2">
      <c r="A226">
        <v>223</v>
      </c>
      <c r="B226" s="19" t="s">
        <v>688</v>
      </c>
      <c r="C226">
        <v>23</v>
      </c>
      <c r="D226" s="19" t="s">
        <v>536</v>
      </c>
      <c r="E226" s="19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s="19" t="s">
        <v>2329</v>
      </c>
      <c r="W226" s="19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s="19" t="s">
        <v>60</v>
      </c>
    </row>
    <row r="227" spans="1:31" x14ac:dyDescent="0.2">
      <c r="A227">
        <v>224</v>
      </c>
      <c r="B227" s="19" t="s">
        <v>631</v>
      </c>
      <c r="C227">
        <v>31</v>
      </c>
      <c r="D227" s="19" t="s">
        <v>387</v>
      </c>
      <c r="E227" s="19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s="19" t="s">
        <v>2706</v>
      </c>
      <c r="W227" s="19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s="19" t="s">
        <v>60</v>
      </c>
    </row>
    <row r="228" spans="1:31" x14ac:dyDescent="0.2">
      <c r="A228">
        <v>225</v>
      </c>
      <c r="B228" s="19" t="s">
        <v>698</v>
      </c>
      <c r="C228">
        <v>24</v>
      </c>
      <c r="D228" s="19" t="s">
        <v>361</v>
      </c>
      <c r="E228" s="19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s="19" t="s">
        <v>1844</v>
      </c>
      <c r="W228" s="19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s="19" t="s">
        <v>60</v>
      </c>
    </row>
    <row r="229" spans="1:31" x14ac:dyDescent="0.2">
      <c r="A229">
        <v>226</v>
      </c>
      <c r="B229" s="19" t="s">
        <v>550</v>
      </c>
      <c r="C229">
        <v>34</v>
      </c>
      <c r="D229" s="19" t="s">
        <v>334</v>
      </c>
      <c r="E229" s="1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s="19" t="s">
        <v>551</v>
      </c>
      <c r="W229" s="1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s="19" t="s">
        <v>60</v>
      </c>
    </row>
    <row r="230" spans="1:31" x14ac:dyDescent="0.2">
      <c r="A230">
        <v>227</v>
      </c>
      <c r="B230" s="19" t="s">
        <v>553</v>
      </c>
      <c r="C230">
        <v>31</v>
      </c>
      <c r="D230" s="19" t="s">
        <v>330</v>
      </c>
      <c r="E230" s="19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s="19" t="s">
        <v>2707</v>
      </c>
      <c r="W230" s="19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s="19" t="s">
        <v>60</v>
      </c>
    </row>
    <row r="231" spans="1:31" x14ac:dyDescent="0.2">
      <c r="A231">
        <v>228</v>
      </c>
      <c r="B231" s="19" t="s">
        <v>909</v>
      </c>
      <c r="C231">
        <v>26</v>
      </c>
      <c r="D231" s="19" t="s">
        <v>426</v>
      </c>
      <c r="E231" s="19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s="19" t="s">
        <v>2330</v>
      </c>
      <c r="W231" s="19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s="19" t="s">
        <v>60</v>
      </c>
    </row>
    <row r="232" spans="1:31" x14ac:dyDescent="0.2">
      <c r="A232">
        <v>229</v>
      </c>
      <c r="B232" s="19" t="s">
        <v>636</v>
      </c>
      <c r="C232">
        <v>31</v>
      </c>
      <c r="D232" s="19" t="s">
        <v>337</v>
      </c>
      <c r="E232" s="19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s="19" t="s">
        <v>2331</v>
      </c>
      <c r="W232" s="19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s="19" t="s">
        <v>60</v>
      </c>
    </row>
    <row r="233" spans="1:31" x14ac:dyDescent="0.2">
      <c r="A233">
        <v>230</v>
      </c>
      <c r="B233" s="19" t="s">
        <v>779</v>
      </c>
      <c r="C233">
        <v>26</v>
      </c>
      <c r="D233" s="19" t="s">
        <v>426</v>
      </c>
      <c r="E233" s="19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s="19" t="s">
        <v>2332</v>
      </c>
      <c r="W233" s="19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s="19" t="s">
        <v>60</v>
      </c>
    </row>
    <row r="234" spans="1:31" x14ac:dyDescent="0.2">
      <c r="A234">
        <v>231</v>
      </c>
      <c r="B234" s="19" t="s">
        <v>641</v>
      </c>
      <c r="C234">
        <v>20</v>
      </c>
      <c r="D234" s="19" t="s">
        <v>1022</v>
      </c>
      <c r="E234" s="19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s="19" t="s">
        <v>2333</v>
      </c>
      <c r="W234" s="19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s="19" t="s">
        <v>60</v>
      </c>
    </row>
    <row r="235" spans="1:31" x14ac:dyDescent="0.2">
      <c r="A235">
        <v>231</v>
      </c>
      <c r="B235" s="19" t="s">
        <v>641</v>
      </c>
      <c r="C235">
        <v>20</v>
      </c>
      <c r="D235" s="19" t="s">
        <v>359</v>
      </c>
      <c r="E235" s="19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s="19" t="s">
        <v>1727</v>
      </c>
      <c r="W235" s="19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s="19" t="s">
        <v>60</v>
      </c>
    </row>
    <row r="236" spans="1:31" x14ac:dyDescent="0.2">
      <c r="A236">
        <v>231</v>
      </c>
      <c r="B236" s="19" t="s">
        <v>641</v>
      </c>
      <c r="C236">
        <v>20</v>
      </c>
      <c r="D236" s="19" t="s">
        <v>461</v>
      </c>
      <c r="E236" s="19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s="19" t="s">
        <v>2334</v>
      </c>
      <c r="W236" s="19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s="19" t="s">
        <v>60</v>
      </c>
    </row>
    <row r="237" spans="1:31" x14ac:dyDescent="0.2">
      <c r="A237">
        <v>232</v>
      </c>
      <c r="B237" s="19" t="s">
        <v>720</v>
      </c>
      <c r="C237">
        <v>30</v>
      </c>
      <c r="D237" s="19" t="s">
        <v>1022</v>
      </c>
      <c r="E237" s="19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s="19" t="s">
        <v>1842</v>
      </c>
      <c r="W237" s="19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s="19" t="s">
        <v>60</v>
      </c>
    </row>
    <row r="238" spans="1:31" x14ac:dyDescent="0.2">
      <c r="A238">
        <v>232</v>
      </c>
      <c r="B238" s="19" t="s">
        <v>720</v>
      </c>
      <c r="C238">
        <v>30</v>
      </c>
      <c r="D238" s="19" t="s">
        <v>555</v>
      </c>
      <c r="E238" s="19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s="19" t="s">
        <v>1845</v>
      </c>
      <c r="W238" s="19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s="19" t="s">
        <v>60</v>
      </c>
    </row>
    <row r="239" spans="1:31" x14ac:dyDescent="0.2">
      <c r="A239">
        <v>232</v>
      </c>
      <c r="B239" s="19" t="s">
        <v>720</v>
      </c>
      <c r="C239">
        <v>30</v>
      </c>
      <c r="D239" s="19" t="s">
        <v>384</v>
      </c>
      <c r="E239" s="1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s="19" t="s">
        <v>2708</v>
      </c>
      <c r="W239" s="1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20</v>
      </c>
      <c r="D240" s="19" t="s">
        <v>439</v>
      </c>
      <c r="E240" s="19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s="19" t="s">
        <v>2335</v>
      </c>
      <c r="W240" s="19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s="19" t="s">
        <v>60</v>
      </c>
    </row>
    <row r="241" spans="1:31" x14ac:dyDescent="0.2">
      <c r="A241">
        <v>234</v>
      </c>
      <c r="B241" s="19" t="s">
        <v>788</v>
      </c>
      <c r="C241">
        <v>32</v>
      </c>
      <c r="D241" s="19" t="s">
        <v>404</v>
      </c>
      <c r="E241" s="19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s="19" t="s">
        <v>2336</v>
      </c>
      <c r="W241" s="19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s="19" t="s">
        <v>60</v>
      </c>
    </row>
    <row r="242" spans="1:31" x14ac:dyDescent="0.2">
      <c r="A242">
        <v>235</v>
      </c>
      <c r="B242" s="19" t="s">
        <v>585</v>
      </c>
      <c r="C242">
        <v>30</v>
      </c>
      <c r="D242" s="19" t="s">
        <v>387</v>
      </c>
      <c r="E242" s="19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s="19" t="s">
        <v>2709</v>
      </c>
      <c r="W242" s="19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s="19" t="s">
        <v>60</v>
      </c>
    </row>
    <row r="243" spans="1:31" x14ac:dyDescent="0.2">
      <c r="A243">
        <v>236</v>
      </c>
      <c r="B243" s="19" t="s">
        <v>650</v>
      </c>
      <c r="C243">
        <v>24</v>
      </c>
      <c r="D243" s="19" t="s">
        <v>404</v>
      </c>
      <c r="E243" s="19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s="19" t="s">
        <v>2338</v>
      </c>
      <c r="W243" s="19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755</v>
      </c>
      <c r="C244">
        <v>35</v>
      </c>
      <c r="D244" s="19" t="s">
        <v>476</v>
      </c>
      <c r="E244" s="19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s="19" t="s">
        <v>2339</v>
      </c>
      <c r="W244" s="19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s="19" t="s">
        <v>60</v>
      </c>
    </row>
    <row r="245" spans="1:31" x14ac:dyDescent="0.2">
      <c r="A245">
        <v>238</v>
      </c>
      <c r="B245" s="19" t="s">
        <v>806</v>
      </c>
      <c r="C245">
        <v>33</v>
      </c>
      <c r="D245" s="19" t="s">
        <v>324</v>
      </c>
      <c r="E245" s="19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s="19" t="s">
        <v>2340</v>
      </c>
      <c r="W245" s="19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s="19" t="s">
        <v>60</v>
      </c>
    </row>
    <row r="246" spans="1:31" x14ac:dyDescent="0.2">
      <c r="A246">
        <v>239</v>
      </c>
      <c r="B246" s="19" t="s">
        <v>569</v>
      </c>
      <c r="C246">
        <v>27</v>
      </c>
      <c r="D246" s="19" t="s">
        <v>536</v>
      </c>
      <c r="E246" s="19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s="19" t="s">
        <v>2341</v>
      </c>
      <c r="W246" s="19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s="19" t="s">
        <v>60</v>
      </c>
    </row>
    <row r="247" spans="1:31" x14ac:dyDescent="0.2">
      <c r="A247">
        <v>240</v>
      </c>
      <c r="B247" s="19" t="s">
        <v>719</v>
      </c>
      <c r="C247">
        <v>27</v>
      </c>
      <c r="D247" s="19" t="s">
        <v>375</v>
      </c>
      <c r="E247" s="19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s="19" t="s">
        <v>2342</v>
      </c>
      <c r="W247" s="19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s="19" t="s">
        <v>60</v>
      </c>
    </row>
    <row r="248" spans="1:31" x14ac:dyDescent="0.2">
      <c r="A248">
        <v>241</v>
      </c>
      <c r="B248" s="19" t="s">
        <v>683</v>
      </c>
      <c r="C248">
        <v>21</v>
      </c>
      <c r="D248" s="19" t="s">
        <v>384</v>
      </c>
      <c r="E248" s="19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s="19" t="s">
        <v>2710</v>
      </c>
      <c r="W248" s="19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s="19" t="s">
        <v>60</v>
      </c>
    </row>
    <row r="249" spans="1:31" x14ac:dyDescent="0.2">
      <c r="A249">
        <v>242</v>
      </c>
      <c r="B249" s="19" t="s">
        <v>722</v>
      </c>
      <c r="C249">
        <v>32</v>
      </c>
      <c r="D249" s="19" t="s">
        <v>361</v>
      </c>
      <c r="E249" s="1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s="19" t="s">
        <v>2711</v>
      </c>
      <c r="W249" s="1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s="19" t="s">
        <v>60</v>
      </c>
    </row>
    <row r="250" spans="1:31" x14ac:dyDescent="0.2">
      <c r="A250">
        <v>243</v>
      </c>
      <c r="B250" s="19" t="s">
        <v>595</v>
      </c>
      <c r="C250">
        <v>31</v>
      </c>
      <c r="D250" s="19" t="s">
        <v>555</v>
      </c>
      <c r="E250" s="19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s="19" t="s">
        <v>1815</v>
      </c>
      <c r="W250" s="19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s="19" t="s">
        <v>60</v>
      </c>
    </row>
    <row r="251" spans="1:31" x14ac:dyDescent="0.2">
      <c r="A251">
        <v>244</v>
      </c>
      <c r="B251" s="19" t="s">
        <v>629</v>
      </c>
      <c r="C251">
        <v>40</v>
      </c>
      <c r="D251" s="19" t="s">
        <v>429</v>
      </c>
      <c r="E251" s="19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s="19" t="s">
        <v>2116</v>
      </c>
      <c r="W251" s="19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s="19" t="s">
        <v>60</v>
      </c>
    </row>
    <row r="252" spans="1:31" x14ac:dyDescent="0.2">
      <c r="A252">
        <v>245</v>
      </c>
      <c r="B252" s="19" t="s">
        <v>696</v>
      </c>
      <c r="C252">
        <v>24</v>
      </c>
      <c r="D252" s="19" t="s">
        <v>328</v>
      </c>
      <c r="E252" s="19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s="19" t="s">
        <v>2343</v>
      </c>
      <c r="W252" s="19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s="19" t="s">
        <v>60</v>
      </c>
    </row>
    <row r="253" spans="1:31" x14ac:dyDescent="0.2">
      <c r="A253">
        <v>246</v>
      </c>
      <c r="B253" s="19" t="s">
        <v>726</v>
      </c>
      <c r="C253">
        <v>29</v>
      </c>
      <c r="D253" s="19" t="s">
        <v>415</v>
      </c>
      <c r="E253" s="19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s="19" t="s">
        <v>2712</v>
      </c>
      <c r="W253" s="19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s="19" t="s">
        <v>60</v>
      </c>
    </row>
    <row r="254" spans="1:31" x14ac:dyDescent="0.2">
      <c r="A254">
        <v>247</v>
      </c>
      <c r="B254" s="19" t="s">
        <v>769</v>
      </c>
      <c r="C254">
        <v>28</v>
      </c>
      <c r="D254" s="19" t="s">
        <v>378</v>
      </c>
      <c r="E254" s="19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s="19" t="s">
        <v>1848</v>
      </c>
      <c r="W254" s="19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s="19" t="s">
        <v>60</v>
      </c>
    </row>
    <row r="255" spans="1:31" x14ac:dyDescent="0.2">
      <c r="A255">
        <v>248</v>
      </c>
      <c r="B255" s="19" t="s">
        <v>659</v>
      </c>
      <c r="C255">
        <v>22</v>
      </c>
      <c r="D255" s="19" t="s">
        <v>384</v>
      </c>
      <c r="E255" s="19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s="19" t="s">
        <v>2714</v>
      </c>
      <c r="W255" s="19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s="19" t="s">
        <v>60</v>
      </c>
    </row>
    <row r="256" spans="1:31" x14ac:dyDescent="0.2">
      <c r="A256">
        <v>249</v>
      </c>
      <c r="B256" s="19" t="s">
        <v>729</v>
      </c>
      <c r="C256">
        <v>37</v>
      </c>
      <c r="D256" s="19" t="s">
        <v>402</v>
      </c>
      <c r="E256" s="19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s="19" t="s">
        <v>1872</v>
      </c>
      <c r="W256" s="19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22</v>
      </c>
      <c r="D257" s="19" t="s">
        <v>402</v>
      </c>
      <c r="E257" s="19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s="19" t="s">
        <v>2243</v>
      </c>
      <c r="W257" s="19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s="19" t="s">
        <v>60</v>
      </c>
    </row>
    <row r="258" spans="1:31" x14ac:dyDescent="0.2">
      <c r="A258">
        <v>251</v>
      </c>
      <c r="B258" s="19" t="s">
        <v>707</v>
      </c>
      <c r="C258">
        <v>38</v>
      </c>
      <c r="D258" s="19" t="s">
        <v>359</v>
      </c>
      <c r="E258" s="19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s="19" t="s">
        <v>2345</v>
      </c>
      <c r="W258" s="19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s="19" t="s">
        <v>60</v>
      </c>
    </row>
    <row r="259" spans="1:31" x14ac:dyDescent="0.2">
      <c r="A259">
        <v>252</v>
      </c>
      <c r="B259" s="19" t="s">
        <v>708</v>
      </c>
      <c r="C259">
        <v>29</v>
      </c>
      <c r="D259" s="19" t="s">
        <v>426</v>
      </c>
      <c r="E259" s="1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s="19" t="s">
        <v>2346</v>
      </c>
      <c r="W259" s="1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s="19" t="s">
        <v>60</v>
      </c>
    </row>
    <row r="260" spans="1:31" x14ac:dyDescent="0.2">
      <c r="A260">
        <v>253</v>
      </c>
      <c r="B260" s="19" t="s">
        <v>710</v>
      </c>
      <c r="C260">
        <v>32</v>
      </c>
      <c r="D260" s="19" t="s">
        <v>429</v>
      </c>
      <c r="E260" s="19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s="19" t="s">
        <v>2347</v>
      </c>
      <c r="W260" s="19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s="19" t="s">
        <v>60</v>
      </c>
    </row>
    <row r="261" spans="1:31" x14ac:dyDescent="0.2">
      <c r="A261">
        <v>254</v>
      </c>
      <c r="B261" s="19" t="s">
        <v>637</v>
      </c>
      <c r="C261">
        <v>32</v>
      </c>
      <c r="D261" s="19" t="s">
        <v>356</v>
      </c>
      <c r="E261" s="19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s="19" t="s">
        <v>2348</v>
      </c>
      <c r="W261" s="19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664</v>
      </c>
      <c r="C262">
        <v>27</v>
      </c>
      <c r="D262" s="19" t="s">
        <v>476</v>
      </c>
      <c r="E262" s="19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s="19" t="s">
        <v>2349</v>
      </c>
      <c r="W262" s="19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s="19" t="s">
        <v>60</v>
      </c>
    </row>
    <row r="263" spans="1:31" x14ac:dyDescent="0.2">
      <c r="A263">
        <v>256</v>
      </c>
      <c r="B263" s="19" t="s">
        <v>670</v>
      </c>
      <c r="C263">
        <v>28</v>
      </c>
      <c r="D263" s="19" t="s">
        <v>412</v>
      </c>
      <c r="E263" s="19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s="19" t="s">
        <v>2113</v>
      </c>
      <c r="W263" s="19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s="19" t="s">
        <v>60</v>
      </c>
    </row>
    <row r="264" spans="1:31" x14ac:dyDescent="0.2">
      <c r="A264">
        <v>257</v>
      </c>
      <c r="B264" s="19" t="s">
        <v>645</v>
      </c>
      <c r="C264">
        <v>29</v>
      </c>
      <c r="D264" s="19" t="s">
        <v>330</v>
      </c>
      <c r="E264" s="19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s="19" t="s">
        <v>2715</v>
      </c>
      <c r="W264" s="19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742</v>
      </c>
      <c r="C265">
        <v>32</v>
      </c>
      <c r="D265" s="19" t="s">
        <v>334</v>
      </c>
      <c r="E265" s="19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s="19" t="s">
        <v>2350</v>
      </c>
      <c r="W265" s="19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s="19" t="s">
        <v>60</v>
      </c>
    </row>
    <row r="266" spans="1:31" x14ac:dyDescent="0.2">
      <c r="A266">
        <v>259</v>
      </c>
      <c r="B266" s="19" t="s">
        <v>796</v>
      </c>
      <c r="C266">
        <v>33</v>
      </c>
      <c r="D266" s="19" t="s">
        <v>337</v>
      </c>
      <c r="E266" s="19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s="19" t="s">
        <v>2337</v>
      </c>
      <c r="W266" s="19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s="19" t="s">
        <v>60</v>
      </c>
    </row>
    <row r="267" spans="1:31" x14ac:dyDescent="0.2">
      <c r="A267">
        <v>260</v>
      </c>
      <c r="B267" s="19" t="s">
        <v>675</v>
      </c>
      <c r="C267">
        <v>29</v>
      </c>
      <c r="D267" s="19" t="s">
        <v>375</v>
      </c>
      <c r="E267" s="19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s="19" t="s">
        <v>2351</v>
      </c>
      <c r="W267" s="19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s="19" t="s">
        <v>60</v>
      </c>
    </row>
    <row r="268" spans="1:31" x14ac:dyDescent="0.2">
      <c r="A268">
        <v>261</v>
      </c>
      <c r="B268" s="19" t="s">
        <v>834</v>
      </c>
      <c r="C268">
        <v>31</v>
      </c>
      <c r="D268" s="19" t="s">
        <v>359</v>
      </c>
      <c r="E268" s="19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s="19" t="s">
        <v>2353</v>
      </c>
      <c r="W268" s="19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s="19" t="s">
        <v>60</v>
      </c>
    </row>
    <row r="269" spans="1:31" x14ac:dyDescent="0.2">
      <c r="A269">
        <v>262</v>
      </c>
      <c r="B269" s="19" t="s">
        <v>678</v>
      </c>
      <c r="C269">
        <v>28</v>
      </c>
      <c r="D269" s="19" t="s">
        <v>356</v>
      </c>
      <c r="E269" s="1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s="19" t="s">
        <v>2115</v>
      </c>
      <c r="W269" s="1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754</v>
      </c>
      <c r="C270">
        <v>32</v>
      </c>
      <c r="D270" s="19" t="s">
        <v>384</v>
      </c>
      <c r="E270" s="19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s="19" t="s">
        <v>2716</v>
      </c>
      <c r="W270" s="19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s="19" t="s">
        <v>60</v>
      </c>
    </row>
    <row r="271" spans="1:31" x14ac:dyDescent="0.2">
      <c r="A271">
        <v>264</v>
      </c>
      <c r="B271" s="19" t="s">
        <v>756</v>
      </c>
      <c r="C271">
        <v>26</v>
      </c>
      <c r="D271" s="19" t="s">
        <v>461</v>
      </c>
      <c r="E271" s="19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s="19" t="s">
        <v>2354</v>
      </c>
      <c r="W271" s="19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s="19" t="s">
        <v>60</v>
      </c>
    </row>
    <row r="272" spans="1:31" x14ac:dyDescent="0.2">
      <c r="A272">
        <v>265</v>
      </c>
      <c r="B272" s="19" t="s">
        <v>758</v>
      </c>
      <c r="C272">
        <v>18</v>
      </c>
      <c r="D272" s="19" t="s">
        <v>378</v>
      </c>
      <c r="E272" s="19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s="19" t="s">
        <v>2717</v>
      </c>
      <c r="W272" s="19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s="19" t="s">
        <v>60</v>
      </c>
    </row>
    <row r="273" spans="1:31" x14ac:dyDescent="0.2">
      <c r="A273">
        <v>266</v>
      </c>
      <c r="B273" s="19" t="s">
        <v>590</v>
      </c>
      <c r="C273">
        <v>26</v>
      </c>
      <c r="D273" s="19" t="s">
        <v>324</v>
      </c>
      <c r="E273" s="19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s="19" t="s">
        <v>1770</v>
      </c>
      <c r="W273" s="19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s="19" t="s">
        <v>60</v>
      </c>
    </row>
    <row r="274" spans="1:31" x14ac:dyDescent="0.2">
      <c r="A274">
        <v>267</v>
      </c>
      <c r="B274" s="19" t="s">
        <v>685</v>
      </c>
      <c r="C274">
        <v>27</v>
      </c>
      <c r="D274" s="19" t="s">
        <v>356</v>
      </c>
      <c r="E274" s="19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s="19" t="s">
        <v>2356</v>
      </c>
      <c r="W274" s="19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s="19" t="s">
        <v>60</v>
      </c>
    </row>
    <row r="275" spans="1:31" x14ac:dyDescent="0.2">
      <c r="A275">
        <v>268</v>
      </c>
      <c r="B275" s="19" t="s">
        <v>597</v>
      </c>
      <c r="C275">
        <v>33</v>
      </c>
      <c r="D275" s="19" t="s">
        <v>346</v>
      </c>
      <c r="E275" s="19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s="19" t="s">
        <v>2357</v>
      </c>
      <c r="W275" s="19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s="19" t="s">
        <v>60</v>
      </c>
    </row>
    <row r="276" spans="1:31" x14ac:dyDescent="0.2">
      <c r="A276">
        <v>269</v>
      </c>
      <c r="B276" s="19" t="s">
        <v>694</v>
      </c>
      <c r="C276">
        <v>33</v>
      </c>
      <c r="D276" s="19" t="s">
        <v>387</v>
      </c>
      <c r="E276" s="19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s="19" t="s">
        <v>2718</v>
      </c>
      <c r="W276" s="19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s="19" t="s">
        <v>60</v>
      </c>
    </row>
    <row r="277" spans="1:31" x14ac:dyDescent="0.2">
      <c r="A277">
        <v>270</v>
      </c>
      <c r="B277" s="19" t="s">
        <v>857</v>
      </c>
      <c r="C277">
        <v>20</v>
      </c>
      <c r="D277" s="19" t="s">
        <v>373</v>
      </c>
      <c r="E277" s="19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s="19" t="s">
        <v>2719</v>
      </c>
      <c r="W277" s="19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s="19" t="s">
        <v>60</v>
      </c>
    </row>
    <row r="278" spans="1:31" x14ac:dyDescent="0.2">
      <c r="A278">
        <v>271</v>
      </c>
      <c r="B278" s="19" t="s">
        <v>658</v>
      </c>
      <c r="C278">
        <v>34</v>
      </c>
      <c r="D278" s="19" t="s">
        <v>536</v>
      </c>
      <c r="E278" s="19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s="19" t="s">
        <v>2358</v>
      </c>
      <c r="W278" s="19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s="19" t="s">
        <v>60</v>
      </c>
    </row>
    <row r="279" spans="1:31" x14ac:dyDescent="0.2">
      <c r="A279">
        <v>272</v>
      </c>
      <c r="B279" s="19" t="s">
        <v>600</v>
      </c>
      <c r="C279">
        <v>33</v>
      </c>
      <c r="D279" s="19" t="s">
        <v>555</v>
      </c>
      <c r="E279" s="1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s="19" t="s">
        <v>601</v>
      </c>
      <c r="W279" s="1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s="19" t="s">
        <v>60</v>
      </c>
    </row>
    <row r="280" spans="1:31" x14ac:dyDescent="0.2">
      <c r="A280">
        <v>273</v>
      </c>
      <c r="B280" s="19" t="s">
        <v>705</v>
      </c>
      <c r="C280">
        <v>25</v>
      </c>
      <c r="D280" s="19" t="s">
        <v>415</v>
      </c>
      <c r="E280" s="19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s="19" t="s">
        <v>2253</v>
      </c>
      <c r="W280" s="19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s="19" t="s">
        <v>60</v>
      </c>
    </row>
    <row r="281" spans="1:31" x14ac:dyDescent="0.2">
      <c r="A281">
        <v>274</v>
      </c>
      <c r="B281" s="19" t="s">
        <v>706</v>
      </c>
      <c r="C281">
        <v>22</v>
      </c>
      <c r="D281" s="19" t="s">
        <v>337</v>
      </c>
      <c r="E281" s="19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s="19" t="s">
        <v>2359</v>
      </c>
      <c r="W281" s="19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s="19" t="s">
        <v>60</v>
      </c>
    </row>
    <row r="282" spans="1:31" x14ac:dyDescent="0.2">
      <c r="A282">
        <v>275</v>
      </c>
      <c r="B282" s="19" t="s">
        <v>655</v>
      </c>
      <c r="C282">
        <v>24</v>
      </c>
      <c r="D282" s="19" t="s">
        <v>1022</v>
      </c>
      <c r="E282" s="19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s="19" t="s">
        <v>2360</v>
      </c>
      <c r="W282" s="19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s="19" t="s">
        <v>60</v>
      </c>
    </row>
    <row r="283" spans="1:31" x14ac:dyDescent="0.2">
      <c r="A283">
        <v>275</v>
      </c>
      <c r="B283" s="19" t="s">
        <v>655</v>
      </c>
      <c r="C283">
        <v>24</v>
      </c>
      <c r="D283" s="19" t="s">
        <v>359</v>
      </c>
      <c r="E283" s="19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s="19" t="s">
        <v>656</v>
      </c>
      <c r="W283" s="19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s="19" t="s">
        <v>60</v>
      </c>
    </row>
    <row r="284" spans="1:31" x14ac:dyDescent="0.2">
      <c r="A284">
        <v>275</v>
      </c>
      <c r="B284" s="19" t="s">
        <v>655</v>
      </c>
      <c r="C284">
        <v>24</v>
      </c>
      <c r="D284" s="19" t="s">
        <v>461</v>
      </c>
      <c r="E284" s="19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s="19" t="s">
        <v>2361</v>
      </c>
      <c r="W284" s="19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s="19" t="s">
        <v>60</v>
      </c>
    </row>
    <row r="285" spans="1:31" x14ac:dyDescent="0.2">
      <c r="A285">
        <v>276</v>
      </c>
      <c r="B285" s="19" t="s">
        <v>781</v>
      </c>
      <c r="C285">
        <v>36</v>
      </c>
      <c r="D285" s="19" t="s">
        <v>334</v>
      </c>
      <c r="E285" s="19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s="19" t="s">
        <v>2362</v>
      </c>
      <c r="W285" s="19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s="19" t="s">
        <v>60</v>
      </c>
    </row>
    <row r="286" spans="1:31" x14ac:dyDescent="0.2">
      <c r="A286">
        <v>277</v>
      </c>
      <c r="B286" s="19" t="s">
        <v>608</v>
      </c>
      <c r="C286">
        <v>29</v>
      </c>
      <c r="D286" s="19" t="s">
        <v>321</v>
      </c>
      <c r="E286" s="19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s="19" t="s">
        <v>2363</v>
      </c>
      <c r="W286" s="19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s="19" t="s">
        <v>60</v>
      </c>
    </row>
    <row r="287" spans="1:31" x14ac:dyDescent="0.2">
      <c r="A287">
        <v>278</v>
      </c>
      <c r="B287" s="19" t="s">
        <v>795</v>
      </c>
      <c r="C287">
        <v>22</v>
      </c>
      <c r="D287" s="19" t="s">
        <v>373</v>
      </c>
      <c r="E287" s="19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s="19" t="s">
        <v>2721</v>
      </c>
      <c r="W287" s="19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s="19" t="s">
        <v>60</v>
      </c>
    </row>
    <row r="288" spans="1:31" x14ac:dyDescent="0.2">
      <c r="A288">
        <v>279</v>
      </c>
      <c r="B288" s="19" t="s">
        <v>672</v>
      </c>
      <c r="C288">
        <v>29</v>
      </c>
      <c r="D288" s="19" t="s">
        <v>356</v>
      </c>
      <c r="E288" s="19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s="19" t="s">
        <v>2364</v>
      </c>
      <c r="W288" s="19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s="19" t="s">
        <v>60</v>
      </c>
    </row>
    <row r="289" spans="1:31" x14ac:dyDescent="0.2">
      <c r="A289">
        <v>280</v>
      </c>
      <c r="B289" s="19" t="s">
        <v>616</v>
      </c>
      <c r="C289">
        <v>29</v>
      </c>
      <c r="D289" s="19" t="s">
        <v>375</v>
      </c>
      <c r="E289" s="1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s="19" t="s">
        <v>2365</v>
      </c>
      <c r="W289" s="1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34</v>
      </c>
      <c r="D290" s="19" t="s">
        <v>536</v>
      </c>
      <c r="E290" s="19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s="19" t="s">
        <v>2367</v>
      </c>
      <c r="W290" s="19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s="19" t="s">
        <v>60</v>
      </c>
    </row>
    <row r="291" spans="1:31" x14ac:dyDescent="0.2">
      <c r="A291">
        <v>282</v>
      </c>
      <c r="B291" s="19" t="s">
        <v>649</v>
      </c>
      <c r="C291">
        <v>30</v>
      </c>
      <c r="D291" s="19" t="s">
        <v>363</v>
      </c>
      <c r="E291" s="19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s="19" t="s">
        <v>2368</v>
      </c>
      <c r="W291" s="19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s="19" t="s">
        <v>60</v>
      </c>
    </row>
    <row r="292" spans="1:31" x14ac:dyDescent="0.2">
      <c r="A292">
        <v>283</v>
      </c>
      <c r="B292" s="19" t="s">
        <v>753</v>
      </c>
      <c r="C292">
        <v>24</v>
      </c>
      <c r="D292" s="19" t="s">
        <v>334</v>
      </c>
      <c r="E292" s="19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s="19" t="s">
        <v>2369</v>
      </c>
      <c r="W292" s="19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s="19" t="s">
        <v>60</v>
      </c>
    </row>
    <row r="293" spans="1:31" x14ac:dyDescent="0.2">
      <c r="A293">
        <v>284</v>
      </c>
      <c r="B293" s="19" t="s">
        <v>682</v>
      </c>
      <c r="C293">
        <v>25</v>
      </c>
      <c r="D293" s="19" t="s">
        <v>356</v>
      </c>
      <c r="E293" s="19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s="19" t="s">
        <v>2370</v>
      </c>
      <c r="W293" s="19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s="19" t="s">
        <v>60</v>
      </c>
    </row>
    <row r="294" spans="1:31" x14ac:dyDescent="0.2">
      <c r="A294">
        <v>285</v>
      </c>
      <c r="B294" s="19" t="s">
        <v>765</v>
      </c>
      <c r="C294">
        <v>30</v>
      </c>
      <c r="D294" s="19" t="s">
        <v>328</v>
      </c>
      <c r="E294" s="19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s="19" t="s">
        <v>2371</v>
      </c>
      <c r="W294" s="19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s="19" t="s">
        <v>60</v>
      </c>
    </row>
    <row r="295" spans="1:31" x14ac:dyDescent="0.2">
      <c r="A295">
        <v>286</v>
      </c>
      <c r="B295" s="19" t="s">
        <v>692</v>
      </c>
      <c r="C295">
        <v>27</v>
      </c>
      <c r="D295" s="19" t="s">
        <v>461</v>
      </c>
      <c r="E295" s="19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s="19" t="s">
        <v>2372</v>
      </c>
      <c r="W295" s="19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s="19" t="s">
        <v>60</v>
      </c>
    </row>
    <row r="296" spans="1:31" x14ac:dyDescent="0.2">
      <c r="A296">
        <v>287</v>
      </c>
      <c r="B296" s="19" t="s">
        <v>724</v>
      </c>
      <c r="C296">
        <v>29</v>
      </c>
      <c r="D296" s="19" t="s">
        <v>384</v>
      </c>
      <c r="E296" s="19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s="19" t="s">
        <v>2722</v>
      </c>
      <c r="W296" s="19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s="19" t="s">
        <v>60</v>
      </c>
    </row>
    <row r="297" spans="1:31" x14ac:dyDescent="0.2">
      <c r="A297">
        <v>288</v>
      </c>
      <c r="B297" s="19" t="s">
        <v>634</v>
      </c>
      <c r="C297">
        <v>29</v>
      </c>
      <c r="D297" s="19" t="s">
        <v>536</v>
      </c>
      <c r="E297" s="19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s="19" t="s">
        <v>2373</v>
      </c>
      <c r="W297" s="19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701</v>
      </c>
      <c r="C298">
        <v>20</v>
      </c>
      <c r="D298" s="19" t="s">
        <v>476</v>
      </c>
      <c r="E298" s="19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s="19" t="s">
        <v>2374</v>
      </c>
      <c r="W298" s="19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s="19" t="s">
        <v>60</v>
      </c>
    </row>
    <row r="299" spans="1:31" x14ac:dyDescent="0.2">
      <c r="A299">
        <v>290</v>
      </c>
      <c r="B299" s="19" t="s">
        <v>703</v>
      </c>
      <c r="C299">
        <v>22</v>
      </c>
      <c r="D299" s="19" t="s">
        <v>555</v>
      </c>
      <c r="E299" s="1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s="19" t="s">
        <v>2724</v>
      </c>
      <c r="W299" s="1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s="19" t="s">
        <v>60</v>
      </c>
    </row>
    <row r="300" spans="1:31" x14ac:dyDescent="0.2">
      <c r="A300">
        <v>291</v>
      </c>
      <c r="B300" s="19" t="s">
        <v>785</v>
      </c>
      <c r="C300">
        <v>22</v>
      </c>
      <c r="D300" s="19" t="s">
        <v>344</v>
      </c>
      <c r="E300" s="19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s="19" t="s">
        <v>2375</v>
      </c>
      <c r="W300" s="19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s="19" t="s">
        <v>60</v>
      </c>
    </row>
    <row r="301" spans="1:31" x14ac:dyDescent="0.2">
      <c r="A301">
        <v>292</v>
      </c>
      <c r="B301" s="19" t="s">
        <v>733</v>
      </c>
      <c r="C301">
        <v>24</v>
      </c>
      <c r="D301" s="19" t="s">
        <v>536</v>
      </c>
      <c r="E301" s="19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s="19" t="s">
        <v>2376</v>
      </c>
      <c r="W301" s="19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s="19" t="s">
        <v>60</v>
      </c>
    </row>
    <row r="302" spans="1:31" x14ac:dyDescent="0.2">
      <c r="A302">
        <v>293</v>
      </c>
      <c r="B302" s="19" t="s">
        <v>734</v>
      </c>
      <c r="C302">
        <v>29</v>
      </c>
      <c r="D302" s="19" t="s">
        <v>412</v>
      </c>
      <c r="E302" s="19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s="19" t="s">
        <v>2119</v>
      </c>
      <c r="W302" s="19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s="19" t="s">
        <v>60</v>
      </c>
    </row>
    <row r="303" spans="1:31" x14ac:dyDescent="0.2">
      <c r="A303">
        <v>294</v>
      </c>
      <c r="B303" s="19" t="s">
        <v>715</v>
      </c>
      <c r="C303">
        <v>30</v>
      </c>
      <c r="D303" s="19" t="s">
        <v>387</v>
      </c>
      <c r="E303" s="19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s="19" t="s">
        <v>2725</v>
      </c>
      <c r="W303" s="19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s="19" t="s">
        <v>60</v>
      </c>
    </row>
    <row r="304" spans="1:31" x14ac:dyDescent="0.2">
      <c r="A304">
        <v>295</v>
      </c>
      <c r="B304" s="19" t="s">
        <v>671</v>
      </c>
      <c r="C304">
        <v>32</v>
      </c>
      <c r="D304" s="19" t="s">
        <v>346</v>
      </c>
      <c r="E304" s="19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s="19" t="s">
        <v>2135</v>
      </c>
      <c r="W304" s="19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s="19" t="s">
        <v>60</v>
      </c>
    </row>
    <row r="305" spans="1:31" x14ac:dyDescent="0.2">
      <c r="A305">
        <v>296</v>
      </c>
      <c r="B305" s="19" t="s">
        <v>739</v>
      </c>
      <c r="C305">
        <v>36</v>
      </c>
      <c r="D305" s="19" t="s">
        <v>429</v>
      </c>
      <c r="E305" s="19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s="19" t="s">
        <v>2378</v>
      </c>
      <c r="W305" s="19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s="19" t="s">
        <v>60</v>
      </c>
    </row>
    <row r="306" spans="1:31" x14ac:dyDescent="0.2">
      <c r="A306">
        <v>297</v>
      </c>
      <c r="B306" s="19" t="s">
        <v>793</v>
      </c>
      <c r="C306">
        <v>30</v>
      </c>
      <c r="D306" s="19" t="s">
        <v>387</v>
      </c>
      <c r="E306" s="19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s="19" t="s">
        <v>2726</v>
      </c>
      <c r="W306" s="19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s="19" t="s">
        <v>60</v>
      </c>
    </row>
    <row r="307" spans="1:31" x14ac:dyDescent="0.2">
      <c r="A307">
        <v>298</v>
      </c>
      <c r="B307" s="19" t="s">
        <v>718</v>
      </c>
      <c r="C307">
        <v>32</v>
      </c>
      <c r="D307" s="19" t="s">
        <v>429</v>
      </c>
      <c r="E307" s="19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s="19" t="s">
        <v>2379</v>
      </c>
      <c r="W307" s="19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874</v>
      </c>
      <c r="C308">
        <v>29</v>
      </c>
      <c r="D308" s="19" t="s">
        <v>375</v>
      </c>
      <c r="E308" s="19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s="19" t="s">
        <v>2380</v>
      </c>
      <c r="W308" s="19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s="19" t="s">
        <v>60</v>
      </c>
    </row>
    <row r="309" spans="1:31" x14ac:dyDescent="0.2">
      <c r="A309">
        <v>300</v>
      </c>
      <c r="B309" s="19" t="s">
        <v>646</v>
      </c>
      <c r="C309">
        <v>24</v>
      </c>
      <c r="D309" s="19" t="s">
        <v>415</v>
      </c>
      <c r="E309" s="1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s="19" t="s">
        <v>647</v>
      </c>
      <c r="W309" s="1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s="19" t="s">
        <v>60</v>
      </c>
    </row>
    <row r="310" spans="1:31" x14ac:dyDescent="0.2">
      <c r="A310">
        <v>301</v>
      </c>
      <c r="B310" s="19" t="s">
        <v>746</v>
      </c>
      <c r="C310">
        <v>27</v>
      </c>
      <c r="D310" s="19" t="s">
        <v>368</v>
      </c>
      <c r="E310" s="19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s="19" t="s">
        <v>2381</v>
      </c>
      <c r="W310" s="19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s="19" t="s">
        <v>60</v>
      </c>
    </row>
    <row r="311" spans="1:31" x14ac:dyDescent="0.2">
      <c r="A311">
        <v>302</v>
      </c>
      <c r="B311" s="19" t="s">
        <v>750</v>
      </c>
      <c r="C311">
        <v>29</v>
      </c>
      <c r="D311" s="19" t="s">
        <v>324</v>
      </c>
      <c r="E311" s="19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s="19" t="s">
        <v>2382</v>
      </c>
      <c r="W311" s="19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s="19" t="s">
        <v>60</v>
      </c>
    </row>
    <row r="312" spans="1:31" x14ac:dyDescent="0.2">
      <c r="A312">
        <v>303</v>
      </c>
      <c r="B312" s="19" t="s">
        <v>752</v>
      </c>
      <c r="C312">
        <v>34</v>
      </c>
      <c r="D312" s="19" t="s">
        <v>353</v>
      </c>
      <c r="E312" s="19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s="19" t="s">
        <v>2487</v>
      </c>
      <c r="W312" s="19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s="19" t="s">
        <v>60</v>
      </c>
    </row>
    <row r="313" spans="1:31" x14ac:dyDescent="0.2">
      <c r="A313">
        <v>304</v>
      </c>
      <c r="B313" s="19" t="s">
        <v>797</v>
      </c>
      <c r="C313">
        <v>22</v>
      </c>
      <c r="D313" s="19" t="s">
        <v>330</v>
      </c>
      <c r="E313" s="19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s="19" t="s">
        <v>2727</v>
      </c>
      <c r="W313" s="19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s="19" t="s">
        <v>60</v>
      </c>
    </row>
    <row r="314" spans="1:31" x14ac:dyDescent="0.2">
      <c r="A314">
        <v>305</v>
      </c>
      <c r="B314" s="19" t="s">
        <v>832</v>
      </c>
      <c r="C314">
        <v>23</v>
      </c>
      <c r="D314" s="19" t="s">
        <v>426</v>
      </c>
      <c r="E314" s="19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s="19" t="s">
        <v>2383</v>
      </c>
      <c r="W314" s="19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s="19" t="s">
        <v>60</v>
      </c>
    </row>
    <row r="315" spans="1:31" x14ac:dyDescent="0.2">
      <c r="A315">
        <v>306</v>
      </c>
      <c r="B315" s="19" t="s">
        <v>978</v>
      </c>
      <c r="C315">
        <v>29</v>
      </c>
      <c r="D315" s="19" t="s">
        <v>344</v>
      </c>
      <c r="E315" s="19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s="19" t="s">
        <v>2384</v>
      </c>
      <c r="W315" s="19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s="19" t="s">
        <v>60</v>
      </c>
    </row>
    <row r="316" spans="1:31" x14ac:dyDescent="0.2">
      <c r="A316">
        <v>307</v>
      </c>
      <c r="B316" s="19" t="s">
        <v>836</v>
      </c>
      <c r="C316">
        <v>24</v>
      </c>
      <c r="D316" s="19" t="s">
        <v>334</v>
      </c>
      <c r="E316" s="19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s="19" t="s">
        <v>2385</v>
      </c>
      <c r="W316" s="19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s="19" t="s">
        <v>60</v>
      </c>
    </row>
    <row r="317" spans="1:31" x14ac:dyDescent="0.2">
      <c r="A317">
        <v>308</v>
      </c>
      <c r="B317" s="19" t="s">
        <v>803</v>
      </c>
      <c r="C317">
        <v>32</v>
      </c>
      <c r="D317" s="19" t="s">
        <v>346</v>
      </c>
      <c r="E317" s="19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s="19" t="s">
        <v>2386</v>
      </c>
      <c r="W317" s="19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s="19" t="s">
        <v>60</v>
      </c>
    </row>
    <row r="318" spans="1:31" x14ac:dyDescent="0.2">
      <c r="A318">
        <v>309</v>
      </c>
      <c r="B318" s="19" t="s">
        <v>804</v>
      </c>
      <c r="C318">
        <v>26</v>
      </c>
      <c r="D318" s="19" t="s">
        <v>356</v>
      </c>
      <c r="E318" s="19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s="19" t="s">
        <v>2387</v>
      </c>
      <c r="W318" s="19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s="19" t="s">
        <v>60</v>
      </c>
    </row>
    <row r="319" spans="1:31" x14ac:dyDescent="0.2">
      <c r="A319">
        <v>310</v>
      </c>
      <c r="B319" s="19" t="s">
        <v>680</v>
      </c>
      <c r="C319">
        <v>26</v>
      </c>
      <c r="D319" s="19" t="s">
        <v>321</v>
      </c>
      <c r="E319" s="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s="19" t="s">
        <v>2388</v>
      </c>
      <c r="W319" s="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s="19" t="s">
        <v>60</v>
      </c>
    </row>
    <row r="320" spans="1:31" x14ac:dyDescent="0.2">
      <c r="A320">
        <v>311</v>
      </c>
      <c r="B320" s="19" t="s">
        <v>886</v>
      </c>
      <c r="C320">
        <v>25</v>
      </c>
      <c r="D320" s="19" t="s">
        <v>439</v>
      </c>
      <c r="E320" s="19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s="19" t="s">
        <v>2389</v>
      </c>
      <c r="W320" s="19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s="19" t="s">
        <v>60</v>
      </c>
    </row>
    <row r="321" spans="1:31" x14ac:dyDescent="0.2">
      <c r="A321">
        <v>312</v>
      </c>
      <c r="B321" s="19" t="s">
        <v>808</v>
      </c>
      <c r="C321">
        <v>25</v>
      </c>
      <c r="D321" s="19" t="s">
        <v>361</v>
      </c>
      <c r="E321" s="19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s="19" t="s">
        <v>2728</v>
      </c>
      <c r="W321" s="19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s="19" t="s">
        <v>60</v>
      </c>
    </row>
    <row r="322" spans="1:31" x14ac:dyDescent="0.2">
      <c r="A322">
        <v>313</v>
      </c>
      <c r="B322" s="19" t="s">
        <v>684</v>
      </c>
      <c r="C322">
        <v>26</v>
      </c>
      <c r="D322" s="19" t="s">
        <v>402</v>
      </c>
      <c r="E322" s="19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s="19" t="s">
        <v>2120</v>
      </c>
      <c r="W322" s="19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s="19" t="s">
        <v>60</v>
      </c>
    </row>
    <row r="323" spans="1:31" x14ac:dyDescent="0.2">
      <c r="A323">
        <v>314</v>
      </c>
      <c r="B323" s="19" t="s">
        <v>809</v>
      </c>
      <c r="C323">
        <v>21</v>
      </c>
      <c r="D323" s="19" t="s">
        <v>356</v>
      </c>
      <c r="E323" s="19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s="19" t="s">
        <v>2390</v>
      </c>
      <c r="W323" s="19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s="19" t="s">
        <v>60</v>
      </c>
    </row>
    <row r="324" spans="1:31" x14ac:dyDescent="0.2">
      <c r="A324">
        <v>315</v>
      </c>
      <c r="B324" s="19" t="s">
        <v>687</v>
      </c>
      <c r="C324">
        <v>30</v>
      </c>
      <c r="D324" s="19" t="s">
        <v>429</v>
      </c>
      <c r="E324" s="19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s="19" t="s">
        <v>2391</v>
      </c>
      <c r="W324" s="19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s="19" t="s">
        <v>60</v>
      </c>
    </row>
    <row r="325" spans="1:31" x14ac:dyDescent="0.2">
      <c r="A325">
        <v>316</v>
      </c>
      <c r="B325" s="19" t="s">
        <v>810</v>
      </c>
      <c r="C325">
        <v>24</v>
      </c>
      <c r="D325" s="19" t="s">
        <v>402</v>
      </c>
      <c r="E325" s="19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s="19" t="s">
        <v>2392</v>
      </c>
      <c r="W325" s="19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s="19" t="s">
        <v>60</v>
      </c>
    </row>
    <row r="326" spans="1:31" x14ac:dyDescent="0.2">
      <c r="A326">
        <v>317</v>
      </c>
      <c r="B326" s="19" t="s">
        <v>959</v>
      </c>
      <c r="C326">
        <v>27</v>
      </c>
      <c r="D326" s="19" t="s">
        <v>337</v>
      </c>
      <c r="E326" s="19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s="19" t="s">
        <v>2393</v>
      </c>
      <c r="W326" s="19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s="19" t="s">
        <v>60</v>
      </c>
    </row>
    <row r="327" spans="1:31" x14ac:dyDescent="0.2">
      <c r="A327">
        <v>318</v>
      </c>
      <c r="B327" s="19" t="s">
        <v>813</v>
      </c>
      <c r="C327">
        <v>31</v>
      </c>
      <c r="D327" s="19" t="s">
        <v>384</v>
      </c>
      <c r="E327" s="19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s="19" t="s">
        <v>2729</v>
      </c>
      <c r="W327" s="19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s="19" t="s">
        <v>60</v>
      </c>
    </row>
    <row r="328" spans="1:31" x14ac:dyDescent="0.2">
      <c r="A328">
        <v>319</v>
      </c>
      <c r="B328" s="19" t="s">
        <v>770</v>
      </c>
      <c r="C328">
        <v>24</v>
      </c>
      <c r="D328" s="19" t="s">
        <v>426</v>
      </c>
      <c r="E328" s="19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s="19" t="s">
        <v>2394</v>
      </c>
      <c r="W328" s="19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771</v>
      </c>
      <c r="C329">
        <v>27</v>
      </c>
      <c r="D329" s="19" t="s">
        <v>334</v>
      </c>
      <c r="E329" s="1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s="19" t="s">
        <v>2395</v>
      </c>
      <c r="W329" s="1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s="19" t="s">
        <v>60</v>
      </c>
    </row>
    <row r="330" spans="1:31" x14ac:dyDescent="0.2">
      <c r="A330">
        <v>321</v>
      </c>
      <c r="B330" s="19" t="s">
        <v>913</v>
      </c>
      <c r="C330">
        <v>22</v>
      </c>
      <c r="D330" s="19" t="s">
        <v>359</v>
      </c>
      <c r="E330" s="19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s="19" t="s">
        <v>2396</v>
      </c>
      <c r="W330" s="19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s="19" t="s">
        <v>60</v>
      </c>
    </row>
    <row r="331" spans="1:31" x14ac:dyDescent="0.2">
      <c r="A331">
        <v>322</v>
      </c>
      <c r="B331" s="19" t="s">
        <v>823</v>
      </c>
      <c r="C331">
        <v>30</v>
      </c>
      <c r="D331" s="19" t="s">
        <v>356</v>
      </c>
      <c r="E331" s="19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s="19" t="s">
        <v>2397</v>
      </c>
      <c r="W331" s="19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s="19" t="s">
        <v>60</v>
      </c>
    </row>
    <row r="332" spans="1:31" x14ac:dyDescent="0.2">
      <c r="A332">
        <v>323</v>
      </c>
      <c r="B332" s="19" t="s">
        <v>825</v>
      </c>
      <c r="C332">
        <v>31</v>
      </c>
      <c r="D332" s="19" t="s">
        <v>365</v>
      </c>
      <c r="E332" s="19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s="19" t="s">
        <v>2730</v>
      </c>
      <c r="W332" s="19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s="19" t="s">
        <v>60</v>
      </c>
    </row>
    <row r="333" spans="1:31" x14ac:dyDescent="0.2">
      <c r="A333">
        <v>324</v>
      </c>
      <c r="B333" s="19" t="s">
        <v>864</v>
      </c>
      <c r="C333">
        <v>27</v>
      </c>
      <c r="D333" s="19" t="s">
        <v>346</v>
      </c>
      <c r="E333" s="19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s="19" t="s">
        <v>2398</v>
      </c>
      <c r="W333" s="19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712</v>
      </c>
      <c r="C334">
        <v>28</v>
      </c>
      <c r="D334" s="19" t="s">
        <v>368</v>
      </c>
      <c r="E334" s="19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s="19" t="s">
        <v>2399</v>
      </c>
      <c r="W334" s="19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s="19" t="s">
        <v>60</v>
      </c>
    </row>
    <row r="335" spans="1:31" x14ac:dyDescent="0.2">
      <c r="A335">
        <v>326</v>
      </c>
      <c r="B335" s="19" t="s">
        <v>784</v>
      </c>
      <c r="C335">
        <v>24</v>
      </c>
      <c r="D335" s="19" t="s">
        <v>334</v>
      </c>
      <c r="E335" s="19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s="19" t="s">
        <v>1843</v>
      </c>
      <c r="W335" s="19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s="19" t="s">
        <v>60</v>
      </c>
    </row>
    <row r="336" spans="1:31" x14ac:dyDescent="0.2">
      <c r="A336">
        <v>327</v>
      </c>
      <c r="B336" s="19" t="s">
        <v>735</v>
      </c>
      <c r="C336">
        <v>29</v>
      </c>
      <c r="D336" s="19" t="s">
        <v>426</v>
      </c>
      <c r="E336" s="19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s="19" t="s">
        <v>2400</v>
      </c>
      <c r="W336" s="19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s="19" t="s">
        <v>60</v>
      </c>
    </row>
    <row r="337" spans="1:31" x14ac:dyDescent="0.2">
      <c r="A337">
        <v>328</v>
      </c>
      <c r="B337" s="19" t="s">
        <v>714</v>
      </c>
      <c r="C337">
        <v>36</v>
      </c>
      <c r="D337" s="19" t="s">
        <v>412</v>
      </c>
      <c r="E337" s="19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s="19" t="s">
        <v>2122</v>
      </c>
      <c r="W337" s="19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s="19" t="s">
        <v>60</v>
      </c>
    </row>
    <row r="338" spans="1:31" x14ac:dyDescent="0.2">
      <c r="A338">
        <v>329</v>
      </c>
      <c r="B338" s="19" t="s">
        <v>736</v>
      </c>
      <c r="C338">
        <v>30</v>
      </c>
      <c r="D338" s="19" t="s">
        <v>373</v>
      </c>
      <c r="E338" s="19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s="19" t="s">
        <v>2731</v>
      </c>
      <c r="W338" s="19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s="19" t="s">
        <v>60</v>
      </c>
    </row>
    <row r="339" spans="1:31" x14ac:dyDescent="0.2">
      <c r="A339">
        <v>330</v>
      </c>
      <c r="B339" s="19" t="s">
        <v>738</v>
      </c>
      <c r="C339">
        <v>24</v>
      </c>
      <c r="D339" s="19" t="s">
        <v>330</v>
      </c>
      <c r="E339" s="1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s="19" t="s">
        <v>2732</v>
      </c>
      <c r="W339" s="1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s="19" t="s">
        <v>60</v>
      </c>
    </row>
    <row r="340" spans="1:31" x14ac:dyDescent="0.2">
      <c r="A340">
        <v>331</v>
      </c>
      <c r="B340" s="19" t="s">
        <v>830</v>
      </c>
      <c r="C340">
        <v>27</v>
      </c>
      <c r="D340" s="19" t="s">
        <v>353</v>
      </c>
      <c r="E340" s="19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s="19" t="s">
        <v>2733</v>
      </c>
      <c r="W340" s="19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791</v>
      </c>
      <c r="C341">
        <v>26</v>
      </c>
      <c r="D341" s="19" t="s">
        <v>378</v>
      </c>
      <c r="E341" s="19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s="19" t="s">
        <v>2734</v>
      </c>
      <c r="W341" s="19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s="19" t="s">
        <v>60</v>
      </c>
    </row>
    <row r="342" spans="1:31" x14ac:dyDescent="0.2">
      <c r="A342">
        <v>333</v>
      </c>
      <c r="B342" s="19" t="s">
        <v>748</v>
      </c>
      <c r="C342">
        <v>33</v>
      </c>
      <c r="D342" s="19" t="s">
        <v>365</v>
      </c>
      <c r="E342" s="19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s="19" t="s">
        <v>2735</v>
      </c>
      <c r="W342" s="19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s="19" t="s">
        <v>60</v>
      </c>
    </row>
    <row r="343" spans="1:31" x14ac:dyDescent="0.2">
      <c r="A343">
        <v>334</v>
      </c>
      <c r="B343" s="19" t="s">
        <v>677</v>
      </c>
      <c r="C343">
        <v>35</v>
      </c>
      <c r="D343" s="19" t="s">
        <v>353</v>
      </c>
      <c r="E343" s="19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s="19" t="s">
        <v>1679</v>
      </c>
      <c r="W343" s="19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s="19" t="s">
        <v>60</v>
      </c>
    </row>
    <row r="344" spans="1:31" x14ac:dyDescent="0.2">
      <c r="A344">
        <v>335</v>
      </c>
      <c r="B344" s="19" t="s">
        <v>936</v>
      </c>
      <c r="C344">
        <v>26</v>
      </c>
      <c r="D344" s="19" t="s">
        <v>353</v>
      </c>
      <c r="E344" s="19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s="19" t="s">
        <v>2736</v>
      </c>
      <c r="W344" s="19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s="19" t="s">
        <v>60</v>
      </c>
    </row>
    <row r="345" spans="1:31" x14ac:dyDescent="0.2">
      <c r="A345">
        <v>336</v>
      </c>
      <c r="B345" s="19" t="s">
        <v>884</v>
      </c>
      <c r="C345">
        <v>23</v>
      </c>
      <c r="D345" s="19" t="s">
        <v>356</v>
      </c>
      <c r="E345" s="19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s="19" t="s">
        <v>2401</v>
      </c>
      <c r="W345" s="19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842</v>
      </c>
      <c r="C346">
        <v>29</v>
      </c>
      <c r="D346" s="19" t="s">
        <v>429</v>
      </c>
      <c r="E346" s="19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s="19" t="s">
        <v>2402</v>
      </c>
      <c r="W346" s="19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s="19" t="s">
        <v>60</v>
      </c>
    </row>
    <row r="347" spans="1:31" x14ac:dyDescent="0.2">
      <c r="A347">
        <v>338</v>
      </c>
      <c r="B347" s="19" t="s">
        <v>843</v>
      </c>
      <c r="C347">
        <v>22</v>
      </c>
      <c r="D347" s="19" t="s">
        <v>363</v>
      </c>
      <c r="E347" s="19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s="19" t="s">
        <v>2403</v>
      </c>
      <c r="W347" s="19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s="19" t="s">
        <v>60</v>
      </c>
    </row>
    <row r="348" spans="1:31" x14ac:dyDescent="0.2">
      <c r="A348">
        <v>339</v>
      </c>
      <c r="B348" s="19" t="s">
        <v>947</v>
      </c>
      <c r="C348">
        <v>34</v>
      </c>
      <c r="D348" s="19" t="s">
        <v>321</v>
      </c>
      <c r="E348" s="19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s="19" t="s">
        <v>2404</v>
      </c>
      <c r="W348" s="19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s="19" t="s">
        <v>60</v>
      </c>
    </row>
    <row r="349" spans="1:31" x14ac:dyDescent="0.2">
      <c r="A349">
        <v>340</v>
      </c>
      <c r="B349" s="19" t="s">
        <v>764</v>
      </c>
      <c r="C349">
        <v>33</v>
      </c>
      <c r="D349" s="19" t="s">
        <v>402</v>
      </c>
      <c r="E349" s="1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s="19" t="s">
        <v>2405</v>
      </c>
      <c r="W349" s="1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s="19" t="s">
        <v>60</v>
      </c>
    </row>
    <row r="350" spans="1:31" x14ac:dyDescent="0.2">
      <c r="A350">
        <v>341</v>
      </c>
      <c r="B350" s="19" t="s">
        <v>892</v>
      </c>
      <c r="C350">
        <v>25</v>
      </c>
      <c r="D350" s="19" t="s">
        <v>353</v>
      </c>
      <c r="E350" s="19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s="19" t="s">
        <v>2737</v>
      </c>
      <c r="W350" s="19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s="19" t="s">
        <v>60</v>
      </c>
    </row>
    <row r="351" spans="1:31" x14ac:dyDescent="0.2">
      <c r="A351">
        <v>342</v>
      </c>
      <c r="B351" s="19" t="s">
        <v>689</v>
      </c>
      <c r="C351">
        <v>25</v>
      </c>
      <c r="D351" s="19" t="s">
        <v>365</v>
      </c>
      <c r="E351" s="19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s="19" t="s">
        <v>690</v>
      </c>
      <c r="W351" s="19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s="19" t="s">
        <v>60</v>
      </c>
    </row>
    <row r="352" spans="1:31" x14ac:dyDescent="0.2">
      <c r="A352">
        <v>343</v>
      </c>
      <c r="B352" s="19" t="s">
        <v>852</v>
      </c>
      <c r="C352">
        <v>32</v>
      </c>
      <c r="D352" s="19" t="s">
        <v>378</v>
      </c>
      <c r="E352" s="19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s="19" t="s">
        <v>2738</v>
      </c>
      <c r="W352" s="19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s="19" t="s">
        <v>60</v>
      </c>
    </row>
    <row r="353" spans="1:31" x14ac:dyDescent="0.2">
      <c r="A353">
        <v>344</v>
      </c>
      <c r="B353" s="19" t="s">
        <v>853</v>
      </c>
      <c r="C353">
        <v>26</v>
      </c>
      <c r="D353" s="19" t="s">
        <v>373</v>
      </c>
      <c r="E353" s="19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s="19" t="s">
        <v>2740</v>
      </c>
      <c r="W353" s="19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s="19" t="s">
        <v>60</v>
      </c>
    </row>
    <row r="354" spans="1:31" x14ac:dyDescent="0.2">
      <c r="A354">
        <v>345</v>
      </c>
      <c r="B354" s="19" t="s">
        <v>897</v>
      </c>
      <c r="C354">
        <v>30</v>
      </c>
      <c r="D354" s="19" t="s">
        <v>402</v>
      </c>
      <c r="E354" s="19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s="19" t="s">
        <v>2406</v>
      </c>
      <c r="W354" s="19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s="19" t="s">
        <v>60</v>
      </c>
    </row>
    <row r="355" spans="1:31" x14ac:dyDescent="0.2">
      <c r="A355">
        <v>346</v>
      </c>
      <c r="B355" s="19" t="s">
        <v>767</v>
      </c>
      <c r="C355">
        <v>28</v>
      </c>
      <c r="D355" s="19" t="s">
        <v>361</v>
      </c>
      <c r="E355" s="19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s="19" t="s">
        <v>2741</v>
      </c>
      <c r="W355" s="19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s="19" t="s">
        <v>60</v>
      </c>
    </row>
    <row r="356" spans="1:31" x14ac:dyDescent="0.2">
      <c r="A356">
        <v>347</v>
      </c>
      <c r="B356" s="19" t="s">
        <v>768</v>
      </c>
      <c r="C356">
        <v>22</v>
      </c>
      <c r="D356" s="19" t="s">
        <v>328</v>
      </c>
      <c r="E356" s="19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s="19" t="s">
        <v>2407</v>
      </c>
      <c r="W356" s="19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s="19" t="s">
        <v>60</v>
      </c>
    </row>
    <row r="357" spans="1:31" x14ac:dyDescent="0.2">
      <c r="A357">
        <v>348</v>
      </c>
      <c r="B357" s="19" t="s">
        <v>727</v>
      </c>
      <c r="C357">
        <v>34</v>
      </c>
      <c r="D357" s="19" t="s">
        <v>412</v>
      </c>
      <c r="E357" s="19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s="19" t="s">
        <v>2124</v>
      </c>
      <c r="W357" s="19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s="19" t="s">
        <v>60</v>
      </c>
    </row>
    <row r="358" spans="1:31" x14ac:dyDescent="0.2">
      <c r="A358">
        <v>349</v>
      </c>
      <c r="B358" s="19" t="s">
        <v>858</v>
      </c>
      <c r="C358">
        <v>27</v>
      </c>
      <c r="D358" s="19" t="s">
        <v>448</v>
      </c>
      <c r="E358" s="19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s="19" t="s">
        <v>2408</v>
      </c>
      <c r="W358" s="19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s="19" t="s">
        <v>60</v>
      </c>
    </row>
    <row r="359" spans="1:31" x14ac:dyDescent="0.2">
      <c r="A359">
        <v>350</v>
      </c>
      <c r="B359" s="19" t="s">
        <v>905</v>
      </c>
      <c r="C359">
        <v>31</v>
      </c>
      <c r="D359" s="19" t="s">
        <v>476</v>
      </c>
      <c r="E359" s="1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s="19" t="s">
        <v>2409</v>
      </c>
      <c r="W359" s="1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s="19" t="s">
        <v>60</v>
      </c>
    </row>
    <row r="360" spans="1:31" x14ac:dyDescent="0.2">
      <c r="A360">
        <v>351</v>
      </c>
      <c r="B360" s="19" t="s">
        <v>815</v>
      </c>
      <c r="C360">
        <v>27</v>
      </c>
      <c r="D360" s="19" t="s">
        <v>346</v>
      </c>
      <c r="E360" s="19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s="19" t="s">
        <v>2410</v>
      </c>
      <c r="W360" s="19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s="19" t="s">
        <v>60</v>
      </c>
    </row>
    <row r="361" spans="1:31" x14ac:dyDescent="0.2">
      <c r="A361">
        <v>352</v>
      </c>
      <c r="B361" s="19" t="s">
        <v>774</v>
      </c>
      <c r="C361">
        <v>31</v>
      </c>
      <c r="D361" s="19" t="s">
        <v>321</v>
      </c>
      <c r="E361" s="19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s="19" t="s">
        <v>2411</v>
      </c>
      <c r="W361" s="19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s="19" t="s">
        <v>60</v>
      </c>
    </row>
    <row r="362" spans="1:31" x14ac:dyDescent="0.2">
      <c r="A362">
        <v>353</v>
      </c>
      <c r="B362" s="19" t="s">
        <v>1020</v>
      </c>
      <c r="C362">
        <v>32</v>
      </c>
      <c r="D362" s="19" t="s">
        <v>448</v>
      </c>
      <c r="E362" s="19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s="19" t="s">
        <v>2413</v>
      </c>
      <c r="W362" s="19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s="19" t="s">
        <v>60</v>
      </c>
    </row>
    <row r="363" spans="1:31" x14ac:dyDescent="0.2">
      <c r="A363">
        <v>354</v>
      </c>
      <c r="B363" s="19" t="s">
        <v>702</v>
      </c>
      <c r="C363">
        <v>30</v>
      </c>
      <c r="D363" s="19" t="s">
        <v>384</v>
      </c>
      <c r="E363" s="19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s="19" t="s">
        <v>2742</v>
      </c>
      <c r="W363" s="19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s="19" t="s">
        <v>60</v>
      </c>
    </row>
    <row r="364" spans="1:31" x14ac:dyDescent="0.2">
      <c r="A364">
        <v>355</v>
      </c>
      <c r="B364" s="19" t="s">
        <v>732</v>
      </c>
      <c r="C364">
        <v>30</v>
      </c>
      <c r="D364" s="19" t="s">
        <v>426</v>
      </c>
      <c r="E364" s="19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s="19" t="s">
        <v>2414</v>
      </c>
      <c r="W364" s="19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s="19" t="s">
        <v>60</v>
      </c>
    </row>
    <row r="365" spans="1:31" x14ac:dyDescent="0.2">
      <c r="A365">
        <v>356</v>
      </c>
      <c r="B365" s="19" t="s">
        <v>829</v>
      </c>
      <c r="C365">
        <v>20</v>
      </c>
      <c r="D365" s="19" t="s">
        <v>361</v>
      </c>
      <c r="E365" s="19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s="19" t="s">
        <v>2743</v>
      </c>
      <c r="W365" s="19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s="19" t="s">
        <v>60</v>
      </c>
    </row>
    <row r="366" spans="1:31" x14ac:dyDescent="0.2">
      <c r="A366">
        <v>357</v>
      </c>
      <c r="B366" s="19" t="s">
        <v>789</v>
      </c>
      <c r="C366">
        <v>25</v>
      </c>
      <c r="D366" s="19" t="s">
        <v>324</v>
      </c>
      <c r="E366" s="19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s="19" t="s">
        <v>2415</v>
      </c>
      <c r="W366" s="19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s="19" t="s">
        <v>60</v>
      </c>
    </row>
    <row r="367" spans="1:31" x14ac:dyDescent="0.2">
      <c r="A367">
        <v>358</v>
      </c>
      <c r="B367" s="19" t="s">
        <v>792</v>
      </c>
      <c r="C367">
        <v>35</v>
      </c>
      <c r="D367" s="19" t="s">
        <v>404</v>
      </c>
      <c r="E367" s="19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s="19" t="s">
        <v>2416</v>
      </c>
      <c r="W367" s="19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s="19" t="s">
        <v>60</v>
      </c>
    </row>
    <row r="368" spans="1:31" x14ac:dyDescent="0.2">
      <c r="A368">
        <v>359</v>
      </c>
      <c r="B368" s="19" t="s">
        <v>740</v>
      </c>
      <c r="C368">
        <v>25</v>
      </c>
      <c r="D368" s="19" t="s">
        <v>321</v>
      </c>
      <c r="E368" s="19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s="19" t="s">
        <v>2417</v>
      </c>
      <c r="W368" s="19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s="19" t="s">
        <v>60</v>
      </c>
    </row>
    <row r="369" spans="1:31" x14ac:dyDescent="0.2">
      <c r="A369">
        <v>360</v>
      </c>
      <c r="B369" s="19" t="s">
        <v>744</v>
      </c>
      <c r="C369">
        <v>26</v>
      </c>
      <c r="D369" s="19" t="s">
        <v>368</v>
      </c>
      <c r="E369" s="1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s="19" t="s">
        <v>2418</v>
      </c>
      <c r="W369" s="1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s="19" t="s">
        <v>60</v>
      </c>
    </row>
    <row r="370" spans="1:31" x14ac:dyDescent="0.2">
      <c r="A370">
        <v>361</v>
      </c>
      <c r="B370" s="19" t="s">
        <v>878</v>
      </c>
      <c r="C370">
        <v>25</v>
      </c>
      <c r="D370" s="19" t="s">
        <v>353</v>
      </c>
      <c r="E370" s="19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s="19" t="s">
        <v>2744</v>
      </c>
      <c r="W370" s="19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s="19" t="s">
        <v>60</v>
      </c>
    </row>
    <row r="371" spans="1:31" x14ac:dyDescent="0.2">
      <c r="A371">
        <v>362</v>
      </c>
      <c r="B371" s="19" t="s">
        <v>802</v>
      </c>
      <c r="C371">
        <v>27</v>
      </c>
      <c r="D371" s="19" t="s">
        <v>344</v>
      </c>
      <c r="E371" s="19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s="19" t="s">
        <v>2419</v>
      </c>
      <c r="W371" s="19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s="19" t="s">
        <v>60</v>
      </c>
    </row>
    <row r="372" spans="1:31" x14ac:dyDescent="0.2">
      <c r="A372">
        <v>363</v>
      </c>
      <c r="B372" s="19" t="s">
        <v>941</v>
      </c>
      <c r="C372">
        <v>23</v>
      </c>
      <c r="D372" s="19" t="s">
        <v>384</v>
      </c>
      <c r="E372" s="19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s="19" t="s">
        <v>2745</v>
      </c>
      <c r="W372" s="19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s="19" t="s">
        <v>60</v>
      </c>
    </row>
    <row r="373" spans="1:31" x14ac:dyDescent="0.2">
      <c r="A373">
        <v>364</v>
      </c>
      <c r="B373" s="19" t="s">
        <v>805</v>
      </c>
      <c r="C373">
        <v>36</v>
      </c>
      <c r="D373" s="19" t="s">
        <v>337</v>
      </c>
      <c r="E373" s="19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s="19" t="s">
        <v>2420</v>
      </c>
      <c r="W373" s="19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s="19" t="s">
        <v>60</v>
      </c>
    </row>
    <row r="374" spans="1:31" x14ac:dyDescent="0.2">
      <c r="A374">
        <v>365</v>
      </c>
      <c r="B374" s="19" t="s">
        <v>760</v>
      </c>
      <c r="C374">
        <v>32</v>
      </c>
      <c r="D374" s="19" t="s">
        <v>356</v>
      </c>
      <c r="E374" s="19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s="19" t="s">
        <v>2421</v>
      </c>
      <c r="W374" s="19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s="19" t="s">
        <v>60</v>
      </c>
    </row>
    <row r="375" spans="1:31" x14ac:dyDescent="0.2">
      <c r="A375">
        <v>366</v>
      </c>
      <c r="B375" s="19" t="s">
        <v>762</v>
      </c>
      <c r="C375">
        <v>29</v>
      </c>
      <c r="D375" s="19" t="s">
        <v>328</v>
      </c>
      <c r="E375" s="19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s="19" t="s">
        <v>2422</v>
      </c>
      <c r="W375" s="19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1004</v>
      </c>
      <c r="C376">
        <v>26</v>
      </c>
      <c r="D376" s="19" t="s">
        <v>439</v>
      </c>
      <c r="E376" s="19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s="19" t="s">
        <v>2423</v>
      </c>
      <c r="W376" s="19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s="19" t="s">
        <v>60</v>
      </c>
    </row>
    <row r="377" spans="1:31" x14ac:dyDescent="0.2">
      <c r="A377">
        <v>368</v>
      </c>
      <c r="B377" s="19" t="s">
        <v>895</v>
      </c>
      <c r="C377">
        <v>27</v>
      </c>
      <c r="D377" s="19" t="s">
        <v>363</v>
      </c>
      <c r="E377" s="19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s="19" t="s">
        <v>2424</v>
      </c>
      <c r="W377" s="19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s="19" t="s">
        <v>60</v>
      </c>
    </row>
    <row r="378" spans="1:31" x14ac:dyDescent="0.2">
      <c r="A378">
        <v>369</v>
      </c>
      <c r="B378" s="19" t="s">
        <v>725</v>
      </c>
      <c r="C378">
        <v>23</v>
      </c>
      <c r="D378" s="19" t="s">
        <v>461</v>
      </c>
      <c r="E378" s="19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s="19" t="s">
        <v>2077</v>
      </c>
      <c r="W378" s="19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900</v>
      </c>
      <c r="C379">
        <v>25</v>
      </c>
      <c r="D379" s="19" t="s">
        <v>368</v>
      </c>
      <c r="E379" s="1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s="19" t="s">
        <v>2425</v>
      </c>
      <c r="W379" s="1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s="19" t="s">
        <v>60</v>
      </c>
    </row>
    <row r="380" spans="1:31" x14ac:dyDescent="0.2">
      <c r="A380">
        <v>371</v>
      </c>
      <c r="B380" s="19" t="s">
        <v>814</v>
      </c>
      <c r="C380">
        <v>25</v>
      </c>
      <c r="D380" s="19" t="s">
        <v>387</v>
      </c>
      <c r="E380" s="19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s="19" t="s">
        <v>2746</v>
      </c>
      <c r="W380" s="19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s="19" t="s">
        <v>60</v>
      </c>
    </row>
    <row r="381" spans="1:31" x14ac:dyDescent="0.2">
      <c r="A381">
        <v>372</v>
      </c>
      <c r="B381" s="19" t="s">
        <v>728</v>
      </c>
      <c r="C381">
        <v>21</v>
      </c>
      <c r="D381" s="19" t="s">
        <v>536</v>
      </c>
      <c r="E381" s="19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s="19" t="s">
        <v>2426</v>
      </c>
      <c r="W381" s="19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s="19" t="s">
        <v>60</v>
      </c>
    </row>
    <row r="382" spans="1:31" x14ac:dyDescent="0.2">
      <c r="A382">
        <v>373</v>
      </c>
      <c r="B382" s="19" t="s">
        <v>860</v>
      </c>
      <c r="C382">
        <v>29</v>
      </c>
      <c r="D382" s="19" t="s">
        <v>359</v>
      </c>
      <c r="E382" s="19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s="19" t="s">
        <v>2427</v>
      </c>
      <c r="W382" s="19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s="19" t="s">
        <v>60</v>
      </c>
    </row>
    <row r="383" spans="1:31" x14ac:dyDescent="0.2">
      <c r="A383">
        <v>374</v>
      </c>
      <c r="B383" s="19" t="s">
        <v>910</v>
      </c>
      <c r="C383">
        <v>36</v>
      </c>
      <c r="D383" s="19" t="s">
        <v>373</v>
      </c>
      <c r="E383" s="19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s="19" t="s">
        <v>2125</v>
      </c>
      <c r="W383" s="19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s="19" t="s">
        <v>60</v>
      </c>
    </row>
    <row r="384" spans="1:31" x14ac:dyDescent="0.2">
      <c r="A384">
        <v>375</v>
      </c>
      <c r="B384" s="19" t="s">
        <v>822</v>
      </c>
      <c r="C384">
        <v>31</v>
      </c>
      <c r="D384" s="19" t="s">
        <v>402</v>
      </c>
      <c r="E384" s="19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s="19" t="s">
        <v>2428</v>
      </c>
      <c r="W384" s="19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s="19" t="s">
        <v>60</v>
      </c>
    </row>
    <row r="385" spans="1:31" x14ac:dyDescent="0.2">
      <c r="A385">
        <v>376</v>
      </c>
      <c r="B385" s="19" t="s">
        <v>778</v>
      </c>
      <c r="C385">
        <v>28</v>
      </c>
      <c r="D385" s="19" t="s">
        <v>378</v>
      </c>
      <c r="E385" s="19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s="19" t="s">
        <v>2748</v>
      </c>
      <c r="W385" s="19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s="19" t="s">
        <v>60</v>
      </c>
    </row>
    <row r="386" spans="1:31" x14ac:dyDescent="0.2">
      <c r="A386">
        <v>377</v>
      </c>
      <c r="B386" s="19" t="s">
        <v>863</v>
      </c>
      <c r="C386">
        <v>23</v>
      </c>
      <c r="D386" s="19" t="s">
        <v>415</v>
      </c>
      <c r="E386" s="19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s="19" t="s">
        <v>2749</v>
      </c>
      <c r="W386" s="19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s="19" t="s">
        <v>60</v>
      </c>
    </row>
    <row r="387" spans="1:31" x14ac:dyDescent="0.2">
      <c r="A387">
        <v>378</v>
      </c>
      <c r="B387" s="19" t="s">
        <v>780</v>
      </c>
      <c r="C387">
        <v>30</v>
      </c>
      <c r="D387" s="19" t="s">
        <v>373</v>
      </c>
      <c r="E387" s="19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s="19" t="s">
        <v>2750</v>
      </c>
      <c r="W387" s="19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s="19" t="s">
        <v>60</v>
      </c>
    </row>
    <row r="388" spans="1:31" x14ac:dyDescent="0.2">
      <c r="A388">
        <v>379</v>
      </c>
      <c r="B388" s="19" t="s">
        <v>787</v>
      </c>
      <c r="C388">
        <v>32</v>
      </c>
      <c r="D388" s="19" t="s">
        <v>359</v>
      </c>
      <c r="E388" s="19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s="19" t="s">
        <v>2429</v>
      </c>
      <c r="W388" s="19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s="19" t="s">
        <v>60</v>
      </c>
    </row>
    <row r="389" spans="1:31" x14ac:dyDescent="0.2">
      <c r="A389">
        <v>380</v>
      </c>
      <c r="B389" s="19" t="s">
        <v>922</v>
      </c>
      <c r="C389">
        <v>26</v>
      </c>
      <c r="D389" s="19" t="s">
        <v>404</v>
      </c>
      <c r="E389" s="1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s="19" t="s">
        <v>2430</v>
      </c>
      <c r="W389" s="1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s="19" t="s">
        <v>60</v>
      </c>
    </row>
    <row r="390" spans="1:31" x14ac:dyDescent="0.2">
      <c r="A390">
        <v>381</v>
      </c>
      <c r="B390" s="19" t="s">
        <v>831</v>
      </c>
      <c r="C390">
        <v>29</v>
      </c>
      <c r="D390" s="19" t="s">
        <v>365</v>
      </c>
      <c r="E390" s="19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s="19" t="s">
        <v>1941</v>
      </c>
      <c r="W390" s="19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s="19" t="s">
        <v>60</v>
      </c>
    </row>
    <row r="391" spans="1:31" x14ac:dyDescent="0.2">
      <c r="A391">
        <v>382</v>
      </c>
      <c r="B391" s="19" t="s">
        <v>1201</v>
      </c>
      <c r="C391">
        <v>27</v>
      </c>
      <c r="D391" s="19" t="s">
        <v>321</v>
      </c>
      <c r="E391" s="19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s="19" t="s">
        <v>2431</v>
      </c>
      <c r="W391" s="19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s="19" t="s">
        <v>60</v>
      </c>
    </row>
    <row r="392" spans="1:31" x14ac:dyDescent="0.2">
      <c r="A392">
        <v>383</v>
      </c>
      <c r="B392" s="19" t="s">
        <v>837</v>
      </c>
      <c r="C392">
        <v>32</v>
      </c>
      <c r="D392" s="19" t="s">
        <v>344</v>
      </c>
      <c r="E392" s="19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s="19" t="s">
        <v>2432</v>
      </c>
      <c r="W392" s="19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s="19" t="s">
        <v>60</v>
      </c>
    </row>
    <row r="393" spans="1:31" x14ac:dyDescent="0.2">
      <c r="A393">
        <v>384</v>
      </c>
      <c r="B393" s="19" t="s">
        <v>880</v>
      </c>
      <c r="C393">
        <v>31</v>
      </c>
      <c r="D393" s="19" t="s">
        <v>337</v>
      </c>
      <c r="E393" s="19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s="19" t="s">
        <v>2433</v>
      </c>
      <c r="W393" s="19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s="19" t="s">
        <v>60</v>
      </c>
    </row>
    <row r="394" spans="1:31" x14ac:dyDescent="0.2">
      <c r="A394">
        <v>385</v>
      </c>
      <c r="B394" s="19" t="s">
        <v>840</v>
      </c>
      <c r="C394">
        <v>29</v>
      </c>
      <c r="D394" s="19" t="s">
        <v>361</v>
      </c>
      <c r="E394" s="19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s="19" t="s">
        <v>2751</v>
      </c>
      <c r="W394" s="19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s="19" t="s">
        <v>60</v>
      </c>
    </row>
    <row r="395" spans="1:31" x14ac:dyDescent="0.2">
      <c r="A395">
        <v>386</v>
      </c>
      <c r="B395" s="19" t="s">
        <v>945</v>
      </c>
      <c r="C395">
        <v>33</v>
      </c>
      <c r="D395" s="19" t="s">
        <v>356</v>
      </c>
      <c r="E395" s="19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s="19" t="s">
        <v>2434</v>
      </c>
      <c r="W395" s="19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s="19" t="s">
        <v>60</v>
      </c>
    </row>
    <row r="396" spans="1:31" x14ac:dyDescent="0.2">
      <c r="A396">
        <v>387</v>
      </c>
      <c r="B396" s="19" t="s">
        <v>889</v>
      </c>
      <c r="C396">
        <v>29</v>
      </c>
      <c r="D396" s="19" t="s">
        <v>361</v>
      </c>
      <c r="E396" s="19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s="19" t="s">
        <v>2752</v>
      </c>
      <c r="W396" s="19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s="19" t="s">
        <v>60</v>
      </c>
    </row>
    <row r="397" spans="1:31" x14ac:dyDescent="0.2">
      <c r="A397">
        <v>388</v>
      </c>
      <c r="B397" s="19" t="s">
        <v>844</v>
      </c>
      <c r="C397">
        <v>35</v>
      </c>
      <c r="D397" s="19" t="s">
        <v>476</v>
      </c>
      <c r="E397" s="19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s="19" t="s">
        <v>1817</v>
      </c>
      <c r="W397" s="19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s="19" t="s">
        <v>60</v>
      </c>
    </row>
    <row r="398" spans="1:31" x14ac:dyDescent="0.2">
      <c r="A398">
        <v>389</v>
      </c>
      <c r="B398" s="19" t="s">
        <v>845</v>
      </c>
      <c r="C398">
        <v>26</v>
      </c>
      <c r="D398" s="19" t="s">
        <v>412</v>
      </c>
      <c r="E398" s="19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s="19" t="s">
        <v>2126</v>
      </c>
      <c r="W398" s="19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s="19" t="s">
        <v>60</v>
      </c>
    </row>
    <row r="399" spans="1:31" x14ac:dyDescent="0.2">
      <c r="A399">
        <v>390</v>
      </c>
      <c r="B399" s="19" t="s">
        <v>890</v>
      </c>
      <c r="C399">
        <v>31</v>
      </c>
      <c r="D399" s="19" t="s">
        <v>330</v>
      </c>
      <c r="E399" s="1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s="19" t="s">
        <v>2127</v>
      </c>
      <c r="W399" s="1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s="19" t="s">
        <v>60</v>
      </c>
    </row>
    <row r="400" spans="1:31" x14ac:dyDescent="0.2">
      <c r="A400">
        <v>391</v>
      </c>
      <c r="B400" s="19" t="s">
        <v>812</v>
      </c>
      <c r="C400">
        <v>32</v>
      </c>
      <c r="D400" s="19" t="s">
        <v>536</v>
      </c>
      <c r="E400" s="19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s="19" t="s">
        <v>2435</v>
      </c>
      <c r="W400" s="19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s="19" t="s">
        <v>60</v>
      </c>
    </row>
    <row r="401" spans="1:31" x14ac:dyDescent="0.2">
      <c r="A401">
        <v>392</v>
      </c>
      <c r="B401" s="19" t="s">
        <v>894</v>
      </c>
      <c r="C401">
        <v>23</v>
      </c>
      <c r="D401" s="19" t="s">
        <v>439</v>
      </c>
      <c r="E401" s="19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s="19" t="s">
        <v>2436</v>
      </c>
      <c r="W401" s="19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s="19" t="s">
        <v>60</v>
      </c>
    </row>
    <row r="402" spans="1:31" x14ac:dyDescent="0.2">
      <c r="A402">
        <v>393</v>
      </c>
      <c r="B402" s="19" t="s">
        <v>766</v>
      </c>
      <c r="C402">
        <v>30</v>
      </c>
      <c r="D402" s="19" t="s">
        <v>368</v>
      </c>
      <c r="E402" s="19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s="19" t="s">
        <v>2437</v>
      </c>
      <c r="W402" s="19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s="19" t="s">
        <v>60</v>
      </c>
    </row>
    <row r="403" spans="1:31" x14ac:dyDescent="0.2">
      <c r="A403">
        <v>394</v>
      </c>
      <c r="B403" s="19" t="s">
        <v>901</v>
      </c>
      <c r="C403">
        <v>25</v>
      </c>
      <c r="D403" s="19" t="s">
        <v>461</v>
      </c>
      <c r="E403" s="19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s="19" t="s">
        <v>2438</v>
      </c>
      <c r="W403" s="19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961</v>
      </c>
      <c r="C404">
        <v>34</v>
      </c>
      <c r="D404" s="19" t="s">
        <v>344</v>
      </c>
      <c r="E404" s="19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s="19" t="s">
        <v>2440</v>
      </c>
      <c r="W404" s="19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s="19" t="s">
        <v>60</v>
      </c>
    </row>
    <row r="405" spans="1:31" x14ac:dyDescent="0.2">
      <c r="A405">
        <v>396</v>
      </c>
      <c r="B405" s="19" t="s">
        <v>859</v>
      </c>
      <c r="C405">
        <v>26</v>
      </c>
      <c r="D405" s="19" t="s">
        <v>356</v>
      </c>
      <c r="E405" s="19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s="19" t="s">
        <v>2441</v>
      </c>
      <c r="W405" s="19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s="19" t="s">
        <v>60</v>
      </c>
    </row>
    <row r="406" spans="1:31" x14ac:dyDescent="0.2">
      <c r="A406">
        <v>397</v>
      </c>
      <c r="B406" s="19" t="s">
        <v>963</v>
      </c>
      <c r="C406">
        <v>29</v>
      </c>
      <c r="D406" s="19" t="s">
        <v>412</v>
      </c>
      <c r="E406" s="19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s="19" t="s">
        <v>2128</v>
      </c>
      <c r="W406" s="19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s="19" t="s">
        <v>60</v>
      </c>
    </row>
    <row r="407" spans="1:31" x14ac:dyDescent="0.2">
      <c r="A407">
        <v>398</v>
      </c>
      <c r="B407" s="19" t="s">
        <v>772</v>
      </c>
      <c r="C407">
        <v>31</v>
      </c>
      <c r="D407" s="19" t="s">
        <v>536</v>
      </c>
      <c r="E407" s="19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s="19" t="s">
        <v>2442</v>
      </c>
      <c r="W407" s="19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s="19" t="s">
        <v>60</v>
      </c>
    </row>
    <row r="408" spans="1:31" x14ac:dyDescent="0.2">
      <c r="A408">
        <v>399</v>
      </c>
      <c r="B408" s="19" t="s">
        <v>817</v>
      </c>
      <c r="C408">
        <v>37</v>
      </c>
      <c r="D408" s="19" t="s">
        <v>346</v>
      </c>
      <c r="E408" s="19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s="19" t="s">
        <v>2443</v>
      </c>
      <c r="W408" s="19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s="19" t="s">
        <v>60</v>
      </c>
    </row>
    <row r="409" spans="1:31" x14ac:dyDescent="0.2">
      <c r="A409">
        <v>400</v>
      </c>
      <c r="B409" s="19" t="s">
        <v>775</v>
      </c>
      <c r="C409">
        <v>29</v>
      </c>
      <c r="D409" s="19" t="s">
        <v>328</v>
      </c>
      <c r="E409" s="1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s="19" t="s">
        <v>776</v>
      </c>
      <c r="W409" s="1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967</v>
      </c>
      <c r="C410">
        <v>24</v>
      </c>
      <c r="D410" s="19" t="s">
        <v>448</v>
      </c>
      <c r="E410" s="19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s="19" t="s">
        <v>2444</v>
      </c>
      <c r="W410" s="19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s="19" t="s">
        <v>60</v>
      </c>
    </row>
    <row r="411" spans="1:31" x14ac:dyDescent="0.2">
      <c r="A411">
        <v>402</v>
      </c>
      <c r="B411" s="19" t="s">
        <v>916</v>
      </c>
      <c r="C411">
        <v>25</v>
      </c>
      <c r="D411" s="19" t="s">
        <v>1022</v>
      </c>
      <c r="E411" s="19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s="19" t="s">
        <v>2446</v>
      </c>
      <c r="W411" s="19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s="19" t="s">
        <v>60</v>
      </c>
    </row>
    <row r="412" spans="1:31" x14ac:dyDescent="0.2">
      <c r="A412">
        <v>402</v>
      </c>
      <c r="B412" s="19" t="s">
        <v>916</v>
      </c>
      <c r="C412">
        <v>25</v>
      </c>
      <c r="D412" s="19" t="s">
        <v>373</v>
      </c>
      <c r="E412" s="19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s="19" t="s">
        <v>1734</v>
      </c>
      <c r="W412" s="19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916</v>
      </c>
      <c r="C413">
        <v>25</v>
      </c>
      <c r="D413" s="19" t="s">
        <v>536</v>
      </c>
      <c r="E413" s="19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s="19" t="s">
        <v>2447</v>
      </c>
      <c r="W413" s="19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s="19" t="s">
        <v>60</v>
      </c>
    </row>
    <row r="414" spans="1:31" x14ac:dyDescent="0.2">
      <c r="A414">
        <v>403</v>
      </c>
      <c r="B414" s="19" t="s">
        <v>866</v>
      </c>
      <c r="C414">
        <v>21</v>
      </c>
      <c r="D414" s="19" t="s">
        <v>321</v>
      </c>
      <c r="E414" s="19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s="19" t="s">
        <v>2448</v>
      </c>
      <c r="W414" s="19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s="19" t="s">
        <v>60</v>
      </c>
    </row>
    <row r="415" spans="1:31" x14ac:dyDescent="0.2">
      <c r="A415">
        <v>404</v>
      </c>
      <c r="B415" s="19" t="s">
        <v>827</v>
      </c>
      <c r="C415">
        <v>29</v>
      </c>
      <c r="D415" s="19" t="s">
        <v>365</v>
      </c>
      <c r="E415" s="19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s="19" t="s">
        <v>2753</v>
      </c>
      <c r="W415" s="19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s="19" t="s">
        <v>60</v>
      </c>
    </row>
    <row r="416" spans="1:31" x14ac:dyDescent="0.2">
      <c r="A416">
        <v>405</v>
      </c>
      <c r="B416" s="19" t="s">
        <v>869</v>
      </c>
      <c r="C416">
        <v>32</v>
      </c>
      <c r="D416" s="19" t="s">
        <v>426</v>
      </c>
      <c r="E416" s="19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s="19" t="s">
        <v>2449</v>
      </c>
      <c r="W416" s="19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1048</v>
      </c>
      <c r="C417">
        <v>26</v>
      </c>
      <c r="D417" s="19" t="s">
        <v>404</v>
      </c>
      <c r="E417" s="19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s="19" t="s">
        <v>2450</v>
      </c>
      <c r="W417" s="19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s="19" t="s">
        <v>60</v>
      </c>
    </row>
    <row r="418" spans="1:31" x14ac:dyDescent="0.2">
      <c r="A418">
        <v>407</v>
      </c>
      <c r="B418" s="19" t="s">
        <v>879</v>
      </c>
      <c r="C418">
        <v>27</v>
      </c>
      <c r="D418" s="19" t="s">
        <v>476</v>
      </c>
      <c r="E418" s="19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2451</v>
      </c>
      <c r="W418" s="19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798</v>
      </c>
      <c r="C419">
        <v>24</v>
      </c>
      <c r="D419" s="19" t="s">
        <v>337</v>
      </c>
      <c r="E419" s="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2452</v>
      </c>
      <c r="W419" s="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799</v>
      </c>
      <c r="C420">
        <v>35</v>
      </c>
      <c r="D420" s="19" t="s">
        <v>328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2453</v>
      </c>
      <c r="W420" s="19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984</v>
      </c>
      <c r="C421">
        <v>23</v>
      </c>
      <c r="D421" s="19" t="s">
        <v>330</v>
      </c>
      <c r="E421" s="19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s="19" t="s">
        <v>2754</v>
      </c>
      <c r="W421" s="19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s="19" t="s">
        <v>60</v>
      </c>
    </row>
    <row r="422" spans="1:31" x14ac:dyDescent="0.2">
      <c r="A422">
        <v>411</v>
      </c>
      <c r="B422" s="19" t="s">
        <v>1147</v>
      </c>
      <c r="C422">
        <v>25</v>
      </c>
      <c r="D422" s="19" t="s">
        <v>344</v>
      </c>
      <c r="E422" s="19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s="19" t="s">
        <v>2454</v>
      </c>
      <c r="W422" s="19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s="19" t="s">
        <v>60</v>
      </c>
    </row>
    <row r="423" spans="1:31" x14ac:dyDescent="0.2">
      <c r="A423">
        <v>412</v>
      </c>
      <c r="B423" s="19" t="s">
        <v>891</v>
      </c>
      <c r="C423">
        <v>22</v>
      </c>
      <c r="D423" s="19" t="s">
        <v>337</v>
      </c>
      <c r="E423" s="19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s="19" t="s">
        <v>2078</v>
      </c>
      <c r="W423" s="19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s="19" t="s">
        <v>60</v>
      </c>
    </row>
    <row r="424" spans="1:31" x14ac:dyDescent="0.2">
      <c r="A424">
        <v>413</v>
      </c>
      <c r="B424" s="19" t="s">
        <v>846</v>
      </c>
      <c r="C424">
        <v>21</v>
      </c>
      <c r="D424" s="19" t="s">
        <v>330</v>
      </c>
      <c r="E424" s="19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s="19" t="s">
        <v>2755</v>
      </c>
      <c r="W424" s="19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s="19" t="s">
        <v>60</v>
      </c>
    </row>
    <row r="425" spans="1:31" x14ac:dyDescent="0.2">
      <c r="A425">
        <v>414</v>
      </c>
      <c r="B425" s="19" t="s">
        <v>811</v>
      </c>
      <c r="C425">
        <v>28</v>
      </c>
      <c r="D425" s="19" t="s">
        <v>384</v>
      </c>
      <c r="E425" s="19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s="19" t="s">
        <v>2756</v>
      </c>
      <c r="W425" s="19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s="19" t="s">
        <v>60</v>
      </c>
    </row>
    <row r="426" spans="1:31" x14ac:dyDescent="0.2">
      <c r="A426">
        <v>415</v>
      </c>
      <c r="B426" s="19" t="s">
        <v>955</v>
      </c>
      <c r="C426">
        <v>21</v>
      </c>
      <c r="D426" s="19" t="s">
        <v>439</v>
      </c>
      <c r="E426" s="19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s="19" t="s">
        <v>2455</v>
      </c>
      <c r="W426" s="19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s="19" t="s">
        <v>60</v>
      </c>
    </row>
    <row r="427" spans="1:31" x14ac:dyDescent="0.2">
      <c r="A427">
        <v>416</v>
      </c>
      <c r="B427" s="19" t="s">
        <v>957</v>
      </c>
      <c r="C427">
        <v>30</v>
      </c>
      <c r="D427" s="19" t="s">
        <v>353</v>
      </c>
      <c r="E427" s="19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s="19" t="s">
        <v>2757</v>
      </c>
      <c r="W427" s="19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851</v>
      </c>
      <c r="C428">
        <v>33</v>
      </c>
      <c r="D428" s="19" t="s">
        <v>334</v>
      </c>
      <c r="E428" s="19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s="19" t="s">
        <v>2456</v>
      </c>
      <c r="W428" s="19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s="19" t="s">
        <v>60</v>
      </c>
    </row>
    <row r="429" spans="1:31" x14ac:dyDescent="0.2">
      <c r="A429">
        <v>418</v>
      </c>
      <c r="B429" s="19" t="s">
        <v>903</v>
      </c>
      <c r="C429">
        <v>33</v>
      </c>
      <c r="D429" s="19" t="s">
        <v>363</v>
      </c>
      <c r="E429" s="1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s="19" t="s">
        <v>2032</v>
      </c>
      <c r="W429" s="1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s="19" t="s">
        <v>60</v>
      </c>
    </row>
    <row r="430" spans="1:31" x14ac:dyDescent="0.2">
      <c r="A430">
        <v>419</v>
      </c>
      <c r="B430" s="19" t="s">
        <v>907</v>
      </c>
      <c r="C430">
        <v>23</v>
      </c>
      <c r="D430" s="19" t="s">
        <v>368</v>
      </c>
      <c r="E430" s="19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s="19" t="s">
        <v>2457</v>
      </c>
      <c r="W430" s="19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s="19" t="s">
        <v>60</v>
      </c>
    </row>
    <row r="431" spans="1:31" x14ac:dyDescent="0.2">
      <c r="A431">
        <v>420</v>
      </c>
      <c r="B431" s="19" t="s">
        <v>1090</v>
      </c>
      <c r="C431">
        <v>36</v>
      </c>
      <c r="D431" s="19" t="s">
        <v>359</v>
      </c>
      <c r="E431" s="19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s="19" t="s">
        <v>2458</v>
      </c>
      <c r="W431" s="19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s="19" t="s">
        <v>60</v>
      </c>
    </row>
    <row r="432" spans="1:31" x14ac:dyDescent="0.2">
      <c r="A432">
        <v>421</v>
      </c>
      <c r="B432" s="19" t="s">
        <v>816</v>
      </c>
      <c r="C432">
        <v>26</v>
      </c>
      <c r="D432" s="19" t="s">
        <v>1022</v>
      </c>
      <c r="E432" s="19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s="19" t="s">
        <v>2459</v>
      </c>
      <c r="W432" s="19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s="19" t="s">
        <v>60</v>
      </c>
    </row>
    <row r="433" spans="1:31" x14ac:dyDescent="0.2">
      <c r="A433">
        <v>421</v>
      </c>
      <c r="B433" s="19" t="s">
        <v>816</v>
      </c>
      <c r="C433">
        <v>26</v>
      </c>
      <c r="D433" s="19" t="s">
        <v>476</v>
      </c>
      <c r="E433" s="19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s="19" t="s">
        <v>1731</v>
      </c>
      <c r="W433" s="19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s="19" t="s">
        <v>60</v>
      </c>
    </row>
    <row r="434" spans="1:31" x14ac:dyDescent="0.2">
      <c r="A434">
        <v>421</v>
      </c>
      <c r="B434" s="19" t="s">
        <v>816</v>
      </c>
      <c r="C434">
        <v>26</v>
      </c>
      <c r="D434" s="19" t="s">
        <v>328</v>
      </c>
      <c r="E434" s="19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s="19" t="s">
        <v>2460</v>
      </c>
      <c r="W434" s="19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s="19" t="s">
        <v>60</v>
      </c>
    </row>
    <row r="435" spans="1:31" x14ac:dyDescent="0.2">
      <c r="A435">
        <v>422</v>
      </c>
      <c r="B435" s="19" t="s">
        <v>1098</v>
      </c>
      <c r="C435">
        <v>22</v>
      </c>
      <c r="D435" s="19" t="s">
        <v>476</v>
      </c>
      <c r="E435" s="19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s="19" t="s">
        <v>2461</v>
      </c>
      <c r="W435" s="19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s="19" t="s">
        <v>60</v>
      </c>
    </row>
    <row r="436" spans="1:31" x14ac:dyDescent="0.2">
      <c r="A436">
        <v>423</v>
      </c>
      <c r="B436" s="19" t="s">
        <v>819</v>
      </c>
      <c r="C436">
        <v>31</v>
      </c>
      <c r="D436" s="19" t="s">
        <v>536</v>
      </c>
      <c r="E436" s="19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s="19" t="s">
        <v>820</v>
      </c>
      <c r="W436" s="19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s="19" t="s">
        <v>60</v>
      </c>
    </row>
    <row r="437" spans="1:31" x14ac:dyDescent="0.2">
      <c r="A437">
        <v>424</v>
      </c>
      <c r="B437" s="19" t="s">
        <v>861</v>
      </c>
      <c r="C437">
        <v>20</v>
      </c>
      <c r="D437" s="19" t="s">
        <v>461</v>
      </c>
      <c r="E437" s="19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s="19" t="s">
        <v>2463</v>
      </c>
      <c r="W437" s="19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s="19" t="s">
        <v>60</v>
      </c>
    </row>
    <row r="438" spans="1:31" x14ac:dyDescent="0.2">
      <c r="A438">
        <v>425</v>
      </c>
      <c r="B438" s="19" t="s">
        <v>911</v>
      </c>
      <c r="C438">
        <v>27</v>
      </c>
      <c r="D438" s="19" t="s">
        <v>412</v>
      </c>
      <c r="E438" s="19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s="19" t="s">
        <v>1818</v>
      </c>
      <c r="W438" s="19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s="19" t="s">
        <v>60</v>
      </c>
    </row>
    <row r="439" spans="1:31" x14ac:dyDescent="0.2">
      <c r="A439">
        <v>426</v>
      </c>
      <c r="B439" s="19" t="s">
        <v>1029</v>
      </c>
      <c r="C439">
        <v>34</v>
      </c>
      <c r="D439" s="19" t="s">
        <v>378</v>
      </c>
      <c r="E439" s="1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s="19" t="s">
        <v>2758</v>
      </c>
      <c r="W439" s="1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s="19" t="s">
        <v>60</v>
      </c>
    </row>
    <row r="440" spans="1:31" x14ac:dyDescent="0.2">
      <c r="A440">
        <v>427</v>
      </c>
      <c r="B440" s="19" t="s">
        <v>862</v>
      </c>
      <c r="C440">
        <v>26</v>
      </c>
      <c r="D440" s="19" t="s">
        <v>429</v>
      </c>
      <c r="E440" s="19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s="19" t="s">
        <v>2464</v>
      </c>
      <c r="W440" s="19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s="19" t="s">
        <v>60</v>
      </c>
    </row>
    <row r="441" spans="1:31" x14ac:dyDescent="0.2">
      <c r="A441">
        <v>428</v>
      </c>
      <c r="B441" s="19" t="s">
        <v>972</v>
      </c>
      <c r="C441">
        <v>32</v>
      </c>
      <c r="D441" s="19" t="s">
        <v>363</v>
      </c>
      <c r="E441" s="19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s="19" t="s">
        <v>2465</v>
      </c>
      <c r="W441" s="19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s="19" t="s">
        <v>60</v>
      </c>
    </row>
    <row r="442" spans="1:31" x14ac:dyDescent="0.2">
      <c r="A442">
        <v>429</v>
      </c>
      <c r="B442" s="19" t="s">
        <v>920</v>
      </c>
      <c r="C442">
        <v>31</v>
      </c>
      <c r="D442" s="19" t="s">
        <v>402</v>
      </c>
      <c r="E442" s="19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s="19" t="s">
        <v>2466</v>
      </c>
      <c r="W442" s="19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s="19" t="s">
        <v>60</v>
      </c>
    </row>
    <row r="443" spans="1:31" x14ac:dyDescent="0.2">
      <c r="A443">
        <v>430</v>
      </c>
      <c r="B443" s="19" t="s">
        <v>828</v>
      </c>
      <c r="C443">
        <v>34</v>
      </c>
      <c r="D443" s="19" t="s">
        <v>373</v>
      </c>
      <c r="E443" s="19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s="19" t="s">
        <v>2759</v>
      </c>
      <c r="W443" s="19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867</v>
      </c>
      <c r="C444">
        <v>34</v>
      </c>
      <c r="D444" s="19" t="s">
        <v>387</v>
      </c>
      <c r="E444" s="19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s="19" t="s">
        <v>2760</v>
      </c>
      <c r="W444" s="19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s="19" t="s">
        <v>60</v>
      </c>
    </row>
    <row r="445" spans="1:31" x14ac:dyDescent="0.2">
      <c r="A445">
        <v>432</v>
      </c>
      <c r="B445" s="19" t="s">
        <v>1042</v>
      </c>
      <c r="C445">
        <v>30</v>
      </c>
      <c r="D445" s="19" t="s">
        <v>330</v>
      </c>
      <c r="E445" s="19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s="19" t="s">
        <v>2761</v>
      </c>
      <c r="W445" s="19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s="19" t="s">
        <v>60</v>
      </c>
    </row>
    <row r="446" spans="1:31" x14ac:dyDescent="0.2">
      <c r="A446">
        <v>433</v>
      </c>
      <c r="B446" s="19" t="s">
        <v>976</v>
      </c>
      <c r="C446">
        <v>35</v>
      </c>
      <c r="D446" s="19" t="s">
        <v>368</v>
      </c>
      <c r="E446" s="19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s="19" t="s">
        <v>2467</v>
      </c>
      <c r="W446" s="19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s="19" t="s">
        <v>60</v>
      </c>
    </row>
    <row r="447" spans="1:31" x14ac:dyDescent="0.2">
      <c r="A447">
        <v>434</v>
      </c>
      <c r="B447" s="19" t="s">
        <v>926</v>
      </c>
      <c r="C447">
        <v>34</v>
      </c>
      <c r="D447" s="19" t="s">
        <v>429</v>
      </c>
      <c r="E447" s="19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s="19" t="s">
        <v>2468</v>
      </c>
      <c r="W447" s="19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s="19" t="s">
        <v>60</v>
      </c>
    </row>
    <row r="448" spans="1:31" x14ac:dyDescent="0.2">
      <c r="A448">
        <v>435</v>
      </c>
      <c r="B448" s="19" t="s">
        <v>1197</v>
      </c>
      <c r="C448">
        <v>27</v>
      </c>
      <c r="D448" s="19" t="s">
        <v>412</v>
      </c>
      <c r="E448" s="19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s="19" t="s">
        <v>2130</v>
      </c>
      <c r="W448" s="19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s="19" t="s">
        <v>60</v>
      </c>
    </row>
    <row r="449" spans="1:31" x14ac:dyDescent="0.2">
      <c r="A449">
        <v>436</v>
      </c>
      <c r="B449" s="19" t="s">
        <v>1043</v>
      </c>
      <c r="C449">
        <v>20</v>
      </c>
      <c r="D449" s="19" t="s">
        <v>536</v>
      </c>
      <c r="E449" s="1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s="19" t="s">
        <v>2469</v>
      </c>
      <c r="W449" s="1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s="19" t="s">
        <v>60</v>
      </c>
    </row>
    <row r="450" spans="1:31" x14ac:dyDescent="0.2">
      <c r="A450">
        <v>437</v>
      </c>
      <c r="B450" s="19" t="s">
        <v>930</v>
      </c>
      <c r="C450">
        <v>24</v>
      </c>
      <c r="D450" s="19" t="s">
        <v>555</v>
      </c>
      <c r="E450" s="19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s="19" t="s">
        <v>2762</v>
      </c>
      <c r="W450" s="19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s="19" t="s">
        <v>60</v>
      </c>
    </row>
    <row r="451" spans="1:31" x14ac:dyDescent="0.2">
      <c r="A451">
        <v>438</v>
      </c>
      <c r="B451" s="19" t="s">
        <v>876</v>
      </c>
      <c r="C451">
        <v>27</v>
      </c>
      <c r="D451" s="19" t="s">
        <v>324</v>
      </c>
      <c r="E451" s="19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s="19" t="s">
        <v>2470</v>
      </c>
      <c r="W451" s="19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s="19" t="s">
        <v>60</v>
      </c>
    </row>
    <row r="452" spans="1:31" x14ac:dyDescent="0.2">
      <c r="A452">
        <v>439</v>
      </c>
      <c r="B452" s="19" t="s">
        <v>1132</v>
      </c>
      <c r="C452">
        <v>32</v>
      </c>
      <c r="D452" s="19" t="s">
        <v>555</v>
      </c>
      <c r="E452" s="19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s="19" t="s">
        <v>2023</v>
      </c>
      <c r="W452" s="19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s="19" t="s">
        <v>60</v>
      </c>
    </row>
    <row r="453" spans="1:31" x14ac:dyDescent="0.2">
      <c r="A453">
        <v>440</v>
      </c>
      <c r="B453" s="19" t="s">
        <v>935</v>
      </c>
      <c r="C453">
        <v>35</v>
      </c>
      <c r="D453" s="19" t="s">
        <v>337</v>
      </c>
      <c r="E453" s="19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s="19" t="s">
        <v>2471</v>
      </c>
      <c r="W453" s="19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s="19" t="s">
        <v>60</v>
      </c>
    </row>
    <row r="454" spans="1:31" x14ac:dyDescent="0.2">
      <c r="A454">
        <v>441</v>
      </c>
      <c r="B454" s="19" t="s">
        <v>833</v>
      </c>
      <c r="C454">
        <v>32</v>
      </c>
      <c r="D454" s="19" t="s">
        <v>404</v>
      </c>
      <c r="E454" s="19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s="19" t="s">
        <v>2472</v>
      </c>
      <c r="W454" s="19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s="19" t="s">
        <v>60</v>
      </c>
    </row>
    <row r="455" spans="1:31" x14ac:dyDescent="0.2">
      <c r="A455">
        <v>442</v>
      </c>
      <c r="B455" s="19" t="s">
        <v>979</v>
      </c>
      <c r="C455">
        <v>25</v>
      </c>
      <c r="D455" s="19" t="s">
        <v>412</v>
      </c>
      <c r="E455" s="19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s="19" t="s">
        <v>2131</v>
      </c>
      <c r="W455" s="19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s="19" t="s">
        <v>60</v>
      </c>
    </row>
    <row r="456" spans="1:31" x14ac:dyDescent="0.2">
      <c r="A456">
        <v>443</v>
      </c>
      <c r="B456" s="19" t="s">
        <v>940</v>
      </c>
      <c r="C456">
        <v>35</v>
      </c>
      <c r="D456" s="19" t="s">
        <v>426</v>
      </c>
      <c r="E456" s="19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s="19" t="s">
        <v>2473</v>
      </c>
      <c r="W456" s="19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s="19" t="s">
        <v>60</v>
      </c>
    </row>
    <row r="457" spans="1:31" x14ac:dyDescent="0.2">
      <c r="A457">
        <v>444</v>
      </c>
      <c r="B457" s="19" t="s">
        <v>839</v>
      </c>
      <c r="C457">
        <v>28</v>
      </c>
      <c r="D457" s="19" t="s">
        <v>536</v>
      </c>
      <c r="E457" s="19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s="19" t="s">
        <v>2079</v>
      </c>
      <c r="W457" s="19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s="19" t="s">
        <v>60</v>
      </c>
    </row>
    <row r="458" spans="1:31" x14ac:dyDescent="0.2">
      <c r="A458">
        <v>445</v>
      </c>
      <c r="B458" s="19" t="s">
        <v>1143</v>
      </c>
      <c r="C458">
        <v>24</v>
      </c>
      <c r="D458" s="19" t="s">
        <v>555</v>
      </c>
      <c r="E458" s="19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s="19" t="s">
        <v>2763</v>
      </c>
      <c r="W458" s="19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s="19" t="s">
        <v>60</v>
      </c>
    </row>
    <row r="459" spans="1:31" x14ac:dyDescent="0.2">
      <c r="A459">
        <v>446</v>
      </c>
      <c r="B459" s="19" t="s">
        <v>986</v>
      </c>
      <c r="C459">
        <v>25</v>
      </c>
      <c r="D459" s="19" t="s">
        <v>448</v>
      </c>
      <c r="E459" s="1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s="19" t="s">
        <v>2474</v>
      </c>
      <c r="W459" s="1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s="19" t="s">
        <v>60</v>
      </c>
    </row>
    <row r="460" spans="1:31" x14ac:dyDescent="0.2">
      <c r="A460">
        <v>447</v>
      </c>
      <c r="B460" s="19" t="s">
        <v>888</v>
      </c>
      <c r="C460">
        <v>33</v>
      </c>
      <c r="D460" s="19" t="s">
        <v>555</v>
      </c>
      <c r="E460" s="19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s="19" t="s">
        <v>2764</v>
      </c>
      <c r="W460" s="19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s="19" t="s">
        <v>60</v>
      </c>
    </row>
    <row r="461" spans="1:31" x14ac:dyDescent="0.2">
      <c r="A461">
        <v>448</v>
      </c>
      <c r="B461" s="19" t="s">
        <v>950</v>
      </c>
      <c r="C461">
        <v>29</v>
      </c>
      <c r="D461" s="19" t="s">
        <v>555</v>
      </c>
      <c r="E461" s="19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s="19" t="s">
        <v>2765</v>
      </c>
      <c r="W461" s="19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s="19" t="s">
        <v>60</v>
      </c>
    </row>
    <row r="462" spans="1:31" x14ac:dyDescent="0.2">
      <c r="A462">
        <v>449</v>
      </c>
      <c r="B462" s="19" t="s">
        <v>951</v>
      </c>
      <c r="C462">
        <v>36</v>
      </c>
      <c r="D462" s="19" t="s">
        <v>353</v>
      </c>
      <c r="E462" s="19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s="19" t="s">
        <v>2081</v>
      </c>
      <c r="W462" s="19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s="19" t="s">
        <v>60</v>
      </c>
    </row>
    <row r="463" spans="1:31" x14ac:dyDescent="0.2">
      <c r="A463">
        <v>450</v>
      </c>
      <c r="B463" s="19" t="s">
        <v>893</v>
      </c>
      <c r="C463">
        <v>35</v>
      </c>
      <c r="D463" s="19" t="s">
        <v>461</v>
      </c>
      <c r="E463" s="19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s="19" t="s">
        <v>2476</v>
      </c>
      <c r="W463" s="19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847</v>
      </c>
      <c r="C464">
        <v>33</v>
      </c>
      <c r="D464" s="19" t="s">
        <v>346</v>
      </c>
      <c r="E464" s="19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s="19" t="s">
        <v>2477</v>
      </c>
      <c r="W464" s="19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s="19" t="s">
        <v>60</v>
      </c>
    </row>
    <row r="465" spans="1:31" x14ac:dyDescent="0.2">
      <c r="A465">
        <v>452</v>
      </c>
      <c r="B465" s="19" t="s">
        <v>848</v>
      </c>
      <c r="C465">
        <v>24</v>
      </c>
      <c r="D465" s="19" t="s">
        <v>337</v>
      </c>
      <c r="E465" s="19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s="19" t="s">
        <v>849</v>
      </c>
      <c r="W465" s="19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s="19" t="s">
        <v>60</v>
      </c>
    </row>
    <row r="466" spans="1:31" x14ac:dyDescent="0.2">
      <c r="A466">
        <v>453</v>
      </c>
      <c r="B466" s="19" t="s">
        <v>1009</v>
      </c>
      <c r="C466">
        <v>27</v>
      </c>
      <c r="D466" s="19" t="s">
        <v>356</v>
      </c>
      <c r="E466" s="19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s="19" t="s">
        <v>2478</v>
      </c>
      <c r="W466" s="19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s="19" t="s">
        <v>60</v>
      </c>
    </row>
    <row r="467" spans="1:31" x14ac:dyDescent="0.2">
      <c r="A467">
        <v>454</v>
      </c>
      <c r="B467" s="19" t="s">
        <v>855</v>
      </c>
      <c r="C467">
        <v>21</v>
      </c>
      <c r="D467" s="19" t="s">
        <v>330</v>
      </c>
      <c r="E467" s="19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s="19" t="s">
        <v>856</v>
      </c>
      <c r="W467" s="19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s="19" t="s">
        <v>60</v>
      </c>
    </row>
    <row r="468" spans="1:31" x14ac:dyDescent="0.2">
      <c r="A468">
        <v>455</v>
      </c>
      <c r="B468" s="19" t="s">
        <v>1014</v>
      </c>
      <c r="C468">
        <v>21</v>
      </c>
      <c r="D468" s="19" t="s">
        <v>387</v>
      </c>
      <c r="E468" s="19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s="19" t="s">
        <v>2479</v>
      </c>
      <c r="W468" s="19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s="19" t="s">
        <v>60</v>
      </c>
    </row>
    <row r="469" spans="1:31" x14ac:dyDescent="0.2">
      <c r="A469">
        <v>456</v>
      </c>
      <c r="B469" s="19" t="s">
        <v>1019</v>
      </c>
      <c r="C469">
        <v>24</v>
      </c>
      <c r="D469" s="19" t="s">
        <v>330</v>
      </c>
      <c r="E469" s="1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s="19" t="s">
        <v>2766</v>
      </c>
      <c r="W469" s="1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s="19" t="s">
        <v>60</v>
      </c>
    </row>
    <row r="470" spans="1:31" x14ac:dyDescent="0.2">
      <c r="A470">
        <v>457</v>
      </c>
      <c r="B470" s="19" t="s">
        <v>1030</v>
      </c>
      <c r="C470">
        <v>25</v>
      </c>
      <c r="D470" s="19" t="s">
        <v>334</v>
      </c>
      <c r="E470" s="19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s="19" t="s">
        <v>2481</v>
      </c>
      <c r="W470" s="19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s="19" t="s">
        <v>60</v>
      </c>
    </row>
    <row r="471" spans="1:31" x14ac:dyDescent="0.2">
      <c r="A471">
        <v>458</v>
      </c>
      <c r="B471" s="19" t="s">
        <v>914</v>
      </c>
      <c r="C471">
        <v>25</v>
      </c>
      <c r="D471" s="19" t="s">
        <v>448</v>
      </c>
      <c r="E471" s="19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s="19" t="s">
        <v>2482</v>
      </c>
      <c r="W471" s="19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s="19" t="s">
        <v>60</v>
      </c>
    </row>
    <row r="472" spans="1:31" x14ac:dyDescent="0.2">
      <c r="A472">
        <v>459</v>
      </c>
      <c r="B472" s="19" t="s">
        <v>969</v>
      </c>
      <c r="C472">
        <v>29</v>
      </c>
      <c r="D472" s="19" t="s">
        <v>375</v>
      </c>
      <c r="E472" s="19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s="19" t="s">
        <v>2483</v>
      </c>
      <c r="W472" s="19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s="19" t="s">
        <v>60</v>
      </c>
    </row>
    <row r="473" spans="1:31" x14ac:dyDescent="0.2">
      <c r="A473">
        <v>460</v>
      </c>
      <c r="B473" s="19" t="s">
        <v>917</v>
      </c>
      <c r="C473">
        <v>32</v>
      </c>
      <c r="D473" s="19" t="s">
        <v>334</v>
      </c>
      <c r="E473" s="19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s="19" t="s">
        <v>2036</v>
      </c>
      <c r="W473" s="19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s="19" t="s">
        <v>60</v>
      </c>
    </row>
    <row r="474" spans="1:31" x14ac:dyDescent="0.2">
      <c r="A474">
        <v>461</v>
      </c>
      <c r="B474" s="19" t="s">
        <v>918</v>
      </c>
      <c r="C474">
        <v>27</v>
      </c>
      <c r="D474" s="19" t="s">
        <v>375</v>
      </c>
      <c r="E474" s="19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s="19" t="s">
        <v>2484</v>
      </c>
      <c r="W474" s="19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s="19" t="s">
        <v>60</v>
      </c>
    </row>
    <row r="475" spans="1:31" x14ac:dyDescent="0.2">
      <c r="A475">
        <v>462</v>
      </c>
      <c r="B475" s="19" t="s">
        <v>921</v>
      </c>
      <c r="C475">
        <v>32</v>
      </c>
      <c r="D475" s="19" t="s">
        <v>429</v>
      </c>
      <c r="E475" s="19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s="19" t="s">
        <v>2485</v>
      </c>
      <c r="W475" s="19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s="19" t="s">
        <v>60</v>
      </c>
    </row>
    <row r="476" spans="1:31" x14ac:dyDescent="0.2">
      <c r="A476">
        <v>463</v>
      </c>
      <c r="B476" s="19" t="s">
        <v>1120</v>
      </c>
      <c r="C476">
        <v>25</v>
      </c>
      <c r="D476" s="19" t="s">
        <v>353</v>
      </c>
      <c r="E476" s="19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s="19" t="s">
        <v>2767</v>
      </c>
      <c r="W476" s="19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s="19" t="s">
        <v>60</v>
      </c>
    </row>
    <row r="477" spans="1:31" x14ac:dyDescent="0.2">
      <c r="A477">
        <v>464</v>
      </c>
      <c r="B477" s="19" t="s">
        <v>924</v>
      </c>
      <c r="C477">
        <v>23</v>
      </c>
      <c r="D477" s="19" t="s">
        <v>330</v>
      </c>
      <c r="E477" s="19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s="19" t="s">
        <v>2768</v>
      </c>
      <c r="W477" s="19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s="19" t="s">
        <v>60</v>
      </c>
    </row>
    <row r="478" spans="1:31" x14ac:dyDescent="0.2">
      <c r="A478">
        <v>465</v>
      </c>
      <c r="B478" s="19" t="s">
        <v>871</v>
      </c>
      <c r="C478">
        <v>25</v>
      </c>
      <c r="D478" s="19" t="s">
        <v>365</v>
      </c>
      <c r="E478" s="19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s="19" t="s">
        <v>872</v>
      </c>
      <c r="W478" s="19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s="19" t="s">
        <v>60</v>
      </c>
    </row>
    <row r="479" spans="1:31" x14ac:dyDescent="0.2">
      <c r="A479">
        <v>466</v>
      </c>
      <c r="B479" s="19" t="s">
        <v>975</v>
      </c>
      <c r="C479">
        <v>21</v>
      </c>
      <c r="D479" s="19" t="s">
        <v>373</v>
      </c>
      <c r="E479" s="1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s="19" t="s">
        <v>2769</v>
      </c>
      <c r="W479" s="1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s="19" t="s">
        <v>60</v>
      </c>
    </row>
    <row r="480" spans="1:31" x14ac:dyDescent="0.2">
      <c r="A480">
        <v>467</v>
      </c>
      <c r="B480" s="19" t="s">
        <v>929</v>
      </c>
      <c r="C480">
        <v>25</v>
      </c>
      <c r="D480" s="19" t="s">
        <v>328</v>
      </c>
      <c r="E480" s="19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s="19" t="s">
        <v>2486</v>
      </c>
      <c r="W480" s="19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s="19" t="s">
        <v>60</v>
      </c>
    </row>
    <row r="481" spans="1:31" x14ac:dyDescent="0.2">
      <c r="A481">
        <v>468</v>
      </c>
      <c r="B481" s="19" t="s">
        <v>932</v>
      </c>
      <c r="C481">
        <v>38</v>
      </c>
      <c r="D481" s="19" t="s">
        <v>330</v>
      </c>
      <c r="E481" s="19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s="19" t="s">
        <v>2041</v>
      </c>
      <c r="W481" s="19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s="19" t="s">
        <v>60</v>
      </c>
    </row>
    <row r="482" spans="1:31" x14ac:dyDescent="0.2">
      <c r="A482">
        <v>469</v>
      </c>
      <c r="B482" s="19" t="s">
        <v>934</v>
      </c>
      <c r="C482">
        <v>32</v>
      </c>
      <c r="D482" s="19" t="s">
        <v>353</v>
      </c>
      <c r="E482" s="19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s="19" t="s">
        <v>2771</v>
      </c>
      <c r="W482" s="19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s="19" t="s">
        <v>60</v>
      </c>
    </row>
    <row r="483" spans="1:31" x14ac:dyDescent="0.2">
      <c r="A483">
        <v>470</v>
      </c>
      <c r="B483" s="19" t="s">
        <v>1135</v>
      </c>
      <c r="C483">
        <v>32</v>
      </c>
      <c r="D483" s="19" t="s">
        <v>324</v>
      </c>
      <c r="E483" s="19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s="19" t="s">
        <v>2344</v>
      </c>
      <c r="W483" s="19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s="19" t="s">
        <v>60</v>
      </c>
    </row>
    <row r="484" spans="1:31" x14ac:dyDescent="0.2">
      <c r="A484">
        <v>471</v>
      </c>
      <c r="B484" s="19" t="s">
        <v>1050</v>
      </c>
      <c r="C484">
        <v>22</v>
      </c>
      <c r="D484" s="19" t="s">
        <v>415</v>
      </c>
      <c r="E484" s="19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s="19" t="s">
        <v>2772</v>
      </c>
      <c r="W484" s="19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s="19" t="s">
        <v>60</v>
      </c>
    </row>
    <row r="485" spans="1:31" x14ac:dyDescent="0.2">
      <c r="A485">
        <v>472</v>
      </c>
      <c r="B485" s="19" t="s">
        <v>1467</v>
      </c>
      <c r="C485">
        <v>28</v>
      </c>
      <c r="D485" s="19" t="s">
        <v>415</v>
      </c>
      <c r="E485" s="19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s="19" t="s">
        <v>2773</v>
      </c>
      <c r="W485" s="19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s="19" t="s">
        <v>60</v>
      </c>
    </row>
    <row r="486" spans="1:31" x14ac:dyDescent="0.2">
      <c r="A486">
        <v>473</v>
      </c>
      <c r="B486" s="19" t="s">
        <v>1052</v>
      </c>
      <c r="C486">
        <v>32</v>
      </c>
      <c r="D486" s="19" t="s">
        <v>330</v>
      </c>
      <c r="E486" s="19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s="19" t="s">
        <v>2774</v>
      </c>
      <c r="W486" s="19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s="19" t="s">
        <v>60</v>
      </c>
    </row>
    <row r="487" spans="1:31" x14ac:dyDescent="0.2">
      <c r="A487">
        <v>474</v>
      </c>
      <c r="B487" s="19" t="s">
        <v>981</v>
      </c>
      <c r="C487">
        <v>23</v>
      </c>
      <c r="D487" s="19" t="s">
        <v>353</v>
      </c>
      <c r="E487" s="19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s="19" t="s">
        <v>2082</v>
      </c>
      <c r="W487" s="19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s="19" t="s">
        <v>60</v>
      </c>
    </row>
    <row r="488" spans="1:31" x14ac:dyDescent="0.2">
      <c r="A488">
        <v>475</v>
      </c>
      <c r="B488" s="19" t="s">
        <v>882</v>
      </c>
      <c r="C488">
        <v>33</v>
      </c>
      <c r="D488" s="19" t="s">
        <v>344</v>
      </c>
      <c r="E488" s="19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s="19" t="s">
        <v>883</v>
      </c>
      <c r="W488" s="19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s="19" t="s">
        <v>60</v>
      </c>
    </row>
    <row r="489" spans="1:31" x14ac:dyDescent="0.2">
      <c r="A489">
        <v>476</v>
      </c>
      <c r="B489" s="19" t="s">
        <v>994</v>
      </c>
      <c r="C489">
        <v>28</v>
      </c>
      <c r="D489" s="19" t="s">
        <v>378</v>
      </c>
      <c r="E489" s="1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s="19" t="s">
        <v>2775</v>
      </c>
      <c r="W489" s="1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s="19" t="s">
        <v>60</v>
      </c>
    </row>
    <row r="490" spans="1:31" x14ac:dyDescent="0.2">
      <c r="A490">
        <v>477</v>
      </c>
      <c r="B490" s="19" t="s">
        <v>996</v>
      </c>
      <c r="C490">
        <v>31</v>
      </c>
      <c r="D490" s="19" t="s">
        <v>334</v>
      </c>
      <c r="E490" s="19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s="19" t="s">
        <v>551</v>
      </c>
      <c r="W490" s="19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s="19" t="s">
        <v>60</v>
      </c>
    </row>
    <row r="491" spans="1:31" x14ac:dyDescent="0.2">
      <c r="A491">
        <v>478</v>
      </c>
      <c r="B491" s="19" t="s">
        <v>1002</v>
      </c>
      <c r="C491">
        <v>30</v>
      </c>
      <c r="D491" s="19" t="s">
        <v>359</v>
      </c>
      <c r="E491" s="19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s="19" t="s">
        <v>2488</v>
      </c>
      <c r="W491" s="19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s="19" t="s">
        <v>60</v>
      </c>
    </row>
    <row r="492" spans="1:31" x14ac:dyDescent="0.2">
      <c r="A492">
        <v>479</v>
      </c>
      <c r="B492" s="19" t="s">
        <v>952</v>
      </c>
      <c r="C492">
        <v>29</v>
      </c>
      <c r="D492" s="19" t="s">
        <v>368</v>
      </c>
      <c r="E492" s="19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s="19" t="s">
        <v>2133</v>
      </c>
      <c r="W492" s="19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s="19" t="s">
        <v>60</v>
      </c>
    </row>
    <row r="493" spans="1:31" x14ac:dyDescent="0.2">
      <c r="A493">
        <v>480</v>
      </c>
      <c r="B493" s="19" t="s">
        <v>1159</v>
      </c>
      <c r="C493">
        <v>32</v>
      </c>
      <c r="D493" s="19" t="s">
        <v>404</v>
      </c>
      <c r="E493" s="19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s="19" t="s">
        <v>2489</v>
      </c>
      <c r="W493" s="19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s="19" t="s">
        <v>60</v>
      </c>
    </row>
    <row r="494" spans="1:31" x14ac:dyDescent="0.2">
      <c r="A494">
        <v>481</v>
      </c>
      <c r="B494" s="19" t="s">
        <v>953</v>
      </c>
      <c r="C494">
        <v>36</v>
      </c>
      <c r="D494" s="19" t="s">
        <v>346</v>
      </c>
      <c r="E494" s="19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s="19" t="s">
        <v>2490</v>
      </c>
      <c r="W494" s="19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s="19" t="s">
        <v>60</v>
      </c>
    </row>
    <row r="495" spans="1:31" x14ac:dyDescent="0.2">
      <c r="A495">
        <v>482</v>
      </c>
      <c r="B495" s="19" t="s">
        <v>1006</v>
      </c>
      <c r="C495">
        <v>34</v>
      </c>
      <c r="D495" s="19" t="s">
        <v>404</v>
      </c>
      <c r="E495" s="19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s="19" t="s">
        <v>2491</v>
      </c>
      <c r="W495" s="19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s="19" t="s">
        <v>60</v>
      </c>
    </row>
    <row r="496" spans="1:31" x14ac:dyDescent="0.2">
      <c r="A496">
        <v>483</v>
      </c>
      <c r="B496" s="19" t="s">
        <v>1082</v>
      </c>
      <c r="C496">
        <v>24</v>
      </c>
      <c r="D496" s="19" t="s">
        <v>346</v>
      </c>
      <c r="E496" s="19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s="19" t="s">
        <v>2492</v>
      </c>
      <c r="W496" s="19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s="19" t="s">
        <v>60</v>
      </c>
    </row>
    <row r="497" spans="1:31" x14ac:dyDescent="0.2">
      <c r="A497">
        <v>484</v>
      </c>
      <c r="B497" s="19" t="s">
        <v>958</v>
      </c>
      <c r="C497">
        <v>38</v>
      </c>
      <c r="D497" s="19" t="s">
        <v>375</v>
      </c>
      <c r="E497" s="19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s="19" t="s">
        <v>2493</v>
      </c>
      <c r="W497" s="19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s="19" t="s">
        <v>60</v>
      </c>
    </row>
    <row r="498" spans="1:31" x14ac:dyDescent="0.2">
      <c r="A498">
        <v>485</v>
      </c>
      <c r="B498" s="19" t="s">
        <v>1010</v>
      </c>
      <c r="C498">
        <v>29</v>
      </c>
      <c r="D498" s="19" t="s">
        <v>461</v>
      </c>
      <c r="E498" s="19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s="19" t="s">
        <v>2494</v>
      </c>
      <c r="W498" s="19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s="19" t="s">
        <v>60</v>
      </c>
    </row>
    <row r="499" spans="1:31" x14ac:dyDescent="0.2">
      <c r="A499">
        <v>486</v>
      </c>
      <c r="B499" s="19" t="s">
        <v>899</v>
      </c>
      <c r="C499">
        <v>22</v>
      </c>
      <c r="D499" s="19" t="s">
        <v>439</v>
      </c>
      <c r="E499" s="1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s="19" t="s">
        <v>2039</v>
      </c>
      <c r="W499" s="1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s="19" t="s">
        <v>60</v>
      </c>
    </row>
    <row r="500" spans="1:31" x14ac:dyDescent="0.2">
      <c r="A500">
        <v>487</v>
      </c>
      <c r="B500" s="19" t="s">
        <v>960</v>
      </c>
      <c r="C500">
        <v>24</v>
      </c>
      <c r="D500" s="19" t="s">
        <v>363</v>
      </c>
      <c r="E500" s="19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s="19" t="s">
        <v>2495</v>
      </c>
      <c r="W500" s="19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s="19" t="s">
        <v>60</v>
      </c>
    </row>
    <row r="501" spans="1:31" x14ac:dyDescent="0.2">
      <c r="A501">
        <v>488</v>
      </c>
      <c r="B501" s="19" t="s">
        <v>904</v>
      </c>
      <c r="C501">
        <v>33</v>
      </c>
      <c r="D501" s="19" t="s">
        <v>324</v>
      </c>
      <c r="E501" s="19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s="19" t="s">
        <v>2496</v>
      </c>
      <c r="W501" s="19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s="19" t="s">
        <v>60</v>
      </c>
    </row>
    <row r="502" spans="1:31" x14ac:dyDescent="0.2">
      <c r="A502">
        <v>489</v>
      </c>
      <c r="B502" s="19" t="s">
        <v>1180</v>
      </c>
      <c r="C502">
        <v>26</v>
      </c>
      <c r="D502" s="19" t="s">
        <v>1022</v>
      </c>
      <c r="E502" s="19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s="19" t="s">
        <v>2776</v>
      </c>
      <c r="W502" s="19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s="19" t="s">
        <v>60</v>
      </c>
    </row>
    <row r="503" spans="1:31" x14ac:dyDescent="0.2">
      <c r="A503">
        <v>489</v>
      </c>
      <c r="B503" s="19" t="s">
        <v>1180</v>
      </c>
      <c r="C503">
        <v>26</v>
      </c>
      <c r="D503" s="19" t="s">
        <v>536</v>
      </c>
      <c r="E503" s="19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s="19" t="s">
        <v>1181</v>
      </c>
      <c r="W503" s="19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s="19" t="s">
        <v>60</v>
      </c>
    </row>
    <row r="504" spans="1:31" x14ac:dyDescent="0.2">
      <c r="A504">
        <v>489</v>
      </c>
      <c r="B504" s="19" t="s">
        <v>1180</v>
      </c>
      <c r="C504">
        <v>26</v>
      </c>
      <c r="D504" s="19" t="s">
        <v>365</v>
      </c>
      <c r="E504" s="19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s="19" t="s">
        <v>2777</v>
      </c>
      <c r="W504" s="19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s="19" t="s">
        <v>60</v>
      </c>
    </row>
    <row r="505" spans="1:31" x14ac:dyDescent="0.2">
      <c r="A505">
        <v>490</v>
      </c>
      <c r="B505" s="19" t="s">
        <v>1256</v>
      </c>
      <c r="C505">
        <v>30</v>
      </c>
      <c r="D505" s="19" t="s">
        <v>415</v>
      </c>
      <c r="E505" s="19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s="19" t="s">
        <v>2778</v>
      </c>
      <c r="W505" s="19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s="19" t="s">
        <v>60</v>
      </c>
    </row>
    <row r="506" spans="1:31" x14ac:dyDescent="0.2">
      <c r="A506">
        <v>491</v>
      </c>
      <c r="B506" s="19" t="s">
        <v>919</v>
      </c>
      <c r="C506">
        <v>33</v>
      </c>
      <c r="D506" s="19" t="s">
        <v>363</v>
      </c>
      <c r="E506" s="19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s="19" t="s">
        <v>2497</v>
      </c>
      <c r="W506" s="19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s="19" t="s">
        <v>60</v>
      </c>
    </row>
    <row r="507" spans="1:31" x14ac:dyDescent="0.2">
      <c r="A507">
        <v>492</v>
      </c>
      <c r="B507" s="19" t="s">
        <v>1040</v>
      </c>
      <c r="C507">
        <v>29</v>
      </c>
      <c r="D507" s="19" t="s">
        <v>402</v>
      </c>
      <c r="E507" s="19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s="19" t="s">
        <v>2498</v>
      </c>
      <c r="W507" s="19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s="19" t="s">
        <v>60</v>
      </c>
    </row>
    <row r="508" spans="1:31" x14ac:dyDescent="0.2">
      <c r="A508">
        <v>493</v>
      </c>
      <c r="B508" s="19" t="s">
        <v>1041</v>
      </c>
      <c r="C508">
        <v>24</v>
      </c>
      <c r="D508" s="19" t="s">
        <v>384</v>
      </c>
      <c r="E508" s="19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s="19" t="s">
        <v>1955</v>
      </c>
      <c r="W508" s="19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s="19" t="s">
        <v>60</v>
      </c>
    </row>
    <row r="509" spans="1:31" x14ac:dyDescent="0.2">
      <c r="A509">
        <v>494</v>
      </c>
      <c r="B509" s="19" t="s">
        <v>925</v>
      </c>
      <c r="C509">
        <v>28</v>
      </c>
      <c r="D509" s="19" t="s">
        <v>368</v>
      </c>
      <c r="E509" s="1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s="19" t="s">
        <v>2499</v>
      </c>
      <c r="W509" s="1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s="19" t="s">
        <v>60</v>
      </c>
    </row>
    <row r="510" spans="1:31" x14ac:dyDescent="0.2">
      <c r="A510">
        <v>495</v>
      </c>
      <c r="B510" s="19" t="s">
        <v>928</v>
      </c>
      <c r="C510">
        <v>36</v>
      </c>
      <c r="D510" s="19" t="s">
        <v>426</v>
      </c>
      <c r="E510" s="19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s="19" t="s">
        <v>1735</v>
      </c>
      <c r="W510" s="19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s="19" t="s">
        <v>60</v>
      </c>
    </row>
    <row r="511" spans="1:31" x14ac:dyDescent="0.2">
      <c r="A511">
        <v>496</v>
      </c>
      <c r="B511" s="19" t="s">
        <v>1047</v>
      </c>
      <c r="C511">
        <v>27</v>
      </c>
      <c r="D511" s="19" t="s">
        <v>384</v>
      </c>
      <c r="E511" s="19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s="19" t="s">
        <v>2779</v>
      </c>
      <c r="W511" s="19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s="19" t="s">
        <v>60</v>
      </c>
    </row>
    <row r="512" spans="1:31" x14ac:dyDescent="0.2">
      <c r="A512">
        <v>497</v>
      </c>
      <c r="B512" s="19" t="s">
        <v>931</v>
      </c>
      <c r="C512">
        <v>29</v>
      </c>
      <c r="D512" s="19" t="s">
        <v>429</v>
      </c>
      <c r="E512" s="19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s="19" t="s">
        <v>2500</v>
      </c>
      <c r="W512" s="19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s="19" t="s">
        <v>60</v>
      </c>
    </row>
    <row r="513" spans="1:31" x14ac:dyDescent="0.2">
      <c r="A513">
        <v>498</v>
      </c>
      <c r="B513" s="19" t="s">
        <v>983</v>
      </c>
      <c r="C513">
        <v>33</v>
      </c>
      <c r="D513" s="19" t="s">
        <v>328</v>
      </c>
      <c r="E513" s="19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s="19" t="s">
        <v>2501</v>
      </c>
      <c r="W513" s="19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s="19" t="s">
        <v>60</v>
      </c>
    </row>
    <row r="514" spans="1:31" x14ac:dyDescent="0.2">
      <c r="A514">
        <v>499</v>
      </c>
      <c r="B514" s="19" t="s">
        <v>942</v>
      </c>
      <c r="C514">
        <v>26</v>
      </c>
      <c r="D514" s="19" t="s">
        <v>356</v>
      </c>
      <c r="E514" s="19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s="19" t="s">
        <v>943</v>
      </c>
      <c r="W514" s="19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s="19" t="s">
        <v>60</v>
      </c>
    </row>
    <row r="515" spans="1:31" x14ac:dyDescent="0.2">
      <c r="A515">
        <v>500</v>
      </c>
      <c r="B515" s="19" t="s">
        <v>1064</v>
      </c>
      <c r="C515">
        <v>27</v>
      </c>
      <c r="D515" s="19" t="s">
        <v>476</v>
      </c>
      <c r="E515" s="19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s="19" t="s">
        <v>2502</v>
      </c>
      <c r="W515" s="19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s="19" t="s">
        <v>60</v>
      </c>
    </row>
    <row r="516" spans="1:31" x14ac:dyDescent="0.2">
      <c r="A516">
        <v>501</v>
      </c>
      <c r="B516" s="19" t="s">
        <v>985</v>
      </c>
      <c r="C516">
        <v>24</v>
      </c>
      <c r="D516" s="19" t="s">
        <v>555</v>
      </c>
      <c r="E516" s="19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s="19" t="s">
        <v>2780</v>
      </c>
      <c r="W516" s="19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s="19" t="s">
        <v>60</v>
      </c>
    </row>
    <row r="517" spans="1:31" x14ac:dyDescent="0.2">
      <c r="A517">
        <v>502</v>
      </c>
      <c r="B517" s="19" t="s">
        <v>988</v>
      </c>
      <c r="C517">
        <v>27</v>
      </c>
      <c r="D517" s="19" t="s">
        <v>346</v>
      </c>
      <c r="E517" s="19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s="19" t="s">
        <v>1820</v>
      </c>
      <c r="W517" s="19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s="19" t="s">
        <v>60</v>
      </c>
    </row>
    <row r="518" spans="1:31" x14ac:dyDescent="0.2">
      <c r="A518">
        <v>503</v>
      </c>
      <c r="B518" s="19" t="s">
        <v>1066</v>
      </c>
      <c r="C518">
        <v>28</v>
      </c>
      <c r="D518" s="19" t="s">
        <v>344</v>
      </c>
      <c r="E518" s="19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s="19" t="s">
        <v>2503</v>
      </c>
      <c r="W518" s="19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s="19" t="s">
        <v>60</v>
      </c>
    </row>
    <row r="519" spans="1:31" x14ac:dyDescent="0.2">
      <c r="A519">
        <v>504</v>
      </c>
      <c r="B519" s="19" t="s">
        <v>989</v>
      </c>
      <c r="C519">
        <v>25</v>
      </c>
      <c r="D519" s="19" t="s">
        <v>402</v>
      </c>
      <c r="E519" s="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s="19" t="s">
        <v>2504</v>
      </c>
      <c r="W519" s="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s="19" t="s">
        <v>60</v>
      </c>
    </row>
    <row r="520" spans="1:31" x14ac:dyDescent="0.2">
      <c r="A520">
        <v>505</v>
      </c>
      <c r="B520" s="19" t="s">
        <v>1148</v>
      </c>
      <c r="C520">
        <v>23</v>
      </c>
      <c r="D520" s="19" t="s">
        <v>448</v>
      </c>
      <c r="E520" s="19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s="19" t="s">
        <v>2505</v>
      </c>
      <c r="W520" s="19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s="19" t="s">
        <v>60</v>
      </c>
    </row>
    <row r="521" spans="1:31" x14ac:dyDescent="0.2">
      <c r="A521">
        <v>506</v>
      </c>
      <c r="B521" s="19" t="s">
        <v>993</v>
      </c>
      <c r="C521">
        <v>23</v>
      </c>
      <c r="D521" s="19" t="s">
        <v>368</v>
      </c>
      <c r="E521" s="19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s="19" t="s">
        <v>2506</v>
      </c>
      <c r="W521" s="19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s="19" t="s">
        <v>60</v>
      </c>
    </row>
    <row r="522" spans="1:31" x14ac:dyDescent="0.2">
      <c r="A522">
        <v>507</v>
      </c>
      <c r="B522" s="19" t="s">
        <v>949</v>
      </c>
      <c r="C522">
        <v>24</v>
      </c>
      <c r="D522" s="19" t="s">
        <v>353</v>
      </c>
      <c r="E522" s="19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s="19" t="s">
        <v>1780</v>
      </c>
      <c r="W522" s="19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s="19" t="s">
        <v>60</v>
      </c>
    </row>
    <row r="523" spans="1:31" x14ac:dyDescent="0.2">
      <c r="A523">
        <v>508</v>
      </c>
      <c r="B523" s="19" t="s">
        <v>1000</v>
      </c>
      <c r="C523">
        <v>30</v>
      </c>
      <c r="D523" s="19" t="s">
        <v>476</v>
      </c>
      <c r="E523" s="19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s="19" t="s">
        <v>2507</v>
      </c>
      <c r="W523" s="19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s="19" t="s">
        <v>60</v>
      </c>
    </row>
    <row r="524" spans="1:31" x14ac:dyDescent="0.2">
      <c r="A524">
        <v>509</v>
      </c>
      <c r="B524" s="19" t="s">
        <v>1078</v>
      </c>
      <c r="C524">
        <v>29</v>
      </c>
      <c r="D524" s="19" t="s">
        <v>375</v>
      </c>
      <c r="E524" s="19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s="19" t="s">
        <v>2508</v>
      </c>
      <c r="W524" s="19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s="19" t="s">
        <v>60</v>
      </c>
    </row>
    <row r="525" spans="1:31" x14ac:dyDescent="0.2">
      <c r="A525">
        <v>510</v>
      </c>
      <c r="B525" s="19" t="s">
        <v>1003</v>
      </c>
      <c r="C525">
        <v>24</v>
      </c>
      <c r="D525" s="19" t="s">
        <v>324</v>
      </c>
      <c r="E525" s="19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s="19" t="s">
        <v>2509</v>
      </c>
      <c r="W525" s="19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s="19" t="s">
        <v>60</v>
      </c>
    </row>
    <row r="526" spans="1:31" x14ac:dyDescent="0.2">
      <c r="A526">
        <v>511</v>
      </c>
      <c r="B526" s="19" t="s">
        <v>1080</v>
      </c>
      <c r="C526">
        <v>21</v>
      </c>
      <c r="D526" s="19" t="s">
        <v>555</v>
      </c>
      <c r="E526" s="19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s="19" t="s">
        <v>2085</v>
      </c>
      <c r="W526" s="19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s="19" t="s">
        <v>60</v>
      </c>
    </row>
    <row r="527" spans="1:31" x14ac:dyDescent="0.2">
      <c r="A527">
        <v>512</v>
      </c>
      <c r="B527" s="19" t="s">
        <v>1160</v>
      </c>
      <c r="C527">
        <v>23</v>
      </c>
      <c r="D527" s="19" t="s">
        <v>402</v>
      </c>
      <c r="E527" s="19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s="19" t="s">
        <v>2510</v>
      </c>
      <c r="W527" s="19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s="19" t="s">
        <v>60</v>
      </c>
    </row>
    <row r="528" spans="1:31" x14ac:dyDescent="0.2">
      <c r="A528">
        <v>513</v>
      </c>
      <c r="B528" s="19" t="s">
        <v>1005</v>
      </c>
      <c r="C528">
        <v>33</v>
      </c>
      <c r="D528" s="19" t="s">
        <v>555</v>
      </c>
      <c r="E528" s="19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s="19" t="s">
        <v>2781</v>
      </c>
      <c r="W528" s="19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s="19" t="s">
        <v>60</v>
      </c>
    </row>
    <row r="529" spans="1:31" x14ac:dyDescent="0.2">
      <c r="A529">
        <v>514</v>
      </c>
      <c r="B529" s="19" t="s">
        <v>1007</v>
      </c>
      <c r="C529">
        <v>33</v>
      </c>
      <c r="D529" s="19" t="s">
        <v>346</v>
      </c>
      <c r="E529" s="1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s="19" t="s">
        <v>1951</v>
      </c>
      <c r="W529" s="1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s="19" t="s">
        <v>60</v>
      </c>
    </row>
    <row r="530" spans="1:31" x14ac:dyDescent="0.2">
      <c r="A530">
        <v>515</v>
      </c>
      <c r="B530" s="19" t="s">
        <v>1081</v>
      </c>
      <c r="C530">
        <v>27</v>
      </c>
      <c r="D530" s="19" t="s">
        <v>476</v>
      </c>
      <c r="E530" s="19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s="19" t="s">
        <v>2511</v>
      </c>
      <c r="W530" s="19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s="19" t="s">
        <v>60</v>
      </c>
    </row>
    <row r="531" spans="1:31" x14ac:dyDescent="0.2">
      <c r="A531">
        <v>516</v>
      </c>
      <c r="B531" s="19" t="s">
        <v>467</v>
      </c>
      <c r="C531">
        <v>21</v>
      </c>
      <c r="D531" s="19" t="s">
        <v>461</v>
      </c>
      <c r="E531" s="19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s="19" t="s">
        <v>2512</v>
      </c>
      <c r="W531" s="19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s="19" t="s">
        <v>60</v>
      </c>
    </row>
    <row r="532" spans="1:31" x14ac:dyDescent="0.2">
      <c r="A532">
        <v>517</v>
      </c>
      <c r="B532" s="19" t="s">
        <v>1011</v>
      </c>
      <c r="C532">
        <v>30</v>
      </c>
      <c r="D532" s="19" t="s">
        <v>346</v>
      </c>
      <c r="E532" s="19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s="19" t="s">
        <v>2513</v>
      </c>
      <c r="W532" s="19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s="19" t="s">
        <v>60</v>
      </c>
    </row>
    <row r="533" spans="1:31" x14ac:dyDescent="0.2">
      <c r="A533">
        <v>518</v>
      </c>
      <c r="B533" s="19" t="s">
        <v>1170</v>
      </c>
      <c r="C533">
        <v>24</v>
      </c>
      <c r="D533" s="19" t="s">
        <v>363</v>
      </c>
      <c r="E533" s="19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s="19" t="s">
        <v>2515</v>
      </c>
      <c r="W533" s="19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s="19" t="s">
        <v>60</v>
      </c>
    </row>
    <row r="534" spans="1:31" x14ac:dyDescent="0.2">
      <c r="A534">
        <v>519</v>
      </c>
      <c r="B534" s="19" t="s">
        <v>962</v>
      </c>
      <c r="C534">
        <v>31</v>
      </c>
      <c r="D534" s="19" t="s">
        <v>363</v>
      </c>
      <c r="E534" s="19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s="19" t="s">
        <v>2516</v>
      </c>
      <c r="W534" s="19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s="19" t="s">
        <v>60</v>
      </c>
    </row>
    <row r="535" spans="1:31" x14ac:dyDescent="0.2">
      <c r="A535">
        <v>520</v>
      </c>
      <c r="B535" s="19" t="s">
        <v>1092</v>
      </c>
      <c r="C535">
        <v>31</v>
      </c>
      <c r="D535" s="19" t="s">
        <v>1022</v>
      </c>
      <c r="E535" s="19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s="19" t="s">
        <v>2782</v>
      </c>
      <c r="W535" s="19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s="19" t="s">
        <v>60</v>
      </c>
    </row>
    <row r="536" spans="1:31" x14ac:dyDescent="0.2">
      <c r="A536">
        <v>520</v>
      </c>
      <c r="B536" s="19" t="s">
        <v>1092</v>
      </c>
      <c r="C536">
        <v>31</v>
      </c>
      <c r="D536" s="19" t="s">
        <v>328</v>
      </c>
      <c r="E536" s="19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s="19" t="s">
        <v>1094</v>
      </c>
      <c r="W536" s="19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s="19" t="s">
        <v>60</v>
      </c>
    </row>
    <row r="537" spans="1:31" x14ac:dyDescent="0.2">
      <c r="A537">
        <v>520</v>
      </c>
      <c r="B537" s="19" t="s">
        <v>1092</v>
      </c>
      <c r="C537">
        <v>31</v>
      </c>
      <c r="D537" s="19" t="s">
        <v>361</v>
      </c>
      <c r="E537" s="19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s="19" t="s">
        <v>2783</v>
      </c>
      <c r="W537" s="19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s="19" t="s">
        <v>60</v>
      </c>
    </row>
    <row r="538" spans="1:31" x14ac:dyDescent="0.2">
      <c r="A538">
        <v>521</v>
      </c>
      <c r="B538" s="19" t="s">
        <v>1015</v>
      </c>
      <c r="C538">
        <v>32</v>
      </c>
      <c r="D538" s="19" t="s">
        <v>337</v>
      </c>
      <c r="E538" s="19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s="19" t="s">
        <v>2517</v>
      </c>
      <c r="W538" s="19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s="19" t="s">
        <v>60</v>
      </c>
    </row>
    <row r="539" spans="1:31" x14ac:dyDescent="0.2">
      <c r="A539">
        <v>522</v>
      </c>
      <c r="B539" s="19" t="s">
        <v>1247</v>
      </c>
      <c r="C539">
        <v>30</v>
      </c>
      <c r="D539" s="19" t="s">
        <v>359</v>
      </c>
      <c r="E539" s="1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s="19" t="s">
        <v>2518</v>
      </c>
      <c r="W539" s="1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s="19" t="s">
        <v>60</v>
      </c>
    </row>
    <row r="540" spans="1:31" x14ac:dyDescent="0.2">
      <c r="A540">
        <v>523</v>
      </c>
      <c r="B540" s="19" t="s">
        <v>964</v>
      </c>
      <c r="C540">
        <v>27</v>
      </c>
      <c r="D540" s="19" t="s">
        <v>439</v>
      </c>
      <c r="E540" s="19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s="19" t="s">
        <v>1849</v>
      </c>
      <c r="W540" s="19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s="19" t="s">
        <v>60</v>
      </c>
    </row>
    <row r="541" spans="1:31" x14ac:dyDescent="0.2">
      <c r="A541">
        <v>524</v>
      </c>
      <c r="B541" s="19" t="s">
        <v>1099</v>
      </c>
      <c r="C541">
        <v>25</v>
      </c>
      <c r="D541" s="19" t="s">
        <v>536</v>
      </c>
      <c r="E541" s="19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s="19" t="s">
        <v>2519</v>
      </c>
      <c r="W541" s="19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s="19" t="s">
        <v>60</v>
      </c>
    </row>
    <row r="542" spans="1:31" x14ac:dyDescent="0.2">
      <c r="A542">
        <v>525</v>
      </c>
      <c r="B542" s="19" t="s">
        <v>966</v>
      </c>
      <c r="C542">
        <v>24</v>
      </c>
      <c r="D542" s="19" t="s">
        <v>429</v>
      </c>
      <c r="E542" s="19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s="19" t="s">
        <v>2520</v>
      </c>
      <c r="W542" s="19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s="19" t="s">
        <v>60</v>
      </c>
    </row>
    <row r="543" spans="1:31" x14ac:dyDescent="0.2">
      <c r="A543">
        <v>526</v>
      </c>
      <c r="B543" s="19" t="s">
        <v>1100</v>
      </c>
      <c r="C543">
        <v>31</v>
      </c>
      <c r="D543" s="19" t="s">
        <v>337</v>
      </c>
      <c r="E543" s="19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s="19" t="s">
        <v>2522</v>
      </c>
      <c r="W543" s="19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s="19" t="s">
        <v>60</v>
      </c>
    </row>
    <row r="544" spans="1:31" x14ac:dyDescent="0.2">
      <c r="A544">
        <v>527</v>
      </c>
      <c r="B544" s="19" t="s">
        <v>1179</v>
      </c>
      <c r="C544">
        <v>25</v>
      </c>
      <c r="D544" s="19" t="s">
        <v>476</v>
      </c>
      <c r="E544" s="19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s="19" t="s">
        <v>2523</v>
      </c>
      <c r="W544" s="19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s="19" t="s">
        <v>60</v>
      </c>
    </row>
    <row r="545" spans="1:31" x14ac:dyDescent="0.2">
      <c r="A545">
        <v>528</v>
      </c>
      <c r="B545" s="19" t="s">
        <v>968</v>
      </c>
      <c r="C545">
        <v>25</v>
      </c>
      <c r="D545" s="19" t="s">
        <v>461</v>
      </c>
      <c r="E545" s="19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s="19" t="s">
        <v>1736</v>
      </c>
      <c r="W545" s="19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s="19" t="s">
        <v>60</v>
      </c>
    </row>
    <row r="546" spans="1:31" x14ac:dyDescent="0.2">
      <c r="A546">
        <v>529</v>
      </c>
      <c r="B546" s="19" t="s">
        <v>970</v>
      </c>
      <c r="C546">
        <v>24</v>
      </c>
      <c r="D546" s="19" t="s">
        <v>321</v>
      </c>
      <c r="E546" s="19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s="19" t="s">
        <v>1684</v>
      </c>
      <c r="W546" s="19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s="19" t="s">
        <v>60</v>
      </c>
    </row>
    <row r="547" spans="1:31" x14ac:dyDescent="0.2">
      <c r="A547">
        <v>530</v>
      </c>
      <c r="B547" s="19" t="s">
        <v>971</v>
      </c>
      <c r="C547">
        <v>33</v>
      </c>
      <c r="D547" s="19" t="s">
        <v>536</v>
      </c>
      <c r="E547" s="19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s="19" t="s">
        <v>1686</v>
      </c>
      <c r="W547" s="19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s="19" t="s">
        <v>60</v>
      </c>
    </row>
    <row r="548" spans="1:31" x14ac:dyDescent="0.2">
      <c r="A548">
        <v>531</v>
      </c>
      <c r="B548" s="19" t="s">
        <v>973</v>
      </c>
      <c r="C548">
        <v>20</v>
      </c>
      <c r="D548" s="19" t="s">
        <v>555</v>
      </c>
      <c r="E548" s="19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s="19" t="s">
        <v>2784</v>
      </c>
      <c r="W548" s="19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s="19" t="s">
        <v>60</v>
      </c>
    </row>
    <row r="549" spans="1:31" x14ac:dyDescent="0.2">
      <c r="A549">
        <v>532</v>
      </c>
      <c r="B549" s="19" t="s">
        <v>1824</v>
      </c>
      <c r="C549">
        <v>20</v>
      </c>
      <c r="D549" s="19" t="s">
        <v>324</v>
      </c>
      <c r="E549" s="1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s="19" t="s">
        <v>2524</v>
      </c>
      <c r="W549" s="1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s="19" t="s">
        <v>60</v>
      </c>
    </row>
    <row r="550" spans="1:31" x14ac:dyDescent="0.2">
      <c r="A550">
        <v>533</v>
      </c>
      <c r="B550" s="19" t="s">
        <v>974</v>
      </c>
      <c r="C550">
        <v>32</v>
      </c>
      <c r="D550" s="19" t="s">
        <v>1022</v>
      </c>
      <c r="E550" s="19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s="19" t="s">
        <v>2786</v>
      </c>
      <c r="W550" s="19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s="19" t="s">
        <v>60</v>
      </c>
    </row>
    <row r="551" spans="1:31" x14ac:dyDescent="0.2">
      <c r="A551">
        <v>533</v>
      </c>
      <c r="B551" s="19" t="s">
        <v>974</v>
      </c>
      <c r="C551">
        <v>32</v>
      </c>
      <c r="D551" s="19" t="s">
        <v>429</v>
      </c>
      <c r="E551" s="19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s="19" t="s">
        <v>1708</v>
      </c>
      <c r="W551" s="19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s="19" t="s">
        <v>60</v>
      </c>
    </row>
    <row r="552" spans="1:31" x14ac:dyDescent="0.2">
      <c r="A552">
        <v>533</v>
      </c>
      <c r="B552" s="19" t="s">
        <v>974</v>
      </c>
      <c r="C552">
        <v>32</v>
      </c>
      <c r="D552" s="19" t="s">
        <v>365</v>
      </c>
      <c r="E552" s="19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s="19" t="s">
        <v>2787</v>
      </c>
      <c r="W552" s="19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s="19" t="s">
        <v>60</v>
      </c>
    </row>
    <row r="553" spans="1:31" x14ac:dyDescent="0.2">
      <c r="A553">
        <v>534</v>
      </c>
      <c r="B553" s="19" t="s">
        <v>1195</v>
      </c>
      <c r="C553">
        <v>35</v>
      </c>
      <c r="D553" s="19" t="s">
        <v>334</v>
      </c>
      <c r="E553" s="19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s="19" t="s">
        <v>2525</v>
      </c>
      <c r="W553" s="19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s="19" t="s">
        <v>60</v>
      </c>
    </row>
    <row r="554" spans="1:31" x14ac:dyDescent="0.2">
      <c r="A554">
        <v>535</v>
      </c>
      <c r="B554" s="19" t="s">
        <v>1205</v>
      </c>
      <c r="C554">
        <v>23</v>
      </c>
      <c r="D554" s="19" t="s">
        <v>426</v>
      </c>
      <c r="E554" s="19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s="19" t="s">
        <v>2526</v>
      </c>
      <c r="W554" s="19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s="19" t="s">
        <v>60</v>
      </c>
    </row>
    <row r="555" spans="1:31" x14ac:dyDescent="0.2">
      <c r="A555">
        <v>536</v>
      </c>
      <c r="B555" s="19" t="s">
        <v>1056</v>
      </c>
      <c r="C555">
        <v>34</v>
      </c>
      <c r="D555" s="19" t="s">
        <v>448</v>
      </c>
      <c r="E555" s="19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s="19" t="s">
        <v>2527</v>
      </c>
      <c r="W555" s="19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s="19" t="s">
        <v>60</v>
      </c>
    </row>
    <row r="556" spans="1:31" x14ac:dyDescent="0.2">
      <c r="A556">
        <v>537</v>
      </c>
      <c r="B556" s="19" t="s">
        <v>1057</v>
      </c>
      <c r="C556">
        <v>33</v>
      </c>
      <c r="D556" s="19" t="s">
        <v>378</v>
      </c>
      <c r="E556" s="19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s="19" t="s">
        <v>2137</v>
      </c>
      <c r="W556" s="19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s="19" t="s">
        <v>60</v>
      </c>
    </row>
    <row r="557" spans="1:31" x14ac:dyDescent="0.2">
      <c r="A557">
        <v>538</v>
      </c>
      <c r="B557" s="19" t="s">
        <v>980</v>
      </c>
      <c r="C557">
        <v>31</v>
      </c>
      <c r="D557" s="19" t="s">
        <v>359</v>
      </c>
      <c r="E557" s="19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s="19" t="s">
        <v>2528</v>
      </c>
      <c r="W557" s="19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s="19" t="s">
        <v>60</v>
      </c>
    </row>
    <row r="558" spans="1:31" x14ac:dyDescent="0.2">
      <c r="A558">
        <v>539</v>
      </c>
      <c r="B558" s="19" t="s">
        <v>1062</v>
      </c>
      <c r="C558">
        <v>31</v>
      </c>
      <c r="D558" s="19" t="s">
        <v>402</v>
      </c>
      <c r="E558" s="19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s="19" t="s">
        <v>2529</v>
      </c>
      <c r="W558" s="19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s="19" t="s">
        <v>60</v>
      </c>
    </row>
    <row r="559" spans="1:31" x14ac:dyDescent="0.2">
      <c r="A559">
        <v>540</v>
      </c>
      <c r="B559" s="19" t="s">
        <v>1141</v>
      </c>
      <c r="C559">
        <v>25</v>
      </c>
      <c r="D559" s="19" t="s">
        <v>373</v>
      </c>
      <c r="E559" s="1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s="19" t="s">
        <v>2788</v>
      </c>
      <c r="W559" s="1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s="19" t="s">
        <v>60</v>
      </c>
    </row>
    <row r="560" spans="1:31" x14ac:dyDescent="0.2">
      <c r="A560">
        <v>541</v>
      </c>
      <c r="B560" s="19" t="s">
        <v>1142</v>
      </c>
      <c r="C560">
        <v>28</v>
      </c>
      <c r="D560" s="19" t="s">
        <v>415</v>
      </c>
      <c r="E560" s="19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s="19" t="s">
        <v>1799</v>
      </c>
      <c r="W560" s="19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s="19" t="s">
        <v>60</v>
      </c>
    </row>
    <row r="561" spans="1:31" x14ac:dyDescent="0.2">
      <c r="A561">
        <v>542</v>
      </c>
      <c r="B561" s="19" t="s">
        <v>1144</v>
      </c>
      <c r="C561">
        <v>21</v>
      </c>
      <c r="D561" s="19" t="s">
        <v>373</v>
      </c>
      <c r="E561" s="19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s="19" t="s">
        <v>2789</v>
      </c>
      <c r="W561" s="19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s="19" t="s">
        <v>60</v>
      </c>
    </row>
    <row r="562" spans="1:31" x14ac:dyDescent="0.2">
      <c r="A562">
        <v>543</v>
      </c>
      <c r="B562" s="19" t="s">
        <v>1065</v>
      </c>
      <c r="C562">
        <v>24</v>
      </c>
      <c r="D562" s="19" t="s">
        <v>426</v>
      </c>
      <c r="E562" s="19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s="19" t="s">
        <v>1959</v>
      </c>
      <c r="W562" s="19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s="19" t="s">
        <v>60</v>
      </c>
    </row>
    <row r="563" spans="1:31" x14ac:dyDescent="0.2">
      <c r="A563">
        <v>544</v>
      </c>
      <c r="B563" s="19" t="s">
        <v>990</v>
      </c>
      <c r="C563">
        <v>21</v>
      </c>
      <c r="D563" s="19" t="s">
        <v>439</v>
      </c>
      <c r="E563" s="19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s="19" t="s">
        <v>991</v>
      </c>
      <c r="W563" s="19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s="19" t="s">
        <v>60</v>
      </c>
    </row>
    <row r="564" spans="1:31" x14ac:dyDescent="0.2">
      <c r="A564">
        <v>545</v>
      </c>
      <c r="B564" s="19" t="s">
        <v>1149</v>
      </c>
      <c r="C564">
        <v>31</v>
      </c>
      <c r="D564" s="19" t="s">
        <v>361</v>
      </c>
      <c r="E564" s="19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s="19" t="s">
        <v>2790</v>
      </c>
      <c r="W564" s="19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s="19" t="s">
        <v>60</v>
      </c>
    </row>
    <row r="565" spans="1:31" x14ac:dyDescent="0.2">
      <c r="A565">
        <v>546</v>
      </c>
      <c r="B565" s="19" t="s">
        <v>1069</v>
      </c>
      <c r="C565">
        <v>28</v>
      </c>
      <c r="D565" s="19" t="s">
        <v>344</v>
      </c>
      <c r="E565" s="19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s="19" t="s">
        <v>2530</v>
      </c>
      <c r="W565" s="19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s="19" t="s">
        <v>60</v>
      </c>
    </row>
    <row r="566" spans="1:31" x14ac:dyDescent="0.2">
      <c r="A566">
        <v>547</v>
      </c>
      <c r="B566" s="19" t="s">
        <v>1151</v>
      </c>
      <c r="C566">
        <v>27</v>
      </c>
      <c r="D566" s="19" t="s">
        <v>555</v>
      </c>
      <c r="E566" s="19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s="19" t="s">
        <v>2791</v>
      </c>
      <c r="W566" s="19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s="19" t="s">
        <v>60</v>
      </c>
    </row>
    <row r="567" spans="1:31" x14ac:dyDescent="0.2">
      <c r="A567">
        <v>548</v>
      </c>
      <c r="B567" s="19" t="s">
        <v>1152</v>
      </c>
      <c r="C567">
        <v>32</v>
      </c>
      <c r="D567" s="19" t="s">
        <v>346</v>
      </c>
      <c r="E567" s="19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s="19" t="s">
        <v>2531</v>
      </c>
      <c r="W567" s="19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s="19" t="s">
        <v>60</v>
      </c>
    </row>
    <row r="568" spans="1:31" x14ac:dyDescent="0.2">
      <c r="A568">
        <v>549</v>
      </c>
      <c r="B568" s="19" t="s">
        <v>995</v>
      </c>
      <c r="C568">
        <v>26</v>
      </c>
      <c r="D568" s="19" t="s">
        <v>384</v>
      </c>
      <c r="E568" s="19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s="19" t="s">
        <v>2086</v>
      </c>
      <c r="W568" s="19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s="19" t="s">
        <v>60</v>
      </c>
    </row>
    <row r="569" spans="1:31" x14ac:dyDescent="0.2">
      <c r="A569">
        <v>550</v>
      </c>
      <c r="B569" s="19" t="s">
        <v>998</v>
      </c>
      <c r="C569">
        <v>27</v>
      </c>
      <c r="D569" s="19" t="s">
        <v>439</v>
      </c>
      <c r="E569" s="1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s="19" t="s">
        <v>2532</v>
      </c>
      <c r="W569" s="1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s="19" t="s">
        <v>60</v>
      </c>
    </row>
    <row r="570" spans="1:31" x14ac:dyDescent="0.2">
      <c r="A570">
        <v>551</v>
      </c>
      <c r="B570" s="19" t="s">
        <v>1154</v>
      </c>
      <c r="C570">
        <v>33</v>
      </c>
      <c r="D570" s="19" t="s">
        <v>387</v>
      </c>
      <c r="E570" s="19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s="19" t="s">
        <v>2248</v>
      </c>
      <c r="W570" s="19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s="19" t="s">
        <v>60</v>
      </c>
    </row>
    <row r="571" spans="1:31" x14ac:dyDescent="0.2">
      <c r="A571">
        <v>552</v>
      </c>
      <c r="B571" s="19" t="s">
        <v>1155</v>
      </c>
      <c r="C571">
        <v>27</v>
      </c>
      <c r="D571" s="19" t="s">
        <v>555</v>
      </c>
      <c r="E571" s="19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s="19" t="s">
        <v>2792</v>
      </c>
      <c r="W571" s="19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s="19" t="s">
        <v>60</v>
      </c>
    </row>
    <row r="572" spans="1:31" x14ac:dyDescent="0.2">
      <c r="A572">
        <v>553</v>
      </c>
      <c r="B572" s="19" t="s">
        <v>1079</v>
      </c>
      <c r="C572">
        <v>24</v>
      </c>
      <c r="D572" s="19" t="s">
        <v>337</v>
      </c>
      <c r="E572" s="19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s="19" t="s">
        <v>2534</v>
      </c>
      <c r="W572" s="19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s="19" t="s">
        <v>60</v>
      </c>
    </row>
    <row r="573" spans="1:31" x14ac:dyDescent="0.2">
      <c r="A573">
        <v>554</v>
      </c>
      <c r="B573" s="19" t="s">
        <v>1158</v>
      </c>
      <c r="C573">
        <v>32</v>
      </c>
      <c r="D573" s="19" t="s">
        <v>330</v>
      </c>
      <c r="E573" s="19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s="19" t="s">
        <v>2793</v>
      </c>
      <c r="W573" s="19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s="19" t="s">
        <v>60</v>
      </c>
    </row>
    <row r="574" spans="1:31" x14ac:dyDescent="0.2">
      <c r="A574">
        <v>555</v>
      </c>
      <c r="B574" s="19" t="s">
        <v>1165</v>
      </c>
      <c r="C574">
        <v>31</v>
      </c>
      <c r="D574" s="19" t="s">
        <v>387</v>
      </c>
      <c r="E574" s="19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s="19" t="s">
        <v>2794</v>
      </c>
      <c r="W574" s="19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s="19" t="s">
        <v>60</v>
      </c>
    </row>
    <row r="575" spans="1:31" x14ac:dyDescent="0.2">
      <c r="A575">
        <v>556</v>
      </c>
      <c r="B575" s="19" t="s">
        <v>1012</v>
      </c>
      <c r="C575">
        <v>32</v>
      </c>
      <c r="D575" s="19" t="s">
        <v>402</v>
      </c>
      <c r="E575" s="19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s="19" t="s">
        <v>2535</v>
      </c>
      <c r="W575" s="19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s="19" t="s">
        <v>60</v>
      </c>
    </row>
    <row r="576" spans="1:31" x14ac:dyDescent="0.2">
      <c r="A576">
        <v>557</v>
      </c>
      <c r="B576" s="19" t="s">
        <v>1085</v>
      </c>
      <c r="C576">
        <v>33</v>
      </c>
      <c r="D576" s="19" t="s">
        <v>344</v>
      </c>
      <c r="E576" s="19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s="19" t="s">
        <v>2536</v>
      </c>
      <c r="W576" s="19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s="19" t="s">
        <v>60</v>
      </c>
    </row>
    <row r="577" spans="1:31" x14ac:dyDescent="0.2">
      <c r="A577">
        <v>558</v>
      </c>
      <c r="B577" s="19" t="s">
        <v>1087</v>
      </c>
      <c r="C577">
        <v>27</v>
      </c>
      <c r="D577" s="19" t="s">
        <v>346</v>
      </c>
      <c r="E577" s="19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s="19" t="s">
        <v>2537</v>
      </c>
      <c r="W577" s="19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s="19" t="s">
        <v>60</v>
      </c>
    </row>
    <row r="578" spans="1:31" x14ac:dyDescent="0.2">
      <c r="A578">
        <v>559</v>
      </c>
      <c r="B578" s="19" t="s">
        <v>1173</v>
      </c>
      <c r="C578">
        <v>32</v>
      </c>
      <c r="D578" s="19" t="s">
        <v>344</v>
      </c>
      <c r="E578" s="19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s="19" t="s">
        <v>2539</v>
      </c>
      <c r="W578" s="19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s="19" t="s">
        <v>60</v>
      </c>
    </row>
    <row r="579" spans="1:31" x14ac:dyDescent="0.2">
      <c r="A579">
        <v>560</v>
      </c>
      <c r="B579" s="19" t="s">
        <v>1175</v>
      </c>
      <c r="C579">
        <v>30</v>
      </c>
      <c r="D579" s="19" t="s">
        <v>476</v>
      </c>
      <c r="E579" s="1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s="19" t="s">
        <v>1875</v>
      </c>
      <c r="W579" s="1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s="19" t="s">
        <v>60</v>
      </c>
    </row>
    <row r="580" spans="1:31" x14ac:dyDescent="0.2">
      <c r="A580">
        <v>561</v>
      </c>
      <c r="B580" s="19" t="s">
        <v>1097</v>
      </c>
      <c r="C580">
        <v>24</v>
      </c>
      <c r="D580" s="19" t="s">
        <v>365</v>
      </c>
      <c r="E580" s="19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s="19" t="s">
        <v>2795</v>
      </c>
      <c r="W580" s="19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s="19" t="s">
        <v>60</v>
      </c>
    </row>
    <row r="581" spans="1:31" x14ac:dyDescent="0.2">
      <c r="A581">
        <v>562</v>
      </c>
      <c r="B581" s="19" t="s">
        <v>1017</v>
      </c>
      <c r="C581">
        <v>29</v>
      </c>
      <c r="D581" s="19" t="s">
        <v>328</v>
      </c>
      <c r="E581" s="19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s="19" t="s">
        <v>1783</v>
      </c>
      <c r="W581" s="19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1018</v>
      </c>
      <c r="C582">
        <v>34</v>
      </c>
      <c r="D582" s="19" t="s">
        <v>368</v>
      </c>
      <c r="E582" s="19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s="19" t="s">
        <v>2540</v>
      </c>
      <c r="W582" s="19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s="19" t="s">
        <v>60</v>
      </c>
    </row>
    <row r="583" spans="1:31" x14ac:dyDescent="0.2">
      <c r="A583">
        <v>564</v>
      </c>
      <c r="B583" s="19" t="s">
        <v>1178</v>
      </c>
      <c r="C583">
        <v>29</v>
      </c>
      <c r="D583" s="19" t="s">
        <v>344</v>
      </c>
      <c r="E583" s="19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s="19" t="s">
        <v>2541</v>
      </c>
      <c r="W583" s="19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s="19" t="s">
        <v>60</v>
      </c>
    </row>
    <row r="584" spans="1:31" x14ac:dyDescent="0.2">
      <c r="A584">
        <v>565</v>
      </c>
      <c r="B584" s="19" t="s">
        <v>1105</v>
      </c>
      <c r="C584">
        <v>22</v>
      </c>
      <c r="D584" s="19" t="s">
        <v>555</v>
      </c>
      <c r="E584" s="19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s="19" t="s">
        <v>2138</v>
      </c>
      <c r="W584" s="19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s="19" t="s">
        <v>60</v>
      </c>
    </row>
    <row r="585" spans="1:31" x14ac:dyDescent="0.2">
      <c r="A585">
        <v>566</v>
      </c>
      <c r="B585" s="19" t="s">
        <v>1021</v>
      </c>
      <c r="C585">
        <v>23</v>
      </c>
      <c r="D585" s="19" t="s">
        <v>1022</v>
      </c>
      <c r="E585" s="19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s="19" t="s">
        <v>1023</v>
      </c>
      <c r="W585" s="19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s="19" t="s">
        <v>60</v>
      </c>
    </row>
    <row r="586" spans="1:31" x14ac:dyDescent="0.2">
      <c r="A586">
        <v>566</v>
      </c>
      <c r="B586" s="19" t="s">
        <v>1021</v>
      </c>
      <c r="C586">
        <v>23</v>
      </c>
      <c r="D586" s="19" t="s">
        <v>330</v>
      </c>
      <c r="E586" s="19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s="19" t="s">
        <v>1025</v>
      </c>
      <c r="W586" s="19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s="19" t="s">
        <v>60</v>
      </c>
    </row>
    <row r="587" spans="1:31" x14ac:dyDescent="0.2">
      <c r="A587">
        <v>566</v>
      </c>
      <c r="B587" s="19" t="s">
        <v>1021</v>
      </c>
      <c r="C587">
        <v>23</v>
      </c>
      <c r="D587" s="19" t="s">
        <v>461</v>
      </c>
      <c r="E587" s="19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s="19" t="s">
        <v>1027</v>
      </c>
      <c r="W587" s="19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s="19" t="s">
        <v>60</v>
      </c>
    </row>
    <row r="588" spans="1:31" x14ac:dyDescent="0.2">
      <c r="A588">
        <v>567</v>
      </c>
      <c r="B588" s="19" t="s">
        <v>1113</v>
      </c>
      <c r="C588">
        <v>29</v>
      </c>
      <c r="D588" s="19" t="s">
        <v>1022</v>
      </c>
      <c r="E588" s="19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s="19" t="s">
        <v>2796</v>
      </c>
      <c r="W588" s="19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s="19" t="s">
        <v>60</v>
      </c>
    </row>
    <row r="589" spans="1:31" x14ac:dyDescent="0.2">
      <c r="A589">
        <v>567</v>
      </c>
      <c r="B589" s="19" t="s">
        <v>1113</v>
      </c>
      <c r="C589">
        <v>29</v>
      </c>
      <c r="D589" s="19" t="s">
        <v>361</v>
      </c>
      <c r="E589" s="1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s="19" t="s">
        <v>1114</v>
      </c>
      <c r="W589" s="1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s="19" t="s">
        <v>60</v>
      </c>
    </row>
    <row r="590" spans="1:31" x14ac:dyDescent="0.2">
      <c r="A590">
        <v>567</v>
      </c>
      <c r="B590" s="19" t="s">
        <v>1113</v>
      </c>
      <c r="C590">
        <v>29</v>
      </c>
      <c r="D590" s="19" t="s">
        <v>365</v>
      </c>
      <c r="E590" s="19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s="19" t="s">
        <v>2797</v>
      </c>
      <c r="W590" s="19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s="19" t="s">
        <v>60</v>
      </c>
    </row>
    <row r="591" spans="1:31" x14ac:dyDescent="0.2">
      <c r="A591">
        <v>568</v>
      </c>
      <c r="B591" s="19" t="s">
        <v>1032</v>
      </c>
      <c r="C591">
        <v>24</v>
      </c>
      <c r="D591" s="19" t="s">
        <v>476</v>
      </c>
      <c r="E591" s="19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s="19" t="s">
        <v>1033</v>
      </c>
      <c r="W591" s="19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s="19" t="s">
        <v>60</v>
      </c>
    </row>
    <row r="592" spans="1:31" x14ac:dyDescent="0.2">
      <c r="A592">
        <v>569</v>
      </c>
      <c r="B592" s="19" t="s">
        <v>1035</v>
      </c>
      <c r="C592">
        <v>29</v>
      </c>
      <c r="D592" s="19" t="s">
        <v>363</v>
      </c>
      <c r="E592" s="19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s="19" t="s">
        <v>2542</v>
      </c>
      <c r="W592" s="19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s="19" t="s">
        <v>60</v>
      </c>
    </row>
    <row r="593" spans="1:31" x14ac:dyDescent="0.2">
      <c r="A593">
        <v>570</v>
      </c>
      <c r="B593" s="19" t="s">
        <v>1116</v>
      </c>
      <c r="C593">
        <v>28</v>
      </c>
      <c r="D593" s="19" t="s">
        <v>439</v>
      </c>
      <c r="E593" s="19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s="19" t="s">
        <v>1785</v>
      </c>
      <c r="W593" s="19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s="19" t="s">
        <v>60</v>
      </c>
    </row>
    <row r="594" spans="1:31" x14ac:dyDescent="0.2">
      <c r="A594">
        <v>571</v>
      </c>
      <c r="B594" s="19" t="s">
        <v>1036</v>
      </c>
      <c r="C594">
        <v>28</v>
      </c>
      <c r="D594" s="19" t="s">
        <v>334</v>
      </c>
      <c r="E594" s="19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s="19" t="s">
        <v>2543</v>
      </c>
      <c r="W594" s="19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s="19" t="s">
        <v>60</v>
      </c>
    </row>
    <row r="595" spans="1:31" x14ac:dyDescent="0.2">
      <c r="A595">
        <v>572</v>
      </c>
      <c r="B595" s="19" t="s">
        <v>1038</v>
      </c>
      <c r="C595">
        <v>28</v>
      </c>
      <c r="D595" s="19" t="s">
        <v>353</v>
      </c>
      <c r="E595" s="19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s="19" t="s">
        <v>1039</v>
      </c>
      <c r="W595" s="19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s="19" t="s">
        <v>60</v>
      </c>
    </row>
    <row r="596" spans="1:31" x14ac:dyDescent="0.2">
      <c r="A596">
        <v>573</v>
      </c>
      <c r="B596" s="19" t="s">
        <v>1125</v>
      </c>
      <c r="C596">
        <v>27</v>
      </c>
      <c r="D596" s="19" t="s">
        <v>439</v>
      </c>
      <c r="E596" s="19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s="19" t="s">
        <v>2544</v>
      </c>
      <c r="W596" s="19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s="19" t="s">
        <v>60</v>
      </c>
    </row>
    <row r="597" spans="1:31" x14ac:dyDescent="0.2">
      <c r="A597">
        <v>574</v>
      </c>
      <c r="B597" s="19" t="s">
        <v>1044</v>
      </c>
      <c r="C597">
        <v>25</v>
      </c>
      <c r="D597" s="19" t="s">
        <v>363</v>
      </c>
      <c r="E597" s="19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s="19" t="s">
        <v>1045</v>
      </c>
      <c r="W597" s="19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s="19" t="s">
        <v>60</v>
      </c>
    </row>
    <row r="598" spans="1:31" x14ac:dyDescent="0.2">
      <c r="A598">
        <v>575</v>
      </c>
      <c r="B598" s="19" t="s">
        <v>1126</v>
      </c>
      <c r="C598">
        <v>30</v>
      </c>
      <c r="D598" s="19" t="s">
        <v>334</v>
      </c>
      <c r="E598" s="19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s="19" t="s">
        <v>2029</v>
      </c>
      <c r="W598" s="19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1133</v>
      </c>
      <c r="C599">
        <v>31</v>
      </c>
      <c r="D599" s="19" t="s">
        <v>384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s="19" t="s">
        <v>2798</v>
      </c>
      <c r="W599" s="1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s="19" t="s">
        <v>60</v>
      </c>
    </row>
    <row r="600" spans="1:31" x14ac:dyDescent="0.2">
      <c r="A600">
        <v>577</v>
      </c>
      <c r="B600" s="19" t="s">
        <v>1136</v>
      </c>
      <c r="C600">
        <v>28</v>
      </c>
      <c r="D600" s="19" t="s">
        <v>439</v>
      </c>
      <c r="E600" s="19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s="19" t="s">
        <v>2545</v>
      </c>
      <c r="W600" s="19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s="19" t="s">
        <v>60</v>
      </c>
    </row>
    <row r="601" spans="1:31" x14ac:dyDescent="0.2">
      <c r="A601">
        <v>578</v>
      </c>
      <c r="B601" s="19" t="s">
        <v>1053</v>
      </c>
      <c r="C601">
        <v>25</v>
      </c>
      <c r="D601" s="19" t="s">
        <v>378</v>
      </c>
      <c r="E601" s="19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1054</v>
      </c>
      <c r="W601" s="19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s="19" t="s">
        <v>60</v>
      </c>
    </row>
    <row r="602" spans="1:31" x14ac:dyDescent="0.2">
      <c r="A602">
        <v>579</v>
      </c>
      <c r="B602" s="19" t="s">
        <v>1059</v>
      </c>
      <c r="C602">
        <v>21</v>
      </c>
      <c r="D602" s="19" t="s">
        <v>448</v>
      </c>
      <c r="E602" s="19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s="19" t="s">
        <v>1060</v>
      </c>
      <c r="W602" s="19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s="19" t="s">
        <v>60</v>
      </c>
    </row>
    <row r="603" spans="1:31" x14ac:dyDescent="0.2">
      <c r="A603">
        <v>580</v>
      </c>
      <c r="B603" s="19" t="s">
        <v>1063</v>
      </c>
      <c r="C603">
        <v>34</v>
      </c>
      <c r="D603" s="19" t="s">
        <v>361</v>
      </c>
      <c r="E603" s="19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s="19" t="s">
        <v>1964</v>
      </c>
      <c r="W603" s="19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s="19" t="s">
        <v>60</v>
      </c>
    </row>
    <row r="604" spans="1:31" x14ac:dyDescent="0.2">
      <c r="A604">
        <v>581</v>
      </c>
      <c r="B604" s="19" t="s">
        <v>1145</v>
      </c>
      <c r="C604">
        <v>22</v>
      </c>
      <c r="D604" s="19" t="s">
        <v>378</v>
      </c>
      <c r="E604" s="19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s="19" t="s">
        <v>2799</v>
      </c>
      <c r="W604" s="19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s="19" t="s">
        <v>60</v>
      </c>
    </row>
    <row r="605" spans="1:31" x14ac:dyDescent="0.2">
      <c r="A605">
        <v>582</v>
      </c>
      <c r="B605" s="19" t="s">
        <v>1068</v>
      </c>
      <c r="C605">
        <v>23</v>
      </c>
      <c r="D605" s="19" t="s">
        <v>439</v>
      </c>
      <c r="E605" s="19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s="19" t="s">
        <v>1850</v>
      </c>
      <c r="W605" s="19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s="19" t="s">
        <v>60</v>
      </c>
    </row>
    <row r="606" spans="1:31" x14ac:dyDescent="0.2">
      <c r="A606">
        <v>583</v>
      </c>
      <c r="B606" s="19" t="s">
        <v>1826</v>
      </c>
      <c r="C606">
        <v>27</v>
      </c>
      <c r="D606" s="19" t="s">
        <v>373</v>
      </c>
      <c r="E606" s="19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s="19" t="s">
        <v>2800</v>
      </c>
      <c r="W606" s="19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s="19" t="s">
        <v>60</v>
      </c>
    </row>
    <row r="607" spans="1:31" x14ac:dyDescent="0.2">
      <c r="A607">
        <v>584</v>
      </c>
      <c r="B607" s="19" t="s">
        <v>1071</v>
      </c>
      <c r="C607">
        <v>26</v>
      </c>
      <c r="D607" s="19" t="s">
        <v>324</v>
      </c>
      <c r="E607" s="19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s="19" t="s">
        <v>1851</v>
      </c>
      <c r="W607" s="19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s="19" t="s">
        <v>60</v>
      </c>
    </row>
    <row r="608" spans="1:31" x14ac:dyDescent="0.2">
      <c r="A608">
        <v>585</v>
      </c>
      <c r="B608" s="19" t="s">
        <v>1334</v>
      </c>
      <c r="C608">
        <v>31</v>
      </c>
      <c r="D608" s="19" t="s">
        <v>448</v>
      </c>
      <c r="E608" s="19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s="19" t="s">
        <v>2546</v>
      </c>
      <c r="W608" s="19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s="19" t="s">
        <v>60</v>
      </c>
    </row>
    <row r="609" spans="1:31" x14ac:dyDescent="0.2">
      <c r="A609">
        <v>586</v>
      </c>
      <c r="B609" s="19" t="s">
        <v>1153</v>
      </c>
      <c r="C609">
        <v>25</v>
      </c>
      <c r="D609" s="19" t="s">
        <v>334</v>
      </c>
      <c r="E609" s="1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s="19" t="s">
        <v>2547</v>
      </c>
      <c r="W609" s="1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s="19" t="s">
        <v>60</v>
      </c>
    </row>
    <row r="610" spans="1:31" x14ac:dyDescent="0.2">
      <c r="A610">
        <v>587</v>
      </c>
      <c r="B610" s="19" t="s">
        <v>1073</v>
      </c>
      <c r="C610">
        <v>31</v>
      </c>
      <c r="D610" s="19" t="s">
        <v>461</v>
      </c>
      <c r="E610" s="19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s="19" t="s">
        <v>1074</v>
      </c>
      <c r="W610" s="19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s="19" t="s">
        <v>60</v>
      </c>
    </row>
    <row r="611" spans="1:31" x14ac:dyDescent="0.2">
      <c r="A611">
        <v>588</v>
      </c>
      <c r="B611" s="19" t="s">
        <v>1076</v>
      </c>
      <c r="C611">
        <v>27</v>
      </c>
      <c r="D611" s="19" t="s">
        <v>426</v>
      </c>
      <c r="E611" s="19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s="19" t="s">
        <v>2548</v>
      </c>
      <c r="W611" s="19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s="19" t="s">
        <v>60</v>
      </c>
    </row>
    <row r="612" spans="1:31" x14ac:dyDescent="0.2">
      <c r="A612">
        <v>589</v>
      </c>
      <c r="B612" s="19" t="s">
        <v>1358</v>
      </c>
      <c r="C612">
        <v>20</v>
      </c>
      <c r="D612" s="19" t="s">
        <v>363</v>
      </c>
      <c r="E612" s="19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s="19" t="s">
        <v>2549</v>
      </c>
      <c r="W612" s="19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s="19" t="s">
        <v>60</v>
      </c>
    </row>
    <row r="613" spans="1:31" x14ac:dyDescent="0.2">
      <c r="A613">
        <v>590</v>
      </c>
      <c r="B613" s="19" t="s">
        <v>1166</v>
      </c>
      <c r="C613">
        <v>31</v>
      </c>
      <c r="D613" s="19" t="s">
        <v>404</v>
      </c>
      <c r="E613" s="19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s="19" t="s">
        <v>2550</v>
      </c>
      <c r="W613" s="19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s="19" t="s">
        <v>60</v>
      </c>
    </row>
    <row r="614" spans="1:31" x14ac:dyDescent="0.2">
      <c r="A614">
        <v>591</v>
      </c>
      <c r="B614" s="19" t="s">
        <v>1084</v>
      </c>
      <c r="C614">
        <v>25</v>
      </c>
      <c r="D614" s="19" t="s">
        <v>344</v>
      </c>
      <c r="E614" s="19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s="19" t="s">
        <v>2043</v>
      </c>
      <c r="W614" s="19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s="19" t="s">
        <v>60</v>
      </c>
    </row>
    <row r="615" spans="1:31" x14ac:dyDescent="0.2">
      <c r="A615">
        <v>592</v>
      </c>
      <c r="B615" s="19" t="s">
        <v>1088</v>
      </c>
      <c r="C615">
        <v>36</v>
      </c>
      <c r="D615" s="19" t="s">
        <v>346</v>
      </c>
      <c r="E615" s="19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s="19" t="s">
        <v>2551</v>
      </c>
      <c r="W615" s="19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s="19" t="s">
        <v>60</v>
      </c>
    </row>
    <row r="616" spans="1:31" x14ac:dyDescent="0.2">
      <c r="A616">
        <v>593</v>
      </c>
      <c r="B616" s="19" t="s">
        <v>1171</v>
      </c>
      <c r="C616">
        <v>32</v>
      </c>
      <c r="D616" s="19" t="s">
        <v>415</v>
      </c>
      <c r="E616" s="19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s="19" t="s">
        <v>2801</v>
      </c>
      <c r="W616" s="19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s="19" t="s">
        <v>60</v>
      </c>
    </row>
    <row r="617" spans="1:31" x14ac:dyDescent="0.2">
      <c r="A617">
        <v>594</v>
      </c>
      <c r="B617" s="19" t="s">
        <v>1637</v>
      </c>
      <c r="C617">
        <v>28</v>
      </c>
      <c r="D617" s="19" t="s">
        <v>404</v>
      </c>
      <c r="E617" s="19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s="19" t="s">
        <v>2552</v>
      </c>
      <c r="W617" s="19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s="19" t="s">
        <v>60</v>
      </c>
    </row>
    <row r="618" spans="1:31" x14ac:dyDescent="0.2">
      <c r="A618">
        <v>595</v>
      </c>
      <c r="B618" s="19" t="s">
        <v>1102</v>
      </c>
      <c r="C618">
        <v>23</v>
      </c>
      <c r="D618" s="19" t="s">
        <v>476</v>
      </c>
      <c r="E618" s="19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s="19" t="s">
        <v>1103</v>
      </c>
      <c r="W618" s="19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s="19" t="s">
        <v>60</v>
      </c>
    </row>
    <row r="619" spans="1:31" x14ac:dyDescent="0.2">
      <c r="A619">
        <v>596</v>
      </c>
      <c r="B619" s="19" t="s">
        <v>1106</v>
      </c>
      <c r="C619">
        <v>31</v>
      </c>
      <c r="D619" s="19" t="s">
        <v>384</v>
      </c>
      <c r="E619" s="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s="19" t="s">
        <v>1852</v>
      </c>
      <c r="W619" s="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s="19" t="s">
        <v>60</v>
      </c>
    </row>
    <row r="620" spans="1:31" x14ac:dyDescent="0.2">
      <c r="A620">
        <v>597</v>
      </c>
      <c r="B620" s="19" t="s">
        <v>1107</v>
      </c>
      <c r="C620">
        <v>28</v>
      </c>
      <c r="D620" s="19" t="s">
        <v>334</v>
      </c>
      <c r="E620" s="19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s="19" t="s">
        <v>2553</v>
      </c>
      <c r="W620" s="19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s="19" t="s">
        <v>60</v>
      </c>
    </row>
    <row r="621" spans="1:31" x14ac:dyDescent="0.2">
      <c r="A621">
        <v>598</v>
      </c>
      <c r="B621" s="19" t="s">
        <v>1109</v>
      </c>
      <c r="C621">
        <v>27</v>
      </c>
      <c r="D621" s="19" t="s">
        <v>361</v>
      </c>
      <c r="E621" s="19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s="19" t="s">
        <v>2045</v>
      </c>
      <c r="W621" s="19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s="19" t="s">
        <v>60</v>
      </c>
    </row>
    <row r="622" spans="1:31" x14ac:dyDescent="0.2">
      <c r="A622">
        <v>599</v>
      </c>
      <c r="B622" s="19" t="s">
        <v>1110</v>
      </c>
      <c r="C622">
        <v>21</v>
      </c>
      <c r="D622" s="19" t="s">
        <v>334</v>
      </c>
      <c r="E622" s="19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s="19" t="s">
        <v>1111</v>
      </c>
      <c r="W622" s="19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s="19" t="s">
        <v>60</v>
      </c>
    </row>
    <row r="623" spans="1:31" x14ac:dyDescent="0.2">
      <c r="A623">
        <v>600</v>
      </c>
      <c r="B623" s="19" t="s">
        <v>1411</v>
      </c>
      <c r="C623">
        <v>20</v>
      </c>
      <c r="D623" s="19" t="s">
        <v>412</v>
      </c>
      <c r="E623" s="19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s="19" t="s">
        <v>2141</v>
      </c>
      <c r="W623" s="19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s="19" t="s">
        <v>60</v>
      </c>
    </row>
    <row r="624" spans="1:31" x14ac:dyDescent="0.2">
      <c r="A624">
        <v>601</v>
      </c>
      <c r="B624" s="19" t="s">
        <v>1273</v>
      </c>
      <c r="C624">
        <v>25</v>
      </c>
      <c r="D624" s="19" t="s">
        <v>353</v>
      </c>
      <c r="E624" s="19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s="19" t="s">
        <v>2802</v>
      </c>
      <c r="W624" s="19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s="19" t="s">
        <v>60</v>
      </c>
    </row>
    <row r="625" spans="1:31" x14ac:dyDescent="0.2">
      <c r="A625">
        <v>602</v>
      </c>
      <c r="B625" s="19" t="s">
        <v>1188</v>
      </c>
      <c r="C625">
        <v>26</v>
      </c>
      <c r="D625" s="19" t="s">
        <v>368</v>
      </c>
      <c r="E625" s="19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s="19" t="s">
        <v>2143</v>
      </c>
      <c r="W625" s="19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s="19" t="s">
        <v>60</v>
      </c>
    </row>
    <row r="626" spans="1:31" x14ac:dyDescent="0.2">
      <c r="A626">
        <v>603</v>
      </c>
      <c r="B626" s="19" t="s">
        <v>1117</v>
      </c>
      <c r="C626">
        <v>26</v>
      </c>
      <c r="D626" s="19" t="s">
        <v>461</v>
      </c>
      <c r="E626" s="19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s="19" t="s">
        <v>1118</v>
      </c>
      <c r="W626" s="19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s="19" t="s">
        <v>60</v>
      </c>
    </row>
    <row r="627" spans="1:31" x14ac:dyDescent="0.2">
      <c r="A627">
        <v>604</v>
      </c>
      <c r="B627" s="19" t="s">
        <v>1121</v>
      </c>
      <c r="C627">
        <v>31</v>
      </c>
      <c r="D627" s="19" t="s">
        <v>412</v>
      </c>
      <c r="E627" s="19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s="19" t="s">
        <v>2144</v>
      </c>
      <c r="W627" s="19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s="19" t="s">
        <v>60</v>
      </c>
    </row>
    <row r="628" spans="1:31" x14ac:dyDescent="0.2">
      <c r="A628">
        <v>605</v>
      </c>
      <c r="B628" s="19" t="s">
        <v>1192</v>
      </c>
      <c r="C628">
        <v>19</v>
      </c>
      <c r="D628" s="19" t="s">
        <v>324</v>
      </c>
      <c r="E628" s="19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s="19" t="s">
        <v>2554</v>
      </c>
      <c r="W628" s="19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s="19" t="s">
        <v>60</v>
      </c>
    </row>
    <row r="629" spans="1:31" x14ac:dyDescent="0.2">
      <c r="A629">
        <v>606</v>
      </c>
      <c r="B629" s="19" t="s">
        <v>1122</v>
      </c>
      <c r="C629">
        <v>31</v>
      </c>
      <c r="D629" s="19" t="s">
        <v>378</v>
      </c>
      <c r="E629" s="1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s="19" t="s">
        <v>1123</v>
      </c>
      <c r="W629" s="1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s="19" t="s">
        <v>60</v>
      </c>
    </row>
    <row r="630" spans="1:31" x14ac:dyDescent="0.2">
      <c r="A630">
        <v>607</v>
      </c>
      <c r="B630" s="19" t="s">
        <v>1198</v>
      </c>
      <c r="C630">
        <v>23</v>
      </c>
      <c r="D630" s="19" t="s">
        <v>353</v>
      </c>
      <c r="E630" s="19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s="19" t="s">
        <v>2087</v>
      </c>
      <c r="W630" s="19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s="19" t="s">
        <v>60</v>
      </c>
    </row>
    <row r="631" spans="1:31" x14ac:dyDescent="0.2">
      <c r="A631">
        <v>608</v>
      </c>
      <c r="B631" s="19" t="s">
        <v>1127</v>
      </c>
      <c r="C631">
        <v>27</v>
      </c>
      <c r="D631" s="19" t="s">
        <v>328</v>
      </c>
      <c r="E631" s="19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s="19" t="s">
        <v>2555</v>
      </c>
      <c r="W631" s="19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s="19" t="s">
        <v>60</v>
      </c>
    </row>
    <row r="632" spans="1:31" x14ac:dyDescent="0.2">
      <c r="A632">
        <v>609</v>
      </c>
      <c r="B632" s="19" t="s">
        <v>1129</v>
      </c>
      <c r="C632">
        <v>27</v>
      </c>
      <c r="D632" s="19" t="s">
        <v>375</v>
      </c>
      <c r="E632" s="19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s="19" t="s">
        <v>1130</v>
      </c>
      <c r="W632" s="19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s="19" t="s">
        <v>60</v>
      </c>
    </row>
    <row r="633" spans="1:31" x14ac:dyDescent="0.2">
      <c r="A633">
        <v>610</v>
      </c>
      <c r="B633" s="19" t="s">
        <v>1134</v>
      </c>
      <c r="C633">
        <v>36</v>
      </c>
      <c r="D633" s="19" t="s">
        <v>404</v>
      </c>
      <c r="E633" s="19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s="19" t="s">
        <v>2556</v>
      </c>
      <c r="W633" s="19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1301</v>
      </c>
      <c r="C634">
        <v>27</v>
      </c>
      <c r="D634" s="19" t="s">
        <v>375</v>
      </c>
      <c r="E634" s="19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s="19" t="s">
        <v>2145</v>
      </c>
      <c r="W634" s="19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s="19" t="s">
        <v>60</v>
      </c>
    </row>
    <row r="635" spans="1:31" x14ac:dyDescent="0.2">
      <c r="A635">
        <v>612</v>
      </c>
      <c r="B635" s="19" t="s">
        <v>1138</v>
      </c>
      <c r="C635">
        <v>21</v>
      </c>
      <c r="D635" s="19" t="s">
        <v>328</v>
      </c>
      <c r="E635" s="19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s="19" t="s">
        <v>1139</v>
      </c>
      <c r="W635" s="19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s="19" t="s">
        <v>60</v>
      </c>
    </row>
    <row r="636" spans="1:31" x14ac:dyDescent="0.2">
      <c r="A636">
        <v>613</v>
      </c>
      <c r="B636" s="19" t="s">
        <v>1213</v>
      </c>
      <c r="C636">
        <v>29</v>
      </c>
      <c r="D636" s="19" t="s">
        <v>321</v>
      </c>
      <c r="E636" s="19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s="19" t="s">
        <v>2557</v>
      </c>
      <c r="W636" s="19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s="19" t="s">
        <v>60</v>
      </c>
    </row>
    <row r="637" spans="1:31" x14ac:dyDescent="0.2">
      <c r="A637">
        <v>614</v>
      </c>
      <c r="B637" s="19" t="s">
        <v>1146</v>
      </c>
      <c r="C637">
        <v>24</v>
      </c>
      <c r="D637" s="19" t="s">
        <v>1022</v>
      </c>
      <c r="E637" s="19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2558</v>
      </c>
      <c r="W637" s="19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1146</v>
      </c>
      <c r="C638">
        <v>24</v>
      </c>
      <c r="D638" s="19" t="s">
        <v>334</v>
      </c>
      <c r="E638" s="19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1146</v>
      </c>
      <c r="C639">
        <v>24</v>
      </c>
      <c r="D639" s="19" t="s">
        <v>356</v>
      </c>
      <c r="E639" s="1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2012</v>
      </c>
      <c r="W639" s="1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1216</v>
      </c>
      <c r="C640">
        <v>28</v>
      </c>
      <c r="D640" s="19" t="s">
        <v>375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2559</v>
      </c>
      <c r="W640" s="19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1150</v>
      </c>
      <c r="C641">
        <v>34</v>
      </c>
      <c r="D641" s="19" t="s">
        <v>324</v>
      </c>
      <c r="E641" s="19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2146</v>
      </c>
      <c r="W641" s="19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1225</v>
      </c>
      <c r="C642">
        <v>26</v>
      </c>
      <c r="D642" s="19" t="s">
        <v>387</v>
      </c>
      <c r="E642" s="19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s="19" t="s">
        <v>2803</v>
      </c>
      <c r="W642" s="19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1226</v>
      </c>
      <c r="C643">
        <v>27</v>
      </c>
      <c r="D643" s="19" t="s">
        <v>555</v>
      </c>
      <c r="E643" s="19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2147</v>
      </c>
      <c r="W643" s="19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1550</v>
      </c>
      <c r="C644">
        <v>21</v>
      </c>
      <c r="D644" s="19" t="s">
        <v>378</v>
      </c>
      <c r="E644" s="19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s="19" t="s">
        <v>2804</v>
      </c>
      <c r="W644" s="19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1156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1157</v>
      </c>
      <c r="W645" s="19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1348</v>
      </c>
      <c r="C646">
        <v>23</v>
      </c>
      <c r="D646" s="19" t="s">
        <v>363</v>
      </c>
      <c r="E646" s="19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2561</v>
      </c>
      <c r="W646" s="19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1229</v>
      </c>
      <c r="C647">
        <v>31</v>
      </c>
      <c r="D647" s="19" t="s">
        <v>412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2148</v>
      </c>
      <c r="W647" s="19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1579</v>
      </c>
      <c r="C648">
        <v>22</v>
      </c>
      <c r="D648" s="19" t="s">
        <v>1022</v>
      </c>
      <c r="E648" s="19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2562</v>
      </c>
      <c r="W648" s="19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1579</v>
      </c>
      <c r="C649">
        <v>22</v>
      </c>
      <c r="D649" s="19" t="s">
        <v>359</v>
      </c>
      <c r="E649" s="1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1755</v>
      </c>
      <c r="W649" s="1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1579</v>
      </c>
      <c r="C650">
        <v>22</v>
      </c>
      <c r="D650" s="19" t="s">
        <v>461</v>
      </c>
      <c r="E650" s="19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2563</v>
      </c>
      <c r="W650" s="19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1161</v>
      </c>
      <c r="C651">
        <v>26</v>
      </c>
      <c r="D651" s="19" t="s">
        <v>448</v>
      </c>
      <c r="E651" s="19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1656</v>
      </c>
      <c r="W651" s="19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1162</v>
      </c>
      <c r="C652">
        <v>24</v>
      </c>
      <c r="D652" s="19" t="s">
        <v>363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1163</v>
      </c>
      <c r="W652" s="19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1167</v>
      </c>
      <c r="C653">
        <v>27</v>
      </c>
      <c r="D653" s="19" t="s">
        <v>328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1168</v>
      </c>
      <c r="W653" s="19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1230</v>
      </c>
      <c r="C654">
        <v>39</v>
      </c>
      <c r="D654" s="19" t="s">
        <v>324</v>
      </c>
      <c r="E654" s="19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2565</v>
      </c>
      <c r="W654" s="19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1604</v>
      </c>
      <c r="C655">
        <v>25</v>
      </c>
      <c r="D655" s="19" t="s">
        <v>328</v>
      </c>
      <c r="E655" s="19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2566</v>
      </c>
      <c r="W655" s="19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1235</v>
      </c>
      <c r="C656">
        <v>33</v>
      </c>
      <c r="D656" s="19" t="s">
        <v>353</v>
      </c>
      <c r="E656" s="19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2805</v>
      </c>
      <c r="W656" s="19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1369</v>
      </c>
      <c r="C657">
        <v>22</v>
      </c>
      <c r="D657" s="19" t="s">
        <v>476</v>
      </c>
      <c r="E657" s="19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2567</v>
      </c>
      <c r="W657" s="19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1374</v>
      </c>
      <c r="C658">
        <v>24</v>
      </c>
      <c r="D658" s="19" t="s">
        <v>373</v>
      </c>
      <c r="E658" s="19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2569</v>
      </c>
      <c r="W658" s="19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1838</v>
      </c>
      <c r="C659">
        <v>20</v>
      </c>
      <c r="D659" s="19" t="s">
        <v>536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2570</v>
      </c>
      <c r="W659" s="1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1177</v>
      </c>
      <c r="C660">
        <v>27</v>
      </c>
      <c r="D660" s="19" t="s">
        <v>363</v>
      </c>
      <c r="E660" s="19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2047</v>
      </c>
      <c r="W660" s="19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1387</v>
      </c>
      <c r="C661">
        <v>26</v>
      </c>
      <c r="D661" s="19" t="s">
        <v>365</v>
      </c>
      <c r="E661" s="19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s="19" t="s">
        <v>2806</v>
      </c>
      <c r="W661" s="19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1253</v>
      </c>
      <c r="C662">
        <v>24</v>
      </c>
      <c r="D662" s="19" t="s">
        <v>1022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2150</v>
      </c>
      <c r="W662" s="19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1253</v>
      </c>
      <c r="C663">
        <v>24</v>
      </c>
      <c r="D663" s="19" t="s">
        <v>356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1254</v>
      </c>
      <c r="W663" s="19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1253</v>
      </c>
      <c r="C664">
        <v>24</v>
      </c>
      <c r="D664" s="19" t="s">
        <v>448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2151</v>
      </c>
      <c r="W664" s="19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1972</v>
      </c>
      <c r="C665">
        <v>20</v>
      </c>
      <c r="D665" s="19" t="s">
        <v>415</v>
      </c>
      <c r="E665" s="19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s="19" t="s">
        <v>2807</v>
      </c>
      <c r="W665" s="19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s="19" t="s">
        <v>60</v>
      </c>
    </row>
    <row r="666" spans="1:31" x14ac:dyDescent="0.2">
      <c r="A666">
        <v>637</v>
      </c>
      <c r="B666" s="19" t="s">
        <v>1183</v>
      </c>
      <c r="C666">
        <v>27</v>
      </c>
      <c r="D666" s="19" t="s">
        <v>448</v>
      </c>
      <c r="E666" s="19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1184</v>
      </c>
      <c r="W666" s="19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1265</v>
      </c>
      <c r="C667">
        <v>35</v>
      </c>
      <c r="D667" s="19" t="s">
        <v>359</v>
      </c>
      <c r="E667" s="19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2571</v>
      </c>
      <c r="W667" s="19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1186</v>
      </c>
      <c r="C668">
        <v>29</v>
      </c>
      <c r="D668" s="19" t="s">
        <v>361</v>
      </c>
      <c r="E668" s="19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1187</v>
      </c>
      <c r="W668" s="19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1282</v>
      </c>
      <c r="C669">
        <v>29</v>
      </c>
      <c r="D669" s="19" t="s">
        <v>555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2152</v>
      </c>
      <c r="W669" s="1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1190</v>
      </c>
      <c r="C670">
        <v>29</v>
      </c>
      <c r="D670" s="19" t="s">
        <v>324</v>
      </c>
      <c r="E670" s="19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1191</v>
      </c>
      <c r="W670" s="19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25</v>
      </c>
      <c r="D671" s="19" t="s">
        <v>353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2572</v>
      </c>
      <c r="W671" s="19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1745</v>
      </c>
      <c r="C672">
        <v>30</v>
      </c>
      <c r="D672" s="19" t="s">
        <v>536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2089</v>
      </c>
      <c r="W672" s="19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1200</v>
      </c>
      <c r="C673">
        <v>34</v>
      </c>
      <c r="D673" s="19" t="s">
        <v>359</v>
      </c>
      <c r="E673" s="19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2574</v>
      </c>
      <c r="W673" s="19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1292</v>
      </c>
      <c r="C674">
        <v>26</v>
      </c>
      <c r="D674" s="19" t="s">
        <v>387</v>
      </c>
      <c r="E674" s="19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s="19" t="s">
        <v>2808</v>
      </c>
      <c r="W674" s="19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1202</v>
      </c>
      <c r="C675">
        <v>24</v>
      </c>
      <c r="D675" s="19" t="s">
        <v>365</v>
      </c>
      <c r="E675" s="19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1203</v>
      </c>
      <c r="W675" s="19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1206</v>
      </c>
      <c r="C676">
        <v>28</v>
      </c>
      <c r="D676" s="19" t="s">
        <v>337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2090</v>
      </c>
      <c r="W676" s="19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1207</v>
      </c>
      <c r="C677">
        <v>25</v>
      </c>
      <c r="D677" s="19" t="s">
        <v>356</v>
      </c>
      <c r="E677" s="19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1208</v>
      </c>
      <c r="W677" s="19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1309</v>
      </c>
      <c r="C678">
        <v>30</v>
      </c>
      <c r="D678" s="19" t="s">
        <v>378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1853</v>
      </c>
      <c r="W678" s="19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1490</v>
      </c>
      <c r="C679">
        <v>24</v>
      </c>
      <c r="D679" s="19" t="s">
        <v>344</v>
      </c>
      <c r="E679" s="1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2575</v>
      </c>
      <c r="W679" s="1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1310</v>
      </c>
      <c r="C680">
        <v>23</v>
      </c>
      <c r="D680" s="19" t="s">
        <v>359</v>
      </c>
      <c r="E680" s="19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1821</v>
      </c>
      <c r="W680" s="19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1495</v>
      </c>
      <c r="C681">
        <v>23</v>
      </c>
      <c r="D681" s="19" t="s">
        <v>324</v>
      </c>
      <c r="E681" s="19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2576</v>
      </c>
      <c r="W681" s="19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1209</v>
      </c>
      <c r="C682">
        <v>29</v>
      </c>
      <c r="D682" s="19" t="s">
        <v>328</v>
      </c>
      <c r="E682" s="19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1210</v>
      </c>
      <c r="W682" s="19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1212</v>
      </c>
      <c r="C683">
        <v>25</v>
      </c>
      <c r="D683" s="19" t="s">
        <v>536</v>
      </c>
      <c r="E683" s="19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1822</v>
      </c>
      <c r="W683" s="19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1215</v>
      </c>
      <c r="C684">
        <v>32</v>
      </c>
      <c r="D684" s="19" t="s">
        <v>1022</v>
      </c>
      <c r="E684" s="19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s="19" t="s">
        <v>1729</v>
      </c>
      <c r="W684" s="19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1215</v>
      </c>
      <c r="C685">
        <v>32</v>
      </c>
      <c r="D685" s="19" t="s">
        <v>328</v>
      </c>
      <c r="E685" s="19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1740</v>
      </c>
      <c r="W685" s="19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1215</v>
      </c>
      <c r="C686">
        <v>32</v>
      </c>
      <c r="D686" s="19" t="s">
        <v>378</v>
      </c>
      <c r="E686" s="19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s="19" t="s">
        <v>2809</v>
      </c>
      <c r="W686" s="19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1326</v>
      </c>
      <c r="C687">
        <v>30</v>
      </c>
      <c r="D687" s="19" t="s">
        <v>330</v>
      </c>
      <c r="E687" s="19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s="19" t="s">
        <v>2810</v>
      </c>
      <c r="W687" s="19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s="19" t="s">
        <v>60</v>
      </c>
    </row>
    <row r="688" spans="1:31" x14ac:dyDescent="0.2">
      <c r="A688">
        <v>657</v>
      </c>
      <c r="B688" s="19" t="s">
        <v>1527</v>
      </c>
      <c r="C688">
        <v>30</v>
      </c>
      <c r="D688" s="19" t="s">
        <v>404</v>
      </c>
      <c r="E688" s="19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s="19" t="s">
        <v>1876</v>
      </c>
      <c r="W688" s="19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s="19" t="s">
        <v>60</v>
      </c>
    </row>
    <row r="689" spans="1:31" x14ac:dyDescent="0.2">
      <c r="A689">
        <v>658</v>
      </c>
      <c r="B689" s="19" t="s">
        <v>1218</v>
      </c>
      <c r="C689">
        <v>30</v>
      </c>
      <c r="D689" s="19" t="s">
        <v>328</v>
      </c>
      <c r="E689" s="1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s="19" t="s">
        <v>2049</v>
      </c>
      <c r="W689" s="1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s="19" t="s">
        <v>60</v>
      </c>
    </row>
    <row r="690" spans="1:31" x14ac:dyDescent="0.2">
      <c r="A690">
        <v>659</v>
      </c>
      <c r="B690" s="19" t="s">
        <v>1220</v>
      </c>
      <c r="C690">
        <v>22</v>
      </c>
      <c r="D690" s="19" t="s">
        <v>402</v>
      </c>
      <c r="E690" s="19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s="19" t="s">
        <v>1221</v>
      </c>
      <c r="W690" s="19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s="19" t="s">
        <v>60</v>
      </c>
    </row>
    <row r="691" spans="1:31" x14ac:dyDescent="0.2">
      <c r="A691">
        <v>660</v>
      </c>
      <c r="B691" s="19" t="s">
        <v>1222</v>
      </c>
      <c r="C691">
        <v>21</v>
      </c>
      <c r="D691" s="19" t="s">
        <v>461</v>
      </c>
      <c r="E691" s="19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s="19" t="s">
        <v>1223</v>
      </c>
      <c r="W691" s="19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s="19" t="s">
        <v>60</v>
      </c>
    </row>
    <row r="692" spans="1:31" x14ac:dyDescent="0.2">
      <c r="A692">
        <v>661</v>
      </c>
      <c r="B692" s="19" t="s">
        <v>1335</v>
      </c>
      <c r="C692">
        <v>26</v>
      </c>
      <c r="D692" s="19" t="s">
        <v>426</v>
      </c>
      <c r="E692" s="19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s="19" t="s">
        <v>1974</v>
      </c>
      <c r="W692" s="19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s="19" t="s">
        <v>60</v>
      </c>
    </row>
    <row r="693" spans="1:31" x14ac:dyDescent="0.2">
      <c r="A693">
        <v>662</v>
      </c>
      <c r="B693" s="19" t="s">
        <v>1337</v>
      </c>
      <c r="C693">
        <v>22</v>
      </c>
      <c r="D693" s="19" t="s">
        <v>536</v>
      </c>
      <c r="E693" s="19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s="19" t="s">
        <v>2577</v>
      </c>
      <c r="W693" s="19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s="19" t="s">
        <v>60</v>
      </c>
    </row>
    <row r="694" spans="1:31" x14ac:dyDescent="0.2">
      <c r="A694">
        <v>663</v>
      </c>
      <c r="B694" s="19" t="s">
        <v>1227</v>
      </c>
      <c r="C694">
        <v>29</v>
      </c>
      <c r="D694" s="19" t="s">
        <v>429</v>
      </c>
      <c r="E694" s="19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s="19" t="s">
        <v>1806</v>
      </c>
      <c r="W694" s="19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s="19" t="s">
        <v>60</v>
      </c>
    </row>
    <row r="695" spans="1:31" x14ac:dyDescent="0.2">
      <c r="A695">
        <v>664</v>
      </c>
      <c r="B695" s="19" t="s">
        <v>1228</v>
      </c>
      <c r="C695">
        <v>36</v>
      </c>
      <c r="D695" s="19" t="s">
        <v>404</v>
      </c>
      <c r="E695" s="19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s="19" t="s">
        <v>2154</v>
      </c>
      <c r="W695" s="19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s="19" t="s">
        <v>60</v>
      </c>
    </row>
    <row r="696" spans="1:31" x14ac:dyDescent="0.2">
      <c r="A696">
        <v>665</v>
      </c>
      <c r="B696" s="19" t="s">
        <v>1746</v>
      </c>
      <c r="C696">
        <v>27</v>
      </c>
      <c r="D696" s="19" t="s">
        <v>536</v>
      </c>
      <c r="E696" s="19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s="19" t="s">
        <v>1808</v>
      </c>
      <c r="W696" s="19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s="19" t="s">
        <v>60</v>
      </c>
    </row>
    <row r="697" spans="1:31" x14ac:dyDescent="0.2">
      <c r="A697">
        <v>666</v>
      </c>
      <c r="B697" s="19" t="s">
        <v>1341</v>
      </c>
      <c r="C697">
        <v>35</v>
      </c>
      <c r="D697" s="19" t="s">
        <v>344</v>
      </c>
      <c r="E697" s="19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s="19" t="s">
        <v>2578</v>
      </c>
      <c r="W697" s="19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s="19" t="s">
        <v>60</v>
      </c>
    </row>
    <row r="698" spans="1:31" x14ac:dyDescent="0.2">
      <c r="A698">
        <v>667</v>
      </c>
      <c r="B698" s="19" t="s">
        <v>1349</v>
      </c>
      <c r="C698">
        <v>29</v>
      </c>
      <c r="D698" s="19" t="s">
        <v>361</v>
      </c>
      <c r="E698" s="19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s="19" t="s">
        <v>2811</v>
      </c>
      <c r="W698" s="19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s="19" t="s">
        <v>60</v>
      </c>
    </row>
    <row r="699" spans="1:31" x14ac:dyDescent="0.2">
      <c r="A699">
        <v>668</v>
      </c>
      <c r="B699" s="19" t="s">
        <v>1350</v>
      </c>
      <c r="C699">
        <v>20</v>
      </c>
      <c r="D699" s="19" t="s">
        <v>402</v>
      </c>
      <c r="E699" s="1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s="19" t="s">
        <v>2156</v>
      </c>
      <c r="W699" s="1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s="19" t="s">
        <v>60</v>
      </c>
    </row>
    <row r="700" spans="1:31" x14ac:dyDescent="0.2">
      <c r="A700">
        <v>669</v>
      </c>
      <c r="B700" s="19" t="s">
        <v>1232</v>
      </c>
      <c r="C700">
        <v>26</v>
      </c>
      <c r="D700" s="19" t="s">
        <v>324</v>
      </c>
      <c r="E700" s="19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s="19" t="s">
        <v>1233</v>
      </c>
      <c r="W700" s="19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s="19" t="s">
        <v>60</v>
      </c>
    </row>
    <row r="701" spans="1:31" x14ac:dyDescent="0.2">
      <c r="A701">
        <v>670</v>
      </c>
      <c r="B701" s="19" t="s">
        <v>1236</v>
      </c>
      <c r="C701">
        <v>24</v>
      </c>
      <c r="D701" s="19" t="s">
        <v>375</v>
      </c>
      <c r="E701" s="19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s="19" t="s">
        <v>1237</v>
      </c>
      <c r="W701" s="19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s="19" t="s">
        <v>60</v>
      </c>
    </row>
    <row r="702" spans="1:31" x14ac:dyDescent="0.2">
      <c r="A702">
        <v>671</v>
      </c>
      <c r="B702" s="19" t="s">
        <v>1239</v>
      </c>
      <c r="C702">
        <v>24</v>
      </c>
      <c r="D702" s="19" t="s">
        <v>1022</v>
      </c>
      <c r="E702" s="19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s="19" t="s">
        <v>1240</v>
      </c>
      <c r="W702" s="19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s="19" t="s">
        <v>60</v>
      </c>
    </row>
    <row r="703" spans="1:31" x14ac:dyDescent="0.2">
      <c r="A703">
        <v>671</v>
      </c>
      <c r="B703" s="19" t="s">
        <v>1239</v>
      </c>
      <c r="C703">
        <v>24</v>
      </c>
      <c r="D703" s="19" t="s">
        <v>426</v>
      </c>
      <c r="E703" s="19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s="19" t="s">
        <v>1241</v>
      </c>
      <c r="W703" s="19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s="19" t="s">
        <v>60</v>
      </c>
    </row>
    <row r="704" spans="1:31" x14ac:dyDescent="0.2">
      <c r="A704">
        <v>671</v>
      </c>
      <c r="B704" s="19" t="s">
        <v>1239</v>
      </c>
      <c r="C704">
        <v>24</v>
      </c>
      <c r="D704" s="19" t="s">
        <v>375</v>
      </c>
      <c r="E704" s="19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s="19" t="s">
        <v>1243</v>
      </c>
      <c r="W704" s="19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1244</v>
      </c>
      <c r="C705">
        <v>28</v>
      </c>
      <c r="D705" s="19" t="s">
        <v>404</v>
      </c>
      <c r="E705" s="19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s="19" t="s">
        <v>2579</v>
      </c>
      <c r="W705" s="19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s="19" t="s">
        <v>60</v>
      </c>
    </row>
    <row r="706" spans="1:31" x14ac:dyDescent="0.2">
      <c r="A706">
        <v>673</v>
      </c>
      <c r="B706" s="19" t="s">
        <v>1370</v>
      </c>
      <c r="C706">
        <v>24</v>
      </c>
      <c r="D706" s="19" t="s">
        <v>378</v>
      </c>
      <c r="E706" s="19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s="19" t="s">
        <v>2812</v>
      </c>
      <c r="W706" s="19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s="19" t="s">
        <v>60</v>
      </c>
    </row>
    <row r="707" spans="1:31" x14ac:dyDescent="0.2">
      <c r="A707">
        <v>674</v>
      </c>
      <c r="B707" s="19" t="s">
        <v>1373</v>
      </c>
      <c r="C707">
        <v>23</v>
      </c>
      <c r="D707" s="19" t="s">
        <v>330</v>
      </c>
      <c r="E707" s="19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s="19" t="s">
        <v>2813</v>
      </c>
      <c r="W707" s="19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s="19" t="s">
        <v>60</v>
      </c>
    </row>
    <row r="708" spans="1:31" x14ac:dyDescent="0.2">
      <c r="A708">
        <v>675</v>
      </c>
      <c r="B708" s="19" t="s">
        <v>1246</v>
      </c>
      <c r="C708">
        <v>36</v>
      </c>
      <c r="D708" s="19" t="s">
        <v>384</v>
      </c>
      <c r="E708" s="19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s="19" t="s">
        <v>2815</v>
      </c>
      <c r="W708" s="19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s="19" t="s">
        <v>60</v>
      </c>
    </row>
    <row r="709" spans="1:31" x14ac:dyDescent="0.2">
      <c r="A709">
        <v>676</v>
      </c>
      <c r="B709" s="19" t="s">
        <v>1837</v>
      </c>
      <c r="C709">
        <v>26</v>
      </c>
      <c r="D709" s="19" t="s">
        <v>378</v>
      </c>
      <c r="E709" s="1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s="19" t="s">
        <v>2816</v>
      </c>
      <c r="W709" s="1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s="19" t="s">
        <v>60</v>
      </c>
    </row>
    <row r="710" spans="1:31" x14ac:dyDescent="0.2">
      <c r="A710">
        <v>677</v>
      </c>
      <c r="B710" s="19" t="s">
        <v>1248</v>
      </c>
      <c r="C710">
        <v>36</v>
      </c>
      <c r="D710" s="19" t="s">
        <v>361</v>
      </c>
      <c r="E710" s="19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s="19" t="s">
        <v>2817</v>
      </c>
      <c r="W710" s="19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s="19" t="s">
        <v>60</v>
      </c>
    </row>
    <row r="711" spans="1:31" x14ac:dyDescent="0.2">
      <c r="A711">
        <v>678</v>
      </c>
      <c r="B711" s="19" t="s">
        <v>1249</v>
      </c>
      <c r="C711">
        <v>26</v>
      </c>
      <c r="D711" s="19" t="s">
        <v>536</v>
      </c>
      <c r="E711" s="19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s="19" t="s">
        <v>2580</v>
      </c>
      <c r="W711" s="19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24</v>
      </c>
      <c r="D712" s="19" t="s">
        <v>387</v>
      </c>
      <c r="E712" s="19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s="19" t="s">
        <v>2818</v>
      </c>
      <c r="W712" s="19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1389</v>
      </c>
      <c r="C713">
        <v>25</v>
      </c>
      <c r="D713" s="19" t="s">
        <v>365</v>
      </c>
      <c r="E713" s="19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s="19" t="s">
        <v>2819</v>
      </c>
      <c r="W713" s="19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s="19" t="s">
        <v>60</v>
      </c>
    </row>
    <row r="714" spans="1:31" x14ac:dyDescent="0.2">
      <c r="A714">
        <v>681</v>
      </c>
      <c r="B714" s="19" t="s">
        <v>1257</v>
      </c>
      <c r="C714">
        <v>28</v>
      </c>
      <c r="D714" s="19" t="s">
        <v>321</v>
      </c>
      <c r="E714" s="19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s="19" t="s">
        <v>1258</v>
      </c>
      <c r="W714" s="19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s="19" t="s">
        <v>60</v>
      </c>
    </row>
    <row r="715" spans="1:31" x14ac:dyDescent="0.2">
      <c r="A715">
        <v>682</v>
      </c>
      <c r="B715" s="19" t="s">
        <v>1259</v>
      </c>
      <c r="C715">
        <v>26</v>
      </c>
      <c r="D715" s="19" t="s">
        <v>356</v>
      </c>
      <c r="E715" s="19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s="19" t="s">
        <v>1515</v>
      </c>
      <c r="W715" s="19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s="19" t="s">
        <v>60</v>
      </c>
    </row>
    <row r="716" spans="1:31" x14ac:dyDescent="0.2">
      <c r="A716">
        <v>683</v>
      </c>
      <c r="B716" s="19" t="s">
        <v>1787</v>
      </c>
      <c r="C716">
        <v>29</v>
      </c>
      <c r="D716" s="19" t="s">
        <v>359</v>
      </c>
      <c r="E716" s="19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s="19" t="s">
        <v>1854</v>
      </c>
      <c r="W716" s="19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s="19" t="s">
        <v>60</v>
      </c>
    </row>
    <row r="717" spans="1:31" x14ac:dyDescent="0.2">
      <c r="A717">
        <v>684</v>
      </c>
      <c r="B717" s="19" t="s">
        <v>1405</v>
      </c>
      <c r="C717">
        <v>21</v>
      </c>
      <c r="D717" s="19" t="s">
        <v>365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s="19" t="s">
        <v>2053</v>
      </c>
      <c r="W717" s="19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s="19" t="s">
        <v>60</v>
      </c>
    </row>
    <row r="718" spans="1:31" x14ac:dyDescent="0.2">
      <c r="A718">
        <v>685</v>
      </c>
      <c r="B718" s="19" t="s">
        <v>1260</v>
      </c>
      <c r="C718">
        <v>25</v>
      </c>
      <c r="D718" s="19" t="s">
        <v>373</v>
      </c>
      <c r="E718" s="19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s="19" t="s">
        <v>2820</v>
      </c>
      <c r="W718" s="19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s="19" t="s">
        <v>60</v>
      </c>
    </row>
    <row r="719" spans="1:31" x14ac:dyDescent="0.2">
      <c r="A719">
        <v>686</v>
      </c>
      <c r="B719" s="19" t="s">
        <v>1261</v>
      </c>
      <c r="C719">
        <v>32</v>
      </c>
      <c r="D719" s="19" t="s">
        <v>536</v>
      </c>
      <c r="E719" s="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2092</v>
      </c>
      <c r="W719" s="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1262</v>
      </c>
      <c r="C720">
        <v>31</v>
      </c>
      <c r="D720" s="19" t="s">
        <v>461</v>
      </c>
      <c r="E720" s="19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s="19" t="s">
        <v>1263</v>
      </c>
      <c r="W720" s="19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s="19" t="s">
        <v>60</v>
      </c>
    </row>
    <row r="721" spans="1:31" x14ac:dyDescent="0.2">
      <c r="A721">
        <v>688</v>
      </c>
      <c r="B721" s="19" t="s">
        <v>1264</v>
      </c>
      <c r="C721">
        <v>37</v>
      </c>
      <c r="D721" s="19" t="s">
        <v>375</v>
      </c>
      <c r="E721" s="19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s="19" t="s">
        <v>2581</v>
      </c>
      <c r="W721" s="19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s="19" t="s">
        <v>60</v>
      </c>
    </row>
    <row r="722" spans="1:31" x14ac:dyDescent="0.2">
      <c r="A722">
        <v>689</v>
      </c>
      <c r="B722" s="19" t="s">
        <v>1266</v>
      </c>
      <c r="C722">
        <v>25</v>
      </c>
      <c r="D722" s="19" t="s">
        <v>387</v>
      </c>
      <c r="E722" s="19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s="19" t="s">
        <v>1877</v>
      </c>
      <c r="W722" s="19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s="19" t="s">
        <v>60</v>
      </c>
    </row>
    <row r="723" spans="1:31" x14ac:dyDescent="0.2">
      <c r="A723">
        <v>690</v>
      </c>
      <c r="B723" s="19" t="s">
        <v>1267</v>
      </c>
      <c r="C723">
        <v>20</v>
      </c>
      <c r="D723" s="19" t="s">
        <v>373</v>
      </c>
      <c r="E723" s="19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s="19" t="s">
        <v>1268</v>
      </c>
      <c r="W723" s="19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1269</v>
      </c>
      <c r="C724">
        <v>19</v>
      </c>
      <c r="D724" s="19" t="s">
        <v>378</v>
      </c>
      <c r="E724" s="19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s="19" t="s">
        <v>1016</v>
      </c>
      <c r="W724" s="19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s="19" t="s">
        <v>60</v>
      </c>
    </row>
    <row r="725" spans="1:31" x14ac:dyDescent="0.2">
      <c r="A725">
        <v>692</v>
      </c>
      <c r="B725" s="19" t="s">
        <v>1271</v>
      </c>
      <c r="C725">
        <v>27</v>
      </c>
      <c r="D725" s="19" t="s">
        <v>402</v>
      </c>
      <c r="E725" s="19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2582</v>
      </c>
      <c r="W725" s="19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s="19" t="s">
        <v>60</v>
      </c>
    </row>
    <row r="726" spans="1:31" x14ac:dyDescent="0.2">
      <c r="A726">
        <v>693</v>
      </c>
      <c r="B726" s="19" t="s">
        <v>1272</v>
      </c>
      <c r="C726">
        <v>23</v>
      </c>
      <c r="D726" s="19" t="s">
        <v>324</v>
      </c>
      <c r="E726" s="19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s="19" t="s">
        <v>2158</v>
      </c>
      <c r="W726" s="19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s="19" t="s">
        <v>60</v>
      </c>
    </row>
    <row r="727" spans="1:31" x14ac:dyDescent="0.2">
      <c r="A727">
        <v>694</v>
      </c>
      <c r="B727" s="19" t="s">
        <v>1275</v>
      </c>
      <c r="C727">
        <v>27</v>
      </c>
      <c r="D727" s="19" t="s">
        <v>404</v>
      </c>
      <c r="E727" s="19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s="19" t="s">
        <v>1800</v>
      </c>
      <c r="W727" s="19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s="19" t="s">
        <v>60</v>
      </c>
    </row>
    <row r="728" spans="1:31" x14ac:dyDescent="0.2">
      <c r="A728">
        <v>695</v>
      </c>
      <c r="B728" s="19" t="s">
        <v>1276</v>
      </c>
      <c r="C728">
        <v>26</v>
      </c>
      <c r="D728" s="19" t="s">
        <v>384</v>
      </c>
      <c r="E728" s="19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s="19" t="s">
        <v>2821</v>
      </c>
      <c r="W728" s="19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s="19" t="s">
        <v>60</v>
      </c>
    </row>
    <row r="729" spans="1:31" x14ac:dyDescent="0.2">
      <c r="A729">
        <v>696</v>
      </c>
      <c r="B729" s="19" t="s">
        <v>1277</v>
      </c>
      <c r="C729">
        <v>20</v>
      </c>
      <c r="D729" s="19" t="s">
        <v>328</v>
      </c>
      <c r="E729" s="1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s="19" t="s">
        <v>1278</v>
      </c>
      <c r="W729" s="1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s="19" t="s">
        <v>60</v>
      </c>
    </row>
    <row r="730" spans="1:31" x14ac:dyDescent="0.2">
      <c r="A730">
        <v>697</v>
      </c>
      <c r="B730" s="19" t="s">
        <v>1280</v>
      </c>
      <c r="C730">
        <v>24</v>
      </c>
      <c r="D730" s="19" t="s">
        <v>337</v>
      </c>
      <c r="E730" s="19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s="19" t="s">
        <v>1281</v>
      </c>
      <c r="W730" s="19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s="19" t="s">
        <v>60</v>
      </c>
    </row>
    <row r="731" spans="1:31" x14ac:dyDescent="0.2">
      <c r="A731">
        <v>698</v>
      </c>
      <c r="B731" s="19" t="s">
        <v>1427</v>
      </c>
      <c r="C731">
        <v>26</v>
      </c>
      <c r="D731" s="19" t="s">
        <v>404</v>
      </c>
      <c r="E731" s="19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s="19" t="s">
        <v>1879</v>
      </c>
      <c r="W731" s="19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s="19" t="s">
        <v>60</v>
      </c>
    </row>
    <row r="732" spans="1:31" x14ac:dyDescent="0.2">
      <c r="A732">
        <v>699</v>
      </c>
      <c r="B732" s="19" t="s">
        <v>1284</v>
      </c>
      <c r="C732">
        <v>23</v>
      </c>
      <c r="D732" s="19" t="s">
        <v>365</v>
      </c>
      <c r="E732" s="19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s="19" t="s">
        <v>1742</v>
      </c>
      <c r="W732" s="19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s="19" t="s">
        <v>60</v>
      </c>
    </row>
    <row r="733" spans="1:31" x14ac:dyDescent="0.2">
      <c r="A733">
        <v>700</v>
      </c>
      <c r="B733" s="19" t="s">
        <v>1286</v>
      </c>
      <c r="C733">
        <v>22</v>
      </c>
      <c r="D733" s="19" t="s">
        <v>384</v>
      </c>
      <c r="E733" s="19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s="19" t="s">
        <v>2094</v>
      </c>
      <c r="W733" s="19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s="19" t="s">
        <v>60</v>
      </c>
    </row>
    <row r="734" spans="1:31" x14ac:dyDescent="0.2">
      <c r="A734">
        <v>701</v>
      </c>
      <c r="B734" s="19" t="s">
        <v>1435</v>
      </c>
      <c r="C734">
        <v>30</v>
      </c>
      <c r="D734" s="19" t="s">
        <v>461</v>
      </c>
      <c r="E734" s="19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19" t="s">
        <v>2583</v>
      </c>
      <c r="W734" s="19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s="19" t="s">
        <v>60</v>
      </c>
    </row>
    <row r="735" spans="1:31" x14ac:dyDescent="0.2">
      <c r="A735">
        <v>702</v>
      </c>
      <c r="B735" s="19" t="s">
        <v>1287</v>
      </c>
      <c r="C735">
        <v>25</v>
      </c>
      <c r="D735" s="19" t="s">
        <v>439</v>
      </c>
      <c r="E735" s="19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s="19" t="s">
        <v>1743</v>
      </c>
      <c r="W735" s="19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s="19" t="s">
        <v>60</v>
      </c>
    </row>
    <row r="736" spans="1:31" x14ac:dyDescent="0.2">
      <c r="A736">
        <v>703</v>
      </c>
      <c r="B736" s="19" t="s">
        <v>1288</v>
      </c>
      <c r="C736">
        <v>27</v>
      </c>
      <c r="D736" s="19" t="s">
        <v>555</v>
      </c>
      <c r="E736" s="19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s="19" t="s">
        <v>2822</v>
      </c>
      <c r="W736" s="19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s="19" t="s">
        <v>60</v>
      </c>
    </row>
    <row r="737" spans="1:31" x14ac:dyDescent="0.2">
      <c r="A737">
        <v>704</v>
      </c>
      <c r="B737" s="19" t="s">
        <v>1289</v>
      </c>
      <c r="C737">
        <v>25</v>
      </c>
      <c r="D737" s="19" t="s">
        <v>346</v>
      </c>
      <c r="E737" s="19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s="19" t="s">
        <v>1290</v>
      </c>
      <c r="W737" s="19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s="19" t="s">
        <v>60</v>
      </c>
    </row>
    <row r="738" spans="1:31" x14ac:dyDescent="0.2">
      <c r="A738">
        <v>705</v>
      </c>
      <c r="B738" s="19" t="s">
        <v>1294</v>
      </c>
      <c r="C738">
        <v>21</v>
      </c>
      <c r="D738" s="19" t="s">
        <v>353</v>
      </c>
      <c r="E738" s="19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s="19" t="s">
        <v>1295</v>
      </c>
      <c r="W738" s="19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s="19" t="s">
        <v>60</v>
      </c>
    </row>
    <row r="739" spans="1:31" x14ac:dyDescent="0.2">
      <c r="A739">
        <v>706</v>
      </c>
      <c r="B739" s="19" t="s">
        <v>1296</v>
      </c>
      <c r="C739">
        <v>32</v>
      </c>
      <c r="D739" s="19" t="s">
        <v>373</v>
      </c>
      <c r="E739" s="1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s="19" t="s">
        <v>2585</v>
      </c>
      <c r="W739" s="1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26</v>
      </c>
      <c r="D740" s="19" t="s">
        <v>324</v>
      </c>
      <c r="E740" s="19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s="19" t="s">
        <v>1298</v>
      </c>
      <c r="W740" s="19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30</v>
      </c>
      <c r="D741" s="19" t="s">
        <v>378</v>
      </c>
      <c r="E741" s="19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s="19" t="s">
        <v>1801</v>
      </c>
      <c r="W741" s="19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s="19" t="s">
        <v>60</v>
      </c>
    </row>
    <row r="742" spans="1:31" x14ac:dyDescent="0.2">
      <c r="A742">
        <v>709</v>
      </c>
      <c r="B742" s="19" t="s">
        <v>1302</v>
      </c>
      <c r="C742">
        <v>19</v>
      </c>
      <c r="D742" s="19" t="s">
        <v>448</v>
      </c>
      <c r="E742" s="19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s="19" t="s">
        <v>1303</v>
      </c>
      <c r="W742" s="19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s="19" t="s">
        <v>60</v>
      </c>
    </row>
    <row r="743" spans="1:31" x14ac:dyDescent="0.2">
      <c r="A743">
        <v>710</v>
      </c>
      <c r="B743" s="19" t="s">
        <v>2823</v>
      </c>
      <c r="C743">
        <v>24</v>
      </c>
      <c r="D743" s="19" t="s">
        <v>353</v>
      </c>
      <c r="E743" s="19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s="19" t="s">
        <v>1934</v>
      </c>
      <c r="W743" s="19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s="19" t="s">
        <v>60</v>
      </c>
    </row>
    <row r="744" spans="1:31" x14ac:dyDescent="0.2">
      <c r="A744">
        <v>711</v>
      </c>
      <c r="B744" s="19" t="s">
        <v>1305</v>
      </c>
      <c r="C744">
        <v>27</v>
      </c>
      <c r="D744" s="19" t="s">
        <v>404</v>
      </c>
      <c r="E744" s="19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s="19" t="s">
        <v>1306</v>
      </c>
      <c r="W744" s="19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s="19" t="s">
        <v>60</v>
      </c>
    </row>
    <row r="745" spans="1:31" x14ac:dyDescent="0.2">
      <c r="A745">
        <v>712</v>
      </c>
      <c r="B745" s="19" t="s">
        <v>1308</v>
      </c>
      <c r="C745">
        <v>35</v>
      </c>
      <c r="D745" s="19" t="s">
        <v>373</v>
      </c>
      <c r="E745" s="19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s="19" t="s">
        <v>2054</v>
      </c>
      <c r="W745" s="19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s="19" t="s">
        <v>60</v>
      </c>
    </row>
    <row r="746" spans="1:31" x14ac:dyDescent="0.2">
      <c r="A746">
        <v>713</v>
      </c>
      <c r="B746" s="19" t="s">
        <v>1834</v>
      </c>
      <c r="C746">
        <v>24</v>
      </c>
      <c r="D746" s="19" t="s">
        <v>328</v>
      </c>
      <c r="E746" s="19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s="19" t="s">
        <v>1943</v>
      </c>
      <c r="W746" s="19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1311</v>
      </c>
      <c r="C747">
        <v>23</v>
      </c>
      <c r="D747" s="19" t="s">
        <v>321</v>
      </c>
      <c r="E747" s="19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s="19" t="s">
        <v>1312</v>
      </c>
      <c r="W747" s="19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s="19" t="s">
        <v>60</v>
      </c>
    </row>
    <row r="748" spans="1:31" x14ac:dyDescent="0.2">
      <c r="A748">
        <v>715</v>
      </c>
      <c r="B748" s="19" t="s">
        <v>1314</v>
      </c>
      <c r="C748">
        <v>28</v>
      </c>
      <c r="D748" s="19" t="s">
        <v>378</v>
      </c>
      <c r="E748" s="19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s="19" t="s">
        <v>1315</v>
      </c>
      <c r="W748" s="19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s="19" t="s">
        <v>60</v>
      </c>
    </row>
    <row r="749" spans="1:31" x14ac:dyDescent="0.2">
      <c r="A749">
        <v>716</v>
      </c>
      <c r="B749" s="19" t="s">
        <v>1802</v>
      </c>
      <c r="C749">
        <v>27</v>
      </c>
      <c r="D749" s="19" t="s">
        <v>328</v>
      </c>
      <c r="E749" s="1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s="19" t="s">
        <v>2587</v>
      </c>
      <c r="W749" s="1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s="19" t="s">
        <v>60</v>
      </c>
    </row>
    <row r="750" spans="1:31" x14ac:dyDescent="0.2">
      <c r="A750">
        <v>717</v>
      </c>
      <c r="B750" s="19" t="s">
        <v>1317</v>
      </c>
      <c r="C750">
        <v>26</v>
      </c>
      <c r="D750" s="19" t="s">
        <v>461</v>
      </c>
      <c r="E750" s="19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s="19" t="s">
        <v>1318</v>
      </c>
      <c r="W750" s="19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s="19" t="s">
        <v>60</v>
      </c>
    </row>
    <row r="751" spans="1:31" x14ac:dyDescent="0.2">
      <c r="A751">
        <v>718</v>
      </c>
      <c r="B751" s="19" t="s">
        <v>1320</v>
      </c>
      <c r="C751">
        <v>24</v>
      </c>
      <c r="D751" s="19" t="s">
        <v>426</v>
      </c>
      <c r="E751" s="19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s="19" t="s">
        <v>915</v>
      </c>
      <c r="W751" s="19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s="19" t="s">
        <v>60</v>
      </c>
    </row>
    <row r="752" spans="1:31" x14ac:dyDescent="0.2">
      <c r="A752">
        <v>719</v>
      </c>
      <c r="B752" s="19" t="s">
        <v>1503</v>
      </c>
      <c r="C752">
        <v>31</v>
      </c>
      <c r="D752" s="19" t="s">
        <v>461</v>
      </c>
      <c r="E752" s="19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s="19" t="s">
        <v>2589</v>
      </c>
      <c r="W752" s="19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s="19" t="s">
        <v>60</v>
      </c>
    </row>
    <row r="753" spans="1:31" x14ac:dyDescent="0.2">
      <c r="A753">
        <v>720</v>
      </c>
      <c r="B753" s="19" t="s">
        <v>1883</v>
      </c>
      <c r="C753">
        <v>31</v>
      </c>
      <c r="D753" s="19" t="s">
        <v>412</v>
      </c>
      <c r="E753" s="19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s="19" t="s">
        <v>2160</v>
      </c>
      <c r="W753" s="19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s="19" t="s">
        <v>60</v>
      </c>
    </row>
    <row r="754" spans="1:31" x14ac:dyDescent="0.2">
      <c r="A754">
        <v>721</v>
      </c>
      <c r="B754" s="19" t="s">
        <v>1790</v>
      </c>
      <c r="C754">
        <v>27</v>
      </c>
      <c r="D754" s="19" t="s">
        <v>359</v>
      </c>
      <c r="E754" s="19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s="19" t="s">
        <v>1856</v>
      </c>
      <c r="W754" s="19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29</v>
      </c>
      <c r="D755" s="19" t="s">
        <v>448</v>
      </c>
      <c r="E755" s="19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1982</v>
      </c>
      <c r="W755" s="19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24</v>
      </c>
      <c r="D756" s="19" t="s">
        <v>330</v>
      </c>
      <c r="E756" s="19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s="19" t="s">
        <v>2824</v>
      </c>
      <c r="W756" s="19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s="19" t="s">
        <v>60</v>
      </c>
    </row>
    <row r="757" spans="1:31" x14ac:dyDescent="0.2">
      <c r="A757">
        <v>724</v>
      </c>
      <c r="B757" s="19" t="s">
        <v>1323</v>
      </c>
      <c r="C757">
        <v>27</v>
      </c>
      <c r="D757" s="19" t="s">
        <v>378</v>
      </c>
      <c r="E757" s="19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s="19" t="s">
        <v>1324</v>
      </c>
      <c r="W757" s="19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s="19" t="s">
        <v>60</v>
      </c>
    </row>
    <row r="758" spans="1:31" x14ac:dyDescent="0.2">
      <c r="A758">
        <v>725</v>
      </c>
      <c r="B758" s="19" t="s">
        <v>1327</v>
      </c>
      <c r="C758">
        <v>27</v>
      </c>
      <c r="D758" s="19" t="s">
        <v>365</v>
      </c>
      <c r="E758" s="19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s="19" t="s">
        <v>1328</v>
      </c>
      <c r="W758" s="19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s="19" t="s">
        <v>60</v>
      </c>
    </row>
    <row r="759" spans="1:31" x14ac:dyDescent="0.2">
      <c r="A759">
        <v>726</v>
      </c>
      <c r="B759" s="19" t="s">
        <v>1329</v>
      </c>
      <c r="C759">
        <v>22</v>
      </c>
      <c r="D759" s="19" t="s">
        <v>346</v>
      </c>
      <c r="E759" s="1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s="19" t="s">
        <v>1330</v>
      </c>
      <c r="W759" s="1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s="19" t="s">
        <v>60</v>
      </c>
    </row>
    <row r="760" spans="1:31" x14ac:dyDescent="0.2">
      <c r="A760">
        <v>727</v>
      </c>
      <c r="B760" s="19" t="s">
        <v>1331</v>
      </c>
      <c r="C760">
        <v>22</v>
      </c>
      <c r="D760" s="19" t="s">
        <v>412</v>
      </c>
      <c r="E760" s="19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s="19" t="s">
        <v>1710</v>
      </c>
      <c r="W760" s="19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s="19" t="s">
        <v>60</v>
      </c>
    </row>
    <row r="761" spans="1:31" x14ac:dyDescent="0.2">
      <c r="A761">
        <v>728</v>
      </c>
      <c r="B761" s="19" t="s">
        <v>1332</v>
      </c>
      <c r="C761">
        <v>30</v>
      </c>
      <c r="D761" s="19" t="s">
        <v>461</v>
      </c>
      <c r="E761" s="19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1978</v>
      </c>
      <c r="W761" s="19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729</v>
      </c>
      <c r="B762" s="19" t="s">
        <v>1791</v>
      </c>
      <c r="C762">
        <v>20</v>
      </c>
      <c r="D762" s="19" t="s">
        <v>330</v>
      </c>
      <c r="E762" s="19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s="19" t="s">
        <v>2826</v>
      </c>
      <c r="W762" s="19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s="19" t="s">
        <v>60</v>
      </c>
    </row>
    <row r="763" spans="1:31" x14ac:dyDescent="0.2">
      <c r="A763">
        <v>730</v>
      </c>
      <c r="B763" s="19" t="s">
        <v>1333</v>
      </c>
      <c r="C763">
        <v>32</v>
      </c>
      <c r="D763" s="19" t="s">
        <v>368</v>
      </c>
      <c r="E763" s="19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s="19" t="s">
        <v>2055</v>
      </c>
      <c r="W763" s="19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s="19" t="s">
        <v>60</v>
      </c>
    </row>
    <row r="764" spans="1:31" x14ac:dyDescent="0.2">
      <c r="A764">
        <v>731</v>
      </c>
      <c r="B764" s="19" t="s">
        <v>1536</v>
      </c>
      <c r="C764">
        <v>28</v>
      </c>
      <c r="D764" s="19" t="s">
        <v>536</v>
      </c>
      <c r="E764" s="19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s="19" t="s">
        <v>1857</v>
      </c>
      <c r="W764" s="19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s="19" t="s">
        <v>60</v>
      </c>
    </row>
    <row r="765" spans="1:31" x14ac:dyDescent="0.2">
      <c r="A765">
        <v>732</v>
      </c>
      <c r="B765" s="19" t="s">
        <v>1538</v>
      </c>
      <c r="C765">
        <v>33</v>
      </c>
      <c r="D765" s="19" t="s">
        <v>439</v>
      </c>
      <c r="E765" s="19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s="19" t="s">
        <v>2161</v>
      </c>
      <c r="W765" s="19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733</v>
      </c>
      <c r="B766" s="19" t="s">
        <v>1336</v>
      </c>
      <c r="C766">
        <v>31</v>
      </c>
      <c r="D766" s="19" t="s">
        <v>412</v>
      </c>
      <c r="E766" s="19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s="19" t="s">
        <v>1827</v>
      </c>
      <c r="W766" s="19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s="19" t="s">
        <v>60</v>
      </c>
    </row>
    <row r="767" spans="1:31" x14ac:dyDescent="0.2">
      <c r="A767">
        <v>734</v>
      </c>
      <c r="B767" s="19" t="s">
        <v>1539</v>
      </c>
      <c r="C767">
        <v>31</v>
      </c>
      <c r="D767" s="19" t="s">
        <v>426</v>
      </c>
      <c r="E767" s="19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s="19" t="s">
        <v>2163</v>
      </c>
      <c r="W767" s="19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18</v>
      </c>
      <c r="D768" s="19" t="s">
        <v>476</v>
      </c>
      <c r="E768" s="19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s="19" t="s">
        <v>1339</v>
      </c>
      <c r="W768" s="19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736</v>
      </c>
      <c r="B769" s="19" t="s">
        <v>1342</v>
      </c>
      <c r="C769">
        <v>32</v>
      </c>
      <c r="D769" s="19" t="s">
        <v>361</v>
      </c>
      <c r="E769" s="1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s="19" t="s">
        <v>1659</v>
      </c>
      <c r="W769" s="1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s="19" t="s">
        <v>60</v>
      </c>
    </row>
    <row r="770" spans="1:31" x14ac:dyDescent="0.2">
      <c r="A770">
        <v>737</v>
      </c>
      <c r="B770" s="19" t="s">
        <v>1343</v>
      </c>
      <c r="C770">
        <v>31</v>
      </c>
      <c r="D770" s="19" t="s">
        <v>384</v>
      </c>
      <c r="E770" s="19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s="19" t="s">
        <v>1980</v>
      </c>
      <c r="W770" s="19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s="19" t="s">
        <v>60</v>
      </c>
    </row>
    <row r="771" spans="1:31" x14ac:dyDescent="0.2">
      <c r="A771">
        <v>738</v>
      </c>
      <c r="B771" s="19" t="s">
        <v>1566</v>
      </c>
      <c r="C771">
        <v>26</v>
      </c>
      <c r="D771" s="19" t="s">
        <v>387</v>
      </c>
      <c r="E771" s="19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s="19" t="s">
        <v>1828</v>
      </c>
      <c r="W771" s="19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s="19" t="s">
        <v>60</v>
      </c>
    </row>
    <row r="772" spans="1:31" x14ac:dyDescent="0.2">
      <c r="A772">
        <v>739</v>
      </c>
      <c r="B772" s="19" t="s">
        <v>1345</v>
      </c>
      <c r="C772">
        <v>20</v>
      </c>
      <c r="D772" s="19" t="s">
        <v>555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s="19" t="s">
        <v>1346</v>
      </c>
      <c r="W772" s="19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s="19" t="s">
        <v>60</v>
      </c>
    </row>
    <row r="773" spans="1:31" x14ac:dyDescent="0.2">
      <c r="A773">
        <v>740</v>
      </c>
      <c r="B773" s="19" t="s">
        <v>1351</v>
      </c>
      <c r="C773">
        <v>30</v>
      </c>
      <c r="D773" s="19" t="s">
        <v>324</v>
      </c>
      <c r="E773" s="19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2164</v>
      </c>
      <c r="W773" s="19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s="19" t="s">
        <v>60</v>
      </c>
    </row>
    <row r="774" spans="1:31" x14ac:dyDescent="0.2">
      <c r="A774">
        <v>741</v>
      </c>
      <c r="B774" s="19" t="s">
        <v>1352</v>
      </c>
      <c r="C774">
        <v>25</v>
      </c>
      <c r="D774" s="19" t="s">
        <v>321</v>
      </c>
      <c r="E774" s="19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s="19" t="s">
        <v>1353</v>
      </c>
      <c r="W774" s="19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s="19" t="s">
        <v>60</v>
      </c>
    </row>
    <row r="775" spans="1:31" x14ac:dyDescent="0.2">
      <c r="A775">
        <v>742</v>
      </c>
      <c r="B775" s="19" t="s">
        <v>1578</v>
      </c>
      <c r="C775">
        <v>27</v>
      </c>
      <c r="D775" s="19" t="s">
        <v>334</v>
      </c>
      <c r="E775" s="19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2590</v>
      </c>
      <c r="W775" s="19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s="19" t="s">
        <v>60</v>
      </c>
    </row>
    <row r="776" spans="1:31" x14ac:dyDescent="0.2">
      <c r="A776">
        <v>743</v>
      </c>
      <c r="B776" s="19" t="s">
        <v>1580</v>
      </c>
      <c r="C776">
        <v>22</v>
      </c>
      <c r="D776" s="19" t="s">
        <v>324</v>
      </c>
      <c r="E776" s="19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s="19" t="s">
        <v>2592</v>
      </c>
      <c r="W776" s="19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1355</v>
      </c>
      <c r="C777">
        <v>19</v>
      </c>
      <c r="D777" s="19" t="s">
        <v>448</v>
      </c>
      <c r="E777" s="19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s="19" t="s">
        <v>1356</v>
      </c>
      <c r="W777" s="19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s="19" t="s">
        <v>60</v>
      </c>
    </row>
    <row r="778" spans="1:31" x14ac:dyDescent="0.2">
      <c r="A778">
        <v>745</v>
      </c>
      <c r="B778" s="19" t="s">
        <v>1591</v>
      </c>
      <c r="C778">
        <v>34</v>
      </c>
      <c r="D778" s="19" t="s">
        <v>359</v>
      </c>
      <c r="E778" s="19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s="19" t="s">
        <v>1860</v>
      </c>
      <c r="W778" s="19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s="19" t="s">
        <v>60</v>
      </c>
    </row>
    <row r="779" spans="1:31" x14ac:dyDescent="0.2">
      <c r="A779">
        <v>746</v>
      </c>
      <c r="B779" s="19" t="s">
        <v>1359</v>
      </c>
      <c r="C779">
        <v>23</v>
      </c>
      <c r="D779" s="19" t="s">
        <v>363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s="19" t="s">
        <v>2594</v>
      </c>
      <c r="W779" s="1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s="19" t="s">
        <v>60</v>
      </c>
    </row>
    <row r="780" spans="1:31" x14ac:dyDescent="0.2">
      <c r="A780">
        <v>747</v>
      </c>
      <c r="B780" s="19" t="s">
        <v>1835</v>
      </c>
      <c r="C780">
        <v>31</v>
      </c>
      <c r="D780" s="19" t="s">
        <v>415</v>
      </c>
      <c r="E780" s="19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s="19" t="s">
        <v>2827</v>
      </c>
      <c r="W780" s="19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22</v>
      </c>
      <c r="D781" s="19" t="s">
        <v>402</v>
      </c>
      <c r="E781" s="19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s="19" t="s">
        <v>1361</v>
      </c>
      <c r="W781" s="19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1363</v>
      </c>
      <c r="C782">
        <v>26</v>
      </c>
      <c r="D782" s="19" t="s">
        <v>387</v>
      </c>
      <c r="E782" s="19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s="19" t="s">
        <v>1364</v>
      </c>
      <c r="W782" s="19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32</v>
      </c>
      <c r="D783" s="19" t="s">
        <v>412</v>
      </c>
      <c r="E783" s="19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s="19" t="s">
        <v>1367</v>
      </c>
      <c r="W783" s="19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s="19" t="s">
        <v>60</v>
      </c>
    </row>
    <row r="784" spans="1:31" x14ac:dyDescent="0.2">
      <c r="A784">
        <v>751</v>
      </c>
      <c r="B784" s="19" t="s">
        <v>1368</v>
      </c>
      <c r="C784">
        <v>30</v>
      </c>
      <c r="D784" s="19" t="s">
        <v>353</v>
      </c>
      <c r="E784" s="19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s="19" t="s">
        <v>2595</v>
      </c>
      <c r="W784" s="19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s="19" t="s">
        <v>60</v>
      </c>
    </row>
    <row r="785" spans="1:31" x14ac:dyDescent="0.2">
      <c r="A785">
        <v>752</v>
      </c>
      <c r="B785" s="19" t="s">
        <v>1371</v>
      </c>
      <c r="C785">
        <v>20</v>
      </c>
      <c r="D785" s="19" t="s">
        <v>412</v>
      </c>
      <c r="E785" s="19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s="19" t="s">
        <v>1372</v>
      </c>
      <c r="W785" s="19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s="19" t="s">
        <v>60</v>
      </c>
    </row>
    <row r="786" spans="1:31" x14ac:dyDescent="0.2">
      <c r="A786">
        <v>753</v>
      </c>
      <c r="B786" s="19" t="s">
        <v>1619</v>
      </c>
      <c r="C786">
        <v>24</v>
      </c>
      <c r="D786" s="19" t="s">
        <v>356</v>
      </c>
      <c r="E786" s="19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s="19" t="s">
        <v>2056</v>
      </c>
      <c r="W786" s="19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s="19" t="s">
        <v>60</v>
      </c>
    </row>
    <row r="787" spans="1:31" x14ac:dyDescent="0.2">
      <c r="A787">
        <v>754</v>
      </c>
      <c r="B787" s="19" t="s">
        <v>1375</v>
      </c>
      <c r="C787">
        <v>38</v>
      </c>
      <c r="D787" s="19" t="s">
        <v>373</v>
      </c>
      <c r="E787" s="19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2828</v>
      </c>
      <c r="W787" s="19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s="19" t="s">
        <v>60</v>
      </c>
    </row>
    <row r="788" spans="1:31" x14ac:dyDescent="0.2">
      <c r="A788">
        <v>755</v>
      </c>
      <c r="B788" s="19" t="s">
        <v>1376</v>
      </c>
      <c r="C788">
        <v>34</v>
      </c>
      <c r="D788" s="19" t="s">
        <v>412</v>
      </c>
      <c r="E788" s="19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s="19" t="s">
        <v>1711</v>
      </c>
      <c r="W788" s="19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s="19" t="s">
        <v>60</v>
      </c>
    </row>
    <row r="789" spans="1:31" x14ac:dyDescent="0.2">
      <c r="A789">
        <v>756</v>
      </c>
      <c r="B789" s="19" t="s">
        <v>1377</v>
      </c>
      <c r="C789">
        <v>28</v>
      </c>
      <c r="D789" s="19" t="s">
        <v>368</v>
      </c>
      <c r="E789" s="1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s="19" t="s">
        <v>2596</v>
      </c>
      <c r="W789" s="1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s="19" t="s">
        <v>60</v>
      </c>
    </row>
    <row r="790" spans="1:31" x14ac:dyDescent="0.2">
      <c r="A790">
        <v>757</v>
      </c>
      <c r="B790" s="19" t="s">
        <v>1378</v>
      </c>
      <c r="C790">
        <v>24</v>
      </c>
      <c r="D790" s="19" t="s">
        <v>378</v>
      </c>
      <c r="E790" s="19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s="19" t="s">
        <v>1379</v>
      </c>
      <c r="W790" s="19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s="19" t="s">
        <v>60</v>
      </c>
    </row>
    <row r="791" spans="1:31" x14ac:dyDescent="0.2">
      <c r="A791">
        <v>758</v>
      </c>
      <c r="B791" s="19" t="s">
        <v>1794</v>
      </c>
      <c r="C791">
        <v>31</v>
      </c>
      <c r="D791" s="19" t="s">
        <v>330</v>
      </c>
      <c r="E791" s="19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s="19" t="s">
        <v>2598</v>
      </c>
      <c r="W791" s="19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27</v>
      </c>
      <c r="D792" s="19" t="s">
        <v>387</v>
      </c>
      <c r="E792" s="19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s="19" t="s">
        <v>1983</v>
      </c>
      <c r="W792" s="19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s="19" t="s">
        <v>60</v>
      </c>
    </row>
    <row r="793" spans="1:31" x14ac:dyDescent="0.2">
      <c r="A793">
        <v>760</v>
      </c>
      <c r="B793" s="19" t="s">
        <v>1382</v>
      </c>
      <c r="C793">
        <v>27</v>
      </c>
      <c r="D793" s="19" t="s">
        <v>356</v>
      </c>
      <c r="E793" s="19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s="19" t="s">
        <v>1383</v>
      </c>
      <c r="W793" s="19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s="19" t="s">
        <v>60</v>
      </c>
    </row>
    <row r="794" spans="1:31" x14ac:dyDescent="0.2">
      <c r="A794">
        <v>761</v>
      </c>
      <c r="B794" s="19" t="s">
        <v>1385</v>
      </c>
      <c r="C794">
        <v>30</v>
      </c>
      <c r="D794" s="19" t="s">
        <v>412</v>
      </c>
      <c r="E794" s="19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2166</v>
      </c>
      <c r="W794" s="19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s="19" t="s">
        <v>60</v>
      </c>
    </row>
    <row r="795" spans="1:31" x14ac:dyDescent="0.2">
      <c r="A795">
        <v>762</v>
      </c>
      <c r="B795" s="19" t="s">
        <v>1386</v>
      </c>
      <c r="C795">
        <v>29</v>
      </c>
      <c r="D795" s="19" t="s">
        <v>412</v>
      </c>
      <c r="E795" s="19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s="19" t="s">
        <v>2059</v>
      </c>
      <c r="W795" s="19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33</v>
      </c>
      <c r="D796" s="19" t="s">
        <v>321</v>
      </c>
      <c r="E796" s="19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s="19" t="s">
        <v>2599</v>
      </c>
      <c r="W796" s="19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21</v>
      </c>
      <c r="D797" s="19" t="s">
        <v>365</v>
      </c>
      <c r="E797" s="19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s="19" t="s">
        <v>1391</v>
      </c>
      <c r="W797" s="19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s="19" t="s">
        <v>60</v>
      </c>
    </row>
    <row r="798" spans="1:31" x14ac:dyDescent="0.2">
      <c r="A798">
        <v>765</v>
      </c>
      <c r="B798" s="19" t="s">
        <v>1393</v>
      </c>
      <c r="C798">
        <v>25</v>
      </c>
      <c r="D798" s="19" t="s">
        <v>415</v>
      </c>
      <c r="E798" s="19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s="19" t="s">
        <v>1394</v>
      </c>
      <c r="W798" s="19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s="19" t="s">
        <v>60</v>
      </c>
    </row>
    <row r="799" spans="1:31" x14ac:dyDescent="0.2">
      <c r="A799">
        <v>766</v>
      </c>
      <c r="B799" s="19" t="s">
        <v>1395</v>
      </c>
      <c r="C799">
        <v>35</v>
      </c>
      <c r="D799" s="19" t="s">
        <v>412</v>
      </c>
      <c r="E799" s="1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s="19" t="s">
        <v>923</v>
      </c>
      <c r="W799" s="1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s="19" t="s">
        <v>60</v>
      </c>
    </row>
    <row r="800" spans="1:31" x14ac:dyDescent="0.2">
      <c r="A800">
        <v>767</v>
      </c>
      <c r="B800" s="19" t="s">
        <v>1786</v>
      </c>
      <c r="C800">
        <v>24</v>
      </c>
      <c r="D800" s="19" t="s">
        <v>361</v>
      </c>
      <c r="E800" s="19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1547</v>
      </c>
      <c r="W800" s="19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s="19" t="s">
        <v>60</v>
      </c>
    </row>
    <row r="801" spans="1:31" x14ac:dyDescent="0.2">
      <c r="A801">
        <v>768</v>
      </c>
      <c r="B801" s="19" t="s">
        <v>1397</v>
      </c>
      <c r="C801">
        <v>35</v>
      </c>
      <c r="D801" s="19" t="s">
        <v>404</v>
      </c>
      <c r="E801" s="19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2600</v>
      </c>
      <c r="W801" s="19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461</v>
      </c>
      <c r="E802" s="19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s="19" t="s">
        <v>1399</v>
      </c>
      <c r="W802" s="19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1401</v>
      </c>
      <c r="C803">
        <v>36</v>
      </c>
      <c r="D803" s="19" t="s">
        <v>402</v>
      </c>
      <c r="E803" s="19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2169</v>
      </c>
      <c r="W803" s="19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s="19" t="s">
        <v>60</v>
      </c>
    </row>
    <row r="804" spans="1:31" x14ac:dyDescent="0.2">
      <c r="A804">
        <v>771</v>
      </c>
      <c r="B804" s="19" t="s">
        <v>1403</v>
      </c>
      <c r="C804">
        <v>25</v>
      </c>
      <c r="D804" s="19" t="s">
        <v>476</v>
      </c>
      <c r="E804" s="19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2061</v>
      </c>
      <c r="W804" s="19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s="19" t="s">
        <v>60</v>
      </c>
    </row>
    <row r="805" spans="1:31" x14ac:dyDescent="0.2">
      <c r="A805">
        <v>772</v>
      </c>
      <c r="B805" s="19" t="s">
        <v>1404</v>
      </c>
      <c r="C805">
        <v>23</v>
      </c>
      <c r="D805" s="19" t="s">
        <v>324</v>
      </c>
      <c r="E805" s="19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2602</v>
      </c>
      <c r="W805" s="19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s="19" t="s">
        <v>60</v>
      </c>
    </row>
    <row r="806" spans="1:31" x14ac:dyDescent="0.2">
      <c r="A806">
        <v>773</v>
      </c>
      <c r="B806" s="19" t="s">
        <v>1406</v>
      </c>
      <c r="C806">
        <v>23</v>
      </c>
      <c r="D806" s="19" t="s">
        <v>363</v>
      </c>
      <c r="E806" s="19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s="19" t="s">
        <v>1810</v>
      </c>
      <c r="W806" s="19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s="19" t="s">
        <v>60</v>
      </c>
    </row>
    <row r="807" spans="1:31" x14ac:dyDescent="0.2">
      <c r="A807">
        <v>774</v>
      </c>
      <c r="B807" s="19" t="s">
        <v>1407</v>
      </c>
      <c r="C807">
        <v>29</v>
      </c>
      <c r="D807" s="19" t="s">
        <v>321</v>
      </c>
      <c r="E807" s="19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2063</v>
      </c>
      <c r="W807" s="19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s="19" t="s">
        <v>60</v>
      </c>
    </row>
    <row r="808" spans="1:31" x14ac:dyDescent="0.2">
      <c r="A808">
        <v>775</v>
      </c>
      <c r="B808" s="19" t="s">
        <v>1408</v>
      </c>
      <c r="C808">
        <v>25</v>
      </c>
      <c r="D808" s="19" t="s">
        <v>356</v>
      </c>
      <c r="E808" s="19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s="19" t="s">
        <v>1409</v>
      </c>
      <c r="W808" s="19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776</v>
      </c>
      <c r="B809" s="19" t="s">
        <v>2604</v>
      </c>
      <c r="C809">
        <v>23</v>
      </c>
      <c r="D809" s="19" t="s">
        <v>426</v>
      </c>
      <c r="E809" s="1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s="19" t="s">
        <v>1855</v>
      </c>
      <c r="W809" s="1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s="19" t="s">
        <v>60</v>
      </c>
    </row>
    <row r="810" spans="1:31" x14ac:dyDescent="0.2">
      <c r="A810">
        <v>777</v>
      </c>
      <c r="B810" s="19" t="s">
        <v>1410</v>
      </c>
      <c r="C810">
        <v>23</v>
      </c>
      <c r="D810" s="19" t="s">
        <v>378</v>
      </c>
      <c r="E810" s="19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s="19" t="s">
        <v>1250</v>
      </c>
      <c r="W810" s="19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778</v>
      </c>
      <c r="B811" s="19" t="s">
        <v>1712</v>
      </c>
      <c r="C811">
        <v>21</v>
      </c>
      <c r="D811" s="19" t="s">
        <v>448</v>
      </c>
      <c r="E811" s="19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s="19" t="s">
        <v>2605</v>
      </c>
      <c r="W811" s="19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s="19" t="s">
        <v>60</v>
      </c>
    </row>
    <row r="812" spans="1:31" x14ac:dyDescent="0.2">
      <c r="A812">
        <v>779</v>
      </c>
      <c r="B812" s="19" t="s">
        <v>1694</v>
      </c>
      <c r="C812">
        <v>23</v>
      </c>
      <c r="D812" s="19" t="s">
        <v>337</v>
      </c>
      <c r="E812" s="19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341</v>
      </c>
      <c r="W812" s="19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s="19" t="s">
        <v>60</v>
      </c>
    </row>
    <row r="813" spans="1:31" x14ac:dyDescent="0.2">
      <c r="A813">
        <v>780</v>
      </c>
      <c r="B813" s="19" t="s">
        <v>1412</v>
      </c>
      <c r="C813">
        <v>26</v>
      </c>
      <c r="D813" s="19" t="s">
        <v>356</v>
      </c>
      <c r="E813" s="19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s="19" t="s">
        <v>1413</v>
      </c>
      <c r="W813" s="19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s="19" t="s">
        <v>60</v>
      </c>
    </row>
    <row r="814" spans="1:31" x14ac:dyDescent="0.2">
      <c r="A814">
        <v>781</v>
      </c>
      <c r="B814" s="19" t="s">
        <v>1414</v>
      </c>
      <c r="C814">
        <v>22</v>
      </c>
      <c r="D814" s="19" t="s">
        <v>404</v>
      </c>
      <c r="E814" s="19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s="19" t="s">
        <v>1415</v>
      </c>
      <c r="W814" s="19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28</v>
      </c>
      <c r="D815" s="19" t="s">
        <v>353</v>
      </c>
      <c r="E815" s="19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s="19" t="s">
        <v>1417</v>
      </c>
      <c r="W815" s="19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s="19" t="s">
        <v>60</v>
      </c>
    </row>
    <row r="816" spans="1:31" x14ac:dyDescent="0.2">
      <c r="A816">
        <v>783</v>
      </c>
      <c r="B816" s="19" t="s">
        <v>1418</v>
      </c>
      <c r="C816">
        <v>22</v>
      </c>
      <c r="D816" s="19" t="s">
        <v>346</v>
      </c>
      <c r="E816" s="19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s="19" t="s">
        <v>1419</v>
      </c>
      <c r="W816" s="19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s="19" t="s">
        <v>60</v>
      </c>
    </row>
    <row r="817" spans="1:31" x14ac:dyDescent="0.2">
      <c r="A817">
        <v>784</v>
      </c>
      <c r="B817" s="19" t="s">
        <v>1421</v>
      </c>
      <c r="C817">
        <v>22</v>
      </c>
      <c r="D817" s="19" t="s">
        <v>363</v>
      </c>
      <c r="E817" s="19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s="19" t="s">
        <v>1829</v>
      </c>
      <c r="W817" s="19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s="19" t="s">
        <v>60</v>
      </c>
    </row>
    <row r="818" spans="1:31" x14ac:dyDescent="0.2">
      <c r="A818">
        <v>785</v>
      </c>
      <c r="B818" s="19" t="s">
        <v>1422</v>
      </c>
      <c r="C818">
        <v>30</v>
      </c>
      <c r="D818" s="19" t="s">
        <v>378</v>
      </c>
      <c r="E818" s="19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s="19" t="s">
        <v>1984</v>
      </c>
      <c r="W818" s="19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s="19" t="s">
        <v>60</v>
      </c>
    </row>
    <row r="819" spans="1:31" x14ac:dyDescent="0.2">
      <c r="A819">
        <v>786</v>
      </c>
      <c r="B819" s="19" t="s">
        <v>1423</v>
      </c>
      <c r="C819">
        <v>30</v>
      </c>
      <c r="D819" s="19" t="s">
        <v>346</v>
      </c>
      <c r="E819" s="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1747</v>
      </c>
      <c r="W819" s="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s="19" t="s">
        <v>60</v>
      </c>
    </row>
    <row r="820" spans="1:31" x14ac:dyDescent="0.2">
      <c r="A820">
        <v>787</v>
      </c>
      <c r="B820" s="19" t="s">
        <v>1424</v>
      </c>
      <c r="C820">
        <v>28</v>
      </c>
      <c r="D820" s="19" t="s">
        <v>448</v>
      </c>
      <c r="E820" s="19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1986</v>
      </c>
      <c r="W820" s="19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s="19" t="s">
        <v>60</v>
      </c>
    </row>
    <row r="821" spans="1:31" x14ac:dyDescent="0.2">
      <c r="A821">
        <v>788</v>
      </c>
      <c r="B821" s="19" t="s">
        <v>1425</v>
      </c>
      <c r="C821">
        <v>18</v>
      </c>
      <c r="D821" s="19" t="s">
        <v>461</v>
      </c>
      <c r="E821" s="19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1426</v>
      </c>
      <c r="W821" s="19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s="19" t="s">
        <v>60</v>
      </c>
    </row>
    <row r="822" spans="1:31" x14ac:dyDescent="0.2">
      <c r="A822">
        <v>789</v>
      </c>
      <c r="B822" s="19" t="s">
        <v>2170</v>
      </c>
      <c r="C822">
        <v>34</v>
      </c>
      <c r="D822" s="19" t="s">
        <v>429</v>
      </c>
      <c r="E822" s="19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2171</v>
      </c>
      <c r="W822" s="19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s="19" t="s">
        <v>60</v>
      </c>
    </row>
    <row r="823" spans="1:31" x14ac:dyDescent="0.2">
      <c r="A823">
        <v>790</v>
      </c>
      <c r="B823" s="19" t="s">
        <v>1428</v>
      </c>
      <c r="C823">
        <v>36</v>
      </c>
      <c r="D823" s="19" t="s">
        <v>404</v>
      </c>
      <c r="E823" s="19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s="19" t="s">
        <v>1429</v>
      </c>
      <c r="W823" s="19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s="19" t="s">
        <v>60</v>
      </c>
    </row>
    <row r="824" spans="1:31" x14ac:dyDescent="0.2">
      <c r="A824">
        <v>791</v>
      </c>
      <c r="B824" s="19" t="s">
        <v>1430</v>
      </c>
      <c r="C824">
        <v>32</v>
      </c>
      <c r="D824" s="19" t="s">
        <v>439</v>
      </c>
      <c r="E824" s="19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s="19" t="s">
        <v>1431</v>
      </c>
      <c r="W824" s="19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1432</v>
      </c>
      <c r="C825">
        <v>25</v>
      </c>
      <c r="D825" s="19" t="s">
        <v>404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1433</v>
      </c>
      <c r="W825" s="19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s="19" t="s">
        <v>60</v>
      </c>
    </row>
    <row r="826" spans="1:31" x14ac:dyDescent="0.2">
      <c r="A826">
        <v>793</v>
      </c>
      <c r="B826" s="19" t="s">
        <v>1434</v>
      </c>
      <c r="C826">
        <v>23</v>
      </c>
      <c r="D826" s="19" t="s">
        <v>330</v>
      </c>
      <c r="E826" s="19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s="19" t="s">
        <v>1831</v>
      </c>
      <c r="W826" s="19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s="19" t="s">
        <v>60</v>
      </c>
    </row>
    <row r="827" spans="1:31" x14ac:dyDescent="0.2">
      <c r="A827">
        <v>794</v>
      </c>
      <c r="B827" s="19" t="s">
        <v>1436</v>
      </c>
      <c r="C827">
        <v>34</v>
      </c>
      <c r="D827" s="19" t="s">
        <v>415</v>
      </c>
      <c r="E827" s="19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s="19" t="s">
        <v>1988</v>
      </c>
      <c r="W827" s="19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s="19" t="s">
        <v>60</v>
      </c>
    </row>
    <row r="828" spans="1:31" x14ac:dyDescent="0.2">
      <c r="A828">
        <v>795</v>
      </c>
      <c r="B828" s="19" t="s">
        <v>1437</v>
      </c>
      <c r="C828">
        <v>34</v>
      </c>
      <c r="D828" s="19" t="s">
        <v>334</v>
      </c>
      <c r="E828" s="19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2172</v>
      </c>
      <c r="W828" s="19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s="19" t="s">
        <v>60</v>
      </c>
    </row>
    <row r="829" spans="1:31" x14ac:dyDescent="0.2">
      <c r="A829">
        <v>796</v>
      </c>
      <c r="B829" s="19" t="s">
        <v>1438</v>
      </c>
      <c r="C829">
        <v>22</v>
      </c>
      <c r="D829" s="19" t="s">
        <v>375</v>
      </c>
      <c r="E829" s="1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s="19" t="s">
        <v>1439</v>
      </c>
      <c r="W829" s="1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s="19" t="s">
        <v>60</v>
      </c>
    </row>
    <row r="830" spans="1:31" x14ac:dyDescent="0.2">
      <c r="A830">
        <v>797</v>
      </c>
      <c r="B830" s="19" t="s">
        <v>1441</v>
      </c>
      <c r="C830">
        <v>24</v>
      </c>
      <c r="D830" s="19" t="s">
        <v>365</v>
      </c>
      <c r="E830" s="19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2065</v>
      </c>
      <c r="W830" s="19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s="19" t="s">
        <v>60</v>
      </c>
    </row>
    <row r="831" spans="1:31" x14ac:dyDescent="0.2">
      <c r="A831">
        <v>798</v>
      </c>
      <c r="B831" s="19" t="s">
        <v>1442</v>
      </c>
      <c r="C831">
        <v>25</v>
      </c>
      <c r="D831" s="19" t="s">
        <v>337</v>
      </c>
      <c r="E831" s="19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2606</v>
      </c>
      <c r="W831" s="19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s="19" t="s">
        <v>60</v>
      </c>
    </row>
    <row r="832" spans="1:31" x14ac:dyDescent="0.2">
      <c r="A832">
        <v>799</v>
      </c>
      <c r="B832" s="19" t="s">
        <v>1443</v>
      </c>
      <c r="C832">
        <v>27</v>
      </c>
      <c r="D832" s="19" t="s">
        <v>368</v>
      </c>
      <c r="E832" s="19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s="19" t="s">
        <v>1444</v>
      </c>
      <c r="W832" s="19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s="19" t="s">
        <v>60</v>
      </c>
    </row>
    <row r="833" spans="1:31" x14ac:dyDescent="0.2">
      <c r="A833">
        <v>800</v>
      </c>
      <c r="B833" s="19" t="s">
        <v>1445</v>
      </c>
      <c r="C833">
        <v>22</v>
      </c>
      <c r="D833" s="19" t="s">
        <v>365</v>
      </c>
      <c r="E833" s="19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s="19" t="s">
        <v>1902</v>
      </c>
      <c r="W833" s="19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s="19" t="s">
        <v>60</v>
      </c>
    </row>
    <row r="834" spans="1:31" x14ac:dyDescent="0.2">
      <c r="A834">
        <v>801</v>
      </c>
      <c r="B834" s="19" t="s">
        <v>1447</v>
      </c>
      <c r="C834">
        <v>26</v>
      </c>
      <c r="D834" s="19" t="s">
        <v>415</v>
      </c>
      <c r="E834" s="19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2174</v>
      </c>
      <c r="W834" s="19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s="19" t="s">
        <v>60</v>
      </c>
    </row>
    <row r="835" spans="1:31" x14ac:dyDescent="0.2">
      <c r="A835">
        <v>802</v>
      </c>
      <c r="B835" s="19" t="s">
        <v>1448</v>
      </c>
      <c r="C835">
        <v>24</v>
      </c>
      <c r="D835" s="19" t="s">
        <v>402</v>
      </c>
      <c r="E835" s="19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s="19" t="s">
        <v>939</v>
      </c>
      <c r="W835" s="19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29</v>
      </c>
      <c r="D836" s="19" t="s">
        <v>346</v>
      </c>
      <c r="E836" s="19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s="19" t="s">
        <v>1881</v>
      </c>
      <c r="W836" s="19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s="19" t="s">
        <v>60</v>
      </c>
    </row>
    <row r="837" spans="1:31" x14ac:dyDescent="0.2">
      <c r="A837">
        <v>804</v>
      </c>
      <c r="B837" s="19" t="s">
        <v>1451</v>
      </c>
      <c r="C837">
        <v>33</v>
      </c>
      <c r="D837" s="19" t="s">
        <v>461</v>
      </c>
      <c r="E837" s="19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s="19" t="s">
        <v>1452</v>
      </c>
      <c r="W837" s="19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s="19" t="s">
        <v>60</v>
      </c>
    </row>
    <row r="838" spans="1:31" x14ac:dyDescent="0.2">
      <c r="A838">
        <v>805</v>
      </c>
      <c r="B838" s="19" t="s">
        <v>1454</v>
      </c>
      <c r="C838">
        <v>33</v>
      </c>
      <c r="D838" s="19" t="s">
        <v>429</v>
      </c>
      <c r="E838" s="19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2608</v>
      </c>
      <c r="W838" s="19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s="19" t="s">
        <v>60</v>
      </c>
    </row>
    <row r="839" spans="1:31" x14ac:dyDescent="0.2">
      <c r="A839">
        <v>806</v>
      </c>
      <c r="B839" s="19" t="s">
        <v>1749</v>
      </c>
      <c r="C839">
        <v>21</v>
      </c>
      <c r="D839" s="19" t="s">
        <v>365</v>
      </c>
      <c r="E839" s="1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2829</v>
      </c>
      <c r="W839" s="1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24</v>
      </c>
      <c r="D840" s="19" t="s">
        <v>415</v>
      </c>
      <c r="E840" s="19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s="19" t="s">
        <v>1456</v>
      </c>
      <c r="W840" s="19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s="19" t="s">
        <v>60</v>
      </c>
    </row>
    <row r="841" spans="1:31" x14ac:dyDescent="0.2">
      <c r="A841">
        <v>808</v>
      </c>
      <c r="B841" s="19" t="s">
        <v>1458</v>
      </c>
      <c r="C841">
        <v>30</v>
      </c>
      <c r="D841" s="19" t="s">
        <v>439</v>
      </c>
      <c r="E841" s="19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s="19" t="s">
        <v>366</v>
      </c>
      <c r="W841" s="19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29</v>
      </c>
      <c r="D842" s="19" t="s">
        <v>426</v>
      </c>
      <c r="E842" s="19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s="19" t="s">
        <v>1461</v>
      </c>
      <c r="W842" s="19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s="19" t="s">
        <v>60</v>
      </c>
    </row>
    <row r="843" spans="1:31" x14ac:dyDescent="0.2">
      <c r="A843">
        <v>810</v>
      </c>
      <c r="B843" s="19" t="s">
        <v>1462</v>
      </c>
      <c r="C843">
        <v>26</v>
      </c>
      <c r="D843" s="19" t="s">
        <v>415</v>
      </c>
      <c r="E843" s="19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s="19" t="s">
        <v>1463</v>
      </c>
      <c r="W843" s="19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1465</v>
      </c>
      <c r="C844">
        <v>24</v>
      </c>
      <c r="D844" s="19" t="s">
        <v>384</v>
      </c>
      <c r="E844" s="19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2830</v>
      </c>
      <c r="W844" s="19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s="19" t="s">
        <v>60</v>
      </c>
    </row>
    <row r="845" spans="1:31" x14ac:dyDescent="0.2">
      <c r="A845">
        <v>812</v>
      </c>
      <c r="B845" s="19" t="s">
        <v>1466</v>
      </c>
      <c r="C845">
        <v>34</v>
      </c>
      <c r="D845" s="19" t="s">
        <v>555</v>
      </c>
      <c r="E845" s="19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2831</v>
      </c>
      <c r="W845" s="19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s="19" t="s">
        <v>60</v>
      </c>
    </row>
    <row r="846" spans="1:31" x14ac:dyDescent="0.2">
      <c r="A846">
        <v>813</v>
      </c>
      <c r="B846" s="19" t="s">
        <v>1468</v>
      </c>
      <c r="C846">
        <v>34</v>
      </c>
      <c r="D846" s="19" t="s">
        <v>384</v>
      </c>
      <c r="E846" s="19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s="19" t="s">
        <v>1469</v>
      </c>
      <c r="W846" s="19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s="19" t="s">
        <v>60</v>
      </c>
    </row>
    <row r="847" spans="1:31" x14ac:dyDescent="0.2">
      <c r="A847">
        <v>814</v>
      </c>
      <c r="B847" s="19" t="s">
        <v>1470</v>
      </c>
      <c r="C847">
        <v>33</v>
      </c>
      <c r="D847" s="19" t="s">
        <v>373</v>
      </c>
      <c r="E847" s="19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s="19" t="s">
        <v>944</v>
      </c>
      <c r="W847" s="19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s="19" t="s">
        <v>60</v>
      </c>
    </row>
    <row r="848" spans="1:31" x14ac:dyDescent="0.2">
      <c r="A848">
        <v>815</v>
      </c>
      <c r="B848" s="19" t="s">
        <v>1471</v>
      </c>
      <c r="C848">
        <v>27</v>
      </c>
      <c r="D848" s="19" t="s">
        <v>359</v>
      </c>
      <c r="E848" s="19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2176</v>
      </c>
      <c r="W848" s="19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s="19" t="s">
        <v>60</v>
      </c>
    </row>
    <row r="849" spans="1:31" x14ac:dyDescent="0.2">
      <c r="A849">
        <v>816</v>
      </c>
      <c r="B849" s="19" t="s">
        <v>1472</v>
      </c>
      <c r="C849">
        <v>21</v>
      </c>
      <c r="D849" s="19" t="s">
        <v>359</v>
      </c>
      <c r="E849" s="1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424</v>
      </c>
      <c r="W849" s="1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s="19" t="s">
        <v>60</v>
      </c>
    </row>
    <row r="850" spans="1:31" x14ac:dyDescent="0.2">
      <c r="A850">
        <v>817</v>
      </c>
      <c r="B850" s="19" t="s">
        <v>1788</v>
      </c>
      <c r="C850">
        <v>29</v>
      </c>
      <c r="D850" s="19" t="s">
        <v>353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1789</v>
      </c>
      <c r="W850" s="19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818</v>
      </c>
      <c r="B851" s="19" t="s">
        <v>1474</v>
      </c>
      <c r="C851">
        <v>27</v>
      </c>
      <c r="D851" s="19" t="s">
        <v>344</v>
      </c>
      <c r="E851" s="19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1840</v>
      </c>
      <c r="W851" s="19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34</v>
      </c>
      <c r="D852" s="19" t="s">
        <v>415</v>
      </c>
      <c r="E852" s="19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s="19" t="s">
        <v>1862</v>
      </c>
      <c r="W852" s="19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s="19" t="s">
        <v>60</v>
      </c>
    </row>
    <row r="853" spans="1:31" x14ac:dyDescent="0.2">
      <c r="A853">
        <v>820</v>
      </c>
      <c r="B853" s="19" t="s">
        <v>1477</v>
      </c>
      <c r="C853">
        <v>30</v>
      </c>
      <c r="D853" s="19" t="s">
        <v>555</v>
      </c>
      <c r="E853" s="19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s="19" t="s">
        <v>1478</v>
      </c>
      <c r="W853" s="19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s="19" t="s">
        <v>60</v>
      </c>
    </row>
    <row r="854" spans="1:31" x14ac:dyDescent="0.2">
      <c r="A854">
        <v>821</v>
      </c>
      <c r="B854" s="19" t="s">
        <v>1480</v>
      </c>
      <c r="C854">
        <v>23</v>
      </c>
      <c r="D854" s="19" t="s">
        <v>429</v>
      </c>
      <c r="E854" s="19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2611</v>
      </c>
      <c r="W854" s="19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s="19" t="s">
        <v>60</v>
      </c>
    </row>
    <row r="855" spans="1:31" x14ac:dyDescent="0.2">
      <c r="A855">
        <v>822</v>
      </c>
      <c r="B855" s="19" t="s">
        <v>1481</v>
      </c>
      <c r="C855">
        <v>32</v>
      </c>
      <c r="D855" s="19" t="s">
        <v>346</v>
      </c>
      <c r="E855" s="19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2613</v>
      </c>
      <c r="W855" s="19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s="19" t="s">
        <v>60</v>
      </c>
    </row>
    <row r="856" spans="1:31" x14ac:dyDescent="0.2">
      <c r="A856">
        <v>823</v>
      </c>
      <c r="B856" s="19" t="s">
        <v>1482</v>
      </c>
      <c r="C856">
        <v>24</v>
      </c>
      <c r="D856" s="19" t="s">
        <v>361</v>
      </c>
      <c r="E856" s="19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2832</v>
      </c>
      <c r="W856" s="19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824</v>
      </c>
      <c r="B857" s="19" t="s">
        <v>1483</v>
      </c>
      <c r="C857">
        <v>29</v>
      </c>
      <c r="D857" s="19" t="s">
        <v>344</v>
      </c>
      <c r="E857" s="19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1484</v>
      </c>
      <c r="W857" s="19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825</v>
      </c>
      <c r="B858" s="19" t="s">
        <v>1486</v>
      </c>
      <c r="C858">
        <v>29</v>
      </c>
      <c r="D858" s="19" t="s">
        <v>426</v>
      </c>
      <c r="E858" s="19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s="19" t="s">
        <v>1487</v>
      </c>
      <c r="W858" s="19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s="19" t="s">
        <v>60</v>
      </c>
    </row>
    <row r="859" spans="1:31" x14ac:dyDescent="0.2">
      <c r="A859">
        <v>826</v>
      </c>
      <c r="B859" s="19" t="s">
        <v>1489</v>
      </c>
      <c r="C859">
        <v>25</v>
      </c>
      <c r="D859" s="19" t="s">
        <v>536</v>
      </c>
      <c r="E859" s="1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s="19" t="s">
        <v>2615</v>
      </c>
      <c r="W859" s="1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s="19" t="s">
        <v>60</v>
      </c>
    </row>
    <row r="860" spans="1:31" x14ac:dyDescent="0.2">
      <c r="A860">
        <v>827</v>
      </c>
      <c r="B860" s="19" t="s">
        <v>1661</v>
      </c>
      <c r="C860">
        <v>25</v>
      </c>
      <c r="D860" s="19" t="s">
        <v>461</v>
      </c>
      <c r="E860" s="19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s="19" t="s">
        <v>1882</v>
      </c>
      <c r="W860" s="19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s="19" t="s">
        <v>60</v>
      </c>
    </row>
    <row r="861" spans="1:31" x14ac:dyDescent="0.2">
      <c r="A861">
        <v>828</v>
      </c>
      <c r="B861" s="19" t="s">
        <v>1491</v>
      </c>
      <c r="C861">
        <v>30</v>
      </c>
      <c r="D861" s="19" t="s">
        <v>448</v>
      </c>
      <c r="E861" s="19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s="19" t="s">
        <v>915</v>
      </c>
      <c r="W861" s="19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s="19" t="s">
        <v>60</v>
      </c>
    </row>
    <row r="862" spans="1:31" x14ac:dyDescent="0.2">
      <c r="A862">
        <v>829</v>
      </c>
      <c r="B862" s="19" t="s">
        <v>1492</v>
      </c>
      <c r="C862">
        <v>30</v>
      </c>
      <c r="D862" s="19" t="s">
        <v>337</v>
      </c>
      <c r="E862" s="19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1832</v>
      </c>
      <c r="W862" s="19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s="19" t="s">
        <v>60</v>
      </c>
    </row>
    <row r="863" spans="1:31" x14ac:dyDescent="0.2">
      <c r="A863">
        <v>830</v>
      </c>
      <c r="B863" s="19" t="s">
        <v>1493</v>
      </c>
      <c r="C863">
        <v>29</v>
      </c>
      <c r="D863" s="19" t="s">
        <v>378</v>
      </c>
      <c r="E863" s="19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s="19" t="s">
        <v>697</v>
      </c>
      <c r="W863" s="19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s="19" t="s">
        <v>60</v>
      </c>
    </row>
    <row r="864" spans="1:31" x14ac:dyDescent="0.2">
      <c r="A864">
        <v>831</v>
      </c>
      <c r="B864" s="19" t="s">
        <v>2067</v>
      </c>
      <c r="C864">
        <v>28</v>
      </c>
      <c r="D864" s="19" t="s">
        <v>328</v>
      </c>
      <c r="E864" s="19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2617</v>
      </c>
      <c r="W864" s="19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s="19" t="s">
        <v>60</v>
      </c>
    </row>
    <row r="865" spans="1:31" x14ac:dyDescent="0.2">
      <c r="A865">
        <v>832</v>
      </c>
      <c r="B865" s="19" t="s">
        <v>1496</v>
      </c>
      <c r="C865">
        <v>30</v>
      </c>
      <c r="D865" s="19" t="s">
        <v>1022</v>
      </c>
      <c r="E865" s="19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1863</v>
      </c>
      <c r="W865" s="19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s="19" t="s">
        <v>60</v>
      </c>
    </row>
    <row r="866" spans="1:31" x14ac:dyDescent="0.2">
      <c r="A866">
        <v>832</v>
      </c>
      <c r="B866" s="19" t="s">
        <v>1496</v>
      </c>
      <c r="C866">
        <v>30</v>
      </c>
      <c r="D866" s="19" t="s">
        <v>378</v>
      </c>
      <c r="E866" s="19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1750</v>
      </c>
      <c r="W866" s="19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s="19" t="s">
        <v>60</v>
      </c>
    </row>
    <row r="867" spans="1:31" x14ac:dyDescent="0.2">
      <c r="A867">
        <v>832</v>
      </c>
      <c r="B867" s="19" t="s">
        <v>1496</v>
      </c>
      <c r="C867">
        <v>30</v>
      </c>
      <c r="D867" s="19" t="s">
        <v>328</v>
      </c>
      <c r="E867" s="19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1864</v>
      </c>
      <c r="W867" s="19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833</v>
      </c>
      <c r="B868" s="19" t="s">
        <v>1497</v>
      </c>
      <c r="C868">
        <v>22</v>
      </c>
      <c r="D868" s="19" t="s">
        <v>359</v>
      </c>
      <c r="E868" s="19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s="19" t="s">
        <v>2068</v>
      </c>
      <c r="W868" s="19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s="19" t="s">
        <v>60</v>
      </c>
    </row>
    <row r="869" spans="1:31" x14ac:dyDescent="0.2">
      <c r="A869">
        <v>834</v>
      </c>
      <c r="B869" s="19" t="s">
        <v>1498</v>
      </c>
      <c r="C869">
        <v>30</v>
      </c>
      <c r="D869" s="19" t="s">
        <v>353</v>
      </c>
      <c r="E869" s="1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2834</v>
      </c>
      <c r="W869" s="1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s="19" t="s">
        <v>60</v>
      </c>
    </row>
    <row r="870" spans="1:31" x14ac:dyDescent="0.2">
      <c r="A870">
        <v>835</v>
      </c>
      <c r="B870" s="19" t="s">
        <v>1499</v>
      </c>
      <c r="C870">
        <v>24</v>
      </c>
      <c r="D870" s="19" t="s">
        <v>439</v>
      </c>
      <c r="E870" s="19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s="19" t="s">
        <v>1500</v>
      </c>
      <c r="W870" s="19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1502</v>
      </c>
      <c r="C871">
        <v>26</v>
      </c>
      <c r="D871" s="19" t="s">
        <v>359</v>
      </c>
      <c r="E871" s="19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s="19" t="s">
        <v>1866</v>
      </c>
      <c r="W871" s="19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s="19" t="s">
        <v>60</v>
      </c>
    </row>
    <row r="872" spans="1:31" x14ac:dyDescent="0.2">
      <c r="A872">
        <v>837</v>
      </c>
      <c r="B872" s="19" t="s">
        <v>1505</v>
      </c>
      <c r="C872">
        <v>21</v>
      </c>
      <c r="D872" s="19" t="s">
        <v>536</v>
      </c>
      <c r="E872" s="19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s="19" t="s">
        <v>1752</v>
      </c>
      <c r="W872" s="19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s="19" t="s">
        <v>60</v>
      </c>
    </row>
    <row r="873" spans="1:31" x14ac:dyDescent="0.2">
      <c r="A873">
        <v>838</v>
      </c>
      <c r="B873" s="19" t="s">
        <v>1506</v>
      </c>
      <c r="C873">
        <v>27</v>
      </c>
      <c r="D873" s="19" t="s">
        <v>353</v>
      </c>
      <c r="E873" s="19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1507</v>
      </c>
      <c r="W873" s="19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s="19" t="s">
        <v>60</v>
      </c>
    </row>
    <row r="874" spans="1:31" x14ac:dyDescent="0.2">
      <c r="A874">
        <v>839</v>
      </c>
      <c r="B874" s="19" t="s">
        <v>1509</v>
      </c>
      <c r="C874">
        <v>21</v>
      </c>
      <c r="D874" s="19" t="s">
        <v>476</v>
      </c>
      <c r="E874" s="19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s="19" t="s">
        <v>761</v>
      </c>
      <c r="W874" s="19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23</v>
      </c>
      <c r="D875" s="19" t="s">
        <v>448</v>
      </c>
      <c r="E875" s="19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s="19" t="s">
        <v>1511</v>
      </c>
      <c r="W875" s="19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s="19" t="s">
        <v>60</v>
      </c>
    </row>
    <row r="876" spans="1:31" x14ac:dyDescent="0.2">
      <c r="A876">
        <v>841</v>
      </c>
      <c r="B876" s="19" t="s">
        <v>1513</v>
      </c>
      <c r="C876">
        <v>26</v>
      </c>
      <c r="D876" s="19" t="s">
        <v>439</v>
      </c>
      <c r="E876" s="19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s="19" t="s">
        <v>2619</v>
      </c>
      <c r="W876" s="19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s="19" t="s">
        <v>60</v>
      </c>
    </row>
    <row r="877" spans="1:31" x14ac:dyDescent="0.2">
      <c r="A877">
        <v>842</v>
      </c>
      <c r="B877" s="19" t="s">
        <v>1514</v>
      </c>
      <c r="C877">
        <v>26</v>
      </c>
      <c r="D877" s="19" t="s">
        <v>402</v>
      </c>
      <c r="E877" s="19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1991</v>
      </c>
      <c r="W877" s="19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24</v>
      </c>
      <c r="D878" s="19" t="s">
        <v>415</v>
      </c>
      <c r="E878" s="19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1517</v>
      </c>
      <c r="W878" s="19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844</v>
      </c>
      <c r="B879" s="19" t="s">
        <v>1519</v>
      </c>
      <c r="C879">
        <v>31</v>
      </c>
      <c r="D879" s="19" t="s">
        <v>356</v>
      </c>
      <c r="E879" s="1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2620</v>
      </c>
      <c r="W879" s="1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s="19" t="s">
        <v>60</v>
      </c>
    </row>
    <row r="880" spans="1:31" x14ac:dyDescent="0.2">
      <c r="A880">
        <v>845</v>
      </c>
      <c r="B880" s="19" t="s">
        <v>1520</v>
      </c>
      <c r="C880">
        <v>35</v>
      </c>
      <c r="D880" s="19" t="s">
        <v>429</v>
      </c>
      <c r="E880" s="19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1811</v>
      </c>
      <c r="W880" s="19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s="19" t="s">
        <v>60</v>
      </c>
    </row>
    <row r="881" spans="1:31" x14ac:dyDescent="0.2">
      <c r="A881">
        <v>846</v>
      </c>
      <c r="B881" s="19" t="s">
        <v>1521</v>
      </c>
      <c r="C881">
        <v>35</v>
      </c>
      <c r="D881" s="19" t="s">
        <v>375</v>
      </c>
      <c r="E881" s="19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1522</v>
      </c>
      <c r="W881" s="19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s="19" t="s">
        <v>60</v>
      </c>
    </row>
    <row r="882" spans="1:31" x14ac:dyDescent="0.2">
      <c r="A882">
        <v>847</v>
      </c>
      <c r="B882" s="19" t="s">
        <v>1753</v>
      </c>
      <c r="C882">
        <v>24</v>
      </c>
      <c r="D882" s="19" t="s">
        <v>439</v>
      </c>
      <c r="E882" s="19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1754</v>
      </c>
      <c r="W882" s="19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1523</v>
      </c>
      <c r="C883">
        <v>32</v>
      </c>
      <c r="D883" s="19" t="s">
        <v>461</v>
      </c>
      <c r="E883" s="19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s="19" t="s">
        <v>1524</v>
      </c>
      <c r="W883" s="19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22</v>
      </c>
      <c r="D884" s="19" t="s">
        <v>404</v>
      </c>
      <c r="E884" s="19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1526</v>
      </c>
      <c r="W884" s="19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1868</v>
      </c>
      <c r="C885">
        <v>23</v>
      </c>
      <c r="D885" s="19" t="s">
        <v>359</v>
      </c>
      <c r="E885" s="19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s="19" t="s">
        <v>1051</v>
      </c>
      <c r="W885" s="19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25</v>
      </c>
      <c r="D886" s="19" t="s">
        <v>404</v>
      </c>
      <c r="E886" s="19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1108</v>
      </c>
      <c r="W886" s="19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s="19" t="s">
        <v>60</v>
      </c>
    </row>
    <row r="887" spans="1:31" x14ac:dyDescent="0.2">
      <c r="A887">
        <v>852</v>
      </c>
      <c r="B887" s="19" t="s">
        <v>1530</v>
      </c>
      <c r="C887">
        <v>22</v>
      </c>
      <c r="D887" s="19" t="s">
        <v>344</v>
      </c>
      <c r="E887" s="19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1531</v>
      </c>
      <c r="W887" s="19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s="19" t="s">
        <v>60</v>
      </c>
    </row>
    <row r="888" spans="1:31" x14ac:dyDescent="0.2">
      <c r="A888">
        <v>853</v>
      </c>
      <c r="B888" s="19" t="s">
        <v>1533</v>
      </c>
      <c r="C888">
        <v>19</v>
      </c>
      <c r="D888" s="19" t="s">
        <v>415</v>
      </c>
      <c r="E888" s="19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s="19" t="s">
        <v>1534</v>
      </c>
      <c r="W888" s="19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s="19" t="s">
        <v>60</v>
      </c>
    </row>
    <row r="889" spans="1:31" x14ac:dyDescent="0.2">
      <c r="A889">
        <v>854</v>
      </c>
      <c r="B889" s="19" t="s">
        <v>1537</v>
      </c>
      <c r="C889">
        <v>26</v>
      </c>
      <c r="D889" s="19" t="s">
        <v>439</v>
      </c>
      <c r="E889" s="1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2621</v>
      </c>
      <c r="W889" s="1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s="19" t="s">
        <v>60</v>
      </c>
    </row>
    <row r="890" spans="1:31" x14ac:dyDescent="0.2">
      <c r="A890">
        <v>855</v>
      </c>
      <c r="B890" s="19" t="s">
        <v>1540</v>
      </c>
      <c r="C890">
        <v>29</v>
      </c>
      <c r="D890" s="19" t="s">
        <v>404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s="19" t="s">
        <v>1541</v>
      </c>
      <c r="W890" s="19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1543</v>
      </c>
      <c r="C891">
        <v>24</v>
      </c>
      <c r="D891" s="19" t="s">
        <v>321</v>
      </c>
      <c r="E891" s="19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623</v>
      </c>
      <c r="W891" s="19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1545</v>
      </c>
      <c r="C892">
        <v>23</v>
      </c>
      <c r="D892" s="19" t="s">
        <v>461</v>
      </c>
      <c r="E892" s="19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s="19" t="s">
        <v>1546</v>
      </c>
      <c r="W892" s="19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s="19" t="s">
        <v>60</v>
      </c>
    </row>
    <row r="893" spans="1:31" x14ac:dyDescent="0.2">
      <c r="A893">
        <v>858</v>
      </c>
      <c r="B893" s="19" t="s">
        <v>1548</v>
      </c>
      <c r="C893">
        <v>29</v>
      </c>
      <c r="D893" s="19" t="s">
        <v>384</v>
      </c>
      <c r="E893" s="19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s="19" t="s">
        <v>1549</v>
      </c>
      <c r="W893" s="19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859</v>
      </c>
      <c r="B894" s="19" t="s">
        <v>1551</v>
      </c>
      <c r="C894">
        <v>33</v>
      </c>
      <c r="D894" s="19" t="s">
        <v>368</v>
      </c>
      <c r="E894" s="19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s="19" t="s">
        <v>1552</v>
      </c>
      <c r="W894" s="19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s="19" t="s">
        <v>60</v>
      </c>
    </row>
    <row r="895" spans="1:31" x14ac:dyDescent="0.2">
      <c r="A895">
        <v>860</v>
      </c>
      <c r="B895" s="19" t="s">
        <v>1803</v>
      </c>
      <c r="C895">
        <v>22</v>
      </c>
      <c r="D895" s="19" t="s">
        <v>555</v>
      </c>
      <c r="E895" s="19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s="19" t="s">
        <v>2836</v>
      </c>
      <c r="W895" s="19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s="19" t="s">
        <v>60</v>
      </c>
    </row>
    <row r="896" spans="1:31" x14ac:dyDescent="0.2">
      <c r="A896">
        <v>861</v>
      </c>
      <c r="B896" s="19" t="s">
        <v>1554</v>
      </c>
      <c r="C896">
        <v>23</v>
      </c>
      <c r="D896" s="19" t="s">
        <v>426</v>
      </c>
      <c r="E896" s="19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2622</v>
      </c>
      <c r="W896" s="19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s="19" t="s">
        <v>60</v>
      </c>
    </row>
    <row r="897" spans="1:31" x14ac:dyDescent="0.2">
      <c r="A897">
        <v>862</v>
      </c>
      <c r="B897" s="19" t="s">
        <v>1555</v>
      </c>
      <c r="C897">
        <v>25</v>
      </c>
      <c r="D897" s="19" t="s">
        <v>356</v>
      </c>
      <c r="E897" s="19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s="19" t="s">
        <v>1556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27</v>
      </c>
      <c r="D898" s="19" t="s">
        <v>439</v>
      </c>
      <c r="E898" s="19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s="19" t="s">
        <v>2624</v>
      </c>
      <c r="W898" s="19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s="19" t="s">
        <v>60</v>
      </c>
    </row>
    <row r="899" spans="1:31" x14ac:dyDescent="0.2">
      <c r="A899">
        <v>864</v>
      </c>
      <c r="B899" s="19" t="s">
        <v>1558</v>
      </c>
      <c r="C899">
        <v>22</v>
      </c>
      <c r="D899" s="19" t="s">
        <v>346</v>
      </c>
      <c r="E899" s="1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1559</v>
      </c>
      <c r="W899" s="1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1561</v>
      </c>
      <c r="C900">
        <v>33</v>
      </c>
      <c r="D900" s="19" t="s">
        <v>346</v>
      </c>
      <c r="E900" s="19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s="19" t="s">
        <v>1240</v>
      </c>
      <c r="W900" s="19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s="19" t="s">
        <v>60</v>
      </c>
    </row>
    <row r="901" spans="1:31" x14ac:dyDescent="0.2">
      <c r="A901">
        <v>866</v>
      </c>
      <c r="B901" s="19" t="s">
        <v>1562</v>
      </c>
      <c r="C901">
        <v>24</v>
      </c>
      <c r="D901" s="19" t="s">
        <v>321</v>
      </c>
      <c r="E901" s="19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1563</v>
      </c>
      <c r="W901" s="19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1565</v>
      </c>
      <c r="C902">
        <v>28</v>
      </c>
      <c r="D902" s="19" t="s">
        <v>448</v>
      </c>
      <c r="E902" s="19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s="19" t="s">
        <v>446</v>
      </c>
      <c r="W902" s="19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1993</v>
      </c>
      <c r="C903">
        <v>21</v>
      </c>
      <c r="D903" s="19" t="s">
        <v>368</v>
      </c>
      <c r="E903" s="19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s="19" t="s">
        <v>1761</v>
      </c>
      <c r="W903" s="19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29</v>
      </c>
      <c r="D904" s="19" t="s">
        <v>365</v>
      </c>
      <c r="E904" s="19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1695</v>
      </c>
      <c r="W904" s="19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1568</v>
      </c>
      <c r="C905">
        <v>26</v>
      </c>
      <c r="D905" s="19" t="s">
        <v>448</v>
      </c>
      <c r="E905" s="19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s="19" t="s">
        <v>1569</v>
      </c>
      <c r="W905" s="19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s="19" t="s">
        <v>60</v>
      </c>
    </row>
    <row r="906" spans="1:31" x14ac:dyDescent="0.2">
      <c r="A906">
        <v>871</v>
      </c>
      <c r="B906" s="19" t="s">
        <v>1570</v>
      </c>
      <c r="C906">
        <v>27</v>
      </c>
      <c r="D906" s="19" t="s">
        <v>429</v>
      </c>
      <c r="E906" s="19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s="19" t="s">
        <v>1571</v>
      </c>
      <c r="W906" s="19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s="19" t="s">
        <v>60</v>
      </c>
    </row>
    <row r="907" spans="1:31" x14ac:dyDescent="0.2">
      <c r="A907">
        <v>872</v>
      </c>
      <c r="B907" s="19" t="s">
        <v>1573</v>
      </c>
      <c r="C907">
        <v>33</v>
      </c>
      <c r="D907" s="19" t="s">
        <v>337</v>
      </c>
      <c r="E907" s="19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1884</v>
      </c>
      <c r="W907" s="19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873</v>
      </c>
      <c r="B908" s="19" t="s">
        <v>1574</v>
      </c>
      <c r="C908">
        <v>21</v>
      </c>
      <c r="D908" s="19" t="s">
        <v>378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1804</v>
      </c>
      <c r="W908" s="19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s="19" t="s">
        <v>60</v>
      </c>
    </row>
    <row r="909" spans="1:31" x14ac:dyDescent="0.2">
      <c r="A909">
        <v>874</v>
      </c>
      <c r="B909" s="19" t="s">
        <v>1697</v>
      </c>
      <c r="C909">
        <v>22</v>
      </c>
      <c r="D909" s="19" t="s">
        <v>415</v>
      </c>
      <c r="E909" s="1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s="19" t="s">
        <v>1792</v>
      </c>
      <c r="W909" s="1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s="19" t="s">
        <v>60</v>
      </c>
    </row>
    <row r="910" spans="1:31" x14ac:dyDescent="0.2">
      <c r="A910">
        <v>875</v>
      </c>
      <c r="B910" s="19" t="s">
        <v>1575</v>
      </c>
      <c r="C910">
        <v>31</v>
      </c>
      <c r="D910" s="19" t="s">
        <v>555</v>
      </c>
      <c r="E910" s="19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1576</v>
      </c>
      <c r="W910" s="19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876</v>
      </c>
      <c r="B911" s="19" t="s">
        <v>1581</v>
      </c>
      <c r="C911">
        <v>23</v>
      </c>
      <c r="D911" s="19" t="s">
        <v>363</v>
      </c>
      <c r="E911" s="19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s="19" t="s">
        <v>2625</v>
      </c>
      <c r="W911" s="19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1756</v>
      </c>
      <c r="C912">
        <v>24</v>
      </c>
      <c r="D912" s="19" t="s">
        <v>404</v>
      </c>
      <c r="E912" s="19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s="19" t="s">
        <v>1885</v>
      </c>
      <c r="W912" s="19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s="19" t="s">
        <v>60</v>
      </c>
    </row>
    <row r="913" spans="1:31" x14ac:dyDescent="0.2">
      <c r="A913">
        <v>878</v>
      </c>
      <c r="B913" s="19" t="s">
        <v>1582</v>
      </c>
      <c r="C913">
        <v>26</v>
      </c>
      <c r="D913" s="19" t="s">
        <v>461</v>
      </c>
      <c r="E913" s="19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1583</v>
      </c>
      <c r="W913" s="19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24</v>
      </c>
      <c r="D914" s="19" t="s">
        <v>353</v>
      </c>
      <c r="E914" s="19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s="19" t="s">
        <v>1585</v>
      </c>
      <c r="W914" s="19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33</v>
      </c>
      <c r="D915" s="19" t="s">
        <v>328</v>
      </c>
      <c r="E915" s="19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1995</v>
      </c>
      <c r="W915" s="19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s="19" t="s">
        <v>60</v>
      </c>
    </row>
    <row r="916" spans="1:31" x14ac:dyDescent="0.2">
      <c r="A916">
        <v>881</v>
      </c>
      <c r="B916" s="19" t="s">
        <v>1587</v>
      </c>
      <c r="C916">
        <v>22</v>
      </c>
      <c r="D916" s="19" t="s">
        <v>378</v>
      </c>
      <c r="E916" s="19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s="19" t="s">
        <v>1588</v>
      </c>
      <c r="W916" s="19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s="19" t="s">
        <v>60</v>
      </c>
    </row>
    <row r="917" spans="1:31" x14ac:dyDescent="0.2">
      <c r="A917">
        <v>882</v>
      </c>
      <c r="B917" s="19" t="s">
        <v>1589</v>
      </c>
      <c r="C917">
        <v>20</v>
      </c>
      <c r="D917" s="19" t="s">
        <v>384</v>
      </c>
      <c r="E917" s="19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s="19" t="s">
        <v>1590</v>
      </c>
      <c r="W917" s="19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s="19" t="s">
        <v>60</v>
      </c>
    </row>
    <row r="918" spans="1:31" x14ac:dyDescent="0.2">
      <c r="A918">
        <v>883</v>
      </c>
      <c r="B918" s="19" t="s">
        <v>1592</v>
      </c>
      <c r="C918">
        <v>26</v>
      </c>
      <c r="D918" s="19" t="s">
        <v>321</v>
      </c>
      <c r="E918" s="19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1593</v>
      </c>
      <c r="W918" s="19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s="19" t="s">
        <v>60</v>
      </c>
    </row>
    <row r="919" spans="1:31" x14ac:dyDescent="0.2">
      <c r="A919">
        <v>884</v>
      </c>
      <c r="B919" s="19" t="s">
        <v>1595</v>
      </c>
      <c r="C919">
        <v>24</v>
      </c>
      <c r="D919" s="19" t="s">
        <v>378</v>
      </c>
      <c r="E919" s="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s="19" t="s">
        <v>1596</v>
      </c>
      <c r="W919" s="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s="19" t="s">
        <v>60</v>
      </c>
    </row>
    <row r="920" spans="1:31" x14ac:dyDescent="0.2">
      <c r="A920">
        <v>885</v>
      </c>
      <c r="B920" s="19" t="s">
        <v>1598</v>
      </c>
      <c r="C920">
        <v>26</v>
      </c>
      <c r="D920" s="19" t="s">
        <v>361</v>
      </c>
      <c r="E920" s="19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1599</v>
      </c>
      <c r="W920" s="19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s="19" t="s">
        <v>60</v>
      </c>
    </row>
    <row r="921" spans="1:31" x14ac:dyDescent="0.2">
      <c r="A921">
        <v>886</v>
      </c>
      <c r="B921" s="19" t="s">
        <v>1601</v>
      </c>
      <c r="C921">
        <v>40</v>
      </c>
      <c r="D921" s="19" t="s">
        <v>363</v>
      </c>
      <c r="E921" s="19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2072</v>
      </c>
      <c r="W921" s="19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887</v>
      </c>
      <c r="B922" s="19" t="s">
        <v>1602</v>
      </c>
      <c r="C922">
        <v>23</v>
      </c>
      <c r="D922" s="19" t="s">
        <v>361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1603</v>
      </c>
      <c r="W922" s="19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33</v>
      </c>
      <c r="D923" s="19" t="s">
        <v>387</v>
      </c>
      <c r="E923" s="19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s="19" t="s">
        <v>2837</v>
      </c>
      <c r="W923" s="19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s="19" t="s">
        <v>60</v>
      </c>
    </row>
    <row r="924" spans="1:31" x14ac:dyDescent="0.2">
      <c r="A924">
        <v>889</v>
      </c>
      <c r="B924" s="19" t="s">
        <v>1606</v>
      </c>
      <c r="C924">
        <v>22</v>
      </c>
      <c r="D924" s="19" t="s">
        <v>365</v>
      </c>
      <c r="E924" s="19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s="19" t="s">
        <v>1607</v>
      </c>
      <c r="W924" s="19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21</v>
      </c>
      <c r="D925" s="19" t="s">
        <v>346</v>
      </c>
      <c r="E925" s="19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s="19" t="s">
        <v>1609</v>
      </c>
      <c r="W925" s="19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s="19" t="s">
        <v>60</v>
      </c>
    </row>
    <row r="926" spans="1:31" x14ac:dyDescent="0.2">
      <c r="A926">
        <v>891</v>
      </c>
      <c r="B926" s="19" t="s">
        <v>1610</v>
      </c>
      <c r="C926">
        <v>30</v>
      </c>
      <c r="D926" s="19" t="s">
        <v>476</v>
      </c>
      <c r="E926" s="19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2626</v>
      </c>
      <c r="W926" s="19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25</v>
      </c>
      <c r="D927" s="19" t="s">
        <v>344</v>
      </c>
      <c r="E927" s="19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1997</v>
      </c>
      <c r="W927" s="19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30</v>
      </c>
      <c r="D928" s="19" t="s">
        <v>363</v>
      </c>
      <c r="E928" s="19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s="19" t="s">
        <v>2628</v>
      </c>
      <c r="W928" s="19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s="19" t="s">
        <v>60</v>
      </c>
    </row>
    <row r="929" spans="1:31" x14ac:dyDescent="0.2">
      <c r="A929">
        <v>894</v>
      </c>
      <c r="B929" s="19" t="s">
        <v>1614</v>
      </c>
      <c r="C929">
        <v>24</v>
      </c>
      <c r="D929" s="19" t="s">
        <v>536</v>
      </c>
      <c r="E929" s="1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s="19" t="s">
        <v>1067</v>
      </c>
      <c r="W929" s="1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s="19" t="s">
        <v>60</v>
      </c>
    </row>
    <row r="930" spans="1:31" x14ac:dyDescent="0.2">
      <c r="A930">
        <v>895</v>
      </c>
      <c r="B930" s="19" t="s">
        <v>1615</v>
      </c>
      <c r="C930">
        <v>27</v>
      </c>
      <c r="D930" s="19" t="s">
        <v>1022</v>
      </c>
      <c r="E930" s="19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2178</v>
      </c>
      <c r="W930" s="19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s="19" t="s">
        <v>60</v>
      </c>
    </row>
    <row r="931" spans="1:31" x14ac:dyDescent="0.2">
      <c r="A931">
        <v>895</v>
      </c>
      <c r="B931" s="19" t="s">
        <v>1615</v>
      </c>
      <c r="C931">
        <v>27</v>
      </c>
      <c r="D931" s="19" t="s">
        <v>328</v>
      </c>
      <c r="E931" s="19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1757</v>
      </c>
      <c r="W931" s="19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s="19" t="s">
        <v>60</v>
      </c>
    </row>
    <row r="932" spans="1:31" x14ac:dyDescent="0.2">
      <c r="A932">
        <v>895</v>
      </c>
      <c r="B932" s="19" t="s">
        <v>1615</v>
      </c>
      <c r="C932">
        <v>27</v>
      </c>
      <c r="D932" s="19" t="s">
        <v>378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2179</v>
      </c>
      <c r="W932" s="19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s="19" t="s">
        <v>60</v>
      </c>
    </row>
    <row r="933" spans="1:31" x14ac:dyDescent="0.2">
      <c r="A933">
        <v>896</v>
      </c>
      <c r="B933" s="19" t="s">
        <v>1616</v>
      </c>
      <c r="C933">
        <v>31</v>
      </c>
      <c r="D933" s="19" t="s">
        <v>402</v>
      </c>
      <c r="E933" s="19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s="19" t="s">
        <v>1887</v>
      </c>
      <c r="W933" s="19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s="19" t="s">
        <v>60</v>
      </c>
    </row>
    <row r="934" spans="1:31" x14ac:dyDescent="0.2">
      <c r="A934">
        <v>897</v>
      </c>
      <c r="B934" s="19" t="s">
        <v>1618</v>
      </c>
      <c r="C934">
        <v>26</v>
      </c>
      <c r="D934" s="19" t="s">
        <v>330</v>
      </c>
      <c r="E934" s="19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2838</v>
      </c>
      <c r="W934" s="19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s="19" t="s">
        <v>60</v>
      </c>
    </row>
    <row r="935" spans="1:31" x14ac:dyDescent="0.2">
      <c r="A935">
        <v>898</v>
      </c>
      <c r="B935" s="19" t="s">
        <v>1620</v>
      </c>
      <c r="C935">
        <v>25</v>
      </c>
      <c r="D935" s="19" t="s">
        <v>321</v>
      </c>
      <c r="E935" s="19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s="19" t="s">
        <v>1621</v>
      </c>
      <c r="W935" s="19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s="19" t="s">
        <v>60</v>
      </c>
    </row>
    <row r="936" spans="1:31" x14ac:dyDescent="0.2">
      <c r="A936">
        <v>899</v>
      </c>
      <c r="B936" s="19" t="s">
        <v>1623</v>
      </c>
      <c r="C936">
        <v>30</v>
      </c>
      <c r="D936" s="19" t="s">
        <v>387</v>
      </c>
      <c r="E936" s="19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1888</v>
      </c>
      <c r="W936" s="19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900</v>
      </c>
      <c r="B937" s="19" t="s">
        <v>1869</v>
      </c>
      <c r="C937">
        <v>27</v>
      </c>
      <c r="D937" s="19" t="s">
        <v>328</v>
      </c>
      <c r="E937" s="19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1765</v>
      </c>
      <c r="W937" s="19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1624</v>
      </c>
      <c r="C938">
        <v>32</v>
      </c>
      <c r="D938" s="19" t="s">
        <v>361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1625</v>
      </c>
      <c r="W938" s="19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1627</v>
      </c>
      <c r="C939">
        <v>26</v>
      </c>
      <c r="D939" s="19" t="s">
        <v>375</v>
      </c>
      <c r="E939" s="1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s="19" t="s">
        <v>2629</v>
      </c>
      <c r="W939" s="1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s="19" t="s">
        <v>60</v>
      </c>
    </row>
    <row r="940" spans="1:31" x14ac:dyDescent="0.2">
      <c r="A940">
        <v>903</v>
      </c>
      <c r="B940" s="19" t="s">
        <v>1628</v>
      </c>
      <c r="C940">
        <v>27</v>
      </c>
      <c r="D940" s="19" t="s">
        <v>356</v>
      </c>
      <c r="E940" s="19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s="19" t="s">
        <v>2181</v>
      </c>
      <c r="W940" s="19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s="19" t="s">
        <v>60</v>
      </c>
    </row>
    <row r="941" spans="1:31" x14ac:dyDescent="0.2">
      <c r="A941">
        <v>904</v>
      </c>
      <c r="B941" s="19" t="s">
        <v>1629</v>
      </c>
      <c r="C941">
        <v>26</v>
      </c>
      <c r="D941" s="19" t="s">
        <v>375</v>
      </c>
      <c r="E941" s="19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2000</v>
      </c>
      <c r="W941" s="19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s="19" t="s">
        <v>60</v>
      </c>
    </row>
    <row r="942" spans="1:31" x14ac:dyDescent="0.2">
      <c r="A942">
        <v>905</v>
      </c>
      <c r="B942" s="19" t="s">
        <v>1758</v>
      </c>
      <c r="C942">
        <v>24</v>
      </c>
      <c r="D942" s="19" t="s">
        <v>361</v>
      </c>
      <c r="E942" s="19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s="19" t="s">
        <v>1870</v>
      </c>
      <c r="W942" s="19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s="19" t="s">
        <v>60</v>
      </c>
    </row>
    <row r="943" spans="1:31" x14ac:dyDescent="0.2">
      <c r="A943">
        <v>906</v>
      </c>
      <c r="B943" s="19" t="s">
        <v>1630</v>
      </c>
      <c r="C943">
        <v>25</v>
      </c>
      <c r="D943" s="19" t="s">
        <v>461</v>
      </c>
      <c r="E943" s="19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1662</v>
      </c>
      <c r="W943" s="19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s="19" t="s">
        <v>60</v>
      </c>
    </row>
    <row r="944" spans="1:31" x14ac:dyDescent="0.2">
      <c r="A944">
        <v>907</v>
      </c>
      <c r="B944" s="19" t="s">
        <v>1795</v>
      </c>
      <c r="C944">
        <v>23</v>
      </c>
      <c r="D944" s="19" t="s">
        <v>368</v>
      </c>
      <c r="E944" s="19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s="19" t="s">
        <v>1682</v>
      </c>
      <c r="W944" s="19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s="19" t="s">
        <v>60</v>
      </c>
    </row>
    <row r="945" spans="1:31" x14ac:dyDescent="0.2">
      <c r="A945">
        <v>908</v>
      </c>
      <c r="B945" s="19" t="s">
        <v>1631</v>
      </c>
      <c r="C945">
        <v>32</v>
      </c>
      <c r="D945" s="19" t="s">
        <v>426</v>
      </c>
      <c r="E945" s="19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2631</v>
      </c>
      <c r="W945" s="19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s="19" t="s">
        <v>60</v>
      </c>
    </row>
    <row r="946" spans="1:31" x14ac:dyDescent="0.2">
      <c r="A946">
        <v>909</v>
      </c>
      <c r="B946" s="19" t="s">
        <v>1633</v>
      </c>
      <c r="C946">
        <v>31</v>
      </c>
      <c r="D946" s="19" t="s">
        <v>353</v>
      </c>
      <c r="E946" s="19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2633</v>
      </c>
      <c r="W946" s="19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s="19" t="s">
        <v>60</v>
      </c>
    </row>
    <row r="947" spans="1:31" x14ac:dyDescent="0.2">
      <c r="A947">
        <v>910</v>
      </c>
      <c r="B947" s="19" t="s">
        <v>1634</v>
      </c>
      <c r="C947">
        <v>29</v>
      </c>
      <c r="D947" s="19" t="s">
        <v>356</v>
      </c>
      <c r="E947" s="19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s="19" t="s">
        <v>2003</v>
      </c>
      <c r="W947" s="19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s="19" t="s">
        <v>60</v>
      </c>
    </row>
    <row r="948" spans="1:31" x14ac:dyDescent="0.2">
      <c r="A948">
        <v>911</v>
      </c>
      <c r="B948" s="19" t="s">
        <v>1635</v>
      </c>
      <c r="C948">
        <v>28</v>
      </c>
      <c r="D948" s="19" t="s">
        <v>415</v>
      </c>
      <c r="E948" s="19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2840</v>
      </c>
      <c r="W948" s="19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912</v>
      </c>
      <c r="B949" s="19" t="s">
        <v>1636</v>
      </c>
      <c r="C949">
        <v>23</v>
      </c>
      <c r="D949" s="19" t="s">
        <v>359</v>
      </c>
      <c r="E949" s="1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2635</v>
      </c>
      <c r="W949" s="1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s="19" t="s">
        <v>60</v>
      </c>
    </row>
    <row r="950" spans="1:31" x14ac:dyDescent="0.2">
      <c r="A950">
        <v>913</v>
      </c>
      <c r="B950" s="19" t="s">
        <v>1638</v>
      </c>
      <c r="C950">
        <v>24</v>
      </c>
      <c r="D950" s="19" t="s">
        <v>448</v>
      </c>
      <c r="E950" s="19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2637</v>
      </c>
      <c r="W950" s="19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s="19" t="s">
        <v>60</v>
      </c>
    </row>
    <row r="951" spans="1:31" x14ac:dyDescent="0.2">
      <c r="A951">
        <v>914</v>
      </c>
      <c r="B951" s="19" t="s">
        <v>1639</v>
      </c>
      <c r="C951">
        <v>27</v>
      </c>
      <c r="D951" s="19" t="s">
        <v>361</v>
      </c>
      <c r="E951" s="19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2639</v>
      </c>
      <c r="W951" s="19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B952" s="19" t="s">
        <v>1640</v>
      </c>
      <c r="D952" s="19" t="s">
        <v>60</v>
      </c>
      <c r="E952" s="19" t="s">
        <v>60</v>
      </c>
      <c r="T952">
        <v>10.8</v>
      </c>
      <c r="V952" s="19" t="s">
        <v>60</v>
      </c>
      <c r="W952" s="19" t="s">
        <v>405</v>
      </c>
      <c r="Z952">
        <v>50</v>
      </c>
      <c r="AE95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2025-12-30T20:14:14Z</dcterms:modified>
</cp:coreProperties>
</file>