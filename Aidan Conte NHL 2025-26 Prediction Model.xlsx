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262" documentId="14_{BC0C37BD-5950-BD49-823D-87212FE79B51}" xr6:coauthVersionLast="47" xr6:coauthVersionMax="47" xr10:uidLastSave="{F1B91CE6-B067-4C42-94FF-B7AC699E06F4}"/>
  <bookViews>
    <workbookView xWindow="0" yWindow="680" windowWidth="29400" windowHeight="1730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Sheet2" sheetId="9" r:id="rId6"/>
  </sheets>
  <definedNames>
    <definedName name="ExternalData_1" localSheetId="0" hidden="1">'NHL2025-26Results'!$A$1:$J$1313</definedName>
    <definedName name="ExternalData_4" localSheetId="4" hidden="1">'ML Prediction Model'!$A$1:$T$36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1" r:id="rId7"/>
    <pivotCache cacheId="2" r:id="rId8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47" i="1" l="1"/>
  <c r="H447" i="1" s="1"/>
  <c r="I447" i="1"/>
  <c r="G448" i="1"/>
  <c r="H448" i="1" s="1"/>
  <c r="I448" i="1"/>
  <c r="G449" i="1"/>
  <c r="H449" i="1"/>
  <c r="I449" i="1"/>
  <c r="J449" i="1" s="1"/>
  <c r="G450" i="1"/>
  <c r="H450" i="1" s="1"/>
  <c r="I450" i="1"/>
  <c r="G451" i="1"/>
  <c r="H451" i="1"/>
  <c r="I451" i="1"/>
  <c r="J451" i="1" s="1"/>
  <c r="G452" i="1"/>
  <c r="H452" i="1" s="1"/>
  <c r="I452" i="1"/>
  <c r="G453" i="1"/>
  <c r="H453" i="1"/>
  <c r="I453" i="1"/>
  <c r="J453" i="1" s="1"/>
  <c r="G454" i="1"/>
  <c r="H454" i="1" s="1"/>
  <c r="I454" i="1"/>
  <c r="G455" i="1"/>
  <c r="H455" i="1"/>
  <c r="I455" i="1"/>
  <c r="J455" i="1" s="1"/>
  <c r="G456" i="1"/>
  <c r="H456" i="1" s="1"/>
  <c r="I456" i="1"/>
  <c r="G457" i="1"/>
  <c r="H457" i="1"/>
  <c r="I457" i="1"/>
  <c r="J457" i="1" s="1"/>
  <c r="G458" i="1"/>
  <c r="H458" i="1" s="1"/>
  <c r="I458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G442" i="1"/>
  <c r="I442" i="1"/>
  <c r="G443" i="1"/>
  <c r="H443" i="1" s="1"/>
  <c r="I443" i="1"/>
  <c r="G444" i="1"/>
  <c r="I444" i="1"/>
  <c r="G445" i="1"/>
  <c r="I445" i="1"/>
  <c r="G446" i="1"/>
  <c r="I446" i="1"/>
  <c r="E446" i="1"/>
  <c r="E442" i="1"/>
  <c r="E443" i="1"/>
  <c r="E444" i="1"/>
  <c r="H444" i="1" s="1"/>
  <c r="E445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G441" i="1"/>
  <c r="I441" i="1"/>
  <c r="E432" i="1"/>
  <c r="E433" i="1"/>
  <c r="E434" i="1"/>
  <c r="E435" i="1"/>
  <c r="E436" i="1"/>
  <c r="E437" i="1"/>
  <c r="E438" i="1"/>
  <c r="E439" i="1"/>
  <c r="E440" i="1"/>
  <c r="E441" i="1"/>
  <c r="G427" i="1"/>
  <c r="I427" i="1"/>
  <c r="G428" i="1"/>
  <c r="I428" i="1"/>
  <c r="G429" i="1"/>
  <c r="I429" i="1"/>
  <c r="G430" i="1"/>
  <c r="I430" i="1"/>
  <c r="G431" i="1"/>
  <c r="I431" i="1"/>
  <c r="E427" i="1"/>
  <c r="E428" i="1"/>
  <c r="E429" i="1"/>
  <c r="H429" i="1" s="1"/>
  <c r="E430" i="1"/>
  <c r="E431" i="1"/>
  <c r="E426" i="1"/>
  <c r="G426" i="1"/>
  <c r="I426" i="1"/>
  <c r="G425" i="1"/>
  <c r="I425" i="1"/>
  <c r="E425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G424" i="1"/>
  <c r="I424" i="1"/>
  <c r="E417" i="1"/>
  <c r="E418" i="1"/>
  <c r="E419" i="1"/>
  <c r="E420" i="1"/>
  <c r="E421" i="1"/>
  <c r="E422" i="1"/>
  <c r="E423" i="1"/>
  <c r="E424" i="1"/>
  <c r="V3" i="4"/>
  <c r="V5" i="4" s="1"/>
  <c r="V4" i="4"/>
  <c r="G412" i="1"/>
  <c r="I412" i="1"/>
  <c r="G413" i="1"/>
  <c r="I413" i="1"/>
  <c r="G414" i="1"/>
  <c r="I414" i="1"/>
  <c r="G415" i="1"/>
  <c r="I415" i="1"/>
  <c r="G416" i="1"/>
  <c r="I416" i="1"/>
  <c r="E412" i="1"/>
  <c r="E413" i="1"/>
  <c r="E414" i="1"/>
  <c r="E415" i="1"/>
  <c r="E416" i="1"/>
  <c r="G408" i="1"/>
  <c r="I408" i="1"/>
  <c r="G409" i="1"/>
  <c r="I409" i="1"/>
  <c r="G410" i="1"/>
  <c r="I410" i="1"/>
  <c r="G411" i="1"/>
  <c r="I411" i="1"/>
  <c r="E408" i="1"/>
  <c r="E409" i="1"/>
  <c r="E410" i="1"/>
  <c r="E411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G407" i="1"/>
  <c r="I407" i="1"/>
  <c r="E397" i="1"/>
  <c r="E398" i="1"/>
  <c r="E399" i="1"/>
  <c r="E400" i="1"/>
  <c r="E401" i="1"/>
  <c r="E402" i="1"/>
  <c r="E403" i="1"/>
  <c r="E404" i="1"/>
  <c r="E405" i="1"/>
  <c r="E406" i="1"/>
  <c r="E407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G396" i="1"/>
  <c r="I396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H396" i="1" s="1"/>
  <c r="E373" i="1"/>
  <c r="E372" i="1"/>
  <c r="E371" i="1"/>
  <c r="E370" i="1"/>
  <c r="E369" i="1"/>
  <c r="E368" i="1"/>
  <c r="E367" i="1"/>
  <c r="E366" i="1"/>
  <c r="E365" i="1"/>
  <c r="E364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H373" i="1" s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G381" i="1"/>
  <c r="I381" i="1"/>
  <c r="E381" i="1"/>
  <c r="E374" i="1"/>
  <c r="E375" i="1"/>
  <c r="E376" i="1"/>
  <c r="E377" i="1"/>
  <c r="E378" i="1"/>
  <c r="E379" i="1"/>
  <c r="E380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E359" i="1"/>
  <c r="E360" i="1"/>
  <c r="E361" i="1"/>
  <c r="E362" i="1"/>
  <c r="E363" i="1"/>
  <c r="J450" i="1" l="1"/>
  <c r="J452" i="1"/>
  <c r="J454" i="1"/>
  <c r="J456" i="1"/>
  <c r="J458" i="1"/>
  <c r="J448" i="1"/>
  <c r="J447" i="1"/>
  <c r="H431" i="1"/>
  <c r="H439" i="1"/>
  <c r="H437" i="1"/>
  <c r="J437" i="1" s="1"/>
  <c r="H446" i="1"/>
  <c r="J446" i="1" s="1"/>
  <c r="H442" i="1"/>
  <c r="J442" i="1" s="1"/>
  <c r="J444" i="1"/>
  <c r="H435" i="1"/>
  <c r="H445" i="1"/>
  <c r="J445" i="1" s="1"/>
  <c r="H438" i="1"/>
  <c r="J443" i="1"/>
  <c r="H441" i="1"/>
  <c r="H420" i="1"/>
  <c r="J420" i="1" s="1"/>
  <c r="H434" i="1"/>
  <c r="J434" i="1" s="1"/>
  <c r="H440" i="1"/>
  <c r="H436" i="1"/>
  <c r="J436" i="1" s="1"/>
  <c r="H432" i="1"/>
  <c r="J432" i="1" s="1"/>
  <c r="J439" i="1"/>
  <c r="H430" i="1"/>
  <c r="J430" i="1" s="1"/>
  <c r="J441" i="1"/>
  <c r="H433" i="1"/>
  <c r="J433" i="1" s="1"/>
  <c r="J435" i="1"/>
  <c r="H419" i="1"/>
  <c r="J419" i="1" s="1"/>
  <c r="J440" i="1"/>
  <c r="J438" i="1"/>
  <c r="J431" i="1"/>
  <c r="H428" i="1"/>
  <c r="J428" i="1" s="1"/>
  <c r="H427" i="1"/>
  <c r="J427" i="1" s="1"/>
  <c r="J429" i="1"/>
  <c r="H421" i="1"/>
  <c r="J421" i="1" s="1"/>
  <c r="V6" i="4"/>
  <c r="H423" i="1"/>
  <c r="H416" i="1"/>
  <c r="J416" i="1" s="1"/>
  <c r="H422" i="1"/>
  <c r="J422" i="1" s="1"/>
  <c r="H418" i="1"/>
  <c r="J418" i="1" s="1"/>
  <c r="H414" i="1"/>
  <c r="J414" i="1" s="1"/>
  <c r="H397" i="1"/>
  <c r="J397" i="1" s="1"/>
  <c r="H410" i="1"/>
  <c r="J410" i="1" s="1"/>
  <c r="H424" i="1"/>
  <c r="J424" i="1" s="1"/>
  <c r="J423" i="1"/>
  <c r="H417" i="1"/>
  <c r="J417" i="1" s="1"/>
  <c r="H425" i="1"/>
  <c r="J425" i="1" s="1"/>
  <c r="H426" i="1"/>
  <c r="J426" i="1" s="1"/>
  <c r="H412" i="1"/>
  <c r="J412" i="1" s="1"/>
  <c r="H413" i="1"/>
  <c r="J413" i="1" s="1"/>
  <c r="H377" i="1"/>
  <c r="J377" i="1" s="1"/>
  <c r="H409" i="1"/>
  <c r="J409" i="1" s="1"/>
  <c r="H415" i="1"/>
  <c r="J415" i="1" s="1"/>
  <c r="H406" i="1"/>
  <c r="J406" i="1" s="1"/>
  <c r="H402" i="1"/>
  <c r="J402" i="1" s="1"/>
  <c r="H398" i="1"/>
  <c r="J398" i="1" s="1"/>
  <c r="H411" i="1"/>
  <c r="J411" i="1" s="1"/>
  <c r="H408" i="1"/>
  <c r="J408" i="1" s="1"/>
  <c r="H401" i="1"/>
  <c r="H405" i="1"/>
  <c r="J405" i="1" s="1"/>
  <c r="H404" i="1"/>
  <c r="J404" i="1" s="1"/>
  <c r="H407" i="1"/>
  <c r="J407" i="1" s="1"/>
  <c r="H370" i="1"/>
  <c r="J370" i="1" s="1"/>
  <c r="H403" i="1"/>
  <c r="J403" i="1" s="1"/>
  <c r="H399" i="1"/>
  <c r="J399" i="1" s="1"/>
  <c r="H400" i="1"/>
  <c r="J400" i="1" s="1"/>
  <c r="J401" i="1"/>
  <c r="H378" i="1"/>
  <c r="J378" i="1" s="1"/>
  <c r="H376" i="1"/>
  <c r="J376" i="1" s="1"/>
  <c r="H392" i="1"/>
  <c r="J392" i="1" s="1"/>
  <c r="H388" i="1"/>
  <c r="J388" i="1" s="1"/>
  <c r="H384" i="1"/>
  <c r="J384" i="1" s="1"/>
  <c r="H389" i="1"/>
  <c r="J389" i="1" s="1"/>
  <c r="H395" i="1"/>
  <c r="J395" i="1" s="1"/>
  <c r="H387" i="1"/>
  <c r="J387" i="1" s="1"/>
  <c r="H380" i="1"/>
  <c r="J380" i="1" s="1"/>
  <c r="H366" i="1"/>
  <c r="J366" i="1" s="1"/>
  <c r="H394" i="1"/>
  <c r="J394" i="1" s="1"/>
  <c r="H390" i="1"/>
  <c r="J390" i="1" s="1"/>
  <c r="H386" i="1"/>
  <c r="J386" i="1" s="1"/>
  <c r="H382" i="1"/>
  <c r="J382" i="1" s="1"/>
  <c r="H385" i="1"/>
  <c r="J385" i="1" s="1"/>
  <c r="H391" i="1"/>
  <c r="J391" i="1" s="1"/>
  <c r="J396" i="1"/>
  <c r="H393" i="1"/>
  <c r="J393" i="1" s="1"/>
  <c r="H371" i="1"/>
  <c r="J371" i="1" s="1"/>
  <c r="H383" i="1"/>
  <c r="J383" i="1" s="1"/>
  <c r="H365" i="1"/>
  <c r="J365" i="1" s="1"/>
  <c r="H372" i="1"/>
  <c r="J372" i="1" s="1"/>
  <c r="H368" i="1"/>
  <c r="J368" i="1" s="1"/>
  <c r="H375" i="1"/>
  <c r="J375" i="1" s="1"/>
  <c r="H369" i="1"/>
  <c r="J369" i="1" s="1"/>
  <c r="H381" i="1"/>
  <c r="J381" i="1" s="1"/>
  <c r="H367" i="1"/>
  <c r="J367" i="1" s="1"/>
  <c r="H361" i="1"/>
  <c r="J361" i="1" s="1"/>
  <c r="H374" i="1"/>
  <c r="J374" i="1" s="1"/>
  <c r="H379" i="1"/>
  <c r="J379" i="1" s="1"/>
  <c r="J373" i="1"/>
  <c r="H362" i="1"/>
  <c r="J362" i="1" s="1"/>
  <c r="H360" i="1"/>
  <c r="J360" i="1" s="1"/>
  <c r="H364" i="1"/>
  <c r="J364" i="1" s="1"/>
  <c r="H363" i="1"/>
  <c r="J363" i="1" s="1"/>
  <c r="H359" i="1"/>
  <c r="J359" i="1" s="1"/>
  <c r="I353" i="1" l="1"/>
  <c r="G358" i="1"/>
  <c r="G357" i="1"/>
  <c r="G356" i="1"/>
  <c r="H356" i="1" s="1"/>
  <c r="G355" i="1"/>
  <c r="G354" i="1"/>
  <c r="G353" i="1"/>
  <c r="E358" i="1"/>
  <c r="E357" i="1"/>
  <c r="E356" i="1"/>
  <c r="E355" i="1"/>
  <c r="E354" i="1"/>
  <c r="E353" i="1"/>
  <c r="I354" i="1"/>
  <c r="I355" i="1"/>
  <c r="I356" i="1"/>
  <c r="I357" i="1"/>
  <c r="I358" i="1"/>
  <c r="E349" i="1"/>
  <c r="E348" i="1"/>
  <c r="H348" i="1" s="1"/>
  <c r="E347" i="1"/>
  <c r="E346" i="1"/>
  <c r="E345" i="1"/>
  <c r="E344" i="1"/>
  <c r="E343" i="1"/>
  <c r="E342" i="1"/>
  <c r="E341" i="1"/>
  <c r="G341" i="1"/>
  <c r="H341" i="1" s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E350" i="1"/>
  <c r="E351" i="1"/>
  <c r="E352" i="1"/>
  <c r="H346" i="1" l="1"/>
  <c r="H358" i="1"/>
  <c r="H342" i="1"/>
  <c r="H349" i="1"/>
  <c r="J349" i="1" s="1"/>
  <c r="H357" i="1"/>
  <c r="H350" i="1"/>
  <c r="J350" i="1" s="1"/>
  <c r="H354" i="1"/>
  <c r="J354" i="1" s="1"/>
  <c r="H344" i="1"/>
  <c r="J344" i="1" s="1"/>
  <c r="H351" i="1"/>
  <c r="J351" i="1" s="1"/>
  <c r="H353" i="1"/>
  <c r="J353" i="1" s="1"/>
  <c r="H355" i="1"/>
  <c r="J355" i="1"/>
  <c r="J356" i="1"/>
  <c r="J357" i="1"/>
  <c r="J358" i="1"/>
  <c r="H352" i="1"/>
  <c r="J352" i="1" s="1"/>
  <c r="H347" i="1"/>
  <c r="J347" i="1" s="1"/>
  <c r="H343" i="1"/>
  <c r="J343" i="1" s="1"/>
  <c r="H345" i="1"/>
  <c r="J345" i="1" s="1"/>
  <c r="J341" i="1"/>
  <c r="J342" i="1"/>
  <c r="J346" i="1"/>
  <c r="J348" i="1"/>
  <c r="G337" i="1" l="1"/>
  <c r="I337" i="1"/>
  <c r="G338" i="1"/>
  <c r="I338" i="1"/>
  <c r="G339" i="1"/>
  <c r="I339" i="1"/>
  <c r="G340" i="1"/>
  <c r="I340" i="1"/>
  <c r="E337" i="1"/>
  <c r="E338" i="1"/>
  <c r="E339" i="1"/>
  <c r="E340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G321" i="1"/>
  <c r="I321" i="1"/>
  <c r="G322" i="1"/>
  <c r="I322" i="1"/>
  <c r="G323" i="1"/>
  <c r="I323" i="1"/>
  <c r="G324" i="1"/>
  <c r="I324" i="1"/>
  <c r="E321" i="1"/>
  <c r="H321" i="1" s="1"/>
  <c r="E322" i="1"/>
  <c r="E323" i="1"/>
  <c r="E324" i="1"/>
  <c r="I320" i="1"/>
  <c r="I319" i="1"/>
  <c r="I318" i="1"/>
  <c r="I317" i="1"/>
  <c r="I316" i="1"/>
  <c r="I315" i="1"/>
  <c r="I314" i="1"/>
  <c r="I313" i="1"/>
  <c r="G320" i="1"/>
  <c r="G319" i="1"/>
  <c r="G318" i="1"/>
  <c r="G317" i="1"/>
  <c r="G316" i="1"/>
  <c r="G315" i="1"/>
  <c r="G314" i="1"/>
  <c r="G313" i="1"/>
  <c r="G312" i="1"/>
  <c r="E320" i="1"/>
  <c r="E319" i="1"/>
  <c r="E318" i="1"/>
  <c r="E317" i="1"/>
  <c r="E316" i="1"/>
  <c r="E315" i="1"/>
  <c r="E314" i="1"/>
  <c r="E313" i="1"/>
  <c r="E312" i="1"/>
  <c r="V8" i="4"/>
  <c r="E310" i="1"/>
  <c r="E309" i="1"/>
  <c r="E308" i="1"/>
  <c r="E307" i="1"/>
  <c r="G307" i="1"/>
  <c r="I307" i="1"/>
  <c r="G308" i="1"/>
  <c r="I308" i="1"/>
  <c r="G309" i="1"/>
  <c r="I309" i="1"/>
  <c r="G310" i="1"/>
  <c r="I310" i="1"/>
  <c r="G311" i="1"/>
  <c r="I311" i="1"/>
  <c r="I312" i="1"/>
  <c r="E311" i="1"/>
  <c r="H333" i="1" l="1"/>
  <c r="H339" i="1"/>
  <c r="H307" i="1"/>
  <c r="H314" i="1"/>
  <c r="H334" i="1"/>
  <c r="H340" i="1"/>
  <c r="J340" i="1" s="1"/>
  <c r="H329" i="1"/>
  <c r="J329" i="1" s="1"/>
  <c r="H335" i="1"/>
  <c r="J335" i="1" s="1"/>
  <c r="H315" i="1"/>
  <c r="J315" i="1" s="1"/>
  <c r="J339" i="1"/>
  <c r="H336" i="1"/>
  <c r="J336" i="1" s="1"/>
  <c r="H332" i="1"/>
  <c r="J332" i="1" s="1"/>
  <c r="H331" i="1"/>
  <c r="J331" i="1" s="1"/>
  <c r="H338" i="1"/>
  <c r="J338" i="1" s="1"/>
  <c r="H323" i="1"/>
  <c r="J323" i="1" s="1"/>
  <c r="H328" i="1"/>
  <c r="J328" i="1" s="1"/>
  <c r="H337" i="1"/>
  <c r="J337" i="1" s="1"/>
  <c r="H310" i="1"/>
  <c r="J310" i="1" s="1"/>
  <c r="H330" i="1"/>
  <c r="J330" i="1" s="1"/>
  <c r="H326" i="1"/>
  <c r="J326" i="1" s="1"/>
  <c r="H327" i="1"/>
  <c r="J327" i="1" s="1"/>
  <c r="J334" i="1"/>
  <c r="H322" i="1"/>
  <c r="J322" i="1" s="1"/>
  <c r="J333" i="1"/>
  <c r="H317" i="1"/>
  <c r="J317" i="1" s="1"/>
  <c r="H325" i="1"/>
  <c r="J325" i="1" s="1"/>
  <c r="H324" i="1"/>
  <c r="J324" i="1" s="1"/>
  <c r="H311" i="1"/>
  <c r="J311" i="1" s="1"/>
  <c r="J321" i="1"/>
  <c r="H318" i="1"/>
  <c r="J318" i="1" s="1"/>
  <c r="H319" i="1"/>
  <c r="J319" i="1" s="1"/>
  <c r="H312" i="1"/>
  <c r="J312" i="1" s="1"/>
  <c r="H313" i="1"/>
  <c r="J313" i="1" s="1"/>
  <c r="H316" i="1"/>
  <c r="J316" i="1" s="1"/>
  <c r="H320" i="1"/>
  <c r="J320" i="1" s="1"/>
  <c r="J314" i="1"/>
  <c r="H308" i="1"/>
  <c r="J308" i="1" s="1"/>
  <c r="H309" i="1"/>
  <c r="J309" i="1" s="1"/>
  <c r="J307" i="1"/>
  <c r="P3" i="5" l="1"/>
  <c r="P2" i="5"/>
  <c r="O3" i="5"/>
  <c r="O2" i="5"/>
  <c r="G303" i="4"/>
  <c r="I303" i="4"/>
  <c r="I306" i="1"/>
  <c r="I305" i="1"/>
  <c r="I304" i="1"/>
  <c r="I303" i="1"/>
  <c r="I302" i="1"/>
  <c r="G306" i="1"/>
  <c r="G305" i="1"/>
  <c r="G304" i="1"/>
  <c r="G303" i="1"/>
  <c r="G302" i="1"/>
  <c r="E303" i="1"/>
  <c r="E302" i="1"/>
  <c r="E304" i="1"/>
  <c r="E305" i="1"/>
  <c r="E306" i="1"/>
  <c r="H303" i="1" l="1"/>
  <c r="J303" i="1" s="1"/>
  <c r="H306" i="1"/>
  <c r="J306" i="1" s="1"/>
  <c r="H302" i="1"/>
  <c r="J302" i="1" s="1"/>
  <c r="H305" i="1"/>
  <c r="J305" i="1" s="1"/>
  <c r="H304" i="1"/>
  <c r="J304" i="1" s="1"/>
  <c r="G291" i="1" l="1"/>
  <c r="G289" i="1"/>
  <c r="E301" i="1"/>
  <c r="E300" i="1"/>
  <c r="E299" i="1"/>
  <c r="E298" i="1"/>
  <c r="E297" i="1"/>
  <c r="E296" i="1"/>
  <c r="E295" i="1"/>
  <c r="E294" i="1"/>
  <c r="E293" i="1"/>
  <c r="E292" i="1"/>
  <c r="E291" i="1"/>
  <c r="H291" i="1" s="1"/>
  <c r="E290" i="1"/>
  <c r="E289" i="1"/>
  <c r="I289" i="1"/>
  <c r="G290" i="1"/>
  <c r="I290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G285" i="1"/>
  <c r="G284" i="1"/>
  <c r="E288" i="1"/>
  <c r="E287" i="1"/>
  <c r="E286" i="1"/>
  <c r="E285" i="1"/>
  <c r="H294" i="1" l="1"/>
  <c r="H289" i="1"/>
  <c r="H292" i="1"/>
  <c r="H285" i="1"/>
  <c r="H286" i="1"/>
  <c r="J286" i="1" s="1"/>
  <c r="H299" i="1"/>
  <c r="J299" i="1" s="1"/>
  <c r="H297" i="1"/>
  <c r="J297" i="1" s="1"/>
  <c r="H296" i="1"/>
  <c r="J296" i="1" s="1"/>
  <c r="H293" i="1"/>
  <c r="J293" i="1" s="1"/>
  <c r="H301" i="1"/>
  <c r="J301" i="1" s="1"/>
  <c r="H298" i="1"/>
  <c r="J298" i="1" s="1"/>
  <c r="H290" i="1"/>
  <c r="J290" i="1" s="1"/>
  <c r="H295" i="1"/>
  <c r="J295" i="1" s="1"/>
  <c r="J289" i="1"/>
  <c r="J292" i="1"/>
  <c r="J294" i="1"/>
  <c r="J291" i="1"/>
  <c r="J300" i="1"/>
  <c r="H287" i="1"/>
  <c r="J287" i="1" s="1"/>
  <c r="H288" i="1"/>
  <c r="J288" i="1" s="1"/>
  <c r="J285" i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77" i="1" l="1"/>
  <c r="H281" i="1"/>
  <c r="H275" i="1"/>
  <c r="J275" i="1" s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7" i="1"/>
  <c r="J281" i="1"/>
  <c r="J284" i="1"/>
  <c r="J276" i="1"/>
  <c r="J278" i="1"/>
  <c r="E269" i="1" l="1"/>
  <c r="E268" i="1"/>
  <c r="E267" i="1"/>
  <c r="E266" i="1"/>
  <c r="E265" i="1"/>
  <c r="E264" i="1"/>
  <c r="E263" i="1"/>
  <c r="E262" i="1"/>
  <c r="H262" i="1" s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70" i="1" l="1"/>
  <c r="H239" i="1"/>
  <c r="H253" i="1"/>
  <c r="H265" i="1"/>
  <c r="J265" i="1" s="1"/>
  <c r="H258" i="1"/>
  <c r="J258" i="1" s="1"/>
  <c r="H263" i="1"/>
  <c r="J263" i="1" s="1"/>
  <c r="H268" i="1"/>
  <c r="J268" i="1" s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2" i="1"/>
  <c r="J270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J253" i="1"/>
  <c r="J239" i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G114" i="1"/>
  <c r="I114" i="1"/>
  <c r="G115" i="1"/>
  <c r="H115" i="1" s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H111" i="1" s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H91" i="1" s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G69" i="1"/>
  <c r="G70" i="1"/>
  <c r="G71" i="1"/>
  <c r="G72" i="1"/>
  <c r="G73" i="1"/>
  <c r="G74" i="1"/>
  <c r="G75" i="1"/>
  <c r="G76" i="1"/>
  <c r="H76" i="1" s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H130" i="1"/>
  <c r="H97" i="1"/>
  <c r="H68" i="1"/>
  <c r="H94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H123" i="1" l="1"/>
  <c r="H101" i="1"/>
  <c r="H124" i="1"/>
  <c r="H116" i="1"/>
  <c r="H83" i="1"/>
  <c r="F4" i="5"/>
  <c r="H223" i="1"/>
  <c r="J223" i="1" s="1"/>
  <c r="H85" i="1"/>
  <c r="J85" i="1" s="1"/>
  <c r="H92" i="1"/>
  <c r="J92" i="1" s="1"/>
  <c r="H127" i="1"/>
  <c r="J127" i="1" s="1"/>
  <c r="H119" i="1"/>
  <c r="J119" i="1" s="1"/>
  <c r="J332" i="4"/>
  <c r="H89" i="1"/>
  <c r="J89" i="1" s="1"/>
  <c r="H82" i="1"/>
  <c r="J82" i="1" s="1"/>
  <c r="H109" i="1"/>
  <c r="H87" i="1"/>
  <c r="H121" i="1"/>
  <c r="J121" i="1" s="1"/>
  <c r="H78" i="1"/>
  <c r="J78" i="1" s="1"/>
  <c r="H102" i="1"/>
  <c r="J102" i="1" s="1"/>
  <c r="H110" i="1"/>
  <c r="H118" i="1"/>
  <c r="H125" i="1"/>
  <c r="H117" i="1"/>
  <c r="J117" i="1" s="1"/>
  <c r="H105" i="1"/>
  <c r="H75" i="1"/>
  <c r="J75" i="1" s="1"/>
  <c r="N32" i="5"/>
  <c r="M32" i="5"/>
  <c r="M16" i="5"/>
  <c r="N24" i="5"/>
  <c r="N16" i="5"/>
  <c r="N8" i="5"/>
  <c r="H67" i="1"/>
  <c r="J67" i="1" s="1"/>
  <c r="H79" i="1"/>
  <c r="J79" i="1" s="1"/>
  <c r="H71" i="1"/>
  <c r="J71" i="1" s="1"/>
  <c r="H90" i="1"/>
  <c r="J90" i="1" s="1"/>
  <c r="H88" i="1"/>
  <c r="H84" i="1"/>
  <c r="J84" i="1" s="1"/>
  <c r="H95" i="1"/>
  <c r="H113" i="1"/>
  <c r="J113" i="1" s="1"/>
  <c r="H126" i="1"/>
  <c r="J126" i="1" s="1"/>
  <c r="H131" i="1"/>
  <c r="J131" i="1" s="1"/>
  <c r="M23" i="5"/>
  <c r="H180" i="1"/>
  <c r="J180" i="1" s="1"/>
  <c r="M13" i="5"/>
  <c r="H96" i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B2" i="5"/>
  <c r="M8" i="5"/>
  <c r="H122" i="1"/>
  <c r="J122" i="1" s="1"/>
  <c r="H107" i="1"/>
  <c r="J107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1" i="1"/>
  <c r="J41" i="1" s="1"/>
  <c r="H33" i="1"/>
  <c r="J33" i="1" s="1"/>
  <c r="F28" i="5"/>
  <c r="F12" i="5"/>
  <c r="H98" i="1"/>
  <c r="J98" i="1" s="1"/>
  <c r="H112" i="1"/>
  <c r="J112" i="1" s="1"/>
  <c r="F31" i="5"/>
  <c r="H80" i="1"/>
  <c r="J80" i="1" s="1"/>
  <c r="H72" i="1"/>
  <c r="J72" i="1" s="1"/>
  <c r="H86" i="1"/>
  <c r="J86" i="1" s="1"/>
  <c r="H106" i="1"/>
  <c r="J106" i="1" s="1"/>
  <c r="H128" i="1"/>
  <c r="J128" i="1" s="1"/>
  <c r="H120" i="1"/>
  <c r="J120" i="1" s="1"/>
  <c r="H153" i="1"/>
  <c r="J153" i="1" s="1"/>
  <c r="M22" i="5"/>
  <c r="M20" i="5"/>
  <c r="F7" i="5"/>
  <c r="M4" i="5"/>
  <c r="H176" i="1"/>
  <c r="J176" i="1" s="1"/>
  <c r="H193" i="1"/>
  <c r="J193" i="1" s="1"/>
  <c r="H204" i="1"/>
  <c r="J204" i="1" s="1"/>
  <c r="M17" i="5"/>
  <c r="H150" i="1"/>
  <c r="J150" i="1" s="1"/>
  <c r="H198" i="1"/>
  <c r="J198" i="1" s="1"/>
  <c r="H194" i="1"/>
  <c r="J194" i="1" s="1"/>
  <c r="H190" i="1"/>
  <c r="J190" i="1" s="1"/>
  <c r="H186" i="1"/>
  <c r="J186" i="1" s="1"/>
  <c r="H50" i="1"/>
  <c r="J50" i="1" s="1"/>
  <c r="H26" i="1"/>
  <c r="J26" i="1" s="1"/>
  <c r="H18" i="1"/>
  <c r="J18" i="1" s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J141" i="1" s="1"/>
  <c r="H133" i="1"/>
  <c r="J133" i="1" s="1"/>
  <c r="H151" i="1"/>
  <c r="J151" i="1" s="1"/>
  <c r="M19" i="5"/>
  <c r="M11" i="5"/>
  <c r="M3" i="5"/>
  <c r="N27" i="5"/>
  <c r="N19" i="5"/>
  <c r="N11" i="5"/>
  <c r="F5" i="5"/>
  <c r="B27" i="5"/>
  <c r="F19" i="5"/>
  <c r="F11" i="5"/>
  <c r="H60" i="1"/>
  <c r="J60" i="1" s="1"/>
  <c r="F33" i="5"/>
  <c r="F25" i="5"/>
  <c r="H64" i="1"/>
  <c r="J64" i="1" s="1"/>
  <c r="F16" i="5"/>
  <c r="B9" i="5"/>
  <c r="H57" i="1"/>
  <c r="J57" i="1" s="1"/>
  <c r="H70" i="1"/>
  <c r="J70" i="1" s="1"/>
  <c r="H74" i="1"/>
  <c r="J74" i="1" s="1"/>
  <c r="H66" i="1"/>
  <c r="J66" i="1" s="1"/>
  <c r="H93" i="1"/>
  <c r="J93" i="1" s="1"/>
  <c r="H100" i="1"/>
  <c r="J100" i="1" s="1"/>
  <c r="H104" i="1"/>
  <c r="J104" i="1" s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J208" i="1" s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J137" i="1" s="1"/>
  <c r="H99" i="1"/>
  <c r="J99" i="1" s="1"/>
  <c r="H108" i="1"/>
  <c r="J108" i="1" s="1"/>
  <c r="H129" i="1"/>
  <c r="J129" i="1" s="1"/>
  <c r="H77" i="1"/>
  <c r="J77" i="1" s="1"/>
  <c r="H69" i="1"/>
  <c r="J69" i="1" s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J173" i="1" s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J142" i="1" s="1"/>
  <c r="H134" i="1"/>
  <c r="J134" i="1" s="1"/>
  <c r="H152" i="1"/>
  <c r="J152" i="1" s="1"/>
  <c r="H148" i="1"/>
  <c r="J148" i="1" s="1"/>
  <c r="H49" i="1"/>
  <c r="J49" i="1" s="1"/>
  <c r="H25" i="1"/>
  <c r="J25" i="1" s="1"/>
  <c r="H56" i="1"/>
  <c r="J56" i="1" s="1"/>
  <c r="H139" i="1"/>
  <c r="J139" i="1" s="1"/>
  <c r="H149" i="1"/>
  <c r="J149" i="1" s="1"/>
  <c r="H158" i="1"/>
  <c r="J158" i="1" s="1"/>
  <c r="H229" i="1"/>
  <c r="J229" i="1" s="1"/>
  <c r="H234" i="1"/>
  <c r="J234" i="1" s="1"/>
  <c r="B26" i="5"/>
  <c r="H140" i="1"/>
  <c r="J140" i="1" s="1"/>
  <c r="H220" i="1"/>
  <c r="J220" i="1" s="1"/>
  <c r="H43" i="1"/>
  <c r="J43" i="1" s="1"/>
  <c r="B11" i="5"/>
  <c r="N10" i="5"/>
  <c r="H165" i="1"/>
  <c r="J165" i="1" s="1"/>
  <c r="H157" i="1"/>
  <c r="J157" i="1" s="1"/>
  <c r="B13" i="5"/>
  <c r="F15" i="5"/>
  <c r="H135" i="1"/>
  <c r="J135" i="1" s="1"/>
  <c r="H162" i="1"/>
  <c r="J162" i="1" s="1"/>
  <c r="H172" i="1"/>
  <c r="J172" i="1" s="1"/>
  <c r="H168" i="1"/>
  <c r="J168" i="1" s="1"/>
  <c r="H210" i="1"/>
  <c r="J210" i="1" s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J228" i="1" s="1"/>
  <c r="H23" i="1"/>
  <c r="J23" i="1" s="1"/>
  <c r="H62" i="1"/>
  <c r="J62" i="1" s="1"/>
  <c r="H65" i="1"/>
  <c r="J65" i="1" s="1"/>
  <c r="M10" i="5"/>
  <c r="M2" i="5"/>
  <c r="N18" i="5"/>
  <c r="B12" i="5"/>
  <c r="H38" i="1"/>
  <c r="J38" i="1" s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J147" i="1" s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B30" i="5"/>
  <c r="B28" i="5"/>
  <c r="H200" i="1"/>
  <c r="J200" i="1" s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J175" i="1" s="1"/>
  <c r="H197" i="1"/>
  <c r="J197" i="1" s="1"/>
  <c r="H189" i="1"/>
  <c r="J189" i="1" s="1"/>
  <c r="H203" i="1"/>
  <c r="J203" i="1" s="1"/>
  <c r="H215" i="1"/>
  <c r="J215" i="1" s="1"/>
  <c r="H217" i="1"/>
  <c r="J217" i="1" s="1"/>
  <c r="F21" i="5"/>
  <c r="M9" i="5"/>
  <c r="N33" i="5"/>
  <c r="N25" i="5"/>
  <c r="N17" i="5"/>
  <c r="N9" i="5"/>
  <c r="F29" i="5"/>
  <c r="B5" i="5"/>
  <c r="F20" i="5"/>
  <c r="N6" i="5"/>
  <c r="B4" i="5"/>
  <c r="B3" i="5"/>
  <c r="J232" i="1"/>
  <c r="H39" i="1"/>
  <c r="J39" i="1" s="1"/>
  <c r="H48" i="1"/>
  <c r="J48" i="1" s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F24" i="5"/>
  <c r="F32" i="5"/>
  <c r="H22" i="1"/>
  <c r="J22" i="1" s="1"/>
  <c r="N14" i="5"/>
  <c r="J118" i="1"/>
  <c r="H155" i="1"/>
  <c r="J155" i="1" s="1"/>
  <c r="H170" i="1"/>
  <c r="J170" i="1" s="1"/>
  <c r="H196" i="1"/>
  <c r="J196" i="1" s="1"/>
  <c r="H192" i="1"/>
  <c r="J192" i="1" s="1"/>
  <c r="H188" i="1"/>
  <c r="J188" i="1" s="1"/>
  <c r="H184" i="1"/>
  <c r="J184" i="1" s="1"/>
  <c r="M6" i="5"/>
  <c r="N22" i="5"/>
  <c r="J110" i="1"/>
  <c r="H154" i="1"/>
  <c r="J154" i="1" s="1"/>
  <c r="H164" i="1"/>
  <c r="J164" i="1" s="1"/>
  <c r="H160" i="1"/>
  <c r="J160" i="1" s="1"/>
  <c r="H156" i="1"/>
  <c r="J156" i="1" s="1"/>
  <c r="H182" i="1"/>
  <c r="J182" i="1" s="1"/>
  <c r="H178" i="1"/>
  <c r="J178" i="1" s="1"/>
  <c r="H199" i="1"/>
  <c r="J199" i="1" s="1"/>
  <c r="H211" i="1"/>
  <c r="J211" i="1" s="1"/>
  <c r="H207" i="1"/>
  <c r="J207" i="1" s="1"/>
  <c r="H221" i="1"/>
  <c r="J221" i="1" s="1"/>
  <c r="J83" i="1"/>
  <c r="J116" i="1"/>
  <c r="H161" i="1"/>
  <c r="J161" i="1" s="1"/>
  <c r="H218" i="1"/>
  <c r="J218" i="1" s="1"/>
  <c r="M31" i="5"/>
  <c r="N3" i="5"/>
  <c r="M28" i="5"/>
  <c r="M12" i="5"/>
  <c r="N28" i="5"/>
  <c r="N12" i="5"/>
  <c r="J101" i="1"/>
  <c r="H171" i="1"/>
  <c r="J171" i="1" s="1"/>
  <c r="H159" i="1"/>
  <c r="J159" i="1" s="1"/>
  <c r="H181" i="1"/>
  <c r="J181" i="1" s="1"/>
  <c r="H219" i="1"/>
  <c r="J219" i="1" s="1"/>
  <c r="J76" i="1"/>
  <c r="J68" i="1"/>
  <c r="J94" i="1"/>
  <c r="J97" i="1"/>
  <c r="J115" i="1"/>
  <c r="J124" i="1"/>
  <c r="M29" i="5"/>
  <c r="H145" i="1"/>
  <c r="J145" i="1" s="1"/>
  <c r="H195" i="1"/>
  <c r="J195" i="1" s="1"/>
  <c r="H187" i="1"/>
  <c r="J187" i="1" s="1"/>
  <c r="H206" i="1"/>
  <c r="J206" i="1" s="1"/>
  <c r="H209" i="1"/>
  <c r="J209" i="1" s="1"/>
  <c r="M14" i="5"/>
  <c r="N31" i="5"/>
  <c r="N23" i="5"/>
  <c r="M33" i="5"/>
  <c r="H202" i="1"/>
  <c r="J202" i="1" s="1"/>
  <c r="H213" i="1"/>
  <c r="J213" i="1" s="1"/>
  <c r="M21" i="5"/>
  <c r="N30" i="5"/>
  <c r="N15" i="5"/>
  <c r="N7" i="5"/>
  <c r="H179" i="1"/>
  <c r="J179" i="1" s="1"/>
  <c r="H224" i="1"/>
  <c r="J224" i="1" s="1"/>
  <c r="H235" i="1"/>
  <c r="J235" i="1" s="1"/>
  <c r="H231" i="1"/>
  <c r="J231" i="1" s="1"/>
  <c r="H236" i="1"/>
  <c r="J236" i="1" s="1"/>
  <c r="J123" i="1"/>
  <c r="J125" i="1"/>
  <c r="J109" i="1"/>
  <c r="J166" i="1"/>
  <c r="J87" i="1"/>
  <c r="J96" i="1"/>
  <c r="J111" i="1"/>
  <c r="J95" i="1"/>
  <c r="J91" i="1"/>
  <c r="J88" i="1"/>
  <c r="J130" i="1"/>
  <c r="J105" i="1"/>
  <c r="J233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H167" i="1"/>
  <c r="J167" i="1" s="1"/>
  <c r="H163" i="1"/>
  <c r="J163" i="1" s="1"/>
  <c r="H177" i="1"/>
  <c r="J177" i="1" s="1"/>
  <c r="H185" i="1"/>
  <c r="J185" i="1" s="1"/>
  <c r="H214" i="1"/>
  <c r="J214" i="1" s="1"/>
  <c r="J3" i="1" l="1"/>
  <c r="L427" i="4"/>
  <c r="L341" i="4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N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K895" i="4"/>
  <c r="M895" i="4" s="1"/>
  <c r="K505" i="4"/>
  <c r="M505" i="4" s="1"/>
  <c r="N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L274" i="4"/>
  <c r="N274" i="4" s="1"/>
  <c r="K983" i="4"/>
  <c r="M983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K103" i="4"/>
  <c r="M103" i="4" s="1"/>
  <c r="K601" i="4"/>
  <c r="M601" i="4" s="1"/>
  <c r="N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N586" i="4" s="1"/>
  <c r="L545" i="4"/>
  <c r="N545" i="4" s="1"/>
  <c r="K150" i="4"/>
  <c r="M150" i="4" s="1"/>
  <c r="N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N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N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N82" i="4" s="1"/>
  <c r="K458" i="4"/>
  <c r="M458" i="4" s="1"/>
  <c r="N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N598" i="4" s="1"/>
  <c r="L833" i="4"/>
  <c r="N833" i="4" s="1"/>
  <c r="K578" i="4"/>
  <c r="M578" i="4" s="1"/>
  <c r="N578" i="4" s="1"/>
  <c r="L325" i="4"/>
  <c r="N325" i="4" s="1"/>
  <c r="K503" i="4"/>
  <c r="M503" i="4" s="1"/>
  <c r="N503" i="4" s="1"/>
  <c r="K1093" i="4"/>
  <c r="M1093" i="4" s="1"/>
  <c r="N1093" i="4" s="1"/>
  <c r="K587" i="4"/>
  <c r="M587" i="4" s="1"/>
  <c r="L490" i="4"/>
  <c r="N490" i="4" s="1"/>
  <c r="L853" i="4"/>
  <c r="N853" i="4" s="1"/>
  <c r="K171" i="4"/>
  <c r="M171" i="4" s="1"/>
  <c r="K530" i="4"/>
  <c r="M530" i="4" s="1"/>
  <c r="N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N593" i="4" s="1"/>
  <c r="K737" i="4"/>
  <c r="M737" i="4" s="1"/>
  <c r="N737" i="4" s="1"/>
  <c r="K1234" i="4"/>
  <c r="M1234" i="4" s="1"/>
  <c r="N1234" i="4" s="1"/>
  <c r="K559" i="4"/>
  <c r="M559" i="4" s="1"/>
  <c r="N559" i="4" s="1"/>
  <c r="K1101" i="4"/>
  <c r="M1101" i="4" s="1"/>
  <c r="K521" i="4"/>
  <c r="M521" i="4" s="1"/>
  <c r="N521" i="4" s="1"/>
  <c r="L942" i="4"/>
  <c r="N942" i="4" s="1"/>
  <c r="K183" i="4"/>
  <c r="M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N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N165" i="4" s="1"/>
  <c r="L3" i="4"/>
  <c r="N3" i="4" s="1"/>
  <c r="K1247" i="4"/>
  <c r="M1247" i="4" s="1"/>
  <c r="K618" i="4"/>
  <c r="M618" i="4" s="1"/>
  <c r="N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N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N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8" i="4"/>
  <c r="N938" i="4" s="1"/>
  <c r="L450" i="4"/>
  <c r="N450" i="4" s="1"/>
  <c r="L921" i="4"/>
  <c r="N921" i="4" s="1"/>
  <c r="L1306" i="4"/>
  <c r="N1306" i="4" s="1"/>
  <c r="K462" i="4"/>
  <c r="M462" i="4" s="1"/>
  <c r="N462" i="4" s="1"/>
  <c r="K589" i="4"/>
  <c r="M589" i="4" s="1"/>
  <c r="N589" i="4" s="1"/>
  <c r="K1000" i="4"/>
  <c r="M1000" i="4" s="1"/>
  <c r="N1000" i="4" s="1"/>
  <c r="K827" i="4"/>
  <c r="M827" i="4" s="1"/>
  <c r="N827" i="4" s="1"/>
  <c r="K300" i="4"/>
  <c r="M300" i="4" s="1"/>
  <c r="N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N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N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K866" i="4"/>
  <c r="M866" i="4" s="1"/>
  <c r="N866" i="4" s="1"/>
  <c r="L893" i="4"/>
  <c r="N893" i="4" s="1"/>
  <c r="K654" i="4"/>
  <c r="M654" i="4" s="1"/>
  <c r="N654" i="4" s="1"/>
  <c r="K745" i="4"/>
  <c r="M745" i="4" s="1"/>
  <c r="L236" i="4"/>
  <c r="K379" i="4"/>
  <c r="M379" i="4" s="1"/>
  <c r="K949" i="4"/>
  <c r="M949" i="4" s="1"/>
  <c r="N949" i="4" s="1"/>
  <c r="K353" i="4"/>
  <c r="M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N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N534" i="4" s="1"/>
  <c r="K437" i="4"/>
  <c r="M437" i="4" s="1"/>
  <c r="N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N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N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L317" i="4"/>
  <c r="N317" i="4" s="1"/>
  <c r="K716" i="4"/>
  <c r="M716" i="4" s="1"/>
  <c r="N716" i="4" s="1"/>
  <c r="K636" i="4"/>
  <c r="M636" i="4" s="1"/>
  <c r="N636" i="4" s="1"/>
  <c r="L706" i="4"/>
  <c r="N706" i="4" s="1"/>
  <c r="K246" i="4"/>
  <c r="M246" i="4" s="1"/>
  <c r="L465" i="4"/>
  <c r="N465" i="4" s="1"/>
  <c r="K679" i="4"/>
  <c r="M679" i="4" s="1"/>
  <c r="N679" i="4" s="1"/>
  <c r="K134" i="4"/>
  <c r="M134" i="4" s="1"/>
  <c r="K364" i="4"/>
  <c r="M364" i="4" s="1"/>
  <c r="L1299" i="4"/>
  <c r="N1299" i="4" s="1"/>
  <c r="K281" i="4"/>
  <c r="M281" i="4" s="1"/>
  <c r="K40" i="4"/>
  <c r="M40" i="4" s="1"/>
  <c r="N40" i="4" s="1"/>
  <c r="L469" i="4"/>
  <c r="N469" i="4" s="1"/>
  <c r="K47" i="4"/>
  <c r="M47" i="4" s="1"/>
  <c r="N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N575" i="4" s="1"/>
  <c r="L661" i="4"/>
  <c r="N661" i="4" s="1"/>
  <c r="K334" i="4"/>
  <c r="M334" i="4" s="1"/>
  <c r="N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N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N83" i="4" s="1"/>
  <c r="K812" i="4"/>
  <c r="M812" i="4" s="1"/>
  <c r="N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N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N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N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N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N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N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N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N504" i="4" s="1"/>
  <c r="K390" i="4"/>
  <c r="M390" i="4" s="1"/>
  <c r="L5" i="4"/>
  <c r="N5" i="4" s="1"/>
  <c r="L227" i="4"/>
  <c r="N227" i="4" s="1"/>
  <c r="K652" i="4"/>
  <c r="M652" i="4" s="1"/>
  <c r="N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N592" i="4" s="1"/>
  <c r="K798" i="4"/>
  <c r="M798" i="4" s="1"/>
  <c r="N798" i="4" s="1"/>
  <c r="K287" i="4"/>
  <c r="M287" i="4" s="1"/>
  <c r="N287" i="4" s="1"/>
  <c r="L4" i="4"/>
  <c r="N4" i="4" s="1"/>
  <c r="K507" i="4"/>
  <c r="M507" i="4" s="1"/>
  <c r="N507" i="4" s="1"/>
  <c r="K57" i="4"/>
  <c r="M57" i="4" s="1"/>
  <c r="L206" i="4"/>
  <c r="N206" i="4" s="1"/>
  <c r="K314" i="4"/>
  <c r="M314" i="4" s="1"/>
  <c r="N314" i="4" s="1"/>
  <c r="L1292" i="4"/>
  <c r="N1292" i="4" s="1"/>
  <c r="K1254" i="4"/>
  <c r="M1254" i="4" s="1"/>
  <c r="N1254" i="4" s="1"/>
  <c r="K615" i="4"/>
  <c r="M615" i="4" s="1"/>
  <c r="N615" i="4" s="1"/>
  <c r="K216" i="4"/>
  <c r="M216" i="4" s="1"/>
  <c r="K510" i="4"/>
  <c r="M510" i="4" s="1"/>
  <c r="N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N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N109" i="4" s="1"/>
  <c r="K539" i="4"/>
  <c r="M539" i="4" s="1"/>
  <c r="N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N759" i="4" s="1"/>
  <c r="K576" i="4"/>
  <c r="M576" i="4" s="1"/>
  <c r="N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N104" i="4" s="1"/>
  <c r="K721" i="4"/>
  <c r="M721" i="4" s="1"/>
  <c r="N721" i="4" s="1"/>
  <c r="K80" i="4"/>
  <c r="M80" i="4" s="1"/>
  <c r="K200" i="4"/>
  <c r="M200" i="4" s="1"/>
  <c r="N200" i="4" s="1"/>
  <c r="K297" i="4"/>
  <c r="M297" i="4" s="1"/>
  <c r="K467" i="4"/>
  <c r="M467" i="4" s="1"/>
  <c r="N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N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N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N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N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N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N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N226" i="4" s="1"/>
  <c r="K659" i="4"/>
  <c r="M659" i="4" s="1"/>
  <c r="N659" i="4" s="1"/>
  <c r="K547" i="4"/>
  <c r="M547" i="4" s="1"/>
  <c r="N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N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L477" i="4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N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N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N513" i="4" s="1"/>
  <c r="K1243" i="4"/>
  <c r="M1243" i="4" s="1"/>
  <c r="K1031" i="4"/>
  <c r="M1031" i="4" s="1"/>
  <c r="N1031" i="4" s="1"/>
  <c r="K85" i="4"/>
  <c r="M85" i="4" s="1"/>
  <c r="N85" i="4" s="1"/>
  <c r="K472" i="4"/>
  <c r="M472" i="4" s="1"/>
  <c r="N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N564" i="4" s="1"/>
  <c r="L584" i="4"/>
  <c r="N584" i="4" s="1"/>
  <c r="K19" i="4"/>
  <c r="M19" i="4" s="1"/>
  <c r="N19" i="4" s="1"/>
  <c r="K647" i="4"/>
  <c r="M647" i="4" s="1"/>
  <c r="N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N192" i="4" s="1"/>
  <c r="L312" i="4"/>
  <c r="N312" i="4" s="1"/>
  <c r="K536" i="4"/>
  <c r="M536" i="4" s="1"/>
  <c r="N536" i="4" s="1"/>
  <c r="K912" i="4"/>
  <c r="M912" i="4" s="1"/>
  <c r="N912" i="4" s="1"/>
  <c r="K632" i="4"/>
  <c r="M632" i="4" s="1"/>
  <c r="N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N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N509" i="4" s="1"/>
  <c r="L410" i="4"/>
  <c r="K410" i="4"/>
  <c r="M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N1126" i="4" s="1"/>
  <c r="K945" i="4"/>
  <c r="M945" i="4" s="1"/>
  <c r="L945" i="4"/>
  <c r="L78" i="4"/>
  <c r="K78" i="4"/>
  <c r="M78" i="4" s="1"/>
  <c r="L634" i="4"/>
  <c r="K634" i="4"/>
  <c r="M634" i="4" s="1"/>
  <c r="N634" i="4" s="1"/>
  <c r="L998" i="4"/>
  <c r="K998" i="4"/>
  <c r="M998" i="4" s="1"/>
  <c r="N998" i="4" s="1"/>
  <c r="K484" i="4"/>
  <c r="M484" i="4" s="1"/>
  <c r="L484" i="4"/>
  <c r="L294" i="4"/>
  <c r="K294" i="4"/>
  <c r="M294" i="4" s="1"/>
  <c r="L619" i="4"/>
  <c r="K619" i="4"/>
  <c r="M619" i="4" s="1"/>
  <c r="N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N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N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N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435" i="4" l="1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3" i="4"/>
  <c r="N511" i="4"/>
  <c r="N626" i="4"/>
  <c r="N604" i="4"/>
  <c r="N128" i="4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<sst xmlns="http://schemas.openxmlformats.org/spreadsheetml/2006/main" count="12935" uniqueCount="293">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</sst>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6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0.392827083335" createdVersion="8" refreshedVersion="8" minRefreshableVersion="3" recordCount="32" xr:uid="{08FE906C-B966-1C47-96E4-36DEA2271602}">
  <cacheSource type="worksheet">
    <worksheetSource name="Table1"/>
  </cacheSource>
  <cacheFields count="14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13" maxValue="16"/>
    </cacheField>
    <cacheField name="W" numFmtId="0">
      <sharedItems containsSemiMixedTypes="0" containsString="0" containsNumber="1" containsInteger="1" minValue="4" maxValue="10"/>
    </cacheField>
    <cacheField name="L" numFmtId="0">
      <sharedItems containsSemiMixedTypes="0" containsString="0" containsNumber="1" containsInteger="1" minValue="1" maxValue="10"/>
    </cacheField>
    <cacheField name="OTL" numFmtId="0">
      <sharedItems containsSemiMixedTypes="0" containsString="0" containsNumber="1" containsInteger="1" minValue="0" maxValue="5"/>
    </cacheField>
    <cacheField name="PTS" numFmtId="0">
      <sharedItems containsSemiMixedTypes="0" containsString="0" containsNumber="1" containsInteger="1" minValue="10" maxValue="21"/>
    </cacheField>
    <cacheField name="HomeWins" numFmtId="0">
      <sharedItems containsSemiMixedTypes="0" containsString="0" containsNumber="1" containsInteger="1" minValue="0" maxValue="7"/>
    </cacheField>
    <cacheField name="HomeLoss" numFmtId="0">
      <sharedItems containsSemiMixedTypes="0" containsString="0" containsNumber="1" containsInteger="1" minValue="0" maxValue="5"/>
    </cacheField>
    <cacheField name="HomeOTL" numFmtId="0">
      <sharedItems containsSemiMixedTypes="0" containsString="0" containsNumber="1" containsInteger="1" minValue="0" maxValue="3"/>
    </cacheField>
    <cacheField name="AwayWins" numFmtId="0">
      <sharedItems containsSemiMixedTypes="0" containsString="0" containsNumber="1" containsInteger="1" minValue="0" maxValue="7"/>
    </cacheField>
    <cacheField name="AwayLoss" numFmtId="0">
      <sharedItems containsSemiMixedTypes="0" containsString="0" containsNumber="1" containsInteger="1" minValue="1" maxValue="6"/>
    </cacheField>
    <cacheField name="AwayOTL" numFmtId="0">
      <sharedItems containsSemiMixedTypes="0" containsString="0" containsNumber="1" containsInteger="1" minValue="0" maxValue="3"/>
    </cacheField>
    <cacheField name="HomeWin%" numFmtId="9">
      <sharedItems containsSemiMixedTypes="0" containsString="0" containsNumber="1" minValue="0" maxValue="1"/>
    </cacheField>
    <cacheField name="AwayWin%" numFmtId="9">
      <sharedItems containsSemiMixedTypes="0" containsString="0" containsNumber="1" minValue="0" maxValue="0.7777777777777777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8.574677430559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1.6211574240381006" maxValue="1.547501359148976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13"/>
    <n v="9"/>
    <n v="3"/>
    <n v="1"/>
    <n v="19"/>
    <n v="4"/>
    <n v="1"/>
    <n v="0"/>
    <n v="5"/>
    <n v="2"/>
    <n v="1"/>
    <n v="0.8"/>
    <n v="0.625"/>
  </r>
  <r>
    <x v="1"/>
    <n v="16"/>
    <n v="9"/>
    <n v="7"/>
    <n v="0"/>
    <n v="18"/>
    <n v="7"/>
    <n v="3"/>
    <n v="0"/>
    <n v="2"/>
    <n v="4"/>
    <n v="0"/>
    <n v="0.7"/>
    <n v="0.33333333333333331"/>
  </r>
  <r>
    <x v="2"/>
    <n v="14"/>
    <n v="5"/>
    <n v="5"/>
    <n v="4"/>
    <n v="14"/>
    <n v="5"/>
    <n v="3"/>
    <n v="2"/>
    <n v="0"/>
    <n v="2"/>
    <n v="2"/>
    <n v="0.5"/>
    <n v="0"/>
  </r>
  <r>
    <x v="3"/>
    <n v="16"/>
    <n v="4"/>
    <n v="10"/>
    <n v="2"/>
    <n v="10"/>
    <n v="2"/>
    <n v="4"/>
    <n v="1"/>
    <n v="2"/>
    <n v="6"/>
    <n v="1"/>
    <n v="0.2857142857142857"/>
    <n v="0.22222222222222221"/>
  </r>
  <r>
    <x v="4"/>
    <n v="13"/>
    <n v="9"/>
    <n v="4"/>
    <n v="0"/>
    <n v="18"/>
    <n v="4"/>
    <n v="1"/>
    <n v="0"/>
    <n v="5"/>
    <n v="3"/>
    <n v="0"/>
    <n v="0.8"/>
    <n v="0.625"/>
  </r>
  <r>
    <x v="5"/>
    <n v="15"/>
    <n v="7"/>
    <n v="5"/>
    <n v="3"/>
    <n v="17"/>
    <n v="3"/>
    <n v="2"/>
    <n v="1"/>
    <n v="4"/>
    <n v="3"/>
    <n v="2"/>
    <n v="0.5"/>
    <n v="0.44444444444444442"/>
  </r>
  <r>
    <x v="6"/>
    <n v="14"/>
    <n v="8"/>
    <n v="1"/>
    <n v="5"/>
    <n v="21"/>
    <n v="4"/>
    <n v="0"/>
    <n v="2"/>
    <n v="4"/>
    <n v="1"/>
    <n v="3"/>
    <n v="0.66666666666666663"/>
    <n v="0.5"/>
  </r>
  <r>
    <x v="7"/>
    <n v="13"/>
    <n v="7"/>
    <n v="6"/>
    <n v="0"/>
    <n v="14"/>
    <n v="3"/>
    <n v="3"/>
    <n v="0"/>
    <n v="4"/>
    <n v="3"/>
    <n v="0"/>
    <n v="0.5"/>
    <n v="0.5714285714285714"/>
  </r>
  <r>
    <x v="8"/>
    <n v="14"/>
    <n v="7"/>
    <n v="4"/>
    <n v="3"/>
    <n v="17"/>
    <n v="4"/>
    <n v="3"/>
    <n v="1"/>
    <n v="3"/>
    <n v="1"/>
    <n v="2"/>
    <n v="0.5"/>
    <n v="0.5"/>
  </r>
  <r>
    <x v="9"/>
    <n v="15"/>
    <n v="9"/>
    <n v="6"/>
    <n v="0"/>
    <n v="18"/>
    <n v="5"/>
    <n v="2"/>
    <n v="0"/>
    <n v="4"/>
    <n v="4"/>
    <n v="0"/>
    <n v="0.7142857142857143"/>
    <n v="0.5"/>
  </r>
  <r>
    <x v="10"/>
    <n v="15"/>
    <n v="6"/>
    <n v="5"/>
    <n v="4"/>
    <n v="16"/>
    <n v="4"/>
    <n v="0"/>
    <n v="2"/>
    <n v="2"/>
    <n v="5"/>
    <n v="2"/>
    <n v="0.66666666666666663"/>
    <n v="0.22222222222222221"/>
  </r>
  <r>
    <x v="11"/>
    <n v="14"/>
    <n v="7"/>
    <n v="6"/>
    <n v="1"/>
    <n v="15"/>
    <n v="5"/>
    <n v="1"/>
    <n v="1"/>
    <n v="2"/>
    <n v="5"/>
    <n v="0"/>
    <n v="0.7142857142857143"/>
    <n v="0.2857142857142857"/>
  </r>
  <r>
    <x v="12"/>
    <n v="15"/>
    <n v="6"/>
    <n v="5"/>
    <n v="4"/>
    <n v="16"/>
    <n v="1"/>
    <n v="4"/>
    <n v="2"/>
    <n v="5"/>
    <n v="1"/>
    <n v="2"/>
    <n v="0.14285714285714285"/>
    <n v="0.625"/>
  </r>
  <r>
    <x v="13"/>
    <n v="16"/>
    <n v="6"/>
    <n v="7"/>
    <n v="3"/>
    <n v="15"/>
    <n v="3"/>
    <n v="3"/>
    <n v="2"/>
    <n v="3"/>
    <n v="4"/>
    <n v="1"/>
    <n v="0.375"/>
    <n v="0.375"/>
  </r>
  <r>
    <x v="14"/>
    <n v="14"/>
    <n v="9"/>
    <n v="3"/>
    <n v="2"/>
    <n v="20"/>
    <n v="4"/>
    <n v="1"/>
    <n v="1"/>
    <n v="5"/>
    <n v="2"/>
    <n v="1"/>
    <n v="0.66666666666666663"/>
    <n v="0.625"/>
  </r>
  <r>
    <x v="15"/>
    <n v="16"/>
    <n v="5"/>
    <n v="7"/>
    <n v="4"/>
    <n v="14"/>
    <n v="4"/>
    <n v="4"/>
    <n v="2"/>
    <n v="1"/>
    <n v="3"/>
    <n v="2"/>
    <n v="0.4"/>
    <n v="0.16666666666666666"/>
  </r>
  <r>
    <x v="16"/>
    <n v="14"/>
    <n v="10"/>
    <n v="4"/>
    <n v="0"/>
    <n v="20"/>
    <n v="6"/>
    <n v="0"/>
    <n v="0"/>
    <n v="4"/>
    <n v="4"/>
    <n v="0"/>
    <n v="1"/>
    <n v="0.5"/>
  </r>
  <r>
    <x v="17"/>
    <n v="14"/>
    <n v="6"/>
    <n v="6"/>
    <n v="2"/>
    <n v="14"/>
    <n v="4"/>
    <n v="3"/>
    <n v="1"/>
    <n v="2"/>
    <n v="3"/>
    <n v="1"/>
    <n v="0.5"/>
    <n v="0.33333333333333331"/>
  </r>
  <r>
    <x v="18"/>
    <n v="15"/>
    <n v="7"/>
    <n v="6"/>
    <n v="2"/>
    <n v="16"/>
    <n v="0"/>
    <n v="5"/>
    <n v="1"/>
    <n v="7"/>
    <n v="1"/>
    <n v="1"/>
    <n v="0"/>
    <n v="0.77777777777777779"/>
  </r>
  <r>
    <x v="19"/>
    <n v="14"/>
    <n v="6"/>
    <n v="5"/>
    <n v="3"/>
    <n v="15"/>
    <n v="4"/>
    <n v="2"/>
    <n v="1"/>
    <n v="2"/>
    <n v="3"/>
    <n v="2"/>
    <n v="0.5714285714285714"/>
    <n v="0.2857142857142857"/>
  </r>
  <r>
    <x v="20"/>
    <n v="14"/>
    <n v="8"/>
    <n v="5"/>
    <n v="1"/>
    <n v="17"/>
    <n v="6"/>
    <n v="3"/>
    <n v="0"/>
    <n v="2"/>
    <n v="2"/>
    <n v="1"/>
    <n v="0.66666666666666663"/>
    <n v="0.4"/>
  </r>
  <r>
    <x v="21"/>
    <n v="15"/>
    <n v="9"/>
    <n v="4"/>
    <n v="2"/>
    <n v="20"/>
    <n v="4"/>
    <n v="1"/>
    <n v="1"/>
    <n v="5"/>
    <n v="3"/>
    <n v="1"/>
    <n v="0.66666666666666663"/>
    <n v="0.55555555555555558"/>
  </r>
  <r>
    <x v="22"/>
    <n v="15"/>
    <n v="6"/>
    <n v="6"/>
    <n v="3"/>
    <n v="15"/>
    <n v="3"/>
    <n v="3"/>
    <n v="3"/>
    <n v="3"/>
    <n v="3"/>
    <n v="0"/>
    <n v="0.33333333333333331"/>
    <n v="0.5"/>
  </r>
  <r>
    <x v="23"/>
    <n v="13"/>
    <n v="6"/>
    <n v="3"/>
    <n v="4"/>
    <n v="16"/>
    <n v="4"/>
    <n v="1"/>
    <n v="2"/>
    <n v="2"/>
    <n v="2"/>
    <n v="2"/>
    <n v="0.5714285714285714"/>
    <n v="0.33333333333333331"/>
  </r>
  <r>
    <x v="24"/>
    <n v="15"/>
    <n v="5"/>
    <n v="8"/>
    <n v="2"/>
    <n v="12"/>
    <n v="2"/>
    <n v="4"/>
    <n v="2"/>
    <n v="3"/>
    <n v="4"/>
    <n v="0"/>
    <n v="0.25"/>
    <n v="0.42857142857142855"/>
  </r>
  <r>
    <x v="25"/>
    <n v="14"/>
    <n v="7"/>
    <n v="5"/>
    <n v="2"/>
    <n v="16"/>
    <n v="3"/>
    <n v="3"/>
    <n v="0"/>
    <n v="4"/>
    <n v="2"/>
    <n v="2"/>
    <n v="0.5"/>
    <n v="0.5"/>
  </r>
  <r>
    <x v="26"/>
    <n v="14"/>
    <n v="8"/>
    <n v="5"/>
    <n v="1"/>
    <n v="17"/>
    <n v="7"/>
    <n v="2"/>
    <n v="1"/>
    <n v="1"/>
    <n v="3"/>
    <n v="0"/>
    <n v="0.7"/>
    <n v="0.25"/>
  </r>
  <r>
    <x v="27"/>
    <n v="14"/>
    <n v="9"/>
    <n v="5"/>
    <n v="0"/>
    <n v="18"/>
    <n v="4"/>
    <n v="1"/>
    <n v="0"/>
    <n v="5"/>
    <n v="4"/>
    <n v="0"/>
    <n v="0.8"/>
    <n v="0.55555555555555558"/>
  </r>
  <r>
    <x v="28"/>
    <n v="15"/>
    <n v="7"/>
    <n v="8"/>
    <n v="0"/>
    <n v="14"/>
    <n v="2"/>
    <n v="4"/>
    <n v="0"/>
    <n v="5"/>
    <n v="4"/>
    <n v="0"/>
    <n v="0.33333333333333331"/>
    <n v="0.55555555555555558"/>
  </r>
  <r>
    <x v="29"/>
    <n v="13"/>
    <n v="7"/>
    <n v="3"/>
    <n v="3"/>
    <n v="17"/>
    <n v="4"/>
    <n v="2"/>
    <n v="1"/>
    <n v="3"/>
    <n v="1"/>
    <n v="2"/>
    <n v="0.5714285714285714"/>
    <n v="0.5"/>
  </r>
  <r>
    <x v="30"/>
    <n v="14"/>
    <n v="7"/>
    <n v="6"/>
    <n v="1"/>
    <n v="15"/>
    <n v="4"/>
    <n v="4"/>
    <n v="0"/>
    <n v="3"/>
    <n v="2"/>
    <n v="1"/>
    <n v="0.5"/>
    <n v="0.5"/>
  </r>
  <r>
    <x v="31"/>
    <n v="14"/>
    <n v="9"/>
    <n v="5"/>
    <n v="0"/>
    <n v="18"/>
    <n v="5"/>
    <n v="3"/>
    <n v="0"/>
    <n v="4"/>
    <n v="2"/>
    <n v="0"/>
    <n v="0.625"/>
    <n v="0.6666666666666666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51775546328552802"/>
  </r>
  <r>
    <x v="1"/>
    <n v="4.029141914856392E-2"/>
  </r>
  <r>
    <x v="2"/>
    <n v="-0.8683412362501769"/>
  </r>
  <r>
    <x v="3"/>
    <n v="-1.3903684122795328"/>
  </r>
  <r>
    <x v="4"/>
    <n v="0.67193921242367816"/>
  </r>
  <r>
    <x v="5"/>
    <n v="0.30570968833820172"/>
  </r>
  <r>
    <x v="6"/>
    <n v="1.5475013591489768"/>
  </r>
  <r>
    <x v="7"/>
    <n v="-0.40822279081308277"/>
  </r>
  <r>
    <x v="8"/>
    <n v="0.19809534061227302"/>
  </r>
  <r>
    <x v="9"/>
    <n v="-0.513643833119658"/>
  </r>
  <r>
    <x v="10"/>
    <n v="-0.61980804137564283"/>
  </r>
  <r>
    <x v="11"/>
    <n v="-0.28105923893144158"/>
  </r>
  <r>
    <x v="12"/>
    <n v="-7.5459708298993802E-2"/>
  </r>
  <r>
    <x v="13"/>
    <n v="-0.53650300840565446"/>
  </r>
  <r>
    <x v="14"/>
    <n v="-0.52437726201848234"/>
  </r>
  <r>
    <x v="15"/>
    <n v="-1.3516250707060606"/>
  </r>
  <r>
    <x v="16"/>
    <n v="0.559441163373953"/>
  </r>
  <r>
    <x v="17"/>
    <n v="-6.4729560818359025E-2"/>
  </r>
  <r>
    <x v="18"/>
    <n v="-0.30719665303039001"/>
  </r>
  <r>
    <x v="19"/>
    <n v="-0.40651947573390851"/>
  </r>
  <r>
    <x v="20"/>
    <n v="-0.51358590497437617"/>
  </r>
  <r>
    <x v="21"/>
    <n v="0.26289091192875702"/>
  </r>
  <r>
    <x v="22"/>
    <n v="-0.39418177254008485"/>
  </r>
  <r>
    <x v="23"/>
    <n v="-0.361361309178443"/>
  </r>
  <r>
    <x v="24"/>
    <n v="-1.6211574240381006"/>
  </r>
  <r>
    <x v="25"/>
    <n v="-0.11309445867623392"/>
  </r>
  <r>
    <x v="26"/>
    <n v="-0.635565543477981"/>
  </r>
  <r>
    <x v="27"/>
    <n v="-0.12212311954851815"/>
  </r>
  <r>
    <x v="28"/>
    <n v="-0.6902088310934803"/>
  </r>
  <r>
    <x v="29"/>
    <n v="-6.3745791019188943E-4"/>
  </r>
  <r>
    <x v="30"/>
    <n v="-6.1308839486784707E-2"/>
  </r>
  <r>
    <x v="31"/>
    <n v="0.10510525836976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4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67"/>
    <tableColumn id="3" xr3:uid="{2C87C5E2-BA51-8A42-89C8-535F9675CB8F}" uniqueName="3" name="Visitor" queryTableFieldId="3" dataDxfId="66"/>
    <tableColumn id="4" xr3:uid="{CE6ABB56-546F-BB46-9A09-2A1A92669C31}" uniqueName="4" name="G" queryTableFieldId="4" dataDxfId="65"/>
    <tableColumn id="5" xr3:uid="{C1234731-C200-EA4C-B756-2CA67776A39C}" uniqueName="5" name="Home" queryTableFieldId="5" dataDxfId="64"/>
    <tableColumn id="6" xr3:uid="{339325E9-BBA1-9A48-8657-C4AC5A969A45}" uniqueName="6" name="G_1" queryTableFieldId="6" dataDxfId="63"/>
    <tableColumn id="11" xr3:uid="{D5C53254-CDEF-7A46-97BA-0F3F94C9C0F8}" uniqueName="11" name="Column1" queryTableFieldId="11" dataDxfId="62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61"/>
    <tableColumn id="10" xr3:uid="{D8B4237A-01AB-6648-9F38-4F24C83C2F02}" uniqueName="10" name="Losing_G" queryTableFieldId="10" dataDxfId="6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59" headerRowBorderDxfId="58" tableBorderDxfId="57">
  <autoFilter ref="D6:J1318" xr:uid="{082AB263-30A0-9143-A4CB-E8E85CF645DA}"/>
  <tableColumns count="7">
    <tableColumn id="1" xr3:uid="{A2DA1977-C625-F248-8922-D45BEAE345E6}" name="Visitor" dataDxfId="56"/>
    <tableColumn id="2" xr3:uid="{7F142366-1AE0-5D45-A506-465FBF578C3A}" name="G" dataDxfId="55"/>
    <tableColumn id="3" xr3:uid="{F73B07A5-94FF-C843-900F-F37684899EAA}" name="Home" dataDxfId="54"/>
    <tableColumn id="4" xr3:uid="{7D6FADB5-28D9-9449-ADC0-599788BF0B16}" name="G_1" dataDxfId="53"/>
    <tableColumn id="5" xr3:uid="{98CF2B62-3F88-D44B-AF59-BE4BB5C0604E}" name="HomeMargin" dataDxfId="52">
      <calculatedColumnFormula>Table3[[#This Row],[G_1]]-Table3[[#This Row],[G]]</calculatedColumnFormula>
    </tableColumn>
    <tableColumn id="6" xr3:uid="{FD0EC919-55F2-CA43-8B92-CA3E6283FCFD}" name="HomeForecast" dataDxfId="51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50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49" dataDxfId="48">
  <autoFilter ref="D1:R1313" xr:uid="{B940C27F-1AFD-1A45-A69A-42FED3D3591C}"/>
  <tableColumns count="15">
    <tableColumn id="1" xr3:uid="{27200A7D-FC6F-7D47-A38B-8116F873A9D8}" name="Date" dataDxfId="47"/>
    <tableColumn id="2" xr3:uid="{E6247AA5-111B-9544-9F6D-FFC524512888}" name="Time" dataDxfId="46"/>
    <tableColumn id="3" xr3:uid="{EDCD8AB3-2C72-284E-B537-7168C3C8687B}" name="Home" dataDxfId="45"/>
    <tableColumn id="4" xr3:uid="{EC6C1412-AAC2-6646-BF48-0D4526947D52}" name="Home Differential" dataDxfId="44">
      <calculatedColumnFormula>VLOOKUP(Table4[[#This Row],[Home]],'NHL Model'!$A$6:$B$38,2,FALSE)</calculatedColumnFormula>
    </tableColumn>
    <tableColumn id="5" xr3:uid="{67F5F1C4-5CC9-B648-BE7C-7E4EF3A85290}" name="Visitor" dataDxfId="43"/>
    <tableColumn id="6" xr3:uid="{84F489BE-33B4-0E4D-959D-E87A85C1D38D}" name="Away Differential" dataDxfId="42">
      <calculatedColumnFormula>VLOOKUP(Table4[[#This Row],[Visitor]],'NHL Model'!$A$6:$B$38,2,FALSE)</calculatedColumnFormula>
    </tableColumn>
    <tableColumn id="7" xr3:uid="{A6F9ABE3-1844-E54D-9016-325B538D2969}" name="HomeIce Differential" dataDxfId="41">
      <calculatedColumnFormula>($B$1+Table4[[#This Row],[Home Differential]])-Table4[[#This Row],[Away Differential]]</calculatedColumnFormula>
    </tableColumn>
    <tableColumn id="8" xr3:uid="{8FFD520F-0CF9-9D4A-93B6-B45373384612}" name="Predicted Winner" dataDxfId="40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39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38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37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36"/>
    <tableColumn id="13" xr3:uid="{F50D85A3-D772-F247-BFBE-86E765FD0BF6}" name="Locked Correct" dataDxfId="35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34">
  <autoFilter ref="A1:R33" xr:uid="{1B34B514-E1CC-0949-A7DD-8D37387465DD}"/>
  <tableColumns count="18">
    <tableColumn id="1" xr3:uid="{C9F77F0F-7B0D-CC44-9D34-395D1E3FA55B}" name="Team" dataDxfId="33"/>
    <tableColumn id="2" xr3:uid="{4080CFDD-7980-DD4D-A4DE-25DB03E50B7C}" name="GP" dataDxfId="32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1">
      <calculatedColumnFormula>COUNTIFS('NHL2025-26Results'!$H:$H,A2,'NHL2025-26Results'!$F:$F,"")</calculatedColumnFormula>
    </tableColumn>
    <tableColumn id="5" xr3:uid="{5EA2DCC3-F71A-5A40-B3F3-8F2F8CB0A7CE}" name="OTL" dataDxfId="30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29">
      <calculatedColumnFormula>(Table1[[#This Row],[W]]*2)+Table1[[#This Row],[OTL]]</calculatedColumnFormula>
    </tableColumn>
    <tableColumn id="7" xr3:uid="{40EA95E8-9958-E040-A5BE-EC17EEDC1CBD}" name="HomeWins" dataDxfId="28">
      <calculatedColumnFormula>COUNTIFS('NHL2025-26Results'!$D:$D,A2,'NHL2025-26Results'!$G:$G,A2)</calculatedColumnFormula>
    </tableColumn>
    <tableColumn id="9" xr3:uid="{F3FA5C24-502A-6446-A4B9-25DB670D2CB7}" name="HomeLoss" dataDxfId="27">
      <calculatedColumnFormula>COUNTIFS('NHL2025-26Results'!$D:$D,A2,'NHL2025-26Results'!$H:$H,A2,'NHL2025-26Results'!$F:$F,"")</calculatedColumnFormula>
    </tableColumn>
    <tableColumn id="8" xr3:uid="{999F1273-113E-7F4B-990E-AC7B23C4A496}" name="HomeOTL" dataDxfId="26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25">
      <calculatedColumnFormula>COUNTIFS('NHL2025-26Results'!$B:$B,A2,'NHL2025-26Results'!$G:$G,A2)</calculatedColumnFormula>
    </tableColumn>
    <tableColumn id="10" xr3:uid="{1A63BDD0-5CF0-0C48-B684-3675FC716427}" name="AwayLoss" dataDxfId="24">
      <calculatedColumnFormula>COUNTIFS('NHL2025-26Results'!$B:$B,A2,'NHL2025-26Results'!$H:$H,A2,'NHL2025-26Results'!$F:$F,"")</calculatedColumnFormula>
    </tableColumn>
    <tableColumn id="12" xr3:uid="{59628040-0BA7-5042-BB5A-1E9D40ABC469}" name="AwayOTL" dataDxfId="23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2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1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0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19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36" tableType="queryTable" totalsRowShown="0">
  <autoFilter ref="A1:T36" xr:uid="{814AB127-084B-4D4A-B719-706CF237DCF3}"/>
  <tableColumns count="20">
    <tableColumn id="1" xr3:uid="{C1D590F7-F9C9-A949-914E-F3823545CE81}" uniqueName="1" name="game_date" queryTableFieldId="1" dataDxfId="13"/>
    <tableColumn id="2" xr3:uid="{DE428022-C224-6D41-9DB6-943D0A0B187A}" uniqueName="2" name="game_time" queryTableFieldId="2" dataDxfId="12"/>
    <tableColumn id="3" xr3:uid="{C8085D54-AFD1-784B-B0B9-4B9D80E16325}" uniqueName="3" name="home_team" queryTableFieldId="3" dataDxfId="11"/>
    <tableColumn id="4" xr3:uid="{0D200BBE-F146-D44F-A8CA-03A4CC5A5DDE}" uniqueName="4" name="away_team" queryTableFieldId="4" dataDxfId="10"/>
    <tableColumn id="5" xr3:uid="{A40624D0-39DC-1943-A479-EC29BD332CB6}" uniqueName="5" name="ml_winner" queryTableFieldId="5" dataDxfId="9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8"/>
    <tableColumn id="10" xr3:uid="{D0761580-442F-5242-A04E-976A2F8D1F9F}" uniqueName="10" name="excel_winner" queryTableFieldId="10" dataDxfId="7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6"/>
    <tableColumn id="15" xr3:uid="{4048C0E3-E680-9246-B106-8D85A88C2492}" uniqueName="15" name="actual_home_score" queryTableFieldId="15" dataDxfId="5"/>
    <tableColumn id="16" xr3:uid="{5E8432D5-1D7E-4C4E-BA17-F0B4166C0319}" uniqueName="16" name="actual_away_score" queryTableFieldId="16" dataDxfId="4"/>
    <tableColumn id="17" xr3:uid="{C61D1A13-4284-1247-BCFD-42871A89EF6B}" uniqueName="17" name="actual_ot" queryTableFieldId="17" dataDxfId="3"/>
    <tableColumn id="18" xr3:uid="{AD415FE1-E531-974D-8003-033A5B0370F3}" uniqueName="18" name="ml_correct" queryTableFieldId="18" dataDxfId="2"/>
    <tableColumn id="19" xr3:uid="{D1139A2B-F6F4-2048-837B-DCB71F0B74C9}" uniqueName="19" name="excel_correct" queryTableFieldId="19" dataDxfId="1"/>
    <tableColumn id="20" xr3:uid="{419E1053-7A87-9A4C-8D49-0EEAFF6400B4}" uniqueName="20" name="status" queryTableFieldId="20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423" zoomScale="90" zoomScaleNormal="120" workbookViewId="0">
      <selection activeCell="G454" sqref="G454:H1313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D454" t="s">
        <v>31</v>
      </c>
      <c r="F454" t="s">
        <v>60</v>
      </c>
    </row>
    <row r="455" spans="1:10" x14ac:dyDescent="0.2">
      <c r="A455" s="1" t="s">
        <v>235</v>
      </c>
      <c r="B455" t="s">
        <v>33</v>
      </c>
      <c r="D455" t="s">
        <v>25</v>
      </c>
      <c r="F455" t="s">
        <v>60</v>
      </c>
    </row>
    <row r="456" spans="1:10" x14ac:dyDescent="0.2">
      <c r="A456" s="1" t="s">
        <v>235</v>
      </c>
      <c r="B456" t="s">
        <v>14</v>
      </c>
      <c r="D456" t="s">
        <v>39</v>
      </c>
      <c r="F456" t="s">
        <v>60</v>
      </c>
    </row>
    <row r="457" spans="1:10" x14ac:dyDescent="0.2">
      <c r="A457" s="1" t="s">
        <v>235</v>
      </c>
      <c r="B457" t="s">
        <v>30</v>
      </c>
      <c r="D457" t="s">
        <v>11</v>
      </c>
      <c r="F457" t="s">
        <v>60</v>
      </c>
    </row>
    <row r="458" spans="1:10" x14ac:dyDescent="0.2">
      <c r="A458" s="1" t="s">
        <v>235</v>
      </c>
      <c r="B458" t="s">
        <v>35</v>
      </c>
      <c r="D458" t="s">
        <v>18</v>
      </c>
      <c r="F458" t="s">
        <v>60</v>
      </c>
    </row>
    <row r="459" spans="1:10" x14ac:dyDescent="0.2">
      <c r="A459" s="1" t="s">
        <v>235</v>
      </c>
      <c r="B459" t="s">
        <v>20</v>
      </c>
      <c r="D459" t="s">
        <v>15</v>
      </c>
      <c r="F459" t="s">
        <v>60</v>
      </c>
    </row>
    <row r="460" spans="1:10" x14ac:dyDescent="0.2">
      <c r="A460" s="1" t="s">
        <v>235</v>
      </c>
      <c r="B460" t="s">
        <v>12</v>
      </c>
      <c r="D460" t="s">
        <v>27</v>
      </c>
      <c r="F460" t="s">
        <v>60</v>
      </c>
    </row>
    <row r="461" spans="1:10" x14ac:dyDescent="0.2">
      <c r="A461" s="1" t="s">
        <v>235</v>
      </c>
      <c r="B461" t="s">
        <v>28</v>
      </c>
      <c r="D461" t="s">
        <v>22</v>
      </c>
      <c r="F461" t="s">
        <v>60</v>
      </c>
    </row>
    <row r="462" spans="1:10" x14ac:dyDescent="0.2">
      <c r="A462" s="1" t="s">
        <v>236</v>
      </c>
      <c r="B462" t="s">
        <v>23</v>
      </c>
      <c r="D462" t="s">
        <v>16</v>
      </c>
      <c r="F462" t="s">
        <v>60</v>
      </c>
    </row>
    <row r="463" spans="1:10" x14ac:dyDescent="0.2">
      <c r="A463" s="1" t="s">
        <v>236</v>
      </c>
      <c r="B463" t="s">
        <v>34</v>
      </c>
      <c r="D463" t="s">
        <v>32</v>
      </c>
      <c r="F463" t="s">
        <v>60</v>
      </c>
    </row>
    <row r="464" spans="1:10" x14ac:dyDescent="0.2">
      <c r="A464" s="1" t="s">
        <v>236</v>
      </c>
      <c r="B464" t="s">
        <v>37</v>
      </c>
      <c r="D464" t="s">
        <v>19</v>
      </c>
      <c r="F464" t="s">
        <v>60</v>
      </c>
    </row>
    <row r="465" spans="1:6" x14ac:dyDescent="0.2">
      <c r="A465" s="1" t="s">
        <v>236</v>
      </c>
      <c r="B465" t="s">
        <v>13</v>
      </c>
      <c r="D465" t="s">
        <v>55</v>
      </c>
      <c r="F465" t="s">
        <v>60</v>
      </c>
    </row>
    <row r="466" spans="1:6" x14ac:dyDescent="0.2">
      <c r="A466" s="1" t="s">
        <v>236</v>
      </c>
      <c r="B466" t="s">
        <v>26</v>
      </c>
      <c r="D466" t="s">
        <v>38</v>
      </c>
      <c r="F466" t="s">
        <v>60</v>
      </c>
    </row>
    <row r="467" spans="1:6" x14ac:dyDescent="0.2">
      <c r="A467" s="1" t="s">
        <v>237</v>
      </c>
      <c r="B467" t="s">
        <v>28</v>
      </c>
      <c r="D467" t="s">
        <v>25</v>
      </c>
      <c r="F467" t="s">
        <v>60</v>
      </c>
    </row>
    <row r="468" spans="1:6" x14ac:dyDescent="0.2">
      <c r="A468" s="1" t="s">
        <v>237</v>
      </c>
      <c r="B468" t="s">
        <v>23</v>
      </c>
      <c r="D468" t="s">
        <v>17</v>
      </c>
      <c r="F468" t="s">
        <v>60</v>
      </c>
    </row>
    <row r="469" spans="1:6" x14ac:dyDescent="0.2">
      <c r="A469" s="1" t="s">
        <v>237</v>
      </c>
      <c r="B469" t="s">
        <v>37</v>
      </c>
      <c r="D469" t="s">
        <v>18</v>
      </c>
      <c r="F469" t="s">
        <v>60</v>
      </c>
    </row>
    <row r="470" spans="1:6" x14ac:dyDescent="0.2">
      <c r="A470" s="1" t="s">
        <v>237</v>
      </c>
      <c r="B470" t="s">
        <v>12</v>
      </c>
      <c r="D470" t="s">
        <v>29</v>
      </c>
      <c r="F470" t="s">
        <v>60</v>
      </c>
    </row>
    <row r="471" spans="1:6" x14ac:dyDescent="0.2">
      <c r="A471" s="1" t="s">
        <v>237</v>
      </c>
      <c r="B471" t="s">
        <v>20</v>
      </c>
      <c r="D471" t="s">
        <v>30</v>
      </c>
      <c r="F471" t="s">
        <v>60</v>
      </c>
    </row>
    <row r="472" spans="1:6" x14ac:dyDescent="0.2">
      <c r="A472" s="1" t="s">
        <v>237</v>
      </c>
      <c r="B472" t="s">
        <v>24</v>
      </c>
      <c r="D472" t="s">
        <v>36</v>
      </c>
      <c r="F472" t="s">
        <v>60</v>
      </c>
    </row>
    <row r="473" spans="1:6" x14ac:dyDescent="0.2">
      <c r="A473" s="1" t="s">
        <v>237</v>
      </c>
      <c r="B473" t="s">
        <v>33</v>
      </c>
      <c r="D473" t="s">
        <v>27</v>
      </c>
      <c r="F473" t="s">
        <v>60</v>
      </c>
    </row>
    <row r="474" spans="1:6" x14ac:dyDescent="0.2">
      <c r="A474" s="1" t="s">
        <v>237</v>
      </c>
      <c r="B474" t="s">
        <v>31</v>
      </c>
      <c r="D474" t="s">
        <v>14</v>
      </c>
      <c r="F474" t="s">
        <v>60</v>
      </c>
    </row>
    <row r="475" spans="1:6" x14ac:dyDescent="0.2">
      <c r="A475" s="1" t="s">
        <v>237</v>
      </c>
      <c r="B475" t="s">
        <v>21</v>
      </c>
      <c r="D475" t="s">
        <v>35</v>
      </c>
      <c r="F475" t="s">
        <v>60</v>
      </c>
    </row>
    <row r="476" spans="1:6" x14ac:dyDescent="0.2">
      <c r="A476" s="1" t="s">
        <v>237</v>
      </c>
      <c r="B476" t="s">
        <v>39</v>
      </c>
      <c r="D476" t="s">
        <v>40</v>
      </c>
      <c r="F476" t="s">
        <v>60</v>
      </c>
    </row>
    <row r="477" spans="1:6" x14ac:dyDescent="0.2">
      <c r="A477" s="1" t="s">
        <v>238</v>
      </c>
      <c r="B477" t="s">
        <v>26</v>
      </c>
      <c r="D477" t="s">
        <v>16</v>
      </c>
      <c r="F477" t="s">
        <v>60</v>
      </c>
    </row>
    <row r="478" spans="1:6" x14ac:dyDescent="0.2">
      <c r="A478" s="1" t="s">
        <v>238</v>
      </c>
      <c r="B478" t="s">
        <v>15</v>
      </c>
      <c r="D478" t="s">
        <v>10</v>
      </c>
      <c r="F478" t="s">
        <v>60</v>
      </c>
    </row>
    <row r="479" spans="1:6" x14ac:dyDescent="0.2">
      <c r="A479" s="1" t="s">
        <v>238</v>
      </c>
      <c r="B479" t="s">
        <v>13</v>
      </c>
      <c r="D479" t="s">
        <v>32</v>
      </c>
      <c r="F479" t="s">
        <v>60</v>
      </c>
    </row>
    <row r="480" spans="1:6" x14ac:dyDescent="0.2">
      <c r="A480" s="1" t="s">
        <v>238</v>
      </c>
      <c r="B480" t="s">
        <v>11</v>
      </c>
      <c r="D480" t="s">
        <v>55</v>
      </c>
      <c r="F480" t="s">
        <v>60</v>
      </c>
    </row>
    <row r="481" spans="1:6" x14ac:dyDescent="0.2">
      <c r="A481" s="1" t="s">
        <v>239</v>
      </c>
      <c r="B481" t="s">
        <v>36</v>
      </c>
      <c r="D481" t="s">
        <v>28</v>
      </c>
      <c r="F481" t="s">
        <v>60</v>
      </c>
    </row>
    <row r="482" spans="1:6" x14ac:dyDescent="0.2">
      <c r="A482" s="1" t="s">
        <v>239</v>
      </c>
      <c r="B482" t="s">
        <v>11</v>
      </c>
      <c r="D482" t="s">
        <v>12</v>
      </c>
      <c r="F482" t="s">
        <v>60</v>
      </c>
    </row>
    <row r="483" spans="1:6" x14ac:dyDescent="0.2">
      <c r="A483" s="1" t="s">
        <v>239</v>
      </c>
      <c r="B483" t="s">
        <v>26</v>
      </c>
      <c r="D483" t="s">
        <v>17</v>
      </c>
      <c r="F483" t="s">
        <v>60</v>
      </c>
    </row>
    <row r="484" spans="1:6" x14ac:dyDescent="0.2">
      <c r="A484" s="1" t="s">
        <v>239</v>
      </c>
      <c r="B484" t="s">
        <v>39</v>
      </c>
      <c r="D484" t="s">
        <v>34</v>
      </c>
      <c r="F484" t="s">
        <v>60</v>
      </c>
    </row>
    <row r="485" spans="1:6" x14ac:dyDescent="0.2">
      <c r="A485" s="1" t="s">
        <v>239</v>
      </c>
      <c r="B485" t="s">
        <v>37</v>
      </c>
      <c r="D485" t="s">
        <v>24</v>
      </c>
      <c r="F485" t="s">
        <v>60</v>
      </c>
    </row>
    <row r="486" spans="1:6" x14ac:dyDescent="0.2">
      <c r="A486" s="1" t="s">
        <v>239</v>
      </c>
      <c r="B486" t="s">
        <v>35</v>
      </c>
      <c r="D486" t="s">
        <v>29</v>
      </c>
      <c r="F486" t="s">
        <v>60</v>
      </c>
    </row>
    <row r="487" spans="1:6" x14ac:dyDescent="0.2">
      <c r="A487" s="1" t="s">
        <v>239</v>
      </c>
      <c r="B487" t="s">
        <v>31</v>
      </c>
      <c r="D487" t="s">
        <v>30</v>
      </c>
      <c r="F487" t="s">
        <v>60</v>
      </c>
    </row>
    <row r="488" spans="1:6" x14ac:dyDescent="0.2">
      <c r="A488" s="1" t="s">
        <v>239</v>
      </c>
      <c r="B488" t="s">
        <v>20</v>
      </c>
      <c r="D488" t="s">
        <v>27</v>
      </c>
      <c r="F488" t="s">
        <v>60</v>
      </c>
    </row>
    <row r="489" spans="1:6" x14ac:dyDescent="0.2">
      <c r="A489" s="1" t="s">
        <v>239</v>
      </c>
      <c r="B489" t="s">
        <v>18</v>
      </c>
      <c r="D489" t="s">
        <v>14</v>
      </c>
      <c r="F489" t="s">
        <v>60</v>
      </c>
    </row>
    <row r="490" spans="1:6" x14ac:dyDescent="0.2">
      <c r="A490" s="1" t="s">
        <v>239</v>
      </c>
      <c r="B490" t="s">
        <v>33</v>
      </c>
      <c r="D490" t="s">
        <v>19</v>
      </c>
      <c r="F490" t="s">
        <v>60</v>
      </c>
    </row>
    <row r="491" spans="1:6" x14ac:dyDescent="0.2">
      <c r="A491" s="1" t="s">
        <v>239</v>
      </c>
      <c r="B491" t="s">
        <v>23</v>
      </c>
      <c r="D491" t="s">
        <v>38</v>
      </c>
      <c r="F491" t="s">
        <v>60</v>
      </c>
    </row>
    <row r="492" spans="1:6" x14ac:dyDescent="0.2">
      <c r="A492" s="1" t="s">
        <v>239</v>
      </c>
      <c r="B492" t="s">
        <v>21</v>
      </c>
      <c r="D492" t="s">
        <v>40</v>
      </c>
      <c r="F492" t="s">
        <v>60</v>
      </c>
    </row>
    <row r="493" spans="1:6" x14ac:dyDescent="0.2">
      <c r="A493" s="1" t="s">
        <v>239</v>
      </c>
      <c r="B493" t="s">
        <v>25</v>
      </c>
      <c r="D493" t="s">
        <v>22</v>
      </c>
      <c r="F493" t="s">
        <v>60</v>
      </c>
    </row>
    <row r="494" spans="1:6" x14ac:dyDescent="0.2">
      <c r="A494" s="1" t="s">
        <v>240</v>
      </c>
      <c r="B494" t="s">
        <v>10</v>
      </c>
      <c r="D494" t="s">
        <v>35</v>
      </c>
      <c r="F494" t="s">
        <v>60</v>
      </c>
    </row>
    <row r="495" spans="1:6" x14ac:dyDescent="0.2">
      <c r="A495" s="1" t="s">
        <v>240</v>
      </c>
      <c r="B495" t="s">
        <v>32</v>
      </c>
      <c r="D495" t="s">
        <v>55</v>
      </c>
      <c r="F495" t="s">
        <v>60</v>
      </c>
    </row>
    <row r="496" spans="1:6" x14ac:dyDescent="0.2">
      <c r="A496" s="1" t="s">
        <v>63</v>
      </c>
      <c r="B496" t="s">
        <v>20</v>
      </c>
      <c r="D496" t="s">
        <v>28</v>
      </c>
      <c r="F496" t="s">
        <v>60</v>
      </c>
    </row>
    <row r="497" spans="1:6" x14ac:dyDescent="0.2">
      <c r="A497" s="1" t="s">
        <v>63</v>
      </c>
      <c r="B497" t="s">
        <v>26</v>
      </c>
      <c r="D497" t="s">
        <v>10</v>
      </c>
      <c r="F497" t="s">
        <v>60</v>
      </c>
    </row>
    <row r="498" spans="1:6" x14ac:dyDescent="0.2">
      <c r="A498" s="1" t="s">
        <v>63</v>
      </c>
      <c r="B498" t="s">
        <v>29</v>
      </c>
      <c r="D498" t="s">
        <v>12</v>
      </c>
      <c r="F498" t="s">
        <v>60</v>
      </c>
    </row>
    <row r="499" spans="1:6" x14ac:dyDescent="0.2">
      <c r="A499" s="1" t="s">
        <v>63</v>
      </c>
      <c r="B499" t="s">
        <v>11</v>
      </c>
      <c r="D499" t="s">
        <v>39</v>
      </c>
      <c r="F499" t="s">
        <v>60</v>
      </c>
    </row>
    <row r="500" spans="1:6" x14ac:dyDescent="0.2">
      <c r="A500" s="1" t="s">
        <v>63</v>
      </c>
      <c r="B500" t="s">
        <v>16</v>
      </c>
      <c r="D500" t="s">
        <v>13</v>
      </c>
      <c r="F500" t="s">
        <v>60</v>
      </c>
    </row>
    <row r="501" spans="1:6" x14ac:dyDescent="0.2">
      <c r="A501" s="1" t="s">
        <v>63</v>
      </c>
      <c r="B501" t="s">
        <v>36</v>
      </c>
      <c r="D501" t="s">
        <v>34</v>
      </c>
      <c r="F501" t="s">
        <v>60</v>
      </c>
    </row>
    <row r="502" spans="1:6" x14ac:dyDescent="0.2">
      <c r="A502" t="s">
        <v>63</v>
      </c>
      <c r="B502" t="s">
        <v>31</v>
      </c>
      <c r="D502" t="s">
        <v>24</v>
      </c>
      <c r="F502" t="s">
        <v>60</v>
      </c>
    </row>
    <row r="503" spans="1:6" x14ac:dyDescent="0.2">
      <c r="A503" t="s">
        <v>63</v>
      </c>
      <c r="B503" t="s">
        <v>37</v>
      </c>
      <c r="D503" t="s">
        <v>30</v>
      </c>
      <c r="F503" t="s">
        <v>60</v>
      </c>
    </row>
    <row r="504" spans="1:6" x14ac:dyDescent="0.2">
      <c r="A504" t="s">
        <v>63</v>
      </c>
      <c r="B504" t="s">
        <v>18</v>
      </c>
      <c r="D504" t="s">
        <v>15</v>
      </c>
      <c r="F504" t="s">
        <v>60</v>
      </c>
    </row>
    <row r="505" spans="1:6" x14ac:dyDescent="0.2">
      <c r="A505" t="s">
        <v>63</v>
      </c>
      <c r="B505" t="s">
        <v>25</v>
      </c>
      <c r="D505" t="s">
        <v>27</v>
      </c>
      <c r="F505" t="s">
        <v>60</v>
      </c>
    </row>
    <row r="506" spans="1:6" x14ac:dyDescent="0.2">
      <c r="A506" t="s">
        <v>63</v>
      </c>
      <c r="B506" t="s">
        <v>33</v>
      </c>
      <c r="D506" t="s">
        <v>14</v>
      </c>
      <c r="F506" t="s">
        <v>60</v>
      </c>
    </row>
    <row r="507" spans="1:6" x14ac:dyDescent="0.2">
      <c r="A507" t="s">
        <v>63</v>
      </c>
      <c r="B507" t="s">
        <v>17</v>
      </c>
      <c r="D507" t="s">
        <v>19</v>
      </c>
      <c r="F507" t="s">
        <v>60</v>
      </c>
    </row>
    <row r="508" spans="1:6" x14ac:dyDescent="0.2">
      <c r="A508" t="s">
        <v>63</v>
      </c>
      <c r="B508" t="s">
        <v>22</v>
      </c>
      <c r="D508" t="s">
        <v>40</v>
      </c>
      <c r="F508" t="s">
        <v>60</v>
      </c>
    </row>
    <row r="509" spans="1:6" x14ac:dyDescent="0.2">
      <c r="A509" t="s">
        <v>64</v>
      </c>
      <c r="B509" t="s">
        <v>27</v>
      </c>
      <c r="D509" t="s">
        <v>25</v>
      </c>
      <c r="F509" t="s">
        <v>60</v>
      </c>
    </row>
    <row r="510" spans="1:6" x14ac:dyDescent="0.2">
      <c r="A510" t="s">
        <v>64</v>
      </c>
      <c r="B510" t="s">
        <v>21</v>
      </c>
      <c r="D510" t="s">
        <v>34</v>
      </c>
      <c r="F510" t="s">
        <v>60</v>
      </c>
    </row>
    <row r="511" spans="1:6" x14ac:dyDescent="0.2">
      <c r="A511" t="s">
        <v>64</v>
      </c>
      <c r="B511" t="s">
        <v>17</v>
      </c>
      <c r="D511" t="s">
        <v>18</v>
      </c>
      <c r="F511" t="s">
        <v>60</v>
      </c>
    </row>
    <row r="512" spans="1:6" x14ac:dyDescent="0.2">
      <c r="A512" t="s">
        <v>64</v>
      </c>
      <c r="B512" t="s">
        <v>38</v>
      </c>
      <c r="D512" t="s">
        <v>24</v>
      </c>
      <c r="F512" t="s">
        <v>60</v>
      </c>
    </row>
    <row r="513" spans="1:6" x14ac:dyDescent="0.2">
      <c r="A513" t="s">
        <v>64</v>
      </c>
      <c r="B513" t="s">
        <v>55</v>
      </c>
      <c r="D513" t="s">
        <v>14</v>
      </c>
      <c r="F513" t="s">
        <v>60</v>
      </c>
    </row>
    <row r="514" spans="1:6" x14ac:dyDescent="0.2">
      <c r="A514" t="s">
        <v>64</v>
      </c>
      <c r="B514" t="s">
        <v>23</v>
      </c>
      <c r="D514" t="s">
        <v>32</v>
      </c>
      <c r="F514" t="s">
        <v>60</v>
      </c>
    </row>
    <row r="515" spans="1:6" x14ac:dyDescent="0.2">
      <c r="A515" t="s">
        <v>65</v>
      </c>
      <c r="B515" t="s">
        <v>13</v>
      </c>
      <c r="D515" t="s">
        <v>39</v>
      </c>
      <c r="F515" t="s">
        <v>60</v>
      </c>
    </row>
    <row r="516" spans="1:6" x14ac:dyDescent="0.2">
      <c r="A516" t="s">
        <v>65</v>
      </c>
      <c r="B516" t="s">
        <v>31</v>
      </c>
      <c r="D516" t="s">
        <v>15</v>
      </c>
      <c r="F516" t="s">
        <v>60</v>
      </c>
    </row>
    <row r="517" spans="1:6" x14ac:dyDescent="0.2">
      <c r="A517" t="s">
        <v>65</v>
      </c>
      <c r="B517" t="s">
        <v>29</v>
      </c>
      <c r="D517" t="s">
        <v>35</v>
      </c>
      <c r="F517" t="s">
        <v>60</v>
      </c>
    </row>
    <row r="518" spans="1:6" x14ac:dyDescent="0.2">
      <c r="A518" t="s">
        <v>65</v>
      </c>
      <c r="B518" t="s">
        <v>11</v>
      </c>
      <c r="D518" t="s">
        <v>37</v>
      </c>
      <c r="F518" t="s">
        <v>60</v>
      </c>
    </row>
    <row r="519" spans="1:6" x14ac:dyDescent="0.2">
      <c r="A519" t="s">
        <v>65</v>
      </c>
      <c r="B519" t="s">
        <v>36</v>
      </c>
      <c r="D519" t="s">
        <v>40</v>
      </c>
      <c r="F519" t="s">
        <v>60</v>
      </c>
    </row>
    <row r="520" spans="1:6" x14ac:dyDescent="0.2">
      <c r="A520" t="s">
        <v>66</v>
      </c>
      <c r="B520" t="s">
        <v>55</v>
      </c>
      <c r="D520" t="s">
        <v>21</v>
      </c>
      <c r="F520" t="s">
        <v>60</v>
      </c>
    </row>
    <row r="521" spans="1:6" x14ac:dyDescent="0.2">
      <c r="A521" t="s">
        <v>66</v>
      </c>
      <c r="B521" t="s">
        <v>31</v>
      </c>
      <c r="D521" t="s">
        <v>28</v>
      </c>
      <c r="F521" t="s">
        <v>60</v>
      </c>
    </row>
    <row r="522" spans="1:6" x14ac:dyDescent="0.2">
      <c r="A522" t="s">
        <v>66</v>
      </c>
      <c r="B522" t="s">
        <v>30</v>
      </c>
      <c r="D522" t="s">
        <v>26</v>
      </c>
      <c r="F522" t="s">
        <v>60</v>
      </c>
    </row>
    <row r="523" spans="1:6" x14ac:dyDescent="0.2">
      <c r="A523" t="s">
        <v>66</v>
      </c>
      <c r="B523" t="s">
        <v>22</v>
      </c>
      <c r="D523" t="s">
        <v>34</v>
      </c>
      <c r="F523" t="s">
        <v>60</v>
      </c>
    </row>
    <row r="524" spans="1:6" x14ac:dyDescent="0.2">
      <c r="A524" t="s">
        <v>66</v>
      </c>
      <c r="B524" t="s">
        <v>27</v>
      </c>
      <c r="D524" t="s">
        <v>18</v>
      </c>
      <c r="F524" t="s">
        <v>60</v>
      </c>
    </row>
    <row r="525" spans="1:6" x14ac:dyDescent="0.2">
      <c r="A525" t="s">
        <v>66</v>
      </c>
      <c r="B525" t="s">
        <v>38</v>
      </c>
      <c r="D525" t="s">
        <v>15</v>
      </c>
      <c r="F525" t="s">
        <v>60</v>
      </c>
    </row>
    <row r="526" spans="1:6" x14ac:dyDescent="0.2">
      <c r="A526" t="s">
        <v>66</v>
      </c>
      <c r="B526" t="s">
        <v>17</v>
      </c>
      <c r="D526" t="s">
        <v>14</v>
      </c>
      <c r="F526" t="s">
        <v>60</v>
      </c>
    </row>
    <row r="527" spans="1:6" x14ac:dyDescent="0.2">
      <c r="A527" t="s">
        <v>66</v>
      </c>
      <c r="B527" t="s">
        <v>12</v>
      </c>
      <c r="D527" t="s">
        <v>32</v>
      </c>
      <c r="F527" t="s">
        <v>60</v>
      </c>
    </row>
    <row r="528" spans="1:6" x14ac:dyDescent="0.2">
      <c r="A528" t="s">
        <v>66</v>
      </c>
      <c r="B528" t="s">
        <v>16</v>
      </c>
      <c r="D528" t="s">
        <v>33</v>
      </c>
      <c r="F528" t="s">
        <v>60</v>
      </c>
    </row>
    <row r="529" spans="1:6" x14ac:dyDescent="0.2">
      <c r="A529" t="s">
        <v>66</v>
      </c>
      <c r="B529" t="s">
        <v>10</v>
      </c>
      <c r="D529" t="s">
        <v>19</v>
      </c>
      <c r="F529" t="s">
        <v>60</v>
      </c>
    </row>
    <row r="530" spans="1:6" x14ac:dyDescent="0.2">
      <c r="A530" t="s">
        <v>67</v>
      </c>
      <c r="B530" t="s">
        <v>55</v>
      </c>
      <c r="D530" t="s">
        <v>26</v>
      </c>
      <c r="F530" t="s">
        <v>60</v>
      </c>
    </row>
    <row r="531" spans="1:6" x14ac:dyDescent="0.2">
      <c r="A531" t="s">
        <v>67</v>
      </c>
      <c r="B531" t="s">
        <v>13</v>
      </c>
      <c r="D531" t="s">
        <v>11</v>
      </c>
      <c r="F531" t="s">
        <v>60</v>
      </c>
    </row>
    <row r="532" spans="1:6" x14ac:dyDescent="0.2">
      <c r="A532" t="s">
        <v>67</v>
      </c>
      <c r="B532" t="s">
        <v>25</v>
      </c>
      <c r="D532" t="s">
        <v>29</v>
      </c>
      <c r="F532" t="s">
        <v>60</v>
      </c>
    </row>
    <row r="533" spans="1:6" x14ac:dyDescent="0.2">
      <c r="A533" t="s">
        <v>67</v>
      </c>
      <c r="B533" t="s">
        <v>40</v>
      </c>
      <c r="D533" t="s">
        <v>35</v>
      </c>
      <c r="F533" t="s">
        <v>60</v>
      </c>
    </row>
    <row r="534" spans="1:6" x14ac:dyDescent="0.2">
      <c r="A534" t="s">
        <v>67</v>
      </c>
      <c r="B534" t="s">
        <v>24</v>
      </c>
      <c r="D534" t="s">
        <v>20</v>
      </c>
      <c r="F534" t="s">
        <v>60</v>
      </c>
    </row>
    <row r="535" spans="1:6" x14ac:dyDescent="0.2">
      <c r="A535" t="s">
        <v>68</v>
      </c>
      <c r="B535" t="s">
        <v>17</v>
      </c>
      <c r="D535" t="s">
        <v>21</v>
      </c>
      <c r="F535" t="s">
        <v>60</v>
      </c>
    </row>
    <row r="536" spans="1:6" x14ac:dyDescent="0.2">
      <c r="A536" t="s">
        <v>68</v>
      </c>
      <c r="B536" t="s">
        <v>27</v>
      </c>
      <c r="D536" t="s">
        <v>23</v>
      </c>
      <c r="F536" t="s">
        <v>60</v>
      </c>
    </row>
    <row r="537" spans="1:6" x14ac:dyDescent="0.2">
      <c r="A537" t="s">
        <v>68</v>
      </c>
      <c r="B537" t="s">
        <v>34</v>
      </c>
      <c r="D537" t="s">
        <v>28</v>
      </c>
      <c r="F537" t="s">
        <v>60</v>
      </c>
    </row>
    <row r="538" spans="1:6" x14ac:dyDescent="0.2">
      <c r="A538" t="s">
        <v>68</v>
      </c>
      <c r="B538" t="s">
        <v>32</v>
      </c>
      <c r="D538" t="s">
        <v>16</v>
      </c>
      <c r="F538" t="s">
        <v>60</v>
      </c>
    </row>
    <row r="539" spans="1:6" x14ac:dyDescent="0.2">
      <c r="A539" t="s">
        <v>68</v>
      </c>
      <c r="B539" t="s">
        <v>10</v>
      </c>
      <c r="D539" t="s">
        <v>18</v>
      </c>
      <c r="F539" t="s">
        <v>60</v>
      </c>
    </row>
    <row r="540" spans="1:6" x14ac:dyDescent="0.2">
      <c r="A540" t="s">
        <v>68</v>
      </c>
      <c r="B540" t="s">
        <v>14</v>
      </c>
      <c r="D540" t="s">
        <v>36</v>
      </c>
      <c r="F540" t="s">
        <v>60</v>
      </c>
    </row>
    <row r="541" spans="1:6" x14ac:dyDescent="0.2">
      <c r="A541" t="s">
        <v>68</v>
      </c>
      <c r="B541" t="s">
        <v>39</v>
      </c>
      <c r="D541" t="s">
        <v>33</v>
      </c>
      <c r="F541" t="s">
        <v>60</v>
      </c>
    </row>
    <row r="542" spans="1:6" x14ac:dyDescent="0.2">
      <c r="A542" t="s">
        <v>68</v>
      </c>
      <c r="B542" t="s">
        <v>15</v>
      </c>
      <c r="D542" t="s">
        <v>35</v>
      </c>
      <c r="F542" t="s">
        <v>60</v>
      </c>
    </row>
    <row r="543" spans="1:6" x14ac:dyDescent="0.2">
      <c r="A543" t="s">
        <v>68</v>
      </c>
      <c r="B543" t="s">
        <v>13</v>
      </c>
      <c r="D543" t="s">
        <v>37</v>
      </c>
      <c r="F543" t="s">
        <v>60</v>
      </c>
    </row>
    <row r="544" spans="1:6" x14ac:dyDescent="0.2">
      <c r="A544" t="s">
        <v>68</v>
      </c>
      <c r="B544" t="s">
        <v>19</v>
      </c>
      <c r="D544" t="s">
        <v>22</v>
      </c>
      <c r="F544" t="s">
        <v>60</v>
      </c>
    </row>
    <row r="545" spans="1:6" x14ac:dyDescent="0.2">
      <c r="A545" t="s">
        <v>69</v>
      </c>
      <c r="B545" t="s">
        <v>39</v>
      </c>
      <c r="D545" t="s">
        <v>31</v>
      </c>
      <c r="F545" t="s">
        <v>60</v>
      </c>
    </row>
    <row r="546" spans="1:6" x14ac:dyDescent="0.2">
      <c r="A546" t="s">
        <v>69</v>
      </c>
      <c r="B546" t="s">
        <v>40</v>
      </c>
      <c r="D546" t="s">
        <v>12</v>
      </c>
      <c r="F546" t="s">
        <v>60</v>
      </c>
    </row>
    <row r="547" spans="1:6" x14ac:dyDescent="0.2">
      <c r="A547" t="s">
        <v>69</v>
      </c>
      <c r="B547" t="s">
        <v>25</v>
      </c>
      <c r="D547" t="s">
        <v>11</v>
      </c>
      <c r="F547" t="s">
        <v>60</v>
      </c>
    </row>
    <row r="548" spans="1:6" x14ac:dyDescent="0.2">
      <c r="A548" t="s">
        <v>69</v>
      </c>
      <c r="B548" t="s">
        <v>38</v>
      </c>
      <c r="D548" t="s">
        <v>30</v>
      </c>
      <c r="F548" t="s">
        <v>60</v>
      </c>
    </row>
    <row r="549" spans="1:6" x14ac:dyDescent="0.2">
      <c r="A549" t="s">
        <v>69</v>
      </c>
      <c r="B549" t="s">
        <v>24</v>
      </c>
      <c r="D549" t="s">
        <v>55</v>
      </c>
      <c r="F549" t="s">
        <v>60</v>
      </c>
    </row>
    <row r="550" spans="1:6" x14ac:dyDescent="0.2">
      <c r="A550" t="s">
        <v>70</v>
      </c>
      <c r="B550" t="s">
        <v>28</v>
      </c>
      <c r="D550" t="s">
        <v>31</v>
      </c>
      <c r="F550" t="s">
        <v>60</v>
      </c>
    </row>
    <row r="551" spans="1:6" x14ac:dyDescent="0.2">
      <c r="A551" t="s">
        <v>70</v>
      </c>
      <c r="B551" t="s">
        <v>38</v>
      </c>
      <c r="D551" t="s">
        <v>21</v>
      </c>
      <c r="F551" t="s">
        <v>60</v>
      </c>
    </row>
    <row r="552" spans="1:6" x14ac:dyDescent="0.2">
      <c r="A552" t="s">
        <v>70</v>
      </c>
      <c r="B552" t="s">
        <v>30</v>
      </c>
      <c r="D552" t="s">
        <v>23</v>
      </c>
      <c r="F552" t="s">
        <v>60</v>
      </c>
    </row>
    <row r="553" spans="1:6" x14ac:dyDescent="0.2">
      <c r="A553" t="s">
        <v>70</v>
      </c>
      <c r="B553" t="s">
        <v>20</v>
      </c>
      <c r="D553" t="s">
        <v>16</v>
      </c>
      <c r="F553" t="s">
        <v>60</v>
      </c>
    </row>
    <row r="554" spans="1:6" x14ac:dyDescent="0.2">
      <c r="A554" t="s">
        <v>70</v>
      </c>
      <c r="B554" t="s">
        <v>35</v>
      </c>
      <c r="D554" t="s">
        <v>11</v>
      </c>
      <c r="F554" t="s">
        <v>60</v>
      </c>
    </row>
    <row r="555" spans="1:6" x14ac:dyDescent="0.2">
      <c r="A555" t="s">
        <v>70</v>
      </c>
      <c r="B555" t="s">
        <v>17</v>
      </c>
      <c r="D555" t="s">
        <v>34</v>
      </c>
      <c r="F555" t="s">
        <v>60</v>
      </c>
    </row>
    <row r="556" spans="1:6" x14ac:dyDescent="0.2">
      <c r="A556" t="s">
        <v>70</v>
      </c>
      <c r="B556" t="s">
        <v>14</v>
      </c>
      <c r="D556" t="s">
        <v>18</v>
      </c>
      <c r="F556" t="s">
        <v>60</v>
      </c>
    </row>
    <row r="557" spans="1:6" x14ac:dyDescent="0.2">
      <c r="A557" t="s">
        <v>70</v>
      </c>
      <c r="B557" t="s">
        <v>19</v>
      </c>
      <c r="D557" t="s">
        <v>29</v>
      </c>
      <c r="F557" t="s">
        <v>60</v>
      </c>
    </row>
    <row r="558" spans="1:6" x14ac:dyDescent="0.2">
      <c r="A558" t="s">
        <v>70</v>
      </c>
      <c r="B558" t="s">
        <v>27</v>
      </c>
      <c r="D558" t="s">
        <v>15</v>
      </c>
      <c r="F558" t="s">
        <v>60</v>
      </c>
    </row>
    <row r="559" spans="1:6" x14ac:dyDescent="0.2">
      <c r="A559" t="s">
        <v>70</v>
      </c>
      <c r="B559" t="s">
        <v>10</v>
      </c>
      <c r="D559" t="s">
        <v>36</v>
      </c>
      <c r="F559" t="s">
        <v>60</v>
      </c>
    </row>
    <row r="560" spans="1:6" x14ac:dyDescent="0.2">
      <c r="A560" t="s">
        <v>70</v>
      </c>
      <c r="B560" t="s">
        <v>32</v>
      </c>
      <c r="D560" t="s">
        <v>33</v>
      </c>
      <c r="F560" t="s">
        <v>60</v>
      </c>
    </row>
    <row r="561" spans="1:6" x14ac:dyDescent="0.2">
      <c r="A561" t="s">
        <v>70</v>
      </c>
      <c r="B561" t="s">
        <v>25</v>
      </c>
      <c r="D561" t="s">
        <v>37</v>
      </c>
      <c r="F561" t="s">
        <v>60</v>
      </c>
    </row>
    <row r="562" spans="1:6" x14ac:dyDescent="0.2">
      <c r="A562" t="s">
        <v>70</v>
      </c>
      <c r="B562" t="s">
        <v>26</v>
      </c>
      <c r="D562" t="s">
        <v>22</v>
      </c>
      <c r="F562" t="s">
        <v>60</v>
      </c>
    </row>
    <row r="563" spans="1:6" x14ac:dyDescent="0.2">
      <c r="A563" t="s">
        <v>71</v>
      </c>
      <c r="B563" t="s">
        <v>36</v>
      </c>
      <c r="D563" t="s">
        <v>21</v>
      </c>
      <c r="F563" t="s">
        <v>60</v>
      </c>
    </row>
    <row r="564" spans="1:6" x14ac:dyDescent="0.2">
      <c r="A564" t="s">
        <v>71</v>
      </c>
      <c r="B564" t="s">
        <v>19</v>
      </c>
      <c r="D564" t="s">
        <v>39</v>
      </c>
      <c r="F564" t="s">
        <v>60</v>
      </c>
    </row>
    <row r="565" spans="1:6" x14ac:dyDescent="0.2">
      <c r="A565" t="s">
        <v>71</v>
      </c>
      <c r="B565" t="s">
        <v>22</v>
      </c>
      <c r="D565" t="s">
        <v>26</v>
      </c>
      <c r="F565" t="s">
        <v>60</v>
      </c>
    </row>
    <row r="566" spans="1:6" x14ac:dyDescent="0.2">
      <c r="A566" t="s">
        <v>71</v>
      </c>
      <c r="B566" t="s">
        <v>20</v>
      </c>
      <c r="D566" t="s">
        <v>17</v>
      </c>
      <c r="F566" t="s">
        <v>60</v>
      </c>
    </row>
    <row r="567" spans="1:6" x14ac:dyDescent="0.2">
      <c r="A567" t="s">
        <v>71</v>
      </c>
      <c r="B567" t="s">
        <v>12</v>
      </c>
      <c r="D567" t="s">
        <v>34</v>
      </c>
      <c r="F567" t="s">
        <v>60</v>
      </c>
    </row>
    <row r="568" spans="1:6" x14ac:dyDescent="0.2">
      <c r="A568" t="s">
        <v>71</v>
      </c>
      <c r="B568" t="s">
        <v>23</v>
      </c>
      <c r="D568" t="s">
        <v>24</v>
      </c>
      <c r="F568" t="s">
        <v>60</v>
      </c>
    </row>
    <row r="569" spans="1:6" x14ac:dyDescent="0.2">
      <c r="A569" t="s">
        <v>71</v>
      </c>
      <c r="B569" t="s">
        <v>15</v>
      </c>
      <c r="D569" t="s">
        <v>29</v>
      </c>
      <c r="F569" t="s">
        <v>60</v>
      </c>
    </row>
    <row r="570" spans="1:6" x14ac:dyDescent="0.2">
      <c r="A570" t="s">
        <v>71</v>
      </c>
      <c r="B570" t="s">
        <v>18</v>
      </c>
      <c r="D570" t="s">
        <v>14</v>
      </c>
      <c r="F570" t="s">
        <v>60</v>
      </c>
    </row>
    <row r="571" spans="1:6" x14ac:dyDescent="0.2">
      <c r="A571" t="s">
        <v>71</v>
      </c>
      <c r="B571" t="s">
        <v>40</v>
      </c>
      <c r="D571" t="s">
        <v>55</v>
      </c>
      <c r="F571" t="s">
        <v>60</v>
      </c>
    </row>
    <row r="572" spans="1:6" x14ac:dyDescent="0.2">
      <c r="A572" t="s">
        <v>72</v>
      </c>
      <c r="B572" t="s">
        <v>32</v>
      </c>
      <c r="D572" t="s">
        <v>31</v>
      </c>
      <c r="F572" t="s">
        <v>60</v>
      </c>
    </row>
    <row r="573" spans="1:6" x14ac:dyDescent="0.2">
      <c r="A573" t="s">
        <v>72</v>
      </c>
      <c r="B573" t="s">
        <v>28</v>
      </c>
      <c r="D573" t="s">
        <v>13</v>
      </c>
      <c r="F573" t="s">
        <v>60</v>
      </c>
    </row>
    <row r="574" spans="1:6" x14ac:dyDescent="0.2">
      <c r="A574" t="s">
        <v>72</v>
      </c>
      <c r="B574" t="s">
        <v>38</v>
      </c>
      <c r="D574" t="s">
        <v>27</v>
      </c>
      <c r="F574" t="s">
        <v>60</v>
      </c>
    </row>
    <row r="575" spans="1:6" x14ac:dyDescent="0.2">
      <c r="A575" t="s">
        <v>72</v>
      </c>
      <c r="B575" t="s">
        <v>35</v>
      </c>
      <c r="D575" t="s">
        <v>37</v>
      </c>
      <c r="F575" t="s">
        <v>60</v>
      </c>
    </row>
    <row r="576" spans="1:6" x14ac:dyDescent="0.2">
      <c r="A576" t="s">
        <v>73</v>
      </c>
      <c r="B576" t="s">
        <v>18</v>
      </c>
      <c r="D576" t="s">
        <v>21</v>
      </c>
      <c r="F576" t="s">
        <v>60</v>
      </c>
    </row>
    <row r="577" spans="1:6" x14ac:dyDescent="0.2">
      <c r="A577" t="s">
        <v>73</v>
      </c>
      <c r="B577" t="s">
        <v>11</v>
      </c>
      <c r="D577" t="s">
        <v>25</v>
      </c>
      <c r="F577" t="s">
        <v>60</v>
      </c>
    </row>
    <row r="578" spans="1:6" x14ac:dyDescent="0.2">
      <c r="A578" t="s">
        <v>73</v>
      </c>
      <c r="B578" t="s">
        <v>27</v>
      </c>
      <c r="D578" t="s">
        <v>10</v>
      </c>
      <c r="F578" t="s">
        <v>60</v>
      </c>
    </row>
    <row r="579" spans="1:6" x14ac:dyDescent="0.2">
      <c r="A579" t="s">
        <v>73</v>
      </c>
      <c r="B579" t="s">
        <v>55</v>
      </c>
      <c r="D579" t="s">
        <v>12</v>
      </c>
      <c r="F579" t="s">
        <v>60</v>
      </c>
    </row>
    <row r="580" spans="1:6" x14ac:dyDescent="0.2">
      <c r="A580" t="s">
        <v>73</v>
      </c>
      <c r="B580" t="s">
        <v>39</v>
      </c>
      <c r="D580" t="s">
        <v>26</v>
      </c>
      <c r="F580" t="s">
        <v>60</v>
      </c>
    </row>
    <row r="581" spans="1:6" x14ac:dyDescent="0.2">
      <c r="A581" t="s">
        <v>73</v>
      </c>
      <c r="B581" t="s">
        <v>16</v>
      </c>
      <c r="D581" t="s">
        <v>17</v>
      </c>
      <c r="F581" t="s">
        <v>60</v>
      </c>
    </row>
    <row r="582" spans="1:6" x14ac:dyDescent="0.2">
      <c r="A582" t="s">
        <v>73</v>
      </c>
      <c r="B582" t="s">
        <v>32</v>
      </c>
      <c r="D582" t="s">
        <v>13</v>
      </c>
      <c r="F582" t="s">
        <v>60</v>
      </c>
    </row>
    <row r="583" spans="1:6" x14ac:dyDescent="0.2">
      <c r="A583" t="s">
        <v>73</v>
      </c>
      <c r="B583" t="s">
        <v>29</v>
      </c>
      <c r="D583" t="s">
        <v>34</v>
      </c>
      <c r="F583" t="s">
        <v>60</v>
      </c>
    </row>
    <row r="584" spans="1:6" x14ac:dyDescent="0.2">
      <c r="A584" t="s">
        <v>73</v>
      </c>
      <c r="B584" t="s">
        <v>24</v>
      </c>
      <c r="D584" t="s">
        <v>30</v>
      </c>
      <c r="F584" t="s">
        <v>60</v>
      </c>
    </row>
    <row r="585" spans="1:6" x14ac:dyDescent="0.2">
      <c r="A585" t="s">
        <v>73</v>
      </c>
      <c r="B585" t="s">
        <v>23</v>
      </c>
      <c r="D585" t="s">
        <v>36</v>
      </c>
      <c r="F585" t="s">
        <v>60</v>
      </c>
    </row>
    <row r="586" spans="1:6" x14ac:dyDescent="0.2">
      <c r="A586" t="s">
        <v>73</v>
      </c>
      <c r="B586" t="s">
        <v>14</v>
      </c>
      <c r="D586" t="s">
        <v>19</v>
      </c>
      <c r="F586" t="s">
        <v>60</v>
      </c>
    </row>
    <row r="587" spans="1:6" x14ac:dyDescent="0.2">
      <c r="A587" t="s">
        <v>73</v>
      </c>
      <c r="B587" t="s">
        <v>33</v>
      </c>
      <c r="D587" t="s">
        <v>20</v>
      </c>
      <c r="F587" t="s">
        <v>60</v>
      </c>
    </row>
    <row r="588" spans="1:6" x14ac:dyDescent="0.2">
      <c r="A588" t="s">
        <v>73</v>
      </c>
      <c r="B588" t="s">
        <v>15</v>
      </c>
      <c r="D588" t="s">
        <v>22</v>
      </c>
      <c r="F588" t="s">
        <v>60</v>
      </c>
    </row>
    <row r="589" spans="1:6" x14ac:dyDescent="0.2">
      <c r="A589" t="s">
        <v>74</v>
      </c>
      <c r="B589" t="s">
        <v>21</v>
      </c>
      <c r="D589" t="s">
        <v>23</v>
      </c>
      <c r="F589" t="s">
        <v>60</v>
      </c>
    </row>
    <row r="590" spans="1:6" x14ac:dyDescent="0.2">
      <c r="A590" t="s">
        <v>74</v>
      </c>
      <c r="B590" t="s">
        <v>26</v>
      </c>
      <c r="D590" t="s">
        <v>25</v>
      </c>
      <c r="F590" t="s">
        <v>60</v>
      </c>
    </row>
    <row r="591" spans="1:6" x14ac:dyDescent="0.2">
      <c r="A591" t="s">
        <v>74</v>
      </c>
      <c r="B591" t="s">
        <v>17</v>
      </c>
      <c r="D591" t="s">
        <v>16</v>
      </c>
      <c r="F591" t="s">
        <v>60</v>
      </c>
    </row>
    <row r="592" spans="1:6" x14ac:dyDescent="0.2">
      <c r="A592" t="s">
        <v>74</v>
      </c>
      <c r="B592" t="s">
        <v>10</v>
      </c>
      <c r="D592" t="s">
        <v>39</v>
      </c>
      <c r="F592" t="s">
        <v>60</v>
      </c>
    </row>
    <row r="593" spans="1:6" x14ac:dyDescent="0.2">
      <c r="A593" t="s">
        <v>74</v>
      </c>
      <c r="B593" t="s">
        <v>37</v>
      </c>
      <c r="D593" t="s">
        <v>11</v>
      </c>
      <c r="F593" t="s">
        <v>60</v>
      </c>
    </row>
    <row r="594" spans="1:6" x14ac:dyDescent="0.2">
      <c r="A594" t="s">
        <v>74</v>
      </c>
      <c r="B594" t="s">
        <v>31</v>
      </c>
      <c r="D594" t="s">
        <v>13</v>
      </c>
      <c r="F594" t="s">
        <v>60</v>
      </c>
    </row>
    <row r="595" spans="1:6" x14ac:dyDescent="0.2">
      <c r="A595" t="s">
        <v>74</v>
      </c>
      <c r="B595" t="s">
        <v>22</v>
      </c>
      <c r="D595" t="s">
        <v>24</v>
      </c>
      <c r="F595" t="s">
        <v>60</v>
      </c>
    </row>
    <row r="596" spans="1:6" x14ac:dyDescent="0.2">
      <c r="A596" t="s">
        <v>74</v>
      </c>
      <c r="B596" t="s">
        <v>15</v>
      </c>
      <c r="D596" t="s">
        <v>30</v>
      </c>
      <c r="F596" t="s">
        <v>60</v>
      </c>
    </row>
    <row r="597" spans="1:6" x14ac:dyDescent="0.2">
      <c r="A597" t="s">
        <v>74</v>
      </c>
      <c r="B597" t="s">
        <v>29</v>
      </c>
      <c r="D597" t="s">
        <v>35</v>
      </c>
      <c r="F597" t="s">
        <v>60</v>
      </c>
    </row>
    <row r="598" spans="1:6" x14ac:dyDescent="0.2">
      <c r="A598" t="s">
        <v>74</v>
      </c>
      <c r="B598" t="s">
        <v>36</v>
      </c>
      <c r="D598" t="s">
        <v>19</v>
      </c>
      <c r="F598" t="s">
        <v>60</v>
      </c>
    </row>
    <row r="599" spans="1:6" x14ac:dyDescent="0.2">
      <c r="A599" t="s">
        <v>74</v>
      </c>
      <c r="B599" t="s">
        <v>33</v>
      </c>
      <c r="D599" t="s">
        <v>38</v>
      </c>
      <c r="F599" t="s">
        <v>60</v>
      </c>
    </row>
    <row r="600" spans="1:6" x14ac:dyDescent="0.2">
      <c r="A600" t="s">
        <v>74</v>
      </c>
      <c r="B600" t="s">
        <v>12</v>
      </c>
      <c r="D600" t="s">
        <v>20</v>
      </c>
      <c r="F600" t="s">
        <v>60</v>
      </c>
    </row>
    <row r="601" spans="1:6" x14ac:dyDescent="0.2">
      <c r="A601" t="s">
        <v>74</v>
      </c>
      <c r="B601" t="s">
        <v>34</v>
      </c>
      <c r="D601" t="s">
        <v>40</v>
      </c>
      <c r="F601" t="s">
        <v>60</v>
      </c>
    </row>
    <row r="602" spans="1:6" x14ac:dyDescent="0.2">
      <c r="A602" t="s">
        <v>75</v>
      </c>
      <c r="B602" t="s">
        <v>30</v>
      </c>
      <c r="D602" t="s">
        <v>28</v>
      </c>
      <c r="F602" t="s">
        <v>60</v>
      </c>
    </row>
    <row r="603" spans="1:6" x14ac:dyDescent="0.2">
      <c r="A603" t="s">
        <v>75</v>
      </c>
      <c r="B603" t="s">
        <v>14</v>
      </c>
      <c r="D603" t="s">
        <v>10</v>
      </c>
      <c r="F603" t="s">
        <v>60</v>
      </c>
    </row>
    <row r="604" spans="1:6" x14ac:dyDescent="0.2">
      <c r="A604" t="s">
        <v>75</v>
      </c>
      <c r="B604" t="s">
        <v>19</v>
      </c>
      <c r="D604" t="s">
        <v>26</v>
      </c>
      <c r="F604" t="s">
        <v>60</v>
      </c>
    </row>
    <row r="605" spans="1:6" x14ac:dyDescent="0.2">
      <c r="A605" t="s">
        <v>75</v>
      </c>
      <c r="B605" t="s">
        <v>27</v>
      </c>
      <c r="D605" t="s">
        <v>32</v>
      </c>
      <c r="F605" t="s">
        <v>60</v>
      </c>
    </row>
    <row r="606" spans="1:6" x14ac:dyDescent="0.2">
      <c r="A606" t="s">
        <v>75</v>
      </c>
      <c r="B606" t="s">
        <v>18</v>
      </c>
      <c r="D606" t="s">
        <v>37</v>
      </c>
      <c r="F606" t="s">
        <v>60</v>
      </c>
    </row>
    <row r="607" spans="1:6" x14ac:dyDescent="0.2">
      <c r="A607" t="s">
        <v>76</v>
      </c>
      <c r="B607" t="s">
        <v>33</v>
      </c>
      <c r="D607" t="s">
        <v>31</v>
      </c>
      <c r="F607" t="s">
        <v>60</v>
      </c>
    </row>
    <row r="608" spans="1:6" x14ac:dyDescent="0.2">
      <c r="A608" t="s">
        <v>76</v>
      </c>
      <c r="B608" t="s">
        <v>15</v>
      </c>
      <c r="D608" t="s">
        <v>25</v>
      </c>
      <c r="F608" t="s">
        <v>60</v>
      </c>
    </row>
    <row r="609" spans="1:6" x14ac:dyDescent="0.2">
      <c r="A609" t="s">
        <v>76</v>
      </c>
      <c r="B609" t="s">
        <v>21</v>
      </c>
      <c r="D609" t="s">
        <v>16</v>
      </c>
      <c r="F609" t="s">
        <v>60</v>
      </c>
    </row>
    <row r="610" spans="1:6" x14ac:dyDescent="0.2">
      <c r="A610" t="s">
        <v>76</v>
      </c>
      <c r="B610" t="s">
        <v>13</v>
      </c>
      <c r="D610" t="s">
        <v>12</v>
      </c>
      <c r="F610" t="s">
        <v>60</v>
      </c>
    </row>
    <row r="611" spans="1:6" x14ac:dyDescent="0.2">
      <c r="A611" t="s">
        <v>76</v>
      </c>
      <c r="B611" t="s">
        <v>22</v>
      </c>
      <c r="D611" t="s">
        <v>11</v>
      </c>
      <c r="F611" t="s">
        <v>60</v>
      </c>
    </row>
    <row r="612" spans="1:6" x14ac:dyDescent="0.2">
      <c r="A612" t="s">
        <v>76</v>
      </c>
      <c r="B612" t="s">
        <v>28</v>
      </c>
      <c r="D612" t="s">
        <v>36</v>
      </c>
      <c r="F612" t="s">
        <v>60</v>
      </c>
    </row>
    <row r="613" spans="1:6" x14ac:dyDescent="0.2">
      <c r="A613" t="s">
        <v>76</v>
      </c>
      <c r="B613" t="s">
        <v>38</v>
      </c>
      <c r="D613" t="s">
        <v>32</v>
      </c>
      <c r="F613" t="s">
        <v>60</v>
      </c>
    </row>
    <row r="614" spans="1:6" x14ac:dyDescent="0.2">
      <c r="A614" t="s">
        <v>76</v>
      </c>
      <c r="B614" t="s">
        <v>23</v>
      </c>
      <c r="D614" t="s">
        <v>35</v>
      </c>
      <c r="F614" t="s">
        <v>60</v>
      </c>
    </row>
    <row r="615" spans="1:6" x14ac:dyDescent="0.2">
      <c r="A615" t="s">
        <v>76</v>
      </c>
      <c r="B615" t="s">
        <v>29</v>
      </c>
      <c r="D615" t="s">
        <v>55</v>
      </c>
      <c r="F615" t="s">
        <v>60</v>
      </c>
    </row>
    <row r="616" spans="1:6" x14ac:dyDescent="0.2">
      <c r="A616" t="s">
        <v>76</v>
      </c>
      <c r="B616" t="s">
        <v>34</v>
      </c>
      <c r="D616" t="s">
        <v>20</v>
      </c>
      <c r="F616" t="s">
        <v>60</v>
      </c>
    </row>
    <row r="617" spans="1:6" x14ac:dyDescent="0.2">
      <c r="A617" t="s">
        <v>76</v>
      </c>
      <c r="B617" t="s">
        <v>17</v>
      </c>
      <c r="D617" t="s">
        <v>40</v>
      </c>
      <c r="F617" t="s">
        <v>60</v>
      </c>
    </row>
    <row r="618" spans="1:6" x14ac:dyDescent="0.2">
      <c r="A618" t="s">
        <v>77</v>
      </c>
      <c r="B618" t="s">
        <v>30</v>
      </c>
      <c r="D618" t="s">
        <v>10</v>
      </c>
      <c r="F618" t="s">
        <v>60</v>
      </c>
    </row>
    <row r="619" spans="1:6" x14ac:dyDescent="0.2">
      <c r="A619" t="s">
        <v>77</v>
      </c>
      <c r="B619" t="s">
        <v>18</v>
      </c>
      <c r="D619" t="s">
        <v>11</v>
      </c>
      <c r="F619" t="s">
        <v>60</v>
      </c>
    </row>
    <row r="620" spans="1:6" x14ac:dyDescent="0.2">
      <c r="A620" t="s">
        <v>77</v>
      </c>
      <c r="B620" t="s">
        <v>25</v>
      </c>
      <c r="D620" t="s">
        <v>14</v>
      </c>
      <c r="F620" t="s">
        <v>60</v>
      </c>
    </row>
    <row r="621" spans="1:6" x14ac:dyDescent="0.2">
      <c r="A621" t="s">
        <v>77</v>
      </c>
      <c r="B621" t="s">
        <v>24</v>
      </c>
      <c r="D621" t="s">
        <v>19</v>
      </c>
      <c r="F621" t="s">
        <v>60</v>
      </c>
    </row>
    <row r="622" spans="1:6" x14ac:dyDescent="0.2">
      <c r="A622" t="s">
        <v>77</v>
      </c>
      <c r="B622" t="s">
        <v>27</v>
      </c>
      <c r="D622" t="s">
        <v>38</v>
      </c>
      <c r="F622" t="s">
        <v>60</v>
      </c>
    </row>
    <row r="623" spans="1:6" x14ac:dyDescent="0.2">
      <c r="A623" t="s">
        <v>78</v>
      </c>
      <c r="B623" t="s">
        <v>37</v>
      </c>
      <c r="D623" t="s">
        <v>31</v>
      </c>
      <c r="F623" t="s">
        <v>60</v>
      </c>
    </row>
    <row r="624" spans="1:6" x14ac:dyDescent="0.2">
      <c r="A624" t="s">
        <v>78</v>
      </c>
      <c r="B624" t="s">
        <v>24</v>
      </c>
      <c r="D624" t="s">
        <v>28</v>
      </c>
      <c r="F624" t="s">
        <v>60</v>
      </c>
    </row>
    <row r="625" spans="1:6" x14ac:dyDescent="0.2">
      <c r="A625" t="s">
        <v>78</v>
      </c>
      <c r="B625" t="s">
        <v>27</v>
      </c>
      <c r="D625" t="s">
        <v>16</v>
      </c>
      <c r="F625" t="s">
        <v>60</v>
      </c>
    </row>
    <row r="626" spans="1:6" x14ac:dyDescent="0.2">
      <c r="A626" t="s">
        <v>78</v>
      </c>
      <c r="B626" t="s">
        <v>35</v>
      </c>
      <c r="D626" t="s">
        <v>12</v>
      </c>
      <c r="F626" t="s">
        <v>60</v>
      </c>
    </row>
    <row r="627" spans="1:6" x14ac:dyDescent="0.2">
      <c r="A627" t="s">
        <v>78</v>
      </c>
      <c r="B627" t="s">
        <v>23</v>
      </c>
      <c r="D627" t="s">
        <v>39</v>
      </c>
      <c r="F627" t="s">
        <v>60</v>
      </c>
    </row>
    <row r="628" spans="1:6" x14ac:dyDescent="0.2">
      <c r="A628" t="s">
        <v>78</v>
      </c>
      <c r="B628" t="s">
        <v>40</v>
      </c>
      <c r="D628" t="s">
        <v>26</v>
      </c>
      <c r="F628" t="s">
        <v>60</v>
      </c>
    </row>
    <row r="629" spans="1:6" x14ac:dyDescent="0.2">
      <c r="A629" t="s">
        <v>78</v>
      </c>
      <c r="B629" t="s">
        <v>21</v>
      </c>
      <c r="D629" t="s">
        <v>17</v>
      </c>
      <c r="F629" t="s">
        <v>60</v>
      </c>
    </row>
    <row r="630" spans="1:6" x14ac:dyDescent="0.2">
      <c r="A630" t="s">
        <v>78</v>
      </c>
      <c r="B630" t="s">
        <v>34</v>
      </c>
      <c r="D630" t="s">
        <v>33</v>
      </c>
      <c r="F630" t="s">
        <v>60</v>
      </c>
    </row>
    <row r="631" spans="1:6" x14ac:dyDescent="0.2">
      <c r="A631" t="s">
        <v>78</v>
      </c>
      <c r="B631" t="s">
        <v>29</v>
      </c>
      <c r="D631" t="s">
        <v>20</v>
      </c>
      <c r="F631" t="s">
        <v>60</v>
      </c>
    </row>
    <row r="632" spans="1:6" x14ac:dyDescent="0.2">
      <c r="A632" t="s">
        <v>78</v>
      </c>
      <c r="B632" t="s">
        <v>15</v>
      </c>
      <c r="D632" t="s">
        <v>22</v>
      </c>
      <c r="F632" t="s">
        <v>60</v>
      </c>
    </row>
    <row r="633" spans="1:6" x14ac:dyDescent="0.2">
      <c r="A633" t="s">
        <v>79</v>
      </c>
      <c r="B633" t="s">
        <v>18</v>
      </c>
      <c r="D633" t="s">
        <v>25</v>
      </c>
      <c r="F633" t="s">
        <v>60</v>
      </c>
    </row>
    <row r="634" spans="1:6" x14ac:dyDescent="0.2">
      <c r="A634" t="s">
        <v>79</v>
      </c>
      <c r="B634" t="s">
        <v>39</v>
      </c>
      <c r="D634" t="s">
        <v>10</v>
      </c>
      <c r="F634" t="s">
        <v>60</v>
      </c>
    </row>
    <row r="635" spans="1:6" x14ac:dyDescent="0.2">
      <c r="A635" t="s">
        <v>79</v>
      </c>
      <c r="B635" t="s">
        <v>37</v>
      </c>
      <c r="D635" t="s">
        <v>13</v>
      </c>
      <c r="F635" t="s">
        <v>60</v>
      </c>
    </row>
    <row r="636" spans="1:6" x14ac:dyDescent="0.2">
      <c r="A636" t="s">
        <v>79</v>
      </c>
      <c r="B636" t="s">
        <v>55</v>
      </c>
      <c r="D636" t="s">
        <v>30</v>
      </c>
      <c r="F636" t="s">
        <v>60</v>
      </c>
    </row>
    <row r="637" spans="1:6" x14ac:dyDescent="0.2">
      <c r="A637" t="s">
        <v>79</v>
      </c>
      <c r="B637" t="s">
        <v>22</v>
      </c>
      <c r="D637" t="s">
        <v>36</v>
      </c>
      <c r="F637" t="s">
        <v>60</v>
      </c>
    </row>
    <row r="638" spans="1:6" x14ac:dyDescent="0.2">
      <c r="A638" t="s">
        <v>79</v>
      </c>
      <c r="B638" t="s">
        <v>26</v>
      </c>
      <c r="D638" t="s">
        <v>14</v>
      </c>
      <c r="F638" t="s">
        <v>60</v>
      </c>
    </row>
    <row r="639" spans="1:6" x14ac:dyDescent="0.2">
      <c r="A639" t="s">
        <v>79</v>
      </c>
      <c r="B639" t="s">
        <v>29</v>
      </c>
      <c r="D639" t="s">
        <v>32</v>
      </c>
      <c r="F639" t="s">
        <v>60</v>
      </c>
    </row>
    <row r="640" spans="1:6" x14ac:dyDescent="0.2">
      <c r="A640" t="s">
        <v>79</v>
      </c>
      <c r="B640" t="s">
        <v>40</v>
      </c>
      <c r="D640" t="s">
        <v>19</v>
      </c>
      <c r="F640" t="s">
        <v>60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zoomScale="90" zoomScaleNormal="90" workbookViewId="0">
      <selection activeCell="I7" sqref="I7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8.3413922871340071E-2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2580.6806646147779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0.25846513585567971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-6.8723651500357003E-2</v>
      </c>
      <c r="J7">
        <f>(Table3[[#This Row],[HomeMargin]]-Table3[[#This Row],[HomeForecast]])^2</f>
        <v>1.1421702432762566</v>
      </c>
    </row>
    <row r="8" spans="1:10" x14ac:dyDescent="0.2">
      <c r="A8" s="4" t="s">
        <v>21</v>
      </c>
      <c r="B8">
        <v>0.2169753953839102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-1.5661821151143889</v>
      </c>
      <c r="J8">
        <f>(Table3[[#This Row],[HomeMargin]]-Table3[[#This Row],[HomeForecast]])^2</f>
        <v>2.0558337270178475</v>
      </c>
    </row>
    <row r="9" spans="1:10" x14ac:dyDescent="0.2">
      <c r="A9" s="4" t="s">
        <v>23</v>
      </c>
      <c r="B9">
        <v>-0.32833039474346476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3.411427532284983E-2</v>
      </c>
      <c r="J9">
        <f>(Table3[[#This Row],[HomeMargin]]-Table3[[#This Row],[HomeForecast]])^2</f>
        <v>9.2058494357179015</v>
      </c>
    </row>
    <row r="10" spans="1:10" x14ac:dyDescent="0.2">
      <c r="A10" s="4" t="s">
        <v>16</v>
      </c>
      <c r="B10">
        <v>-0.64492670113602302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0.55202558523079026</v>
      </c>
      <c r="J10">
        <f>(Table3[[#This Row],[HomeMargin]]-Table3[[#This Row],[HomeForecast]])^2</f>
        <v>2.408783417210977</v>
      </c>
    </row>
    <row r="11" spans="1:10" x14ac:dyDescent="0.2">
      <c r="A11" s="4" t="s">
        <v>25</v>
      </c>
      <c r="B11">
        <v>0.63414563871719487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0.28630538225927787</v>
      </c>
      <c r="J11">
        <f>(Table3[[#This Row],[HomeMargin]]-Table3[[#This Row],[HomeForecast]])^2</f>
        <v>7.3641384783549633</v>
      </c>
    </row>
    <row r="12" spans="1:10" x14ac:dyDescent="0.2">
      <c r="A12" s="4" t="s">
        <v>10</v>
      </c>
      <c r="B12">
        <v>-8.0981007952892342E-2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0.17379446987821487</v>
      </c>
      <c r="J12">
        <f>(Table3[[#This Row],[HomeMargin]]-Table3[[#This Row],[HomeForecast]])^2</f>
        <v>1.3777934575166793</v>
      </c>
    </row>
    <row r="13" spans="1:10" x14ac:dyDescent="0.2">
      <c r="A13" s="4" t="s">
        <v>12</v>
      </c>
      <c r="B13">
        <v>1.7429147091761512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0.82275965798351614</v>
      </c>
      <c r="J13">
        <f>(Table3[[#This Row],[HomeMargin]]-Table3[[#This Row],[HomeForecast]])^2</f>
        <v>7.9679720867392172</v>
      </c>
    </row>
    <row r="14" spans="1:10" x14ac:dyDescent="0.2">
      <c r="A14" s="4" t="s">
        <v>28</v>
      </c>
      <c r="B14">
        <v>-0.21858969522472316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0.3813703262081426</v>
      </c>
      <c r="J14">
        <f>(Table3[[#This Row],[HomeMargin]]-Table3[[#This Row],[HomeForecast]])^2</f>
        <v>0.38270267329581992</v>
      </c>
    </row>
    <row r="15" spans="1:10" x14ac:dyDescent="0.2">
      <c r="A15" s="4" t="s">
        <v>39</v>
      </c>
      <c r="B15">
        <v>0.85927171572006034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-0.4633416838527411</v>
      </c>
      <c r="J15">
        <f>(Table3[[#This Row],[HomeMargin]]-Table3[[#This Row],[HomeForecast]])^2</f>
        <v>12.507952045173564</v>
      </c>
    </row>
    <row r="16" spans="1:10" x14ac:dyDescent="0.2">
      <c r="A16" s="4" t="s">
        <v>26</v>
      </c>
      <c r="B16">
        <v>-0.46779379272887778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0.71786261566823539</v>
      </c>
      <c r="J16">
        <f>(Table3[[#This Row],[HomeMargin]]-Table3[[#This Row],[HomeForecast]])^2</f>
        <v>5.208151040964629</v>
      </c>
    </row>
    <row r="17" spans="1:10" x14ac:dyDescent="0.2">
      <c r="A17" s="4" t="s">
        <v>17</v>
      </c>
      <c r="B17">
        <v>-0.17631503877657284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1.6628173902095751</v>
      </c>
      <c r="J17">
        <f>(Table3[[#This Row],[HomeMargin]]-Table3[[#This Row],[HomeForecast]])^2</f>
        <v>0.43932689276423215</v>
      </c>
    </row>
    <row r="18" spans="1:10" x14ac:dyDescent="0.2">
      <c r="A18" s="4" t="s">
        <v>11</v>
      </c>
      <c r="B18">
        <v>-0.2331185823245894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-0.1488339610357948</v>
      </c>
      <c r="J18">
        <f>(Table3[[#This Row],[HomeMargin]]-Table3[[#This Row],[HomeForecast]])^2</f>
        <v>14.831479859671246</v>
      </c>
    </row>
    <row r="19" spans="1:10" x14ac:dyDescent="0.2">
      <c r="A19" s="4" t="s">
        <v>13</v>
      </c>
      <c r="B19">
        <v>9.3318671190422225E-2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-0.20700219225519084</v>
      </c>
      <c r="J19">
        <f>(Table3[[#This Row],[HomeMargin]]-Table3[[#This Row],[HomeForecast]])^2</f>
        <v>1.4568542921088365</v>
      </c>
    </row>
    <row r="20" spans="1:10" x14ac:dyDescent="0.2">
      <c r="A20" s="4" t="s">
        <v>34</v>
      </c>
      <c r="B20">
        <v>5.5764706436567675E-2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-0.56970676770622586</v>
      </c>
      <c r="J20">
        <f>(Table3[[#This Row],[HomeMargin]]-Table3[[#This Row],[HomeForecast]])^2</f>
        <v>2.4639793365827272</v>
      </c>
    </row>
    <row r="21" spans="1:10" x14ac:dyDescent="0.2">
      <c r="A21" s="4" t="s">
        <v>18</v>
      </c>
      <c r="B21">
        <v>-0.23554590882174289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-7.2449471030221702E-2</v>
      </c>
      <c r="J21">
        <f>(Table3[[#This Row],[HomeMargin]]-Table3[[#This Row],[HomeForecast]])^2</f>
        <v>1.1501478679130024</v>
      </c>
    </row>
    <row r="22" spans="1:10" x14ac:dyDescent="0.2">
      <c r="A22" s="4" t="s">
        <v>29</v>
      </c>
      <c r="B22">
        <v>-0.8717103858022891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-0.68941537603836522</v>
      </c>
      <c r="J22">
        <f>(Table3[[#This Row],[HomeMargin]]-Table3[[#This Row],[HomeForecast]])^2</f>
        <v>7.2329550648715815</v>
      </c>
    </row>
    <row r="23" spans="1:10" x14ac:dyDescent="0.2">
      <c r="A23" s="4" t="s">
        <v>24</v>
      </c>
      <c r="B23">
        <v>-3.0305407970040489E-4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-0.48486382663815869</v>
      </c>
      <c r="J23">
        <f>(Table3[[#This Row],[HomeMargin]]-Table3[[#This Row],[HomeForecast]])^2</f>
        <v>0.26536527710588109</v>
      </c>
    </row>
    <row r="24" spans="1:10" x14ac:dyDescent="0.2">
      <c r="A24" s="4" t="s">
        <v>30</v>
      </c>
      <c r="B24">
        <v>0.42358825343066847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-0.97945817086976628</v>
      </c>
      <c r="J24">
        <f>(Table3[[#This Row],[HomeMargin]]-Table3[[#This Row],[HomeForecast]])^2</f>
        <v>16.164756599785882</v>
      </c>
    </row>
    <row r="25" spans="1:10" x14ac:dyDescent="0.2">
      <c r="A25" s="4" t="s">
        <v>15</v>
      </c>
      <c r="B25">
        <v>0.21842521198061643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0.94045159281423873</v>
      </c>
      <c r="J25">
        <f>(Table3[[#This Row],[HomeMargin]]-Table3[[#This Row],[HomeForecast]])^2</f>
        <v>3.765352384055316</v>
      </c>
    </row>
    <row r="26" spans="1:10" x14ac:dyDescent="0.2">
      <c r="A26" s="4" t="s">
        <v>36</v>
      </c>
      <c r="B26">
        <v>-0.1785578406462007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0.14646717157664968</v>
      </c>
      <c r="J26">
        <f>(Table3[[#This Row],[HomeMargin]]-Table3[[#This Row],[HomeForecast]])^2</f>
        <v>14.849715259736467</v>
      </c>
    </row>
    <row r="27" spans="1:10" x14ac:dyDescent="0.2">
      <c r="A27" s="4" t="s">
        <v>27</v>
      </c>
      <c r="B27">
        <v>5.7297532801941484E-2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-0.85279100378962491</v>
      </c>
      <c r="J27">
        <f>(Table3[[#This Row],[HomeMargin]]-Table3[[#This Row],[HomeForecast]])^2</f>
        <v>2.1670488565266228E-2</v>
      </c>
    </row>
    <row r="28" spans="1:10" x14ac:dyDescent="0.2">
      <c r="A28" s="4" t="s">
        <v>14</v>
      </c>
      <c r="B28">
        <v>0.26772485952910668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0.62871971299871499</v>
      </c>
      <c r="J28">
        <f>(Table3[[#This Row],[HomeMargin]]-Table3[[#This Row],[HomeForecast]])^2</f>
        <v>1.8804096255183267</v>
      </c>
    </row>
    <row r="29" spans="1:10" x14ac:dyDescent="0.2">
      <c r="A29" s="4" t="s">
        <v>33</v>
      </c>
      <c r="B29">
        <v>-0.38457853131220177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0.66026202878659346</v>
      </c>
      <c r="J29">
        <f>(Table3[[#This Row],[HomeMargin]]-Table3[[#This Row],[HomeForecast]])^2</f>
        <v>0.11542188908420145</v>
      </c>
    </row>
    <row r="30" spans="1:10" x14ac:dyDescent="0.2">
      <c r="A30" s="4" t="s">
        <v>32</v>
      </c>
      <c r="B30">
        <v>-0.51436416305402566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0.4455946090398557</v>
      </c>
      <c r="J30">
        <f>(Table3[[#This Row],[HomeMargin]]-Table3[[#This Row],[HomeForecast]])^2</f>
        <v>5.9809329917648046</v>
      </c>
    </row>
    <row r="31" spans="1:10" x14ac:dyDescent="0.2">
      <c r="A31" s="4" t="s">
        <v>35</v>
      </c>
      <c r="B31">
        <v>-1.0071073873045386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0.23797882374019064</v>
      </c>
      <c r="J31">
        <f>(Table3[[#This Row],[HomeMargin]]-Table3[[#This Row],[HomeForecast]])^2</f>
        <v>1.5325915680291462</v>
      </c>
    </row>
    <row r="32" spans="1:10" x14ac:dyDescent="0.2">
      <c r="A32" s="4" t="s">
        <v>37</v>
      </c>
      <c r="B32">
        <v>0.67847982929669792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0.96705691632743085</v>
      </c>
      <c r="J32">
        <f>(Table3[[#This Row],[HomeMargin]]-Table3[[#This Row],[HomeForecast]])^2</f>
        <v>3.8693129120715808</v>
      </c>
    </row>
    <row r="33" spans="1:10" x14ac:dyDescent="0.2">
      <c r="A33" s="4" t="s">
        <v>19</v>
      </c>
      <c r="B33">
        <v>-3.2654449433805091E-2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-0.35172542042373262</v>
      </c>
      <c r="J33">
        <f>(Table3[[#This Row],[HomeMargin]]-Table3[[#This Row],[HomeForecast]])^2</f>
        <v>11.234063293914648</v>
      </c>
    </row>
    <row r="34" spans="1:10" x14ac:dyDescent="0.2">
      <c r="A34" t="s">
        <v>55</v>
      </c>
      <c r="B34">
        <v>0.16351124183791613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0.48897233652548067</v>
      </c>
      <c r="J34">
        <f>(Table3[[#This Row],[HomeMargin]]-Table3[[#This Row],[HomeForecast]])^2</f>
        <v>2.283204599785265</v>
      </c>
    </row>
    <row r="35" spans="1:10" x14ac:dyDescent="0.2">
      <c r="A35" s="4" t="s">
        <v>38</v>
      </c>
      <c r="B35">
        <v>-0.58187345243071342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2.8853181192951355E-2</v>
      </c>
      <c r="J35">
        <f>(Table3[[#This Row],[HomeMargin]]-Table3[[#This Row],[HomeForecast]])^2</f>
        <v>15.77000705652134</v>
      </c>
    </row>
    <row r="36" spans="1:10" x14ac:dyDescent="0.2">
      <c r="A36" s="4" t="s">
        <v>20</v>
      </c>
      <c r="B36">
        <v>0.18369921819729701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0.35776832453263091</v>
      </c>
      <c r="J36">
        <f>(Table3[[#This Row],[HomeMargin]]-Table3[[#This Row],[HomeForecast]])^2</f>
        <v>11.274608121234673</v>
      </c>
    </row>
    <row r="37" spans="1:10" x14ac:dyDescent="0.2">
      <c r="A37" s="4" t="s">
        <v>22</v>
      </c>
      <c r="B37">
        <v>0.95632113049608625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-0.95180770476886511</v>
      </c>
      <c r="J37">
        <f>(Table3[[#This Row],[HomeMargin]]-Table3[[#This Row],[HomeForecast]])^2</f>
        <v>2.3224973196448663E-3</v>
      </c>
    </row>
    <row r="38" spans="1:10" x14ac:dyDescent="0.2">
      <c r="A38" s="4" t="s">
        <v>40</v>
      </c>
      <c r="B38">
        <v>-7.6933210940904648E-2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-0.44931895419407775</v>
      </c>
      <c r="J38">
        <f>(Table3[[#This Row],[HomeMargin]]-Table3[[#This Row],[HomeForecast]])^2</f>
        <v>2.4046117058217482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0.13271357041983034</v>
      </c>
      <c r="J39">
        <f>(Table3[[#This Row],[HomeMargin]]-Table3[[#This Row],[HomeForecast]])^2</f>
        <v>26.344748595971883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-0.61464945837998264</v>
      </c>
      <c r="J40">
        <f>(Table3[[#This Row],[HomeMargin]]-Table3[[#This Row],[HomeForecast]])^2</f>
        <v>2.6070928734467711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-0.55962974429654144</v>
      </c>
      <c r="J41">
        <f>(Table3[[#This Row],[HomeMargin]]-Table3[[#This Row],[HomeForecast]])^2</f>
        <v>0.19392596210832946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0.76219680624773845</v>
      </c>
      <c r="J42">
        <f>(Table3[[#This Row],[HomeMargin]]-Table3[[#This Row],[HomeForecast]])^2</f>
        <v>7.6297311964452055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-8.6837959259986802E-2</v>
      </c>
      <c r="J43">
        <f>(Table3[[#This Row],[HomeMargin]]-Table3[[#This Row],[HomeForecast]])^2</f>
        <v>1.1812167496884127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-0.65448199564412968</v>
      </c>
      <c r="J44">
        <f>(Table3[[#This Row],[HomeMargin]]-Table3[[#This Row],[HomeForecast]])^2</f>
        <v>0.11938269133406322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-0.37809051104144764</v>
      </c>
      <c r="J45">
        <f>(Table3[[#This Row],[HomeMargin]]-Table3[[#This Row],[HomeForecast]])^2</f>
        <v>0.38677141245668778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-1.9878311810482758</v>
      </c>
      <c r="J46">
        <f>(Table3[[#This Row],[HomeMargin]]-Table3[[#This Row],[HomeForecast]])^2</f>
        <v>1.4808015467984131E-4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-0.13487271827368266</v>
      </c>
      <c r="J47">
        <f>(Table3[[#This Row],[HomeMargin]]-Table3[[#This Row],[HomeForecast]])^2</f>
        <v>0.74844521358716687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-0.16107832691946838</v>
      </c>
      <c r="J48">
        <f>(Table3[[#This Row],[HomeMargin]]-Table3[[#This Row],[HomeForecast]])^2</f>
        <v>4.6702595350810476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4.5859958117485528E-2</v>
      </c>
      <c r="J49">
        <f>(Table3[[#This Row],[HomeMargin]]-Table3[[#This Row],[HomeForecast]])^2</f>
        <v>0.91038321952356638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0.58393538724291316</v>
      </c>
      <c r="J50">
        <f>(Table3[[#This Row],[HomeMargin]]-Table3[[#This Row],[HomeForecast]])^2</f>
        <v>12.84459285993201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0.77656646802742846</v>
      </c>
      <c r="J51">
        <f>(Table3[[#This Row],[HomeMargin]]-Table3[[#This Row],[HomeForecast]])^2</f>
        <v>14.262454287429165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0.37383003799787096</v>
      </c>
      <c r="J52">
        <f>(Table3[[#This Row],[HomeMargin]]-Table3[[#This Row],[HomeForecast]])^2</f>
        <v>6.8967686693222641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0.51855326616641273</v>
      </c>
      <c r="J53">
        <f>(Table3[[#This Row],[HomeMargin]]-Table3[[#This Row],[HomeForecast]])^2</f>
        <v>2.30600402218468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0.5086478577451653</v>
      </c>
      <c r="J54">
        <f>(Table3[[#This Row],[HomeMargin]]-Table3[[#This Row],[HomeForecast]])^2</f>
        <v>12.310609789659738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7.4154199197913107E-2</v>
      </c>
      <c r="J55">
        <f>(Table3[[#This Row],[HomeMargin]]-Table3[[#This Row],[HomeForecast]])^2</f>
        <v>0.85719044686285761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-0.74521199646197989</v>
      </c>
      <c r="J56">
        <f>(Table3[[#This Row],[HomeMargin]]-Table3[[#This Row],[HomeForecast]])^2</f>
        <v>1.5744929338229303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0.8869209321548327</v>
      </c>
      <c r="J57">
        <f>(Table3[[#This Row],[HomeMargin]]-Table3[[#This Row],[HomeForecast]])^2</f>
        <v>4.4651031469654008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0.36223217710362282</v>
      </c>
      <c r="J58">
        <f>(Table3[[#This Row],[HomeMargin]]-Table3[[#This Row],[HomeForecast]])^2</f>
        <v>0.40674779592198479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0.47815417362852936</v>
      </c>
      <c r="J59">
        <f>(Table3[[#This Row],[HomeMargin]]-Table3[[#This Row],[HomeForecast]])^2</f>
        <v>6.1412481082724986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-0.93531024715805655</v>
      </c>
      <c r="J60">
        <f>(Table3[[#This Row],[HomeMargin]]-Table3[[#This Row],[HomeForecast]])^2</f>
        <v>9.3923232811744128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0.92246985923982405</v>
      </c>
      <c r="J61">
        <f>(Table3[[#This Row],[HomeMargin]]-Table3[[#This Row],[HomeForecast]])^2</f>
        <v>4.3161314857669959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0.36125522407072841</v>
      </c>
      <c r="J62">
        <f>(Table3[[#This Row],[HomeMargin]]-Table3[[#This Row],[HomeForecast]])^2</f>
        <v>0.40799488877693535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-6.6358631225923975E-2</v>
      </c>
      <c r="J63">
        <f>(Table3[[#This Row],[HomeMargin]]-Table3[[#This Row],[HomeForecast]])^2</f>
        <v>16.535272517745572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-0.15126128753294829</v>
      </c>
      <c r="J64">
        <f>(Table3[[#This Row],[HomeMargin]]-Table3[[#This Row],[HomeForecast]])^2</f>
        <v>9.930447702303816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-0.84271245648030624</v>
      </c>
      <c r="J65">
        <f>(Table3[[#This Row],[HomeMargin]]-Table3[[#This Row],[HomeForecast]])^2</f>
        <v>17.283039719504007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0.8918518658452792</v>
      </c>
      <c r="J66">
        <f>(Table3[[#This Row],[HomeMargin]]-Table3[[#This Row],[HomeForecast]])^2</f>
        <v>1.2279922872305891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-0.29226657999017508</v>
      </c>
      <c r="J67">
        <f>(Table3[[#This Row],[HomeMargin]]-Table3[[#This Row],[HomeForecast]])^2</f>
        <v>7.3318202738381029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-1.8780904815295343</v>
      </c>
      <c r="J68">
        <f>(Table3[[#This Row],[HomeMargin]]-Table3[[#This Row],[HomeForecast]])^2</f>
        <v>1.2586809676346322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1.5245590910221138</v>
      </c>
      <c r="J69">
        <f>(Table3[[#This Row],[HomeMargin]]-Table3[[#This Row],[HomeForecast]])^2</f>
        <v>12.422516786106629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-9.0992265467344402E-2</v>
      </c>
      <c r="J70">
        <f>(Table3[[#This Row],[HomeMargin]]-Table3[[#This Row],[HomeForecast]])^2</f>
        <v>3.6443105305055017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0.71957839985188632</v>
      </c>
      <c r="J71">
        <f>(Table3[[#This Row],[HomeMargin]]-Table3[[#This Row],[HomeForecast]])^2</f>
        <v>7.8636273829628553E-2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0.31622945111622908</v>
      </c>
      <c r="J72">
        <f>(Table3[[#This Row],[HomeMargin]]-Table3[[#This Row],[HomeForecast]])^2</f>
        <v>2.835083261288355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0.68331721507858134</v>
      </c>
      <c r="J73">
        <f>(Table3[[#This Row],[HomeMargin]]-Table3[[#This Row],[HomeForecast]])^2</f>
        <v>1.7336535561084228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0.41922024527916502</v>
      </c>
      <c r="J74">
        <f>(Table3[[#This Row],[HomeMargin]]-Table3[[#This Row],[HomeForecast]])^2</f>
        <v>0.33730512349359326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0.21764466661418619</v>
      </c>
      <c r="J75">
        <f>(Table3[[#This Row],[HomeMargin]]-Table3[[#This Row],[HomeForecast]])^2</f>
        <v>10.353237200590716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-0.16766573854308145</v>
      </c>
      <c r="J76">
        <f>(Table3[[#This Row],[HomeMargin]]-Table3[[#This Row],[HomeForecast]])^2</f>
        <v>1.3634432769673601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5.0137745684726898E-2</v>
      </c>
      <c r="J77">
        <f>(Table3[[#This Row],[HomeMargin]]-Table3[[#This Row],[HomeForecast]])^2</f>
        <v>0.90223830217289247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0.58430636734916119</v>
      </c>
      <c r="J78">
        <f>(Table3[[#This Row],[HomeMargin]]-Table3[[#This Row],[HomeForecast]])^2</f>
        <v>2.5100266656230947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-1.0628596991542356</v>
      </c>
      <c r="J79">
        <f>(Table3[[#This Row],[HomeMargin]]-Table3[[#This Row],[HomeForecast]])^2</f>
        <v>4.2553901383947021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0.63150369602145795</v>
      </c>
      <c r="J80">
        <f>(Table3[[#This Row],[HomeMargin]]-Table3[[#This Row],[HomeForecast]])^2</f>
        <v>5.609774741960015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0.98397034693085861</v>
      </c>
      <c r="J81">
        <f>(Table3[[#This Row],[HomeMargin]]-Table3[[#This Row],[HomeForecast]])^2</f>
        <v>9.0964348681923664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-1.1797889547535273E-2</v>
      </c>
      <c r="J82">
        <f>(Table3[[#This Row],[HomeMargin]]-Table3[[#This Row],[HomeForecast]])^2</f>
        <v>9.0709265274829871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-0.813655601650081</v>
      </c>
      <c r="J83">
        <f>(Table3[[#This Row],[HomeMargin]]-Table3[[#This Row],[HomeForecast]])^2</f>
        <v>3.2893466413967176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1.609353236663581</v>
      </c>
      <c r="J84">
        <f>(Table3[[#This Row],[HomeMargin]]-Table3[[#This Row],[HomeForecast]])^2</f>
        <v>1.9338984203780583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-0.45741304465543259</v>
      </c>
      <c r="J85">
        <f>(Table3[[#This Row],[HomeMargin]]-Table3[[#This Row],[HomeForecast]])^2</f>
        <v>0.29440060411008767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-0.37055719793101927</v>
      </c>
      <c r="J86">
        <f>(Table3[[#This Row],[HomeMargin]]-Table3[[#This Row],[HomeForecast]])^2</f>
        <v>0.39619824107645008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0.25942590756821249</v>
      </c>
      <c r="J87">
        <f>(Table3[[#This Row],[HomeMargin]]-Table3[[#This Row],[HomeForecast]])^2</f>
        <v>3.0295981712447411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-0.51873217120552906</v>
      </c>
      <c r="J88">
        <f>(Table3[[#This Row],[HomeMargin]]-Table3[[#This Row],[HomeForecast]])^2</f>
        <v>0.23161872303254419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8.4946749236713887E-2</v>
      </c>
      <c r="J89">
        <f>(Table3[[#This Row],[HomeMargin]]-Table3[[#This Row],[HomeForecast]])^2</f>
        <v>0.83732245173245745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-0.56888946796996831</v>
      </c>
      <c r="J90">
        <f>(Table3[[#This Row],[HomeMargin]]-Table3[[#This Row],[HomeForecast]])^2</f>
        <v>5.9102984189473444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-1.7829651801532589</v>
      </c>
      <c r="J91">
        <f>(Table3[[#This Row],[HomeMargin]]-Table3[[#This Row],[HomeForecast]])^2</f>
        <v>14.310825554251979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0.56512363649156061</v>
      </c>
      <c r="J92">
        <f>(Table3[[#This Row],[HomeMargin]]-Table3[[#This Row],[HomeForecast]])^2</f>
        <v>2.4496119975045669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0.91203984220466006</v>
      </c>
      <c r="J93">
        <f>(Table3[[#This Row],[HomeMargin]]-Table3[[#This Row],[HomeForecast]])^2</f>
        <v>16.711418251722101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0.87819109773272452</v>
      </c>
      <c r="J94">
        <f>(Table3[[#This Row],[HomeMargin]]-Table3[[#This Row],[HomeForecast]])^2</f>
        <v>4.5020730177406616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-0.25603222093723199</v>
      </c>
      <c r="J95">
        <f>(Table3[[#This Row],[HomeMargin]]-Table3[[#This Row],[HomeForecast]])^2</f>
        <v>1.5776169400325153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-0.20806483108096485</v>
      </c>
      <c r="J96">
        <f>(Table3[[#This Row],[HomeMargin]]-Table3[[#This Row],[HomeForecast]])^2</f>
        <v>4.8755502982566092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2.9949769325345987E-2</v>
      </c>
      <c r="J97">
        <f>(Table3[[#This Row],[HomeMargin]]-Table3[[#This Row],[HomeForecast]])^2</f>
        <v>0.94099745003194946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1.6216085057981398</v>
      </c>
      <c r="J98">
        <f>(Table3[[#This Row],[HomeMargin]]-Table3[[#This Row],[HomeForecast]])^2</f>
        <v>6.8728311576731542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-0.48457956732377827</v>
      </c>
      <c r="J99">
        <f>(Table3[[#This Row],[HomeMargin]]-Table3[[#This Row],[HomeForecast]])^2</f>
        <v>0.26565822242014364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0.17619840879306192</v>
      </c>
      <c r="J100">
        <f>(Table3[[#This Row],[HomeMargin]]-Table3[[#This Row],[HomeForecast]])^2</f>
        <v>3.3262522440889595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0.24607442841538885</v>
      </c>
      <c r="J101">
        <f>(Table3[[#This Row],[HomeMargin]]-Table3[[#This Row],[HomeForecast]])^2</f>
        <v>5.0448503379815151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0.65507561872730724</v>
      </c>
      <c r="J102">
        <f>(Table3[[#This Row],[HomeMargin]]-Table3[[#This Row],[HomeForecast]])^2</f>
        <v>5.4986703538871211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-0.36703249764855778</v>
      </c>
      <c r="J103">
        <f>(Table3[[#This Row],[HomeMargin]]-Table3[[#This Row],[HomeForecast]])^2</f>
        <v>11.336907840221487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0.53350790057983966</v>
      </c>
      <c r="J104">
        <f>(Table3[[#This Row],[HomeMargin]]-Table3[[#This Row],[HomeForecast]])^2</f>
        <v>2.3516464811407878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1.1612753338161235</v>
      </c>
      <c r="J105">
        <f>(Table3[[#This Row],[HomeMargin]]-Table3[[#This Row],[HomeForecast]])^2</f>
        <v>26.638763071458733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-1.0467615987866288</v>
      </c>
      <c r="J106">
        <f>(Table3[[#This Row],[HomeMargin]]-Table3[[#This Row],[HomeForecast]])^2</f>
        <v>3.8151402519745665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0.89158070761421027</v>
      </c>
      <c r="J107">
        <f>(Table3[[#This Row],[HomeMargin]]-Table3[[#This Row],[HomeForecast]])^2</f>
        <v>1.1754742961435364E-2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8.1171121001712213E-2</v>
      </c>
      <c r="J108">
        <f>(Table3[[#This Row],[HomeMargin]]-Table3[[#This Row],[HomeForecast]])^2</f>
        <v>1.1689309928880993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0.93301223483116025</v>
      </c>
      <c r="J109">
        <f>(Table3[[#This Row],[HomeMargin]]-Table3[[#This Row],[HomeForecast]])^2</f>
        <v>9.4064139516953524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-1.0170121356236208</v>
      </c>
      <c r="J110">
        <f>(Table3[[#This Row],[HomeMargin]]-Table3[[#This Row],[HomeForecast]])^2</f>
        <v>2.8941275847646806E-4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5.1062527517235383E-2</v>
      </c>
      <c r="J111">
        <f>(Table3[[#This Row],[HomeMargin]]-Table3[[#This Row],[HomeForecast]])^2</f>
        <v>9.308982546819859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-1.4959895444668949</v>
      </c>
      <c r="J112">
        <f>(Table3[[#This Row],[HomeMargin]]-Table3[[#This Row],[HomeForecast]])^2</f>
        <v>6.2299638060880573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1.554099216421452</v>
      </c>
      <c r="J113">
        <f>(Table3[[#This Row],[HomeMargin]]-Table3[[#This Row],[HomeForecast]])^2</f>
        <v>2.0906290759530592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0.2228773208567531</v>
      </c>
      <c r="J114">
        <f>(Table3[[#This Row],[HomeMargin]]-Table3[[#This Row],[HomeForecast]])^2</f>
        <v>3.1581650167252713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-0.32596686944294007</v>
      </c>
      <c r="J115">
        <f>(Table3[[#This Row],[HomeMargin]]-Table3[[#This Row],[HomeForecast]])^2</f>
        <v>0.45432066108855063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2.7346162355071986E-2</v>
      </c>
      <c r="J116">
        <f>(Table3[[#This Row],[HomeMargin]]-Table3[[#This Row],[HomeForecast]])^2</f>
        <v>8.8366708384651176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4.1924182399570575E-2</v>
      </c>
      <c r="J117">
        <f>(Table3[[#This Row],[HomeMargin]]-Table3[[#This Row],[HomeForecast]])^2</f>
        <v>4.1694543666681545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1.1921829933302963</v>
      </c>
      <c r="J118">
        <f>(Table3[[#This Row],[HomeMargin]]-Table3[[#This Row],[HomeForecast]])^2</f>
        <v>4.8056662762465772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0.84936696740097817</v>
      </c>
      <c r="J119">
        <f>(Table3[[#This Row],[HomeMargin]]-Table3[[#This Row],[HomeForecast]])^2</f>
        <v>3.4201581801138912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0.14264479291651011</v>
      </c>
      <c r="J120">
        <f>(Table3[[#This Row],[HomeMargin]]-Table3[[#This Row],[HomeForecast]])^2</f>
        <v>0.73505795111317385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-0.41742951898235603</v>
      </c>
      <c r="J121">
        <f>(Table3[[#This Row],[HomeMargin]]-Table3[[#This Row],[HomeForecast]])^2</f>
        <v>2.504529327388417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-0.20642301050023559</v>
      </c>
      <c r="J122">
        <f>(Table3[[#This Row],[HomeMargin]]-Table3[[#This Row],[HomeForecast]])^2</f>
        <v>1.4554564802644516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0.97479596903088628</v>
      </c>
      <c r="J123">
        <f>(Table3[[#This Row],[HomeMargin]]-Table3[[#This Row],[HomeForecast]])^2</f>
        <v>16.202267490930005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0.68641766616415834</v>
      </c>
      <c r="J124">
        <f>(Table3[[#This Row],[HomeMargin]]-Table3[[#This Row],[HomeForecast]])^2</f>
        <v>2.8440045447505664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-0.15244145057680211</v>
      </c>
      <c r="J125">
        <f>(Table3[[#This Row],[HomeMargin]]-Table3[[#This Row],[HomeForecast]])^2</f>
        <v>1.328121297007564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-1.0872047062711148</v>
      </c>
      <c r="J126">
        <f>(Table3[[#This Row],[HomeMargin]]-Table3[[#This Row],[HomeForecast]])^2</f>
        <v>3.6587858357113725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0.84287476012093032</v>
      </c>
      <c r="J127">
        <f>(Table3[[#This Row],[HomeMargin]]-Table3[[#This Row],[HomeForecast]])^2</f>
        <v>3.3961873814907766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0.52084487498446108</v>
      </c>
      <c r="J128">
        <f>(Table3[[#This Row],[HomeMargin]]-Table3[[#This Row],[HomeForecast]])^2</f>
        <v>12.396348633704346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-0.2122620224383196</v>
      </c>
      <c r="J129">
        <f>(Table3[[#This Row],[HomeMargin]]-Table3[[#This Row],[HomeForecast]])^2</f>
        <v>4.8941032559228841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-1.0914969028494692</v>
      </c>
      <c r="J130">
        <f>(Table3[[#This Row],[HomeMargin]]-Table3[[#This Row],[HomeForecast]])^2</f>
        <v>8.4593902661342302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0.46768940010384141</v>
      </c>
      <c r="J131">
        <f>(Table3[[#This Row],[HomeMargin]]-Table3[[#This Row],[HomeForecast]])^2</f>
        <v>2.3479757745541252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0.65140741306645844</v>
      </c>
      <c r="J132">
        <f>(Table3[[#This Row],[HomeMargin]]-Table3[[#This Row],[HomeForecast]])^2</f>
        <v>1.8187019655321019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-1.4425253909209008</v>
      </c>
      <c r="J133">
        <f>(Table3[[#This Row],[HomeMargin]]-Table3[[#This Row],[HomeForecast]])^2</f>
        <v>5.9659302852932994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0.30853999987420555</v>
      </c>
      <c r="J134">
        <f>(Table3[[#This Row],[HomeMargin]]-Table3[[#This Row],[HomeForecast]])^2</f>
        <v>0.47811693177396364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0.62272751744700094</v>
      </c>
      <c r="J135">
        <f>(Table3[[#This Row],[HomeMargin]]-Table3[[#This Row],[HomeForecast]])^2</f>
        <v>1.8968794911977007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-0.33340387765054635</v>
      </c>
      <c r="J136">
        <f>(Table3[[#This Row],[HomeMargin]]-Table3[[#This Row],[HomeForecast]])^2</f>
        <v>11.111581411535701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-2.4332612530008374E-2</v>
      </c>
      <c r="J137">
        <f>(Table3[[#This Row],[HomeMargin]]-Table3[[#This Row],[HomeForecast]])^2</f>
        <v>15.80593117579247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-0.88161513412137127</v>
      </c>
      <c r="J138">
        <f>(Table3[[#This Row],[HomeMargin]]-Table3[[#This Row],[HomeForecast]])^2</f>
        <v>3.5404755129545866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-0.28287679775738694</v>
      </c>
      <c r="J139">
        <f>(Table3[[#This Row],[HomeMargin]]-Table3[[#This Row],[HomeForecast]])^2</f>
        <v>1.6457728782242476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0.56972847762516987</v>
      </c>
      <c r="J140">
        <f>(Table3[[#This Row],[HomeMargin]]-Table3[[#This Row],[HomeForecast]])^2</f>
        <v>2.4640474934674335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-0.25463520140611273</v>
      </c>
      <c r="J141">
        <f>(Table3[[#This Row],[HomeMargin]]-Table3[[#This Row],[HomeForecast]])^2</f>
        <v>1.5741094886073568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0.50342861631235825</v>
      </c>
      <c r="J142">
        <f>(Table3[[#This Row],[HomeMargin]]-Table3[[#This Row],[HomeForecast]])^2</f>
        <v>0.24658313909745913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0.37908986818099977</v>
      </c>
      <c r="J143">
        <f>(Table3[[#This Row],[HomeMargin]]-Table3[[#This Row],[HomeForecast]])^2</f>
        <v>0.38552939179548823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-0.26291362073763047</v>
      </c>
      <c r="J144">
        <f>(Table3[[#This Row],[HomeMargin]]-Table3[[#This Row],[HomeForecast]])^2</f>
        <v>0.54329633049410964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1.2182928940136271</v>
      </c>
      <c r="J145">
        <f>(Table3[[#This Row],[HomeMargin]]-Table3[[#This Row],[HomeForecast]])^2</f>
        <v>52.103752303767628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-0.77993799024529942</v>
      </c>
      <c r="J146">
        <f>(Table3[[#This Row],[HomeMargin]]-Table3[[#This Row],[HomeForecast]])^2</f>
        <v>22.847807190590274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-9.0885756271974497E-2</v>
      </c>
      <c r="J147">
        <f>(Table3[[#This Row],[HomeMargin]]-Table3[[#This Row],[HomeForecast]])^2</f>
        <v>3.6447171956052307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0.52375716062010946</v>
      </c>
      <c r="J148">
        <f>(Table3[[#This Row],[HomeMargin]]-Table3[[#This Row],[HomeForecast]])^2</f>
        <v>2.3218358845410583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-1.6598038403845115</v>
      </c>
      <c r="J149">
        <f>(Table3[[#This Row],[HomeMargin]]-Table3[[#This Row],[HomeForecast]])^2</f>
        <v>7.0745564693241958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-1.6475681786510092</v>
      </c>
      <c r="J150">
        <f>(Table3[[#This Row],[HomeMargin]]-Table3[[#This Row],[HomeForecast]])^2</f>
        <v>0.41934454600138543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0.57819453397074105</v>
      </c>
      <c r="J151">
        <f>(Table3[[#This Row],[HomeMargin]]-Table3[[#This Row],[HomeForecast]])^2</f>
        <v>0.17791985117216033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-0.3221444907828005</v>
      </c>
      <c r="J152">
        <f>(Table3[[#This Row],[HomeMargin]]-Table3[[#This Row],[HomeForecast]])^2</f>
        <v>1.7480660545073106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-0.1570305299074807</v>
      </c>
      <c r="J153">
        <f>(Table3[[#This Row],[HomeMargin]]-Table3[[#This Row],[HomeForecast]])^2</f>
        <v>0.71059752750806282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-0.31211931315877084</v>
      </c>
      <c r="J154">
        <f>(Table3[[#This Row],[HomeMargin]]-Table3[[#This Row],[HomeForecast]])^2</f>
        <v>28.218611597234414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1.3582461697049855</v>
      </c>
      <c r="J155">
        <f>(Table3[[#This Row],[HomeMargin]]-Table3[[#This Row],[HomeForecast]])^2</f>
        <v>2.6953556392883513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-0.12319893517541819</v>
      </c>
      <c r="J156">
        <f>(Table3[[#This Row],[HomeMargin]]-Table3[[#This Row],[HomeForecast]])^2</f>
        <v>9.7543715886808666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-2.6326776647401517E-2</v>
      </c>
      <c r="J157">
        <f>(Table3[[#This Row],[HomeMargin]]-Table3[[#This Row],[HomeForecast]])^2</f>
        <v>0.94803954587383898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0.53386034339123789</v>
      </c>
      <c r="J158">
        <f>(Table3[[#This Row],[HomeMargin]]-Table3[[#This Row],[HomeForecast]])^2</f>
        <v>12.488168926593238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0.18099075556464844</v>
      </c>
      <c r="J159">
        <f>(Table3[[#This Row],[HomeMargin]]-Table3[[#This Row],[HomeForecast]])^2</f>
        <v>14.584831609082674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1.8266316861271916</v>
      </c>
      <c r="J160">
        <f>(Table3[[#This Row],[HomeMargin]]-Table3[[#This Row],[HomeForecast]])^2</f>
        <v>4.7235298277463347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-1.3635491904685826E-2</v>
      </c>
      <c r="J161">
        <f>(Table3[[#This Row],[HomeMargin]]-Table3[[#This Row],[HomeForecast]])^2</f>
        <v>1.0274569104488542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-0.25641235774314891</v>
      </c>
      <c r="J162">
        <f>(Table3[[#This Row],[HomeMargin]]-Table3[[#This Row],[HomeForecast]])^2</f>
        <v>10.604221443662295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-0.40816979530892905</v>
      </c>
      <c r="J163">
        <f>(Table3[[#This Row],[HomeMargin]]-Table3[[#This Row],[HomeForecast]])^2</f>
        <v>0.35026299118467497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0.21611184024881241</v>
      </c>
      <c r="J164">
        <f>(Table3[[#This Row],[HomeMargin]]-Table3[[#This Row],[HomeForecast]])^2</f>
        <v>1.4789280079933531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-1.4667762922276468</v>
      </c>
      <c r="J165">
        <f>(Table3[[#This Row],[HomeMargin]]-Table3[[#This Row],[HomeForecast]])^2</f>
        <v>2.3507749380752023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-0.12701340385582513</v>
      </c>
      <c r="J166">
        <f>(Table3[[#This Row],[HomeMargin]]-Table3[[#This Row],[HomeForecast]])^2</f>
        <v>1.2701592124706931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-0.19540433136094268</v>
      </c>
      <c r="J167">
        <f>(Table3[[#This Row],[HomeMargin]]-Table3[[#This Row],[HomeForecast]])^2</f>
        <v>0.64737418999273166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-0.39448327963128393</v>
      </c>
      <c r="J168">
        <f>(Table3[[#This Row],[HomeMargin]]-Table3[[#This Row],[HomeForecast]])^2</f>
        <v>0.3666504986460859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-0.45589967170432077</v>
      </c>
      <c r="J169">
        <f>(Table3[[#This Row],[HomeMargin]]-Table3[[#This Row],[HomeForecast]])^2</f>
        <v>6.4724464804341837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0.69568617457355797</v>
      </c>
      <c r="J170">
        <f>(Table3[[#This Row],[HomeMargin]]-Table3[[#This Row],[HomeForecast]])^2</f>
        <v>9.2606904345675034E-2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-0.71688474153998971</v>
      </c>
      <c r="J171">
        <f>(Table3[[#This Row],[HomeMargin]]-Table3[[#This Row],[HomeForecast]])^2</f>
        <v>1.646384766492899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-0.10252132291957798</v>
      </c>
      <c r="J172">
        <f>(Table3[[#This Row],[HomeMargin]]-Table3[[#This Row],[HomeForecast]])^2</f>
        <v>9.6256385591706479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0.62871971299871499</v>
      </c>
      <c r="J173">
        <f>(Table3[[#This Row],[HomeMargin]]-Table3[[#This Row],[HomeForecast]])^2</f>
        <v>0.13784905151575658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0.29397130815786648</v>
      </c>
      <c r="J174">
        <f>(Table3[[#This Row],[HomeMargin]]-Table3[[#This Row],[HomeForecast]])^2</f>
        <v>13.734648664757117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-0.31132632788584919</v>
      </c>
      <c r="J175">
        <f>(Table3[[#This Row],[HomeMargin]]-Table3[[#This Row],[HomeForecast]])^2</f>
        <v>0.474271426663189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0.64452638679064012</v>
      </c>
      <c r="J176">
        <f>(Table3[[#This Row],[HomeMargin]]-Table3[[#This Row],[HomeForecast]])^2</f>
        <v>2.7044670368506782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-0.12854623022119893</v>
      </c>
      <c r="J177">
        <f>(Table3[[#This Row],[HomeMargin]]-Table3[[#This Row],[HomeForecast]])^2</f>
        <v>8.2452467519768877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0.54978278336116237</v>
      </c>
      <c r="J178">
        <f>(Table3[[#This Row],[HomeMargin]]-Table3[[#This Row],[HomeForecast]])^2</f>
        <v>0.20269554215802205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1.0124218414755706</v>
      </c>
      <c r="J179">
        <f>(Table3[[#This Row],[HomeMargin]]-Table3[[#This Row],[HomeForecast]])^2</f>
        <v>3.950466936243362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-0.3008615543611613</v>
      </c>
      <c r="J180">
        <f>(Table3[[#This Row],[HomeMargin]]-Table3[[#This Row],[HomeForecast]])^2</f>
        <v>10.895687001059581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-0.34182001200248513</v>
      </c>
      <c r="J181">
        <f>(Table3[[#This Row],[HomeMargin]]-Table3[[#This Row],[HomeForecast]])^2</f>
        <v>0.43320089660040884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-9.7377963552022329E-2</v>
      </c>
      <c r="J182">
        <f>(Table3[[#This Row],[HomeMargin]]-Table3[[#This Row],[HomeForecast]])^2</f>
        <v>1.2042383948895838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8.7461719883327765E-2</v>
      </c>
      <c r="J183">
        <f>(Table3[[#This Row],[HomeMargin]]-Table3[[#This Row],[HomeForecast]])^2</f>
        <v>8.4828792331449829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0.80967285145589751</v>
      </c>
      <c r="J184">
        <f>(Table3[[#This Row],[HomeMargin]]-Table3[[#This Row],[HomeForecast]])^2</f>
        <v>4.7975330176493376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-1.4758015681075141</v>
      </c>
      <c r="J185">
        <f>(Table3[[#This Row],[HomeMargin]]-Table3[[#This Row],[HomeForecast]])^2</f>
        <v>0.2747839959985412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0.61614679993675781</v>
      </c>
      <c r="J186">
        <f>(Table3[[#This Row],[HomeMargin]]-Table3[[#This Row],[HomeForecast]])^2</f>
        <v>6.8442240788193383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-0.33375632046194459</v>
      </c>
      <c r="J187">
        <f>(Table3[[#This Row],[HomeMargin]]-Table3[[#This Row],[HomeForecast]])^2</f>
        <v>1.7789059223721857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-1.201237602368211</v>
      </c>
      <c r="J188">
        <f>(Table3[[#This Row],[HomeMargin]]-Table3[[#This Row],[HomeForecast]])^2</f>
        <v>4.8454469820797508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0.87193161495115556</v>
      </c>
      <c r="J189">
        <f>(Table3[[#This Row],[HomeMargin]]-Table3[[#This Row],[HomeForecast]])^2</f>
        <v>1.640151124901908E-2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-1.1920107952340428E-2</v>
      </c>
      <c r="J190">
        <f>(Table3[[#This Row],[HomeMargin]]-Table3[[#This Row],[HomeForecast]])^2</f>
        <v>1.0239823048782761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-1.0089763751733096</v>
      </c>
      <c r="J191">
        <f>(Table3[[#This Row],[HomeMargin]]-Table3[[#This Row],[HomeForecast]])^2</f>
        <v>4.035986076004491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0.17703564814146269</v>
      </c>
      <c r="J192">
        <f>(Table3[[#This Row],[HomeMargin]]-Table3[[#This Row],[HomeForecast]])^2</f>
        <v>10.093555509561645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0.72105208173862123</v>
      </c>
      <c r="J193">
        <f>(Table3[[#This Row],[HomeMargin]]-Table3[[#This Row],[HomeForecast]])^2</f>
        <v>5.1936036141478708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2.6425854695797862E-2</v>
      </c>
      <c r="J194">
        <f>(Table3[[#This Row],[HomeMargin]]-Table3[[#This Row],[HomeForecast]])^2</f>
        <v>0.94784661640480772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-0.143369761794926</v>
      </c>
      <c r="J195">
        <f>(Table3[[#This Row],[HomeMargin]]-Table3[[#This Row],[HomeForecast]])^2</f>
        <v>4.5940339357768387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0.17336590510708666</v>
      </c>
      <c r="J196">
        <f>(Table3[[#This Row],[HomeMargin]]-Table3[[#This Row],[HomeForecast]])^2</f>
        <v>10.070251167696119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-0.64937545216330195</v>
      </c>
      <c r="J197">
        <f>(Table3[[#This Row],[HomeMargin]]-Table3[[#This Row],[HomeForecast]])^2</f>
        <v>0.12293757354568896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-2.0440793176170127</v>
      </c>
      <c r="J198">
        <f>(Table3[[#This Row],[HomeMargin]]-Table3[[#This Row],[HomeForecast]])^2</f>
        <v>9.2664188919436583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-0.26124414759867126</v>
      </c>
      <c r="J199">
        <f>(Table3[[#This Row],[HomeMargin]]-Table3[[#This Row],[HomeForecast]])^2</f>
        <v>10.635713390246583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0.34218211280672017</v>
      </c>
      <c r="J200">
        <f>(Table3[[#This Row],[HomeMargin]]-Table3[[#This Row],[HomeForecast]])^2</f>
        <v>7.0639959214845502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0.72559187152673166</v>
      </c>
      <c r="J201">
        <f>(Table3[[#This Row],[HomeMargin]]-Table3[[#This Row],[HomeForecast]])^2</f>
        <v>7.5299820972201739E-2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0.7856381568093046</v>
      </c>
      <c r="J202">
        <f>(Table3[[#This Row],[HomeMargin]]-Table3[[#This Row],[HomeForecast]])^2</f>
        <v>3.1885036270533309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0.1666291842880161</v>
      </c>
      <c r="J203">
        <f>(Table3[[#This Row],[HomeMargin]]-Table3[[#This Row],[HomeForecast]])^2</f>
        <v>1.3610236536325218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-0.43155466458744174</v>
      </c>
      <c r="J204">
        <f>(Table3[[#This Row],[HomeMargin]]-Table3[[#This Row],[HomeForecast]])^2</f>
        <v>2.4600207701774126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-0.20642301050023559</v>
      </c>
      <c r="J205">
        <f>(Table3[[#This Row],[HomeMargin]]-Table3[[#This Row],[HomeForecast]])^2</f>
        <v>0.62976443826350914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-0.34996923222979326</v>
      </c>
      <c r="J206">
        <f>(Table3[[#This Row],[HomeMargin]]-Table3[[#This Row],[HomeForecast]])^2</f>
        <v>5.5223553924266842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-0.74737842565662571</v>
      </c>
      <c r="J207">
        <f>(Table3[[#This Row],[HomeMargin]]-Table3[[#This Row],[HomeForecast]])^2</f>
        <v>3.0533313624502281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-0.2169653860915717</v>
      </c>
      <c r="J208">
        <f>(Table3[[#This Row],[HomeMargin]]-Table3[[#This Row],[HomeForecast]])^2</f>
        <v>1.4810047509450082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0.57499764105160922</v>
      </c>
      <c r="J209">
        <f>(Table3[[#This Row],[HomeMargin]]-Table3[[#This Row],[HomeForecast]])^2</f>
        <v>11.73064115880204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-0.40842771371004083</v>
      </c>
      <c r="J210">
        <f>(Table3[[#This Row],[HomeMargin]]-Table3[[#This Row],[HomeForecast]])^2</f>
        <v>0.34995776990632943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1.1478488027507932</v>
      </c>
      <c r="J211">
        <f>(Table3[[#This Row],[HomeMargin]]-Table3[[#This Row],[HomeForecast]])^2</f>
        <v>2.185926847484294E-2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1.1190006773679733</v>
      </c>
      <c r="J212">
        <f>(Table3[[#This Row],[HomeMargin]]-Table3[[#This Row],[HomeForecast]])^2</f>
        <v>1.4161161214036464E-2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0.25366580500266694</v>
      </c>
      <c r="J213">
        <f>(Table3[[#This Row],[HomeMargin]]-Table3[[#This Row],[HomeForecast]])^2</f>
        <v>7.542351510611649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1.0108890151101968</v>
      </c>
      <c r="J214">
        <f>(Table3[[#This Row],[HomeMargin]]-Table3[[#This Row],[HomeForecast]])^2</f>
        <v>1.1857065007009419E-4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-0.20942951875234433</v>
      </c>
      <c r="J215">
        <f>(Table3[[#This Row],[HomeMargin]]-Table3[[#This Row],[HomeForecast]])^2</f>
        <v>0.62500168582014992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0.2900267809180983</v>
      </c>
      <c r="J216">
        <f>(Table3[[#This Row],[HomeMargin]]-Table3[[#This Row],[HomeForecast]])^2</f>
        <v>1.6641690954859112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-0.33230650386523836</v>
      </c>
      <c r="J217">
        <f>(Table3[[#This Row],[HomeMargin]]-Table3[[#This Row],[HomeForecast]])^2</f>
        <v>7.1165885893197069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0.73490693379751493</v>
      </c>
      <c r="J218">
        <f>(Table3[[#This Row],[HomeMargin]]-Table3[[#This Row],[HomeForecast]])^2</f>
        <v>7.0274333748635134E-2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-0.34292308303995978</v>
      </c>
      <c r="J219">
        <f>(Table3[[#This Row],[HomeMargin]]-Table3[[#This Row],[HomeForecast]])^2</f>
        <v>18.860980905201309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-4.6371708870483808E-2</v>
      </c>
      <c r="J220">
        <f>(Table3[[#This Row],[HomeMargin]]-Table3[[#This Row],[HomeForecast]])^2</f>
        <v>24.538433246678732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-0.11275176840038115</v>
      </c>
      <c r="J221">
        <f>(Table3[[#This Row],[HomeMargin]]-Table3[[#This Row],[HomeForecast]])^2</f>
        <v>4.4637200348789365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-0.41747852160648102</v>
      </c>
      <c r="J222">
        <f>(Table3[[#This Row],[HomeMargin]]-Table3[[#This Row],[HomeForecast]])^2</f>
        <v>6.6694171863638463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2.046842440671965</v>
      </c>
      <c r="J223">
        <f>(Table3[[#This Row],[HomeMargin]]-Table3[[#This Row],[HomeForecast]])^2</f>
        <v>8.7211395702163159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0.47894715890145101</v>
      </c>
      <c r="J224">
        <f>(Table3[[#This Row],[HomeMargin]]-Table3[[#This Row],[HomeForecast]])^2</f>
        <v>0.27149606321686975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0.76219091543241402</v>
      </c>
      <c r="J225">
        <f>(Table3[[#This Row],[HomeMargin]]-Table3[[#This Row],[HomeForecast]])^2</f>
        <v>14.154080484162185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0.66179485515196723</v>
      </c>
      <c r="J226">
        <f>(Table3[[#This Row],[HomeMargin]]-Table3[[#This Row],[HomeForecast]])^2</f>
        <v>0.11438272000167883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0.68422050273572066</v>
      </c>
      <c r="J227">
        <f>(Table3[[#This Row],[HomeMargin]]-Table3[[#This Row],[HomeForecast]])^2</f>
        <v>7.2050397073068035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0.40985117638635171</v>
      </c>
      <c r="J228">
        <f>(Table3[[#This Row],[HomeMargin]]-Table3[[#This Row],[HomeForecast]])^2</f>
        <v>11.627085045103385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0.31865677761338257</v>
      </c>
      <c r="J229">
        <f>(Table3[[#This Row],[HomeMargin]]-Table3[[#This Row],[HomeForecast]])^2</f>
        <v>0.46422858669217953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-0.84559399573289051</v>
      </c>
      <c r="J230">
        <f>(Table3[[#This Row],[HomeMargin]]-Table3[[#This Row],[HomeForecast]])^2</f>
        <v>1.3326532226879539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-0.60518234809563953</v>
      </c>
      <c r="J231">
        <f>(Table3[[#This Row],[HomeMargin]]-Table3[[#This Row],[HomeForecast]])^2</f>
        <v>6.7869750668291102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-0.41136668822806083</v>
      </c>
      <c r="J232">
        <f>(Table3[[#This Row],[HomeMargin]]-Table3[[#This Row],[HomeForecast]])^2</f>
        <v>6.701022422815357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-0.48053177031179062</v>
      </c>
      <c r="J233">
        <f>(Table3[[#This Row],[HomeMargin]]-Table3[[#This Row],[HomeForecast]])^2</f>
        <v>12.386656619784659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-0.60280508183815407</v>
      </c>
      <c r="J234">
        <f>(Table3[[#This Row],[HomeMargin]]-Table3[[#This Row],[HomeForecast]])^2</f>
        <v>5.746543475660979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0.45123746986544083</v>
      </c>
      <c r="J235">
        <f>(Table3[[#This Row],[HomeMargin]]-Table3[[#This Row],[HomeForecast]])^2</f>
        <v>11.911040073403209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-0.22423139749995702</v>
      </c>
      <c r="J236">
        <f>(Table3[[#This Row],[HomeMargin]]-Table3[[#This Row],[HomeForecast]])^2</f>
        <v>1.4987425146246978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1.0458899563319997</v>
      </c>
      <c r="J237">
        <f>(Table3[[#This Row],[HomeMargin]]-Table3[[#This Row],[HomeForecast]])^2</f>
        <v>3.8185460627641543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-1.8358158250813841</v>
      </c>
      <c r="J238">
        <f>(Table3[[#This Row],[HomeMargin]]-Table3[[#This Row],[HomeForecast]])^2</f>
        <v>37.997166542317103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-0.31564322778831899</v>
      </c>
      <c r="J239">
        <f>(Table3[[#This Row],[HomeMargin]]-Table3[[#This Row],[HomeForecast]])^2</f>
        <v>18.624776469555183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-0.18461399073746704</v>
      </c>
      <c r="J240">
        <f>(Table3[[#This Row],[HomeMargin]]-Table3[[#This Row],[HomeForecast]])^2</f>
        <v>1.4033103070509478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-1.6475681786510092</v>
      </c>
      <c r="J241">
        <f>(Table3[[#This Row],[HomeMargin]]-Table3[[#This Row],[HomeForecast]])^2</f>
        <v>0.41934454600138543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-0.12174911857871196</v>
      </c>
      <c r="J242">
        <f>(Table3[[#This Row],[HomeMargin]]-Table3[[#This Row],[HomeForecast]])^2</f>
        <v>23.797331662087576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0.31926929631948225</v>
      </c>
      <c r="J243">
        <f>(Table3[[#This Row],[HomeMargin]]-Table3[[#This Row],[HomeForecast]])^2</f>
        <v>1.740471476211302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-6.8046026116272279E-2</v>
      </c>
      <c r="J244">
        <f>(Table3[[#This Row],[HomeMargin]]-Table3[[#This Row],[HomeForecast]])^2</f>
        <v>4.2768143661353051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-0.40932930137917289</v>
      </c>
      <c r="J245">
        <f>(Table3[[#This Row],[HomeMargin]]-Table3[[#This Row],[HomeForecast]])^2</f>
        <v>0.34889187420921597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-0.19442737832804824</v>
      </c>
      <c r="J246">
        <f>(Table3[[#This Row],[HomeMargin]]-Table3[[#This Row],[HomeForecast]])^2</f>
        <v>1.4266567620996142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-0.16621592194637522</v>
      </c>
      <c r="J247">
        <f>(Table3[[#This Row],[HomeMargin]]-Table3[[#This Row],[HomeForecast]])^2</f>
        <v>3.3627640449229825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-0.27986983433465018</v>
      </c>
      <c r="J248">
        <f>(Table3[[#This Row],[HomeMargin]]-Table3[[#This Row],[HomeForecast]])^2</f>
        <v>1.6380667928398049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8.6480052129573881E-3</v>
      </c>
      <c r="J249">
        <f>(Table3[[#This Row],[HomeMargin]]-Table3[[#This Row],[HomeForecast]])^2</f>
        <v>1.0173707984200782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0.41881226966792445</v>
      </c>
      <c r="J250">
        <f>(Table3[[#This Row],[HomeMargin]]-Table3[[#This Row],[HomeForecast]])^2</f>
        <v>6.6625300992168519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1.4570498016454261</v>
      </c>
      <c r="J251">
        <f>(Table3[[#This Row],[HomeMargin]]-Table3[[#This Row],[HomeForecast]])^2</f>
        <v>0.20889452118412333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-0.30339886190464538</v>
      </c>
      <c r="J252">
        <f>(Table3[[#This Row],[HomeMargin]]-Table3[[#This Row],[HomeForecast]])^2</f>
        <v>13.66485997416787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0.78410533044393071</v>
      </c>
      <c r="J253">
        <f>(Table3[[#This Row],[HomeMargin]]-Table3[[#This Row],[HomeForecast]])^2</f>
        <v>1.478399847454863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-0.25865515961277674</v>
      </c>
      <c r="J254">
        <f>(Table3[[#This Row],[HomeMargin]]-Table3[[#This Row],[HomeForecast]])^2</f>
        <v>5.1015231300454182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0.25782011121002457</v>
      </c>
      <c r="J255">
        <f>(Table3[[#This Row],[HomeMargin]]-Table3[[#This Row],[HomeForecast]])^2</f>
        <v>1.5821114321643983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-0.58338616527965992</v>
      </c>
      <c r="J256">
        <f>(Table3[[#This Row],[HomeMargin]]-Table3[[#This Row],[HomeForecast]])^2</f>
        <v>0.17356708728038683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-2.2413742387355247</v>
      </c>
      <c r="J257">
        <f>(Table3[[#This Row],[HomeMargin]]-Table3[[#This Row],[HomeForecast]])^2</f>
        <v>1.5410100005962033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0.1256885793194904</v>
      </c>
      <c r="J258">
        <f>(Table3[[#This Row],[HomeMargin]]-Table3[[#This Row],[HomeForecast]])^2</f>
        <v>0.76442046033237099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-0.34047738463902882</v>
      </c>
      <c r="J259">
        <f>(Table3[[#This Row],[HomeMargin]]-Table3[[#This Row],[HomeForecast]])^2</f>
        <v>0.4349700801725756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1.1735495206542457</v>
      </c>
      <c r="J260">
        <f>(Table3[[#This Row],[HomeMargin]]-Table3[[#This Row],[HomeForecast]])^2</f>
        <v>3.3359213535023358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0.50023172339322652</v>
      </c>
      <c r="J261">
        <f>(Table3[[#This Row],[HomeMargin]]-Table3[[#This Row],[HomeForecast]])^2</f>
        <v>2.2506952238754105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0.33304376768905536</v>
      </c>
      <c r="J262">
        <f>(Table3[[#This Row],[HomeMargin]]-Table3[[#This Row],[HomeForecast]])^2</f>
        <v>2.7787430804402997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-0.23876156890755129</v>
      </c>
      <c r="J263">
        <f>(Table3[[#This Row],[HomeMargin]]-Table3[[#This Row],[HomeForecast]])^2</f>
        <v>7.6244376733418866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1.5678634961918114</v>
      </c>
      <c r="J264">
        <f>(Table3[[#This Row],[HomeMargin]]-Table3[[#This Row],[HomeForecast]])^2</f>
        <v>2.0510149655399417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0.52375716062010946</v>
      </c>
      <c r="J265">
        <f>(Table3[[#This Row],[HomeMargin]]-Table3[[#This Row],[HomeForecast]])^2</f>
        <v>2.3218358845410583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-0.24545065714082506</v>
      </c>
      <c r="J266">
        <f>(Table3[[#This Row],[HomeMargin]]-Table3[[#This Row],[HomeForecast]])^2</f>
        <v>14.09664076796426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-0.95441563349492098</v>
      </c>
      <c r="J267">
        <f>(Table3[[#This Row],[HomeMargin]]-Table3[[#This Row],[HomeForecast]])^2</f>
        <v>2.0779344696693703E-3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-0.21236054495796242</v>
      </c>
      <c r="J268">
        <f>(Table3[[#This Row],[HomeMargin]]-Table3[[#This Row],[HomeForecast]])^2</f>
        <v>0.62037591113891799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-0.27876676329717553</v>
      </c>
      <c r="J269">
        <f>(Table3[[#This Row],[HomeMargin]]-Table3[[#This Row],[HomeForecast]])^2</f>
        <v>1.6352444349135347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-0.42152631861846868</v>
      </c>
      <c r="J270">
        <f>(Table3[[#This Row],[HomeMargin]]-Table3[[#This Row],[HomeForecast]])^2</f>
        <v>2.4915791628141646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2.7359689981481337E-3</v>
      </c>
      <c r="J271">
        <f>(Table3[[#This Row],[HomeMargin]]-Table3[[#This Row],[HomeForecast]])^2</f>
        <v>1.005479423522655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0.31702649444985442</v>
      </c>
      <c r="J272">
        <f>(Table3[[#This Row],[HomeMargin]]-Table3[[#This Row],[HomeForecast]])^2</f>
        <v>1.7345587870828725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0.54346854018742152</v>
      </c>
      <c r="J273">
        <f>(Table3[[#This Row],[HomeMargin]]-Table3[[#This Row],[HomeForecast]])^2</f>
        <v>20.643106375672822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0.57525555945272089</v>
      </c>
      <c r="J274">
        <f>(Table3[[#This Row],[HomeMargin]]-Table3[[#This Row],[HomeForecast]])^2</f>
        <v>5.8793856019649375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4.1139266423189769E-2</v>
      </c>
      <c r="J275">
        <f>(Table3[[#This Row],[HomeMargin]]-Table3[[#This Row],[HomeForecast]])^2</f>
        <v>0.91941390639545861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-0.17693424695248117</v>
      </c>
      <c r="J276">
        <f>(Table3[[#This Row],[HomeMargin]]-Table3[[#This Row],[HomeForecast]])^2</f>
        <v>4.7390427155545671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2.1546590267909558</v>
      </c>
      <c r="J277">
        <f>(Table3[[#This Row],[HomeMargin]]-Table3[[#This Row],[HomeForecast]])^2</f>
        <v>0.71460136098601401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-0.64284500571321734</v>
      </c>
      <c r="J278">
        <f>(Table3[[#This Row],[HomeMargin]]-Table3[[#This Row],[HomeForecast]])^2</f>
        <v>13.27031973564973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-1.1060257899493355</v>
      </c>
      <c r="J279">
        <f>(Table3[[#This Row],[HomeMargin]]-Table3[[#This Row],[HomeForecast]])^2</f>
        <v>16.85944778772906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-1.0114037016704631</v>
      </c>
      <c r="J280">
        <f>(Table3[[#This Row],[HomeMargin]]-Table3[[#This Row],[HomeForecast]])^2</f>
        <v>35.863285624366227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-0.31211931315877084</v>
      </c>
      <c r="J281">
        <f>(Table3[[#This Row],[HomeMargin]]-Table3[[#This Row],[HomeForecast]])^2</f>
        <v>5.3458957182817866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-0.35401702924178091</v>
      </c>
      <c r="J282">
        <f>(Table3[[#This Row],[HomeMargin]]-Table3[[#This Row],[HomeForecast]])^2</f>
        <v>5.5413961739602993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-4.2559197752887246E-2</v>
      </c>
      <c r="J283">
        <f>(Table3[[#This Row],[HomeMargin]]-Table3[[#This Row],[HomeForecast]])^2</f>
        <v>0.916692889807595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-0.15647511236203138</v>
      </c>
      <c r="J284">
        <f>(Table3[[#This Row],[HomeMargin]]-Table3[[#This Row],[HomeForecast]])^2</f>
        <v>0.71153423606464761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1.2994330140192485</v>
      </c>
      <c r="J285">
        <f>(Table3[[#This Row],[HomeMargin]]-Table3[[#This Row],[HomeForecast]])^2</f>
        <v>8.9660129884651468E-2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-1.0560213224600556</v>
      </c>
      <c r="J286">
        <f>(Table3[[#This Row],[HomeMargin]]-Table3[[#This Row],[HomeForecast]])^2</f>
        <v>4.2272236784103949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-0.98099099723514005</v>
      </c>
      <c r="J287">
        <f>(Table3[[#This Row],[HomeMargin]]-Table3[[#This Row],[HomeForecast]])^2</f>
        <v>3.6134218611445323E-4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-0.17666308872141229</v>
      </c>
      <c r="J288">
        <f>(Table3[[#This Row],[HomeMargin]]-Table3[[#This Row],[HomeForecast]])^2</f>
        <v>0.6778836694737651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0.8938746003651078</v>
      </c>
      <c r="J289">
        <f>(Table3[[#This Row],[HomeMargin]]-Table3[[#This Row],[HomeForecast]])^2</f>
        <v>3.5867610019080964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-0.3536009843339995</v>
      </c>
      <c r="J290">
        <f>(Table3[[#This Row],[HomeMargin]]-Table3[[#This Row],[HomeForecast]])^2</f>
        <v>0.41783168745397431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-0.48457956732377827</v>
      </c>
      <c r="J291">
        <f>(Table3[[#This Row],[HomeMargin]]-Table3[[#This Row],[HomeForecast]])^2</f>
        <v>0.26565822242014364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3.508736435225282E-2</v>
      </c>
      <c r="J292">
        <f>(Table3[[#This Row],[HomeMargin]]-Table3[[#This Row],[HomeForecast]])^2</f>
        <v>0.93105639443268218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0.88538810578945892</v>
      </c>
      <c r="J293">
        <f>(Table3[[#This Row],[HomeMargin]]-Table3[[#This Row],[HomeForecast]])^2</f>
        <v>9.7008072515577748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-5.6049475114072933E-2</v>
      </c>
      <c r="J294">
        <f>(Table3[[#This Row],[HomeMargin]]-Table3[[#This Row],[HomeForecast]])^2</f>
        <v>0.8910425934324171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-0.82818448874994721</v>
      </c>
      <c r="J295">
        <f>(Table3[[#This Row],[HomeMargin]]-Table3[[#This Row],[HomeForecast]])^2</f>
        <v>1.3731515924062225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-0.11928650654777195</v>
      </c>
      <c r="J296">
        <f>(Table3[[#This Row],[HomeMargin]]-Table3[[#This Row],[HomeForecast]])^2</f>
        <v>4.4913752968354599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-0.36910738133431303</v>
      </c>
      <c r="J297">
        <f>(Table3[[#This Row],[HomeMargin]]-Table3[[#This Row],[HomeForecast]])^2</f>
        <v>0.39802549628684786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-0.18846258896528284</v>
      </c>
      <c r="J298">
        <f>(Table3[[#This Row],[HomeMargin]]-Table3[[#This Row],[HomeForecast]])^2</f>
        <v>0.65859296950893143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-4.6371708870483808E-2</v>
      </c>
      <c r="J299">
        <f>(Table3[[#This Row],[HomeMargin]]-Table3[[#This Row],[HomeForecast]])^2</f>
        <v>9.2803805886064712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-1.1073926826304956</v>
      </c>
      <c r="J300">
        <f>(Table3[[#This Row],[HomeMargin]]-Table3[[#This Row],[HomeForecast]])^2</f>
        <v>3.581962457760592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1.0400381074471268</v>
      </c>
      <c r="J301">
        <f>(Table3[[#This Row],[HomeMargin]]-Table3[[#This Row],[HomeForecast]])^2</f>
        <v>4.1617554798364544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1.4027403786168227</v>
      </c>
      <c r="J302">
        <f>(Table3[[#This Row],[HomeMargin]]-Table3[[#This Row],[HomeForecast]])^2</f>
        <v>2.551238298101131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-4.4520588889389257E-2</v>
      </c>
      <c r="J303">
        <f>(Table3[[#This Row],[HomeMargin]]-Table3[[#This Row],[HomeForecast]])^2</f>
        <v>1.0910232606138364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0.76963292758083424</v>
      </c>
      <c r="J304">
        <f>(Table3[[#This Row],[HomeMargin]]-Table3[[#This Row],[HomeForecast]])^2</f>
        <v>3.131600698378314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1.2228491682027358</v>
      </c>
      <c r="J305">
        <f>(Table3[[#This Row],[HomeMargin]]-Table3[[#This Row],[HomeForecast]])^2</f>
        <v>7.7125667425522364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1.3437672045987514</v>
      </c>
      <c r="J306">
        <f>(Table3[[#This Row],[HomeMargin]]-Table3[[#This Row],[HomeForecast]])^2</f>
        <v>28.55584793694516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0.17836781688910366</v>
      </c>
      <c r="J307">
        <f>(Table3[[#This Row],[HomeMargin]]-Table3[[#This Row],[HomeForecast]])^2</f>
        <v>0.67507944432357758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-0.33375632046194459</v>
      </c>
      <c r="J308">
        <f>(Table3[[#This Row],[HomeMargin]]-Table3[[#This Row],[HomeForecast]])^2</f>
        <v>2.7763679996005175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-6.8601433095551834E-2</v>
      </c>
      <c r="J309">
        <f>(Table3[[#This Row],[HomeMargin]]-Table3[[#This Row],[HomeForecast]])^2</f>
        <v>16.553517621387176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0.10037013646835982</v>
      </c>
      <c r="J310">
        <f>(Table3[[#This Row],[HomeMargin]]-Table3[[#This Row],[HomeForecast]])^2</f>
        <v>0.80933389135795764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0.43216879297746408</v>
      </c>
      <c r="J311">
        <f>(Table3[[#This Row],[HomeMargin]]-Table3[[#This Row],[HomeForecast]])^2</f>
        <v>6.5937571077588144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0.94641638217700408</v>
      </c>
      <c r="J312">
        <f>(Table3[[#This Row],[HomeMargin]]-Table3[[#This Row],[HomeForecast]])^2</f>
        <v>2.8712040990008861E-3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0.64735961605447079</v>
      </c>
      <c r="J313">
        <f>(Table3[[#This Row],[HomeMargin]]-Table3[[#This Row],[HomeForecast]])^2</f>
        <v>5.5349167761713671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0.51909738516073189</v>
      </c>
      <c r="J314">
        <f>(Table3[[#This Row],[HomeMargin]]-Table3[[#This Row],[HomeForecast]])^2</f>
        <v>2.3076568656021732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0.12998429319648797</v>
      </c>
      <c r="J315">
        <f>(Table3[[#This Row],[HomeMargin]]-Table3[[#This Row],[HomeForecast]])^2</f>
        <v>3.496958743691839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-0.46467585027877778</v>
      </c>
      <c r="J316">
        <f>(Table3[[#This Row],[HomeMargin]]-Table3[[#This Row],[HomeForecast]])^2</f>
        <v>2.1452753463898606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0.76219680624773845</v>
      </c>
      <c r="J317">
        <f>(Table3[[#This Row],[HomeMargin]]-Table3[[#This Row],[HomeForecast]])^2</f>
        <v>10.483369521472346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1.0578668607420736</v>
      </c>
      <c r="J318">
        <f>(Table3[[#This Row],[HomeMargin]]-Table3[[#This Row],[HomeForecast]])^2</f>
        <v>3.3485735721425374E-3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4.8687929088020665E-2</v>
      </c>
      <c r="J319">
        <f>(Table3[[#This Row],[HomeMargin]]-Table3[[#This Row],[HomeForecast]])^2</f>
        <v>0.90499465626283881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0.22507040715515858</v>
      </c>
      <c r="J320">
        <f>(Table3[[#This Row],[HomeMargin]]-Table3[[#This Row],[HomeForecast]])^2</f>
        <v>7.7002342452460377</v>
      </c>
    </row>
    <row r="321" spans="4:10" x14ac:dyDescent="0.2">
      <c r="D321" t="s">
        <v>21</v>
      </c>
      <c r="E321">
        <f>'NHL2025-26Results'!C316</f>
        <v>3</v>
      </c>
      <c r="F321" t="s">
        <v>31</v>
      </c>
      <c r="G321">
        <f>'NHL2025-26Results'!E316</f>
        <v>4</v>
      </c>
      <c r="H321">
        <f>Table3[[#This Row],[G_1]]-Table3[[#This Row],[G]]</f>
        <v>1</v>
      </c>
      <c r="I321">
        <f>HomeEdge+VLOOKUP(Table3[[#This Row],[Home]],$A$6:$B$38,2,FALSE)-VLOOKUP(Table3[[#This Row],[Visitor]],$A$6:$B$38,2,FALSE)</f>
        <v>0.12490366334310959</v>
      </c>
      <c r="J321">
        <f>(Table3[[#This Row],[HomeMargin]]-Table3[[#This Row],[HomeForecast]])^2</f>
        <v>0.76579359843030981</v>
      </c>
    </row>
    <row r="322" spans="4:10" x14ac:dyDescent="0.2">
      <c r="D322" t="s">
        <v>16</v>
      </c>
      <c r="E322">
        <f>'NHL2025-26Results'!C317</f>
        <v>6</v>
      </c>
      <c r="F322" t="s">
        <v>23</v>
      </c>
      <c r="G322">
        <f>'NHL2025-26Results'!E317</f>
        <v>2</v>
      </c>
      <c r="H322">
        <f>Table3[[#This Row],[G_1]]-Table3[[#This Row],[G]]</f>
        <v>-4</v>
      </c>
      <c r="I322">
        <f>HomeEdge+VLOOKUP(Table3[[#This Row],[Home]],$A$6:$B$38,2,FALSE)-VLOOKUP(Table3[[#This Row],[Visitor]],$A$6:$B$38,2,FALSE)</f>
        <v>0.40001022926389834</v>
      </c>
      <c r="J322">
        <f>(Table3[[#This Row],[HomeMargin]]-Table3[[#This Row],[HomeForecast]])^2</f>
        <v>19.360090017626945</v>
      </c>
    </row>
    <row r="323" spans="4:10" x14ac:dyDescent="0.2">
      <c r="D323" t="s">
        <v>25</v>
      </c>
      <c r="E323">
        <f>'NHL2025-26Results'!C318</f>
        <v>3</v>
      </c>
      <c r="F323" t="s">
        <v>34</v>
      </c>
      <c r="G323">
        <f>'NHL2025-26Results'!E318</f>
        <v>4</v>
      </c>
      <c r="H323">
        <f>Table3[[#This Row],[G_1]]-Table3[[#This Row],[G]]</f>
        <v>1</v>
      </c>
      <c r="I323">
        <f>HomeEdge+VLOOKUP(Table3[[#This Row],[Home]],$A$6:$B$38,2,FALSE)-VLOOKUP(Table3[[#This Row],[Visitor]],$A$6:$B$38,2,FALSE)</f>
        <v>-0.49496700940928712</v>
      </c>
      <c r="J323">
        <f>(Table3[[#This Row],[HomeMargin]]-Table3[[#This Row],[HomeForecast]])^2</f>
        <v>2.2349263592221473</v>
      </c>
    </row>
    <row r="324" spans="4:10" x14ac:dyDescent="0.2">
      <c r="D324" t="s">
        <v>17</v>
      </c>
      <c r="E324">
        <f>'NHL2025-26Results'!C319</f>
        <v>4</v>
      </c>
      <c r="F324" t="s">
        <v>22</v>
      </c>
      <c r="G324">
        <f>'NHL2025-26Results'!E319</f>
        <v>7</v>
      </c>
      <c r="H324">
        <f>Table3[[#This Row],[G_1]]-Table3[[#This Row],[G]]</f>
        <v>3</v>
      </c>
      <c r="I324">
        <f>HomeEdge+VLOOKUP(Table3[[#This Row],[Home]],$A$6:$B$38,2,FALSE)-VLOOKUP(Table3[[#This Row],[Visitor]],$A$6:$B$38,2,FALSE)</f>
        <v>1.2160500921439992</v>
      </c>
      <c r="J324">
        <f>(Table3[[#This Row],[HomeMargin]]-Table3[[#This Row],[HomeForecast]])^2</f>
        <v>3.1824772737394338</v>
      </c>
    </row>
    <row r="325" spans="4:10" x14ac:dyDescent="0.2">
      <c r="D325" t="s">
        <v>36</v>
      </c>
      <c r="E325">
        <f>'NHL2025-26Results'!C320</f>
        <v>3</v>
      </c>
      <c r="F325" t="s">
        <v>31</v>
      </c>
      <c r="G325">
        <f>'NHL2025-26Results'!E320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0.52043689937322046</v>
      </c>
      <c r="J325">
        <f>(Table3[[#This Row],[HomeMargin]]-Table3[[#This Row],[HomeForecast]])^2</f>
        <v>2.3117283649756524</v>
      </c>
    </row>
    <row r="326" spans="4:10" x14ac:dyDescent="0.2">
      <c r="D326" t="s">
        <v>32</v>
      </c>
      <c r="E326">
        <f>'NHL2025-26Results'!C321</f>
        <v>3</v>
      </c>
      <c r="F326" t="s">
        <v>10</v>
      </c>
      <c r="G326">
        <f>'NHL2025-26Results'!E321</f>
        <v>2</v>
      </c>
      <c r="H326">
        <f>Table3[[#This Row],[G_1]]-Table3[[#This Row],[G]]</f>
        <v>-1</v>
      </c>
      <c r="I326">
        <f>HomeEdge+VLOOKUP(Table3[[#This Row],[Home]],$A$6:$B$38,2,FALSE)-VLOOKUP(Table3[[#This Row],[Visitor]],$A$6:$B$38,2,FALSE)</f>
        <v>0.51679707797247343</v>
      </c>
      <c r="J326">
        <f>(Table3[[#This Row],[HomeMargin]]-Table3[[#This Row],[HomeForecast]])^2</f>
        <v>2.3006733757458333</v>
      </c>
    </row>
    <row r="327" spans="4:10" x14ac:dyDescent="0.2">
      <c r="D327" t="s">
        <v>15</v>
      </c>
      <c r="E327">
        <f>'NHL2025-26Results'!C322</f>
        <v>3</v>
      </c>
      <c r="F327" t="s">
        <v>12</v>
      </c>
      <c r="G327">
        <f>'NHL2025-26Results'!E322</f>
        <v>6</v>
      </c>
      <c r="H327">
        <f>Table3[[#This Row],[G_1]]-Table3[[#This Row],[G]]</f>
        <v>3</v>
      </c>
      <c r="I327">
        <f>HomeEdge+VLOOKUP(Table3[[#This Row],[Home]],$A$6:$B$38,2,FALSE)-VLOOKUP(Table3[[#This Row],[Visitor]],$A$6:$B$38,2,FALSE)</f>
        <v>1.6079034200668747</v>
      </c>
      <c r="J327">
        <f>(Table3[[#This Row],[HomeMargin]]-Table3[[#This Row],[HomeForecast]])^2</f>
        <v>1.9379328878615043</v>
      </c>
    </row>
    <row r="328" spans="4:10" x14ac:dyDescent="0.2">
      <c r="D328" t="s">
        <v>30</v>
      </c>
      <c r="E328">
        <f>'NHL2025-26Results'!C323</f>
        <v>5</v>
      </c>
      <c r="F328" t="s">
        <v>26</v>
      </c>
      <c r="G328">
        <f>'NHL2025-26Results'!E323</f>
        <v>0</v>
      </c>
      <c r="H328">
        <f>Table3[[#This Row],[G_1]]-Table3[[#This Row],[G]]</f>
        <v>-5</v>
      </c>
      <c r="I328">
        <f>HomeEdge+VLOOKUP(Table3[[#This Row],[Home]],$A$6:$B$38,2,FALSE)-VLOOKUP(Table3[[#This Row],[Visitor]],$A$6:$B$38,2,FALSE)</f>
        <v>-0.80796812328820611</v>
      </c>
      <c r="J328">
        <f>(Table3[[#This Row],[HomeMargin]]-Table3[[#This Row],[HomeForecast]])^2</f>
        <v>17.573131255367805</v>
      </c>
    </row>
    <row r="329" spans="4:10" x14ac:dyDescent="0.2">
      <c r="D329" t="s">
        <v>24</v>
      </c>
      <c r="E329">
        <f>'NHL2025-26Results'!C324</f>
        <v>0</v>
      </c>
      <c r="F329" t="s">
        <v>11</v>
      </c>
      <c r="G329">
        <f>'NHL2025-26Results'!E324</f>
        <v>1</v>
      </c>
      <c r="H329">
        <f>Table3[[#This Row],[G_1]]-Table3[[#This Row],[G]]</f>
        <v>1</v>
      </c>
      <c r="I329">
        <f>HomeEdge+VLOOKUP(Table3[[#This Row],[Home]],$A$6:$B$38,2,FALSE)-VLOOKUP(Table3[[#This Row],[Visitor]],$A$6:$B$38,2,FALSE)</f>
        <v>-0.14940160537354893</v>
      </c>
      <c r="J329">
        <f>(Table3[[#This Row],[HomeMargin]]-Table3[[#This Row],[HomeForecast]])^2</f>
        <v>1.3211240504352917</v>
      </c>
    </row>
    <row r="330" spans="4:10" x14ac:dyDescent="0.2">
      <c r="D330" t="s">
        <v>22</v>
      </c>
      <c r="E330">
        <f>'NHL2025-26Results'!C325</f>
        <v>8</v>
      </c>
      <c r="F330" t="s">
        <v>18</v>
      </c>
      <c r="G330">
        <f>'NHL2025-26Results'!E325</f>
        <v>4</v>
      </c>
      <c r="H330">
        <f>Table3[[#This Row],[G_1]]-Table3[[#This Row],[G]]</f>
        <v>-4</v>
      </c>
      <c r="I330">
        <f>HomeEdge+VLOOKUP(Table3[[#This Row],[Home]],$A$6:$B$38,2,FALSE)-VLOOKUP(Table3[[#This Row],[Visitor]],$A$6:$B$38,2,FALSE)</f>
        <v>-1.108453116446489</v>
      </c>
      <c r="J330">
        <f>(Table3[[#This Row],[HomeMargin]]-Table3[[#This Row],[HomeForecast]])^2</f>
        <v>8.3610433797880237</v>
      </c>
    </row>
    <row r="331" spans="4:10" x14ac:dyDescent="0.2">
      <c r="D331" t="s">
        <v>35</v>
      </c>
      <c r="E331">
        <f>'NHL2025-26Results'!C326</f>
        <v>2</v>
      </c>
      <c r="F331" t="s">
        <v>27</v>
      </c>
      <c r="G331">
        <f>'NHL2025-26Results'!E326</f>
        <v>3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1.1478188429778202</v>
      </c>
      <c r="J331">
        <f>(Table3[[#This Row],[HomeMargin]]-Table3[[#This Row],[HomeForecast]])^2</f>
        <v>2.185041033930147E-2</v>
      </c>
    </row>
    <row r="332" spans="4:10" x14ac:dyDescent="0.2">
      <c r="D332" t="s">
        <v>13</v>
      </c>
      <c r="E332">
        <f>'NHL2025-26Results'!C327</f>
        <v>3</v>
      </c>
      <c r="F332" t="s">
        <v>33</v>
      </c>
      <c r="G332">
        <f>'NHL2025-26Results'!E327</f>
        <v>4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-0.39448327963128393</v>
      </c>
      <c r="J332">
        <f>(Table3[[#This Row],[HomeMargin]]-Table3[[#This Row],[HomeForecast]])^2</f>
        <v>1.9445836171712219</v>
      </c>
    </row>
    <row r="333" spans="4:10" x14ac:dyDescent="0.2">
      <c r="D333" t="s">
        <v>17</v>
      </c>
      <c r="E333">
        <f>'NHL2025-26Results'!C328</f>
        <v>1</v>
      </c>
      <c r="F333" t="s">
        <v>37</v>
      </c>
      <c r="G333">
        <f>'NHL2025-26Results'!E328</f>
        <v>2</v>
      </c>
      <c r="H333">
        <f>Table3[[#This Row],[G_1]]-Table3[[#This Row],[G]]</f>
        <v>1</v>
      </c>
      <c r="I333">
        <f>HomeEdge+VLOOKUP(Table3[[#This Row],[Home]],$A$6:$B$38,2,FALSE)-VLOOKUP(Table3[[#This Row],[Visitor]],$A$6:$B$38,2,FALSE)</f>
        <v>0.93820879094461085</v>
      </c>
      <c r="J333">
        <f>(Table3[[#This Row],[HomeMargin]]-Table3[[#This Row],[HomeForecast]])^2</f>
        <v>3.818153516526806E-3</v>
      </c>
    </row>
    <row r="334" spans="4:10" x14ac:dyDescent="0.2">
      <c r="D334" t="s">
        <v>28</v>
      </c>
      <c r="E334">
        <f>'NHL2025-26Results'!C329</f>
        <v>3</v>
      </c>
      <c r="F334" t="s">
        <v>19</v>
      </c>
      <c r="G334">
        <f>'NHL2025-26Results'!E329</f>
        <v>2</v>
      </c>
      <c r="H334">
        <f>Table3[[#This Row],[G_1]]-Table3[[#This Row],[G]]</f>
        <v>-1</v>
      </c>
      <c r="I334">
        <f>HomeEdge+VLOOKUP(Table3[[#This Row],[Home]],$A$6:$B$38,2,FALSE)-VLOOKUP(Table3[[#This Row],[Visitor]],$A$6:$B$38,2,FALSE)</f>
        <v>0.26934916866225811</v>
      </c>
      <c r="J334">
        <f>(Table3[[#This Row],[HomeMargin]]-Table3[[#This Row],[HomeForecast]])^2</f>
        <v>1.6112473119835655</v>
      </c>
    </row>
    <row r="335" spans="4:10" x14ac:dyDescent="0.2">
      <c r="D335" t="s">
        <v>20</v>
      </c>
      <c r="E335">
        <f>'NHL2025-26Results'!C330</f>
        <v>4</v>
      </c>
      <c r="F335" t="s">
        <v>55</v>
      </c>
      <c r="G335">
        <f>'NHL2025-26Results'!E330</f>
        <v>1</v>
      </c>
      <c r="H335">
        <f>Table3[[#This Row],[G_1]]-Table3[[#This Row],[G]]</f>
        <v>-3</v>
      </c>
      <c r="I335">
        <f>HomeEdge+VLOOKUP(Table3[[#This Row],[Home]],$A$6:$B$38,2,FALSE)-VLOOKUP(Table3[[#This Row],[Visitor]],$A$6:$B$38,2,FALSE)</f>
        <v>6.3225946511959175E-2</v>
      </c>
      <c r="J335">
        <f>(Table3[[#This Row],[HomeMargin]]-Table3[[#This Row],[HomeForecast]])^2</f>
        <v>9.3833531993840875</v>
      </c>
    </row>
    <row r="336" spans="4:10" x14ac:dyDescent="0.2">
      <c r="D336" t="s">
        <v>39</v>
      </c>
      <c r="E336">
        <f>'NHL2025-26Results'!C331</f>
        <v>4</v>
      </c>
      <c r="F336" t="s">
        <v>38</v>
      </c>
      <c r="G336">
        <f>'NHL2025-26Results'!E331</f>
        <v>2</v>
      </c>
      <c r="H336">
        <f>Table3[[#This Row],[G_1]]-Table3[[#This Row],[G]]</f>
        <v>-2</v>
      </c>
      <c r="I336">
        <f>HomeEdge+VLOOKUP(Table3[[#This Row],[Home]],$A$6:$B$38,2,FALSE)-VLOOKUP(Table3[[#This Row],[Visitor]],$A$6:$B$38,2,FALSE)</f>
        <v>-1.3577312452794337</v>
      </c>
      <c r="J336">
        <f>(Table3[[#This Row],[HomeMargin]]-Table3[[#This Row],[HomeForecast]])^2</f>
        <v>0.41250915329030696</v>
      </c>
    </row>
    <row r="337" spans="4:10" x14ac:dyDescent="0.2">
      <c r="D337" t="s">
        <v>10</v>
      </c>
      <c r="E337">
        <f>'NHL2025-26Results'!C332</f>
        <v>3</v>
      </c>
      <c r="F337" t="s">
        <v>23</v>
      </c>
      <c r="G337">
        <f>'NHL2025-26Results'!E332</f>
        <v>9</v>
      </c>
      <c r="H337">
        <f>Table3[[#This Row],[G_1]]-Table3[[#This Row],[G]]</f>
        <v>6</v>
      </c>
      <c r="I337">
        <f>HomeEdge+VLOOKUP(Table3[[#This Row],[Home]],$A$6:$B$38,2,FALSE)-VLOOKUP(Table3[[#This Row],[Visitor]],$A$6:$B$38,2,FALSE)</f>
        <v>-0.16393546391923233</v>
      </c>
      <c r="J337">
        <f>(Table3[[#This Row],[HomeMargin]]-Table3[[#This Row],[HomeForecast]])^2</f>
        <v>37.994100403361202</v>
      </c>
    </row>
    <row r="338" spans="4:10" x14ac:dyDescent="0.2">
      <c r="D338" t="s">
        <v>21</v>
      </c>
      <c r="E338">
        <f>'NHL2025-26Results'!C333</f>
        <v>2</v>
      </c>
      <c r="F338" t="s">
        <v>13</v>
      </c>
      <c r="G338">
        <f>'NHL2025-26Results'!E333</f>
        <v>1</v>
      </c>
      <c r="H338">
        <f>Table3[[#This Row],[G_1]]-Table3[[#This Row],[G]]</f>
        <v>-1</v>
      </c>
      <c r="I338">
        <f>HomeEdge+VLOOKUP(Table3[[#This Row],[Home]],$A$6:$B$38,2,FALSE)-VLOOKUP(Table3[[#This Row],[Visitor]],$A$6:$B$38,2,FALSE)</f>
        <v>-4.0242801322147914E-2</v>
      </c>
      <c r="J338">
        <f>(Table3[[#This Row],[HomeMargin]]-Table3[[#This Row],[HomeForecast]])^2</f>
        <v>0.92113388041395816</v>
      </c>
    </row>
    <row r="339" spans="4:10" x14ac:dyDescent="0.2">
      <c r="D339" t="s">
        <v>34</v>
      </c>
      <c r="E339">
        <f>'NHL2025-26Results'!C334</f>
        <v>5</v>
      </c>
      <c r="F339" t="s">
        <v>14</v>
      </c>
      <c r="G339">
        <f>'NHL2025-26Results'!E334</f>
        <v>0</v>
      </c>
      <c r="H339">
        <f>Table3[[#This Row],[G_1]]-Table3[[#This Row],[G]]</f>
        <v>-5</v>
      </c>
      <c r="I339">
        <f>HomeEdge+VLOOKUP(Table3[[#This Row],[Home]],$A$6:$B$38,2,FALSE)-VLOOKUP(Table3[[#This Row],[Visitor]],$A$6:$B$38,2,FALSE)</f>
        <v>0.2953740759638791</v>
      </c>
      <c r="J339">
        <f>(Table3[[#This Row],[HomeMargin]]-Table3[[#This Row],[HomeForecast]])^2</f>
        <v>28.040986604390309</v>
      </c>
    </row>
    <row r="340" spans="4:10" x14ac:dyDescent="0.2">
      <c r="D340" t="s">
        <v>25</v>
      </c>
      <c r="E340">
        <f>'NHL2025-26Results'!C335</f>
        <v>4</v>
      </c>
      <c r="F340" t="s">
        <v>40</v>
      </c>
      <c r="G340">
        <f>'NHL2025-26Results'!E335</f>
        <v>3</v>
      </c>
      <c r="H340">
        <f>Table3[[#This Row],[G_1]]-Table3[[#This Row],[G]]</f>
        <v>-1</v>
      </c>
      <c r="I340">
        <f>HomeEdge+VLOOKUP(Table3[[#This Row],[Home]],$A$6:$B$38,2,FALSE)-VLOOKUP(Table3[[#This Row],[Visitor]],$A$6:$B$38,2,FALSE)</f>
        <v>-0.62766492678675945</v>
      </c>
      <c r="J340">
        <f>(Table3[[#This Row],[HomeMargin]]-Table3[[#This Row],[HomeForecast]])^2</f>
        <v>0.1386334067447092</v>
      </c>
    </row>
    <row r="341" spans="4:10" x14ac:dyDescent="0.2">
      <c r="D341" t="s">
        <v>20</v>
      </c>
      <c r="E341">
        <f>'NHL2025-26Results'!C336</f>
        <v>3</v>
      </c>
      <c r="F341" t="s">
        <v>31</v>
      </c>
      <c r="G341">
        <f>'NHL2025-26Results'!E336</f>
        <v>4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0.15817984052972278</v>
      </c>
      <c r="J341">
        <f>(Table3[[#This Row],[HomeMargin]]-Table3[[#This Row],[HomeForecast]])^2</f>
        <v>0.70866118089056296</v>
      </c>
    </row>
    <row r="342" spans="4:10" x14ac:dyDescent="0.2">
      <c r="D342" t="s">
        <v>39</v>
      </c>
      <c r="E342">
        <f>'NHL2025-26Results'!C337</f>
        <v>2</v>
      </c>
      <c r="F342" t="s">
        <v>16</v>
      </c>
      <c r="G342">
        <f>'NHL2025-26Results'!E337</f>
        <v>3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-1.4207844939847432</v>
      </c>
      <c r="J342">
        <f>(Table3[[#This Row],[HomeMargin]]-Table3[[#This Row],[HomeForecast]])^2</f>
        <v>5.8601975663169688</v>
      </c>
    </row>
    <row r="343" spans="4:10" x14ac:dyDescent="0.2">
      <c r="D343" t="s">
        <v>28</v>
      </c>
      <c r="E343">
        <f>'NHL2025-26Results'!C338</f>
        <v>3</v>
      </c>
      <c r="F343" t="s">
        <v>26</v>
      </c>
      <c r="G343">
        <f>'NHL2025-26Results'!E338</f>
        <v>4</v>
      </c>
      <c r="H343">
        <f>Table3[[#This Row],[G_1]]-Table3[[#This Row],[G]]</f>
        <v>1</v>
      </c>
      <c r="I343">
        <f>HomeEdge+VLOOKUP(Table3[[#This Row],[Home]],$A$6:$B$38,2,FALSE)-VLOOKUP(Table3[[#This Row],[Visitor]],$A$6:$B$38,2,FALSE)</f>
        <v>-0.16579017463281454</v>
      </c>
      <c r="J343">
        <f>(Table3[[#This Row],[HomeMargin]]-Table3[[#This Row],[HomeForecast]])^2</f>
        <v>1.3590667312704081</v>
      </c>
    </row>
    <row r="344" spans="4:10" x14ac:dyDescent="0.2">
      <c r="D344" t="s">
        <v>17</v>
      </c>
      <c r="E344">
        <f>'NHL2025-26Results'!C339</f>
        <v>6</v>
      </c>
      <c r="F344" t="s">
        <v>11</v>
      </c>
      <c r="G344">
        <f>'NHL2025-26Results'!E339</f>
        <v>3</v>
      </c>
      <c r="H344">
        <f>Table3[[#This Row],[G_1]]-Table3[[#This Row],[G]]</f>
        <v>-3</v>
      </c>
      <c r="I344">
        <f>HomeEdge+VLOOKUP(Table3[[#This Row],[Home]],$A$6:$B$38,2,FALSE)-VLOOKUP(Table3[[#This Row],[Visitor]],$A$6:$B$38,2,FALSE)</f>
        <v>2.6610379323323496E-2</v>
      </c>
      <c r="J344">
        <f>(Table3[[#This Row],[HomeMargin]]-Table3[[#This Row],[HomeForecast]])^2</f>
        <v>9.1603703882276726</v>
      </c>
    </row>
    <row r="345" spans="4:10" x14ac:dyDescent="0.2">
      <c r="D345" t="s">
        <v>19</v>
      </c>
      <c r="E345">
        <f>'NHL2025-26Results'!C340</f>
        <v>2</v>
      </c>
      <c r="F345" t="s">
        <v>18</v>
      </c>
      <c r="G345">
        <f>'NHL2025-26Results'!E340</f>
        <v>5</v>
      </c>
      <c r="H345">
        <f>Table3[[#This Row],[G_1]]-Table3[[#This Row],[G]]</f>
        <v>3</v>
      </c>
      <c r="I345">
        <f>HomeEdge+VLOOKUP(Table3[[#This Row],[Home]],$A$6:$B$38,2,FALSE)-VLOOKUP(Table3[[#This Row],[Visitor]],$A$6:$B$38,2,FALSE)</f>
        <v>-0.11947753651659775</v>
      </c>
      <c r="J345">
        <f>(Table3[[#This Row],[HomeMargin]]-Table3[[#This Row],[HomeForecast]])^2</f>
        <v>9.7311401008316611</v>
      </c>
    </row>
    <row r="346" spans="4:10" x14ac:dyDescent="0.2">
      <c r="D346" t="s">
        <v>12</v>
      </c>
      <c r="E346">
        <f>'NHL2025-26Results'!C341</f>
        <v>3</v>
      </c>
      <c r="F346" t="s">
        <v>29</v>
      </c>
      <c r="G346">
        <f>'NHL2025-26Results'!E341</f>
        <v>0</v>
      </c>
      <c r="H346">
        <f>Table3[[#This Row],[G_1]]-Table3[[#This Row],[G]]</f>
        <v>-3</v>
      </c>
      <c r="I346">
        <f>HomeEdge+VLOOKUP(Table3[[#This Row],[Home]],$A$6:$B$38,2,FALSE)-VLOOKUP(Table3[[#This Row],[Visitor]],$A$6:$B$38,2,FALSE)</f>
        <v>-2.5312111721071</v>
      </c>
      <c r="J346">
        <f>(Table3[[#This Row],[HomeMargin]]-Table3[[#This Row],[HomeForecast]])^2</f>
        <v>0.21976296515719901</v>
      </c>
    </row>
    <row r="347" spans="4:10" x14ac:dyDescent="0.2">
      <c r="D347" t="s">
        <v>35</v>
      </c>
      <c r="E347">
        <f>'NHL2025-26Results'!C342</f>
        <v>2</v>
      </c>
      <c r="F347" t="s">
        <v>30</v>
      </c>
      <c r="G347">
        <f>'NHL2025-26Results'!E342</f>
        <v>1</v>
      </c>
      <c r="H347">
        <f>Table3[[#This Row],[G_1]]-Table3[[#This Row],[G]]</f>
        <v>-1</v>
      </c>
      <c r="I347">
        <f>HomeEdge+VLOOKUP(Table3[[#This Row],[Home]],$A$6:$B$38,2,FALSE)-VLOOKUP(Table3[[#This Row],[Visitor]],$A$6:$B$38,2,FALSE)</f>
        <v>1.5141095636065471</v>
      </c>
      <c r="J347">
        <f>(Table3[[#This Row],[HomeMargin]]-Table3[[#This Row],[HomeForecast]])^2</f>
        <v>6.3207468978179024</v>
      </c>
    </row>
    <row r="348" spans="4:10" x14ac:dyDescent="0.2">
      <c r="D348" t="s">
        <v>24</v>
      </c>
      <c r="E348">
        <f>'NHL2025-26Results'!C343</f>
        <v>3</v>
      </c>
      <c r="F348" t="s">
        <v>27</v>
      </c>
      <c r="G348">
        <f>'NHL2025-26Results'!E343</f>
        <v>6</v>
      </c>
      <c r="H348">
        <f>Table3[[#This Row],[G_1]]-Table3[[#This Row],[G]]</f>
        <v>3</v>
      </c>
      <c r="I348">
        <f>HomeEdge+VLOOKUP(Table3[[#This Row],[Home]],$A$6:$B$38,2,FALSE)-VLOOKUP(Table3[[#This Row],[Visitor]],$A$6:$B$38,2,FALSE)</f>
        <v>0.14101450975298196</v>
      </c>
      <c r="J348">
        <f>(Table3[[#This Row],[HomeMargin]]-Table3[[#This Row],[HomeForecast]])^2</f>
        <v>8.1737980334429832</v>
      </c>
    </row>
    <row r="349" spans="4:10" x14ac:dyDescent="0.2">
      <c r="D349" t="s">
        <v>32</v>
      </c>
      <c r="E349">
        <f>'NHL2025-26Results'!C344</f>
        <v>3</v>
      </c>
      <c r="F349" t="s">
        <v>14</v>
      </c>
      <c r="G349">
        <f>'NHL2025-26Results'!E344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0.86550294545447248</v>
      </c>
      <c r="J349">
        <f>(Table3[[#This Row],[HomeMargin]]-Table3[[#This Row],[HomeForecast]])^2</f>
        <v>3.4801012394993127</v>
      </c>
    </row>
    <row r="350" spans="4:10" x14ac:dyDescent="0.2">
      <c r="D350" t="s">
        <v>36</v>
      </c>
      <c r="E350">
        <f>'NHL2025-26Results'!C345</f>
        <v>3</v>
      </c>
      <c r="F350" t="s">
        <v>33</v>
      </c>
      <c r="G350">
        <f>'NHL2025-26Results'!E345</f>
        <v>2</v>
      </c>
      <c r="H350">
        <f>Table3[[#This Row],[G_1]]-Table3[[#This Row],[G]]</f>
        <v>-1</v>
      </c>
      <c r="I350">
        <f>HomeEdge+VLOOKUP(Table3[[#This Row],[Home]],$A$6:$B$38,2,FALSE)-VLOOKUP(Table3[[#This Row],[Visitor]],$A$6:$B$38,2,FALSE)</f>
        <v>-0.12260676779466098</v>
      </c>
      <c r="J350">
        <f>(Table3[[#This Row],[HomeMargin]]-Table3[[#This Row],[HomeForecast]])^2</f>
        <v>0.76981888391973197</v>
      </c>
    </row>
    <row r="351" spans="4:10" x14ac:dyDescent="0.2">
      <c r="D351" t="s">
        <v>15</v>
      </c>
      <c r="E351">
        <f>'NHL2025-26Results'!C346</f>
        <v>2</v>
      </c>
      <c r="F351" t="s">
        <v>55</v>
      </c>
      <c r="G351">
        <f>'NHL2025-26Results'!E346</f>
        <v>3</v>
      </c>
      <c r="H351">
        <f>Table3[[#This Row],[G_1]]-Table3[[#This Row],[G]]</f>
        <v>1</v>
      </c>
      <c r="I351">
        <f>HomeEdge+VLOOKUP(Table3[[#This Row],[Home]],$A$6:$B$38,2,FALSE)-VLOOKUP(Table3[[#This Row],[Visitor]],$A$6:$B$38,2,FALSE)</f>
        <v>2.8499952728639755E-2</v>
      </c>
      <c r="J351">
        <f>(Table3[[#This Row],[HomeMargin]]-Table3[[#This Row],[HomeForecast]])^2</f>
        <v>0.94381234184825513</v>
      </c>
    </row>
    <row r="352" spans="4:10" x14ac:dyDescent="0.2">
      <c r="D352" t="s">
        <v>37</v>
      </c>
      <c r="E352">
        <f>'NHL2025-26Results'!C347</f>
        <v>5</v>
      </c>
      <c r="F352" t="s">
        <v>22</v>
      </c>
      <c r="G352">
        <f>'NHL2025-26Results'!E347</f>
        <v>3</v>
      </c>
      <c r="H352">
        <f>Table3[[#This Row],[G_1]]-Table3[[#This Row],[G]]</f>
        <v>-2</v>
      </c>
      <c r="I352">
        <f>HomeEdge+VLOOKUP(Table3[[#This Row],[Home]],$A$6:$B$38,2,FALSE)-VLOOKUP(Table3[[#This Row],[Visitor]],$A$6:$B$38,2,FALSE)</f>
        <v>0.36125522407072841</v>
      </c>
      <c r="J352">
        <f>(Table3[[#This Row],[HomeMargin]]-Table3[[#This Row],[HomeForecast]])^2</f>
        <v>5.5755262332013062</v>
      </c>
    </row>
    <row r="353" spans="4:10" x14ac:dyDescent="0.2">
      <c r="D353" t="s">
        <v>25</v>
      </c>
      <c r="E353">
        <f>'NHL2025-26Results'!C348</f>
        <v>1</v>
      </c>
      <c r="F353" t="s">
        <v>23</v>
      </c>
      <c r="G353">
        <f>'NHL2025-26Results'!E348</f>
        <v>4</v>
      </c>
      <c r="H353">
        <f>Table3[[#This Row],[G_1]]-Table3[[#This Row],[G]]</f>
        <v>3</v>
      </c>
      <c r="I353">
        <f>HomeEdge+VLOOKUP(Table3[[#This Row],[Home]],$A$6:$B$38,2,FALSE)-VLOOKUP(Table3[[#This Row],[Visitor]],$A$6:$B$38,2,FALSE)</f>
        <v>-0.87906211058931949</v>
      </c>
      <c r="J353">
        <f>(Table3[[#This Row],[HomeMargin]]-Table3[[#This Row],[HomeForecast]])^2</f>
        <v>15.047122857809665</v>
      </c>
    </row>
    <row r="354" spans="4:10" x14ac:dyDescent="0.2">
      <c r="D354" t="s">
        <v>12</v>
      </c>
      <c r="E354">
        <f>'NHL2025-26Results'!C349</f>
        <v>1</v>
      </c>
      <c r="F354" t="s">
        <v>10</v>
      </c>
      <c r="G354">
        <f>'NHL2025-26Results'!E349</f>
        <v>0</v>
      </c>
      <c r="H354">
        <f>Table3[[#This Row],[G_1]]-Table3[[#This Row],[G]]</f>
        <v>-1</v>
      </c>
      <c r="I354">
        <f>HomeEdge+VLOOKUP(Table3[[#This Row],[Home]],$A$6:$B$38,2,FALSE)-VLOOKUP(Table3[[#This Row],[Visitor]],$A$6:$B$38,2,FALSE)</f>
        <v>-1.7404817942577036</v>
      </c>
      <c r="J354">
        <f>(Table3[[#This Row],[HomeMargin]]-Table3[[#This Row],[HomeForecast]])^2</f>
        <v>0.54831328762710796</v>
      </c>
    </row>
    <row r="355" spans="4:10" x14ac:dyDescent="0.2">
      <c r="D355" t="s">
        <v>32</v>
      </c>
      <c r="E355">
        <f>'NHL2025-26Results'!C350</f>
        <v>0</v>
      </c>
      <c r="F355" t="s">
        <v>30</v>
      </c>
      <c r="G355">
        <f>'NHL2025-26Results'!E350</f>
        <v>1</v>
      </c>
      <c r="H355">
        <f>Table3[[#This Row],[G_1]]-Table3[[#This Row],[G]]</f>
        <v>1</v>
      </c>
      <c r="I355">
        <f>HomeEdge+VLOOKUP(Table3[[#This Row],[Home]],$A$6:$B$38,2,FALSE)-VLOOKUP(Table3[[#This Row],[Visitor]],$A$6:$B$38,2,FALSE)</f>
        <v>1.0213663393560342</v>
      </c>
      <c r="J355">
        <f>(Table3[[#This Row],[HomeMargin]]-Table3[[#This Row],[HomeForecast]])^2</f>
        <v>4.5652045747721418E-4</v>
      </c>
    </row>
    <row r="356" spans="4:10" x14ac:dyDescent="0.2">
      <c r="D356" t="s">
        <v>21</v>
      </c>
      <c r="E356">
        <f>'NHL2025-26Results'!C351</f>
        <v>1</v>
      </c>
      <c r="F356" t="s">
        <v>33</v>
      </c>
      <c r="G356">
        <f>'NHL2025-26Results'!E351</f>
        <v>3</v>
      </c>
      <c r="H356">
        <f>Table3[[#This Row],[G_1]]-Table3[[#This Row],[G]]</f>
        <v>2</v>
      </c>
      <c r="I356">
        <f>HomeEdge+VLOOKUP(Table3[[#This Row],[Home]],$A$6:$B$38,2,FALSE)-VLOOKUP(Table3[[#This Row],[Visitor]],$A$6:$B$38,2,FALSE)</f>
        <v>-0.51814000382477188</v>
      </c>
      <c r="J356">
        <f>(Table3[[#This Row],[HomeMargin]]-Table3[[#This Row],[HomeForecast]])^2</f>
        <v>6.341029078862622</v>
      </c>
    </row>
    <row r="357" spans="4:10" x14ac:dyDescent="0.2">
      <c r="D357" t="s">
        <v>16</v>
      </c>
      <c r="E357">
        <f>'NHL2025-26Results'!C352</f>
        <v>5</v>
      </c>
      <c r="F357" t="s">
        <v>38</v>
      </c>
      <c r="G357">
        <f>'NHL2025-26Results'!E352</f>
        <v>2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0.14646717157664968</v>
      </c>
      <c r="J357">
        <f>(Table3[[#This Row],[HomeMargin]]-Table3[[#This Row],[HomeForecast]])^2</f>
        <v>9.9002556618095614</v>
      </c>
    </row>
    <row r="358" spans="4:10" x14ac:dyDescent="0.2">
      <c r="D358" t="s">
        <v>34</v>
      </c>
      <c r="E358">
        <f>'NHL2025-26Results'!C353</f>
        <v>3</v>
      </c>
      <c r="F358" t="s">
        <v>40</v>
      </c>
      <c r="G358">
        <f>'NHL2025-26Results'!E353</f>
        <v>0</v>
      </c>
      <c r="H358">
        <f>Table3[[#This Row],[G_1]]-Table3[[#This Row],[G]]</f>
        <v>-3</v>
      </c>
      <c r="I358">
        <f>HomeEdge+VLOOKUP(Table3[[#This Row],[Home]],$A$6:$B$38,2,FALSE)-VLOOKUP(Table3[[#This Row],[Visitor]],$A$6:$B$38,2,FALSE)</f>
        <v>-4.9283994506132252E-2</v>
      </c>
      <c r="J358">
        <f>(Table3[[#This Row],[HomeMargin]]-Table3[[#This Row],[HomeForecast]])^2</f>
        <v>8.7067249450776885</v>
      </c>
    </row>
    <row r="359" spans="4:10" x14ac:dyDescent="0.2">
      <c r="D359" t="s">
        <v>36</v>
      </c>
      <c r="E359">
        <f>'NHL2025-26Results'!C354</f>
        <v>1</v>
      </c>
      <c r="F359" t="s">
        <v>13</v>
      </c>
      <c r="G359">
        <f>'NHL2025-26Results'!E354</f>
        <v>2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0.35529043470796295</v>
      </c>
      <c r="J359">
        <f>(Table3[[#This Row],[HomeMargin]]-Table3[[#This Row],[HomeForecast]])^2</f>
        <v>0.41565042357904736</v>
      </c>
    </row>
    <row r="360" spans="4:10" x14ac:dyDescent="0.2">
      <c r="D360" t="s">
        <v>26</v>
      </c>
      <c r="E360">
        <f>'NHL2025-26Results'!C355</f>
        <v>3</v>
      </c>
      <c r="F360" t="s">
        <v>24</v>
      </c>
      <c r="G360">
        <f>'NHL2025-26Results'!E355</f>
        <v>4</v>
      </c>
      <c r="H360">
        <f>Table3[[#This Row],[G_1]]-Table3[[#This Row],[G]]</f>
        <v>1</v>
      </c>
      <c r="I360">
        <f>HomeEdge+VLOOKUP(Table3[[#This Row],[Home]],$A$6:$B$38,2,FALSE)-VLOOKUP(Table3[[#This Row],[Visitor]],$A$6:$B$38,2,FALSE)</f>
        <v>0.55090466152051742</v>
      </c>
      <c r="J360">
        <f>(Table3[[#This Row],[HomeMargin]]-Table3[[#This Row],[HomeForecast]])^2</f>
        <v>0.20168662304400103</v>
      </c>
    </row>
    <row r="361" spans="4:10" x14ac:dyDescent="0.2">
      <c r="D361" t="s">
        <v>11</v>
      </c>
      <c r="E361">
        <f>'NHL2025-26Results'!C356</f>
        <v>8</v>
      </c>
      <c r="F361" t="s">
        <v>29</v>
      </c>
      <c r="G361">
        <f>'NHL2025-26Results'!E356</f>
        <v>3</v>
      </c>
      <c r="H361">
        <f>Table3[[#This Row],[G_1]]-Table3[[#This Row],[G]]</f>
        <v>-5</v>
      </c>
      <c r="I361">
        <f>HomeEdge+VLOOKUP(Table3[[#This Row],[Home]],$A$6:$B$38,2,FALSE)-VLOOKUP(Table3[[#This Row],[Visitor]],$A$6:$B$38,2,FALSE)</f>
        <v>-0.55517788060635964</v>
      </c>
      <c r="J361">
        <f>(Table3[[#This Row],[HomeMargin]]-Table3[[#This Row],[HomeForecast]])^2</f>
        <v>19.75644367305097</v>
      </c>
    </row>
    <row r="362" spans="4:10" x14ac:dyDescent="0.2">
      <c r="D362" t="s">
        <v>35</v>
      </c>
      <c r="E362">
        <f>'NHL2025-26Results'!C357</f>
        <v>2</v>
      </c>
      <c r="F362" t="s">
        <v>15</v>
      </c>
      <c r="G362">
        <f>'NHL2025-26Results'!E357</f>
        <v>3</v>
      </c>
      <c r="H362">
        <f>Table3[[#This Row],[G_1]]-Table3[[#This Row],[G]]</f>
        <v>1</v>
      </c>
      <c r="I362">
        <f>HomeEdge+VLOOKUP(Table3[[#This Row],[Home]],$A$6:$B$38,2,FALSE)-VLOOKUP(Table3[[#This Row],[Visitor]],$A$6:$B$38,2,FALSE)</f>
        <v>1.3089465221564951</v>
      </c>
      <c r="J362">
        <f>(Table3[[#This Row],[HomeMargin]]-Table3[[#This Row],[HomeForecast]])^2</f>
        <v>9.5447953552593709E-2</v>
      </c>
    </row>
    <row r="363" spans="4:10" x14ac:dyDescent="0.2">
      <c r="D363" t="s">
        <v>27</v>
      </c>
      <c r="E363">
        <f>'NHL2025-26Results'!C358</f>
        <v>0</v>
      </c>
      <c r="F363" t="s">
        <v>37</v>
      </c>
      <c r="G363">
        <f>'NHL2025-26Results'!E358</f>
        <v>3</v>
      </c>
      <c r="H363">
        <f>Table3[[#This Row],[G_1]]-Table3[[#This Row],[G]]</f>
        <v>3</v>
      </c>
      <c r="I363">
        <f>HomeEdge+VLOOKUP(Table3[[#This Row],[Home]],$A$6:$B$38,2,FALSE)-VLOOKUP(Table3[[#This Row],[Visitor]],$A$6:$B$38,2,FALSE)</f>
        <v>0.70459621936609651</v>
      </c>
      <c r="J363">
        <f>(Table3[[#This Row],[HomeMargin]]-Table3[[#This Row],[HomeForecast]])^2</f>
        <v>5.2688785161484182</v>
      </c>
    </row>
    <row r="364" spans="4:10" x14ac:dyDescent="0.2">
      <c r="D364" t="s">
        <v>20</v>
      </c>
      <c r="E364">
        <f>'NHL2025-26Results'!C359</f>
        <v>1</v>
      </c>
      <c r="F364" t="s">
        <v>55</v>
      </c>
      <c r="G364">
        <f>'NHL2025-26Results'!E359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6.3225946511959175E-2</v>
      </c>
      <c r="J364">
        <f>(Table3[[#This Row],[HomeMargin]]-Table3[[#This Row],[HomeForecast]])^2</f>
        <v>15.498189948216661</v>
      </c>
    </row>
    <row r="365" spans="4:10" x14ac:dyDescent="0.2">
      <c r="D365" t="s">
        <v>28</v>
      </c>
      <c r="E365">
        <f>'NHL2025-26Results'!C360</f>
        <v>1</v>
      </c>
      <c r="F365" t="s">
        <v>22</v>
      </c>
      <c r="G365">
        <f>'NHL2025-26Results'!E360</f>
        <v>5</v>
      </c>
      <c r="H365">
        <f>Table3[[#This Row],[G_1]]-Table3[[#This Row],[G]]</f>
        <v>4</v>
      </c>
      <c r="I365">
        <f>HomeEdge+VLOOKUP(Table3[[#This Row],[Home]],$A$6:$B$38,2,FALSE)-VLOOKUP(Table3[[#This Row],[Visitor]],$A$6:$B$38,2,FALSE)</f>
        <v>1.2583247485921496</v>
      </c>
      <c r="J365">
        <f>(Table3[[#This Row],[HomeMargin]]-Table3[[#This Row],[HomeForecast]])^2</f>
        <v>7.5167831841822998</v>
      </c>
    </row>
    <row r="366" spans="4:10" x14ac:dyDescent="0.2">
      <c r="D366" t="s">
        <v>39</v>
      </c>
      <c r="E366">
        <f>'NHL2025-26Results'!C361</f>
        <v>8</v>
      </c>
      <c r="F366" t="s">
        <v>17</v>
      </c>
      <c r="G366">
        <f>'NHL2025-26Results'!E361</f>
        <v>3</v>
      </c>
      <c r="H366">
        <f>Table3[[#This Row],[G_1]]-Table3[[#This Row],[G]]</f>
        <v>-5</v>
      </c>
      <c r="I366">
        <f>HomeEdge+VLOOKUP(Table3[[#This Row],[Home]],$A$6:$B$38,2,FALSE)-VLOOKUP(Table3[[#This Row],[Visitor]],$A$6:$B$38,2,FALSE)</f>
        <v>-0.95217283162529309</v>
      </c>
      <c r="J366">
        <f>(Table3[[#This Row],[HomeMargin]]-Table3[[#This Row],[HomeForecast]])^2</f>
        <v>16.384904785032397</v>
      </c>
    </row>
    <row r="367" spans="4:10" x14ac:dyDescent="0.2">
      <c r="D367" t="s">
        <v>38</v>
      </c>
      <c r="E367">
        <f>'NHL2025-26Results'!C362</f>
        <v>5</v>
      </c>
      <c r="F367" t="s">
        <v>31</v>
      </c>
      <c r="G367">
        <f>'NHL2025-26Results'!E362</f>
        <v>4</v>
      </c>
      <c r="H367">
        <f>Table3[[#This Row],[G_1]]-Table3[[#This Row],[G]]</f>
        <v>-1</v>
      </c>
      <c r="I367">
        <f>HomeEdge+VLOOKUP(Table3[[#This Row],[Home]],$A$6:$B$38,2,FALSE)-VLOOKUP(Table3[[#This Row],[Visitor]],$A$6:$B$38,2,FALSE)</f>
        <v>0.92375251115773316</v>
      </c>
      <c r="J367">
        <f>(Table3[[#This Row],[HomeMargin]]-Table3[[#This Row],[HomeForecast]])^2</f>
        <v>3.7008237241856841</v>
      </c>
    </row>
    <row r="368" spans="4:10" x14ac:dyDescent="0.2">
      <c r="D368" t="s">
        <v>15</v>
      </c>
      <c r="E368">
        <f>'NHL2025-26Results'!C363</f>
        <v>4</v>
      </c>
      <c r="F368" t="s">
        <v>25</v>
      </c>
      <c r="G368">
        <f>'NHL2025-26Results'!E363</f>
        <v>2</v>
      </c>
      <c r="H368">
        <f>Table3[[#This Row],[G_1]]-Table3[[#This Row],[G]]</f>
        <v>-2</v>
      </c>
      <c r="I368">
        <f>HomeEdge+VLOOKUP(Table3[[#This Row],[Home]],$A$6:$B$38,2,FALSE)-VLOOKUP(Table3[[#This Row],[Visitor]],$A$6:$B$38,2,FALSE)</f>
        <v>0.49913434960791853</v>
      </c>
      <c r="J368">
        <f>(Table3[[#This Row],[HomeMargin]]-Table3[[#This Row],[HomeForecast]])^2</f>
        <v>6.2456724973901929</v>
      </c>
    </row>
    <row r="369" spans="4:10" x14ac:dyDescent="0.2">
      <c r="D369" t="s">
        <v>19</v>
      </c>
      <c r="E369">
        <f>'NHL2025-26Results'!C364</f>
        <v>2</v>
      </c>
      <c r="F369" t="s">
        <v>28</v>
      </c>
      <c r="G369">
        <f>'NHL2025-26Results'!E364</f>
        <v>1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-0.10252132291957798</v>
      </c>
      <c r="J369">
        <f>(Table3[[#This Row],[HomeMargin]]-Table3[[#This Row],[HomeForecast]])^2</f>
        <v>0.80546797581402452</v>
      </c>
    </row>
    <row r="370" spans="4:10" x14ac:dyDescent="0.2">
      <c r="D370" t="s">
        <v>34</v>
      </c>
      <c r="E370">
        <f>'NHL2025-26Results'!C365</f>
        <v>4</v>
      </c>
      <c r="F370" t="s">
        <v>10</v>
      </c>
      <c r="G370">
        <f>'NHL2025-26Results'!E365</f>
        <v>3</v>
      </c>
      <c r="H370">
        <f>Table3[[#This Row],[G_1]]-Table3[[#This Row],[G]]</f>
        <v>-1</v>
      </c>
      <c r="I370">
        <f>HomeEdge+VLOOKUP(Table3[[#This Row],[Home]],$A$6:$B$38,2,FALSE)-VLOOKUP(Table3[[#This Row],[Visitor]],$A$6:$B$38,2,FALSE)</f>
        <v>-5.3331791518119946E-2</v>
      </c>
      <c r="J370">
        <f>(Table3[[#This Row],[HomeMargin]]-Table3[[#This Row],[HomeForecast]])^2</f>
        <v>0.89618069695029234</v>
      </c>
    </row>
    <row r="371" spans="4:10" x14ac:dyDescent="0.2">
      <c r="D371" t="s">
        <v>33</v>
      </c>
      <c r="E371">
        <f>'NHL2025-26Results'!C366</f>
        <v>0</v>
      </c>
      <c r="F371" t="s">
        <v>12</v>
      </c>
      <c r="G371">
        <f>'NHL2025-26Results'!E366</f>
        <v>6</v>
      </c>
      <c r="H371">
        <f>Table3[[#This Row],[G_1]]-Table3[[#This Row],[G]]</f>
        <v>6</v>
      </c>
      <c r="I371">
        <f>HomeEdge+VLOOKUP(Table3[[#This Row],[Home]],$A$6:$B$38,2,FALSE)-VLOOKUP(Table3[[#This Row],[Visitor]],$A$6:$B$38,2,FALSE)</f>
        <v>2.2109071633596931</v>
      </c>
      <c r="J371">
        <f>(Table3[[#This Row],[HomeMargin]]-Table3[[#This Row],[HomeForecast]])^2</f>
        <v>14.357224524678887</v>
      </c>
    </row>
    <row r="372" spans="4:10" x14ac:dyDescent="0.2">
      <c r="D372" t="s">
        <v>29</v>
      </c>
      <c r="E372">
        <f>'NHL2025-26Results'!C367</f>
        <v>6</v>
      </c>
      <c r="F372" t="s">
        <v>26</v>
      </c>
      <c r="G372">
        <f>'NHL2025-26Results'!E367</f>
        <v>3</v>
      </c>
      <c r="H372">
        <f>Table3[[#This Row],[G_1]]-Table3[[#This Row],[G]]</f>
        <v>-3</v>
      </c>
      <c r="I372">
        <f>HomeEdge+VLOOKUP(Table3[[#This Row],[Home]],$A$6:$B$38,2,FALSE)-VLOOKUP(Table3[[#This Row],[Visitor]],$A$6:$B$38,2,FALSE)</f>
        <v>0.48733051594475141</v>
      </c>
      <c r="J372">
        <f>(Table3[[#This Row],[HomeMargin]]-Table3[[#This Row],[HomeForecast]])^2</f>
        <v>12.161474127439487</v>
      </c>
    </row>
    <row r="373" spans="4:10" x14ac:dyDescent="0.2">
      <c r="D373" t="s">
        <v>27</v>
      </c>
      <c r="E373">
        <f>'NHL2025-26Results'!C368</f>
        <v>4</v>
      </c>
      <c r="F373" t="s">
        <v>11</v>
      </c>
      <c r="G373">
        <f>'NHL2025-26Results'!E368</f>
        <v>2</v>
      </c>
      <c r="H373">
        <f>Table3[[#This Row],[G_1]]-Table3[[#This Row],[G]]</f>
        <v>-2</v>
      </c>
      <c r="I373">
        <f>HomeEdge+VLOOKUP(Table3[[#This Row],[Home]],$A$6:$B$38,2,FALSE)-VLOOKUP(Table3[[#This Row],[Visitor]],$A$6:$B$38,2,FALSE)</f>
        <v>-0.20700219225519084</v>
      </c>
      <c r="J373">
        <f>(Table3[[#This Row],[HomeMargin]]-Table3[[#This Row],[HomeForecast]])^2</f>
        <v>3.2148411385776918</v>
      </c>
    </row>
    <row r="374" spans="4:10" x14ac:dyDescent="0.2">
      <c r="D374" t="s">
        <v>35</v>
      </c>
      <c r="E374">
        <f>'NHL2025-26Results'!C369</f>
        <v>2</v>
      </c>
      <c r="F374" t="s">
        <v>24</v>
      </c>
      <c r="G374">
        <f>'NHL2025-26Results'!E369</f>
        <v>3</v>
      </c>
      <c r="H374">
        <f>Table3[[#This Row],[G_1]]-Table3[[#This Row],[G]]</f>
        <v>1</v>
      </c>
      <c r="I374">
        <f>HomeEdge+VLOOKUP(Table3[[#This Row],[Home]],$A$6:$B$38,2,FALSE)-VLOOKUP(Table3[[#This Row],[Visitor]],$A$6:$B$38,2,FALSE)</f>
        <v>1.0902182560961784</v>
      </c>
      <c r="J374">
        <f>(Table3[[#This Row],[HomeMargin]]-Table3[[#This Row],[HomeForecast]])^2</f>
        <v>8.1393337330356308E-3</v>
      </c>
    </row>
    <row r="375" spans="4:10" x14ac:dyDescent="0.2">
      <c r="D375" t="s">
        <v>21</v>
      </c>
      <c r="E375">
        <f>'NHL2025-26Results'!C370</f>
        <v>3</v>
      </c>
      <c r="F375" t="s">
        <v>30</v>
      </c>
      <c r="G375">
        <f>'NHL2025-26Results'!E370</f>
        <v>1</v>
      </c>
      <c r="H375">
        <f>Table3[[#This Row],[G_1]]-Table3[[#This Row],[G]]</f>
        <v>-2</v>
      </c>
      <c r="I375">
        <f>HomeEdge+VLOOKUP(Table3[[#This Row],[Home]],$A$6:$B$38,2,FALSE)-VLOOKUP(Table3[[#This Row],[Visitor]],$A$6:$B$38,2,FALSE)</f>
        <v>0.2900267809180983</v>
      </c>
      <c r="J375">
        <f>(Table3[[#This Row],[HomeMargin]]-Table3[[#This Row],[HomeForecast]])^2</f>
        <v>5.2442226573221076</v>
      </c>
    </row>
    <row r="376" spans="4:10" x14ac:dyDescent="0.2">
      <c r="D376" t="s">
        <v>23</v>
      </c>
      <c r="E376">
        <f>'NHL2025-26Results'!C371</f>
        <v>2</v>
      </c>
      <c r="F376" t="s">
        <v>14</v>
      </c>
      <c r="G376">
        <f>'NHL2025-26Results'!E371</f>
        <v>4</v>
      </c>
      <c r="H376">
        <f>Table3[[#This Row],[G_1]]-Table3[[#This Row],[G]]</f>
        <v>2</v>
      </c>
      <c r="I376">
        <f>HomeEdge+VLOOKUP(Table3[[#This Row],[Home]],$A$6:$B$38,2,FALSE)-VLOOKUP(Table3[[#This Row],[Visitor]],$A$6:$B$38,2,FALSE)</f>
        <v>0.67946917714391153</v>
      </c>
      <c r="J376">
        <f>(Table3[[#This Row],[HomeMargin]]-Table3[[#This Row],[HomeForecast]])^2</f>
        <v>1.7438016541129777</v>
      </c>
    </row>
    <row r="377" spans="4:10" x14ac:dyDescent="0.2">
      <c r="D377" t="s">
        <v>39</v>
      </c>
      <c r="E377">
        <f>'NHL2025-26Results'!C372</f>
        <v>3</v>
      </c>
      <c r="F377" t="s">
        <v>32</v>
      </c>
      <c r="G377">
        <f>'NHL2025-26Results'!E372</f>
        <v>2</v>
      </c>
      <c r="H377">
        <f>Table3[[#This Row],[G_1]]-Table3[[#This Row],[G]]</f>
        <v>-1</v>
      </c>
      <c r="I377">
        <f>HomeEdge+VLOOKUP(Table3[[#This Row],[Home]],$A$6:$B$38,2,FALSE)-VLOOKUP(Table3[[#This Row],[Visitor]],$A$6:$B$38,2,FALSE)</f>
        <v>-1.2902219559027459</v>
      </c>
      <c r="J377">
        <f>(Table3[[#This Row],[HomeMargin]]-Table3[[#This Row],[HomeForecast]])^2</f>
        <v>8.4228783688015396E-2</v>
      </c>
    </row>
    <row r="378" spans="4:10" x14ac:dyDescent="0.2">
      <c r="D378" t="s">
        <v>16</v>
      </c>
      <c r="E378">
        <f>'NHL2025-26Results'!C373</f>
        <v>1</v>
      </c>
      <c r="F378" t="s">
        <v>37</v>
      </c>
      <c r="G378">
        <f>'NHL2025-26Results'!E373</f>
        <v>5</v>
      </c>
      <c r="H378">
        <f>Table3[[#This Row],[G_1]]-Table3[[#This Row],[G]]</f>
        <v>4</v>
      </c>
      <c r="I378">
        <f>HomeEdge+VLOOKUP(Table3[[#This Row],[Home]],$A$6:$B$38,2,FALSE)-VLOOKUP(Table3[[#This Row],[Visitor]],$A$6:$B$38,2,FALSE)</f>
        <v>1.4068204533040611</v>
      </c>
      <c r="J378">
        <f>(Table3[[#This Row],[HomeMargin]]-Table3[[#This Row],[HomeForecast]])^2</f>
        <v>6.7245801614021552</v>
      </c>
    </row>
    <row r="379" spans="4:10" x14ac:dyDescent="0.2">
      <c r="D379" t="s">
        <v>18</v>
      </c>
      <c r="E379">
        <f>'NHL2025-26Results'!C374</f>
        <v>4</v>
      </c>
      <c r="F379" t="s">
        <v>55</v>
      </c>
      <c r="G379">
        <f>'NHL2025-26Results'!E374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0.48247107353099905</v>
      </c>
      <c r="J379">
        <f>(Table3[[#This Row],[HomeMargin]]-Table3[[#This Row],[HomeForecast]])^2</f>
        <v>2.1977204838561524</v>
      </c>
    </row>
    <row r="380" spans="4:10" x14ac:dyDescent="0.2">
      <c r="D380" t="s">
        <v>36</v>
      </c>
      <c r="E380">
        <f>'NHL2025-26Results'!C375</f>
        <v>4</v>
      </c>
      <c r="F380" t="s">
        <v>20</v>
      </c>
      <c r="G380">
        <f>'NHL2025-26Results'!E375</f>
        <v>3</v>
      </c>
      <c r="H380">
        <f>Table3[[#This Row],[G_1]]-Table3[[#This Row],[G]]</f>
        <v>-1</v>
      </c>
      <c r="I380">
        <f>HomeEdge+VLOOKUP(Table3[[#This Row],[Home]],$A$6:$B$38,2,FALSE)-VLOOKUP(Table3[[#This Row],[Visitor]],$A$6:$B$38,2,FALSE)</f>
        <v>0.44567098171483777</v>
      </c>
      <c r="J380">
        <f>(Table3[[#This Row],[HomeMargin]]-Table3[[#This Row],[HomeForecast]])^2</f>
        <v>2.0899645873723425</v>
      </c>
    </row>
    <row r="381" spans="4:10" x14ac:dyDescent="0.2">
      <c r="D381" t="s">
        <v>40</v>
      </c>
      <c r="E381">
        <f>'NHL2025-26Results'!C376</f>
        <v>3</v>
      </c>
      <c r="F381" t="s">
        <v>22</v>
      </c>
      <c r="G381">
        <f>'NHL2025-26Results'!E376</f>
        <v>4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1.116668264308331</v>
      </c>
      <c r="J381">
        <f>(Table3[[#This Row],[HomeMargin]]-Table3[[#This Row],[HomeForecast]])^2</f>
        <v>1.361148389671858E-2</v>
      </c>
    </row>
    <row r="382" spans="4:10" x14ac:dyDescent="0.2">
      <c r="D382" t="s">
        <v>13</v>
      </c>
      <c r="E382">
        <f>'NHL2025-26Results'!C377</f>
        <v>4</v>
      </c>
      <c r="F382" t="s">
        <v>31</v>
      </c>
      <c r="G382">
        <f>'NHL2025-26Results'!E377</f>
        <v>5</v>
      </c>
      <c r="H382">
        <f>Table3[[#This Row],[G_1]]-Table3[[#This Row],[G]]</f>
        <v>1</v>
      </c>
      <c r="I382">
        <f>HomeEdge+VLOOKUP(Table3[[#This Row],[Home]],$A$6:$B$38,2,FALSE)-VLOOKUP(Table3[[#This Row],[Visitor]],$A$6:$B$38,2,FALSE)</f>
        <v>0.24856038753659757</v>
      </c>
      <c r="J382">
        <f>(Table3[[#This Row],[HomeMargin]]-Table3[[#This Row],[HomeForecast]])^2</f>
        <v>0.56466149117914843</v>
      </c>
    </row>
    <row r="383" spans="4:10" x14ac:dyDescent="0.2">
      <c r="D383" t="s">
        <v>15</v>
      </c>
      <c r="E383">
        <f>'NHL2025-26Results'!C378</f>
        <v>6</v>
      </c>
      <c r="F383" t="s">
        <v>21</v>
      </c>
      <c r="G383">
        <f>'NHL2025-26Results'!E378</f>
        <v>2</v>
      </c>
      <c r="H383">
        <f>Table3[[#This Row],[G_1]]-Table3[[#This Row],[G]]</f>
        <v>-4</v>
      </c>
      <c r="I383">
        <f>HomeEdge+VLOOKUP(Table3[[#This Row],[Home]],$A$6:$B$38,2,FALSE)-VLOOKUP(Table3[[#This Row],[Visitor]],$A$6:$B$38,2,FALSE)</f>
        <v>8.1964106274633852E-2</v>
      </c>
      <c r="J383">
        <f>(Table3[[#This Row],[HomeMargin]]-Table3[[#This Row],[HomeForecast]])^2</f>
        <v>16.662430964914471</v>
      </c>
    </row>
    <row r="384" spans="4:10" x14ac:dyDescent="0.2">
      <c r="D384" t="s">
        <v>24</v>
      </c>
      <c r="E384">
        <f>'NHL2025-26Results'!C379</f>
        <v>5</v>
      </c>
      <c r="F384" t="s">
        <v>23</v>
      </c>
      <c r="G384">
        <f>'NHL2025-26Results'!E379</f>
        <v>0</v>
      </c>
      <c r="H384">
        <f>Table3[[#This Row],[G_1]]-Table3[[#This Row],[G]]</f>
        <v>-5</v>
      </c>
      <c r="I384">
        <f>HomeEdge+VLOOKUP(Table3[[#This Row],[Home]],$A$6:$B$38,2,FALSE)-VLOOKUP(Table3[[#This Row],[Visitor]],$A$6:$B$38,2,FALSE)</f>
        <v>-0.24461341779242426</v>
      </c>
      <c r="J384">
        <f>(Table3[[#This Row],[HomeMargin]]-Table3[[#This Row],[HomeForecast]])^2</f>
        <v>22.613701546239852</v>
      </c>
    </row>
    <row r="385" spans="4:10" x14ac:dyDescent="0.2">
      <c r="D385" t="s">
        <v>40</v>
      </c>
      <c r="E385">
        <f>'NHL2025-26Results'!C380</f>
        <v>1</v>
      </c>
      <c r="F385" t="s">
        <v>25</v>
      </c>
      <c r="G385">
        <f>'NHL2025-26Results'!E380</f>
        <v>5</v>
      </c>
      <c r="H385">
        <f>Table3[[#This Row],[G_1]]-Table3[[#This Row],[G]]</f>
        <v>4</v>
      </c>
      <c r="I385">
        <f>HomeEdge+VLOOKUP(Table3[[#This Row],[Home]],$A$6:$B$38,2,FALSE)-VLOOKUP(Table3[[#This Row],[Visitor]],$A$6:$B$38,2,FALSE)</f>
        <v>0.79449277252943962</v>
      </c>
      <c r="J385">
        <f>(Table3[[#This Row],[HomeMargin]]-Table3[[#This Row],[HomeForecast]])^2</f>
        <v>10.275276585365999</v>
      </c>
    </row>
    <row r="386" spans="4:10" x14ac:dyDescent="0.2">
      <c r="D386" t="s">
        <v>14</v>
      </c>
      <c r="E386">
        <f>'NHL2025-26Results'!C381</f>
        <v>4</v>
      </c>
      <c r="F386" t="s">
        <v>28</v>
      </c>
      <c r="G386">
        <f>'NHL2025-26Results'!E381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-0.40290063188248976</v>
      </c>
      <c r="J386">
        <f>(Table3[[#This Row],[HomeMargin]]-Table3[[#This Row],[HomeForecast]])^2</f>
        <v>0.35652765540633008</v>
      </c>
    </row>
    <row r="387" spans="4:10" x14ac:dyDescent="0.2">
      <c r="D387" t="s">
        <v>29</v>
      </c>
      <c r="E387">
        <f>'NHL2025-26Results'!C382</f>
        <v>4</v>
      </c>
      <c r="F387" t="s">
        <v>10</v>
      </c>
      <c r="G387">
        <f>'NHL2025-26Results'!E382</f>
        <v>3</v>
      </c>
      <c r="H387">
        <f>Table3[[#This Row],[G_1]]-Table3[[#This Row],[G]]</f>
        <v>-1</v>
      </c>
      <c r="I387">
        <f>HomeEdge+VLOOKUP(Table3[[#This Row],[Home]],$A$6:$B$38,2,FALSE)-VLOOKUP(Table3[[#This Row],[Visitor]],$A$6:$B$38,2,FALSE)</f>
        <v>0.87414330072073687</v>
      </c>
      <c r="J387">
        <f>(Table3[[#This Row],[HomeMargin]]-Table3[[#This Row],[HomeForecast]])^2</f>
        <v>3.5124131116364183</v>
      </c>
    </row>
    <row r="388" spans="4:10" x14ac:dyDescent="0.2">
      <c r="D388" t="s">
        <v>55</v>
      </c>
      <c r="E388">
        <f>'NHL2025-26Results'!C383</f>
        <v>3</v>
      </c>
      <c r="F388" t="s">
        <v>39</v>
      </c>
      <c r="G388">
        <f>'NHL2025-26Results'!E383</f>
        <v>4</v>
      </c>
      <c r="H388">
        <f>Table3[[#This Row],[G_1]]-Table3[[#This Row],[G]]</f>
        <v>1</v>
      </c>
      <c r="I388">
        <f>HomeEdge+VLOOKUP(Table3[[#This Row],[Home]],$A$6:$B$38,2,FALSE)-VLOOKUP(Table3[[#This Row],[Visitor]],$A$6:$B$38,2,FALSE)</f>
        <v>0.77917439675348432</v>
      </c>
      <c r="J388">
        <f>(Table3[[#This Row],[HomeMargin]]-Table3[[#This Row],[HomeForecast]])^2</f>
        <v>4.8763947049187559E-2</v>
      </c>
    </row>
    <row r="389" spans="4:10" x14ac:dyDescent="0.2">
      <c r="D389" t="s">
        <v>37</v>
      </c>
      <c r="E389">
        <f>'NHL2025-26Results'!C384</f>
        <v>6</v>
      </c>
      <c r="F389" t="s">
        <v>26</v>
      </c>
      <c r="G389">
        <f>'NHL2025-26Results'!E384</f>
        <v>3</v>
      </c>
      <c r="H389">
        <f>Table3[[#This Row],[G_1]]-Table3[[#This Row],[G]]</f>
        <v>-3</v>
      </c>
      <c r="I389">
        <f>HomeEdge+VLOOKUP(Table3[[#This Row],[Home]],$A$6:$B$38,2,FALSE)-VLOOKUP(Table3[[#This Row],[Visitor]],$A$6:$B$38,2,FALSE)</f>
        <v>-1.0628596991542356</v>
      </c>
      <c r="J389">
        <f>(Table3[[#This Row],[HomeMargin]]-Table3[[#This Row],[HomeForecast]])^2</f>
        <v>3.7525125451608186</v>
      </c>
    </row>
    <row r="390" spans="4:10" x14ac:dyDescent="0.2">
      <c r="D390" t="s">
        <v>16</v>
      </c>
      <c r="E390">
        <f>'NHL2025-26Results'!C385</f>
        <v>5</v>
      </c>
      <c r="F390" t="s">
        <v>11</v>
      </c>
      <c r="G390">
        <f>'NHL2025-26Results'!E385</f>
        <v>3</v>
      </c>
      <c r="H390">
        <f>Table3[[#This Row],[G_1]]-Table3[[#This Row],[G]]</f>
        <v>-2</v>
      </c>
      <c r="I390">
        <f>HomeEdge+VLOOKUP(Table3[[#This Row],[Home]],$A$6:$B$38,2,FALSE)-VLOOKUP(Table3[[#This Row],[Visitor]],$A$6:$B$38,2,FALSE)</f>
        <v>0.49522204168277367</v>
      </c>
      <c r="J390">
        <f>(Table3[[#This Row],[HomeMargin]]-Table3[[#This Row],[HomeForecast]])^2</f>
        <v>6.22613303729955</v>
      </c>
    </row>
    <row r="391" spans="4:10" x14ac:dyDescent="0.2">
      <c r="D391" t="s">
        <v>12</v>
      </c>
      <c r="E391">
        <f>'NHL2025-26Results'!C386</f>
        <v>2</v>
      </c>
      <c r="F391" t="s">
        <v>34</v>
      </c>
      <c r="G391">
        <f>'NHL2025-26Results'!E386</f>
        <v>3</v>
      </c>
      <c r="H391">
        <f>Table3[[#This Row],[G_1]]-Table3[[#This Row],[G]]</f>
        <v>1</v>
      </c>
      <c r="I391">
        <f>HomeEdge+VLOOKUP(Table3[[#This Row],[Home]],$A$6:$B$38,2,FALSE)-VLOOKUP(Table3[[#This Row],[Visitor]],$A$6:$B$38,2,FALSE)</f>
        <v>-1.6037360798682434</v>
      </c>
      <c r="J391">
        <f>(Table3[[#This Row],[HomeMargin]]-Table3[[#This Row],[HomeForecast]])^2</f>
        <v>6.7794415736076461</v>
      </c>
    </row>
    <row r="392" spans="4:10" x14ac:dyDescent="0.2">
      <c r="D392" t="s">
        <v>27</v>
      </c>
      <c r="E392">
        <f>'NHL2025-26Results'!C387</f>
        <v>4</v>
      </c>
      <c r="F392" t="s">
        <v>30</v>
      </c>
      <c r="G392">
        <f>'NHL2025-26Results'!E387</f>
        <v>3</v>
      </c>
      <c r="H392">
        <f>Table3[[#This Row],[G_1]]-Table3[[#This Row],[G]]</f>
        <v>-1</v>
      </c>
      <c r="I392">
        <f>HomeEdge+VLOOKUP(Table3[[#This Row],[Home]],$A$6:$B$38,2,FALSE)-VLOOKUP(Table3[[#This Row],[Visitor]],$A$6:$B$38,2,FALSE)</f>
        <v>0.449704643500067</v>
      </c>
      <c r="J392">
        <f>(Table3[[#This Row],[HomeMargin]]-Table3[[#This Row],[HomeForecast]])^2</f>
        <v>2.1016435533856566</v>
      </c>
    </row>
    <row r="393" spans="4:10" x14ac:dyDescent="0.2">
      <c r="D393" t="s">
        <v>38</v>
      </c>
      <c r="E393">
        <f>'NHL2025-26Results'!C388</f>
        <v>2</v>
      </c>
      <c r="F393" t="s">
        <v>33</v>
      </c>
      <c r="G393">
        <f>'NHL2025-26Results'!E388</f>
        <v>3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0.28070884398985174</v>
      </c>
      <c r="J393">
        <f>(Table3[[#This Row],[HomeMargin]]-Table3[[#This Row],[HomeForecast]])^2</f>
        <v>0.51737976711441547</v>
      </c>
    </row>
    <row r="394" spans="4:10" x14ac:dyDescent="0.2">
      <c r="D394" t="s">
        <v>36</v>
      </c>
      <c r="E394">
        <f>'NHL2025-26Results'!C389</f>
        <v>3</v>
      </c>
      <c r="F394" t="s">
        <v>35</v>
      </c>
      <c r="G394">
        <f>'NHL2025-26Results'!E389</f>
        <v>4</v>
      </c>
      <c r="H394">
        <f>Table3[[#This Row],[G_1]]-Table3[[#This Row],[G]]</f>
        <v>1</v>
      </c>
      <c r="I394">
        <f>HomeEdge+VLOOKUP(Table3[[#This Row],[Home]],$A$6:$B$38,2,FALSE)-VLOOKUP(Table3[[#This Row],[Visitor]],$A$6:$B$38,2,FALSE)</f>
        <v>-0.74513562378699782</v>
      </c>
      <c r="J394">
        <f>(Table3[[#This Row],[HomeMargin]]-Table3[[#This Row],[HomeForecast]])^2</f>
        <v>3.0454983454104343</v>
      </c>
    </row>
    <row r="395" spans="4:10" x14ac:dyDescent="0.2">
      <c r="D395" t="s">
        <v>18</v>
      </c>
      <c r="E395">
        <f>'NHL2025-26Results'!C390</f>
        <v>4</v>
      </c>
      <c r="F395" t="s">
        <v>20</v>
      </c>
      <c r="G395">
        <f>'NHL2025-26Results'!E390</f>
        <v>1</v>
      </c>
      <c r="H395">
        <f>Table3[[#This Row],[G_1]]-Table3[[#This Row],[G]]</f>
        <v>-3</v>
      </c>
      <c r="I395">
        <f>HomeEdge+VLOOKUP(Table3[[#This Row],[Home]],$A$6:$B$38,2,FALSE)-VLOOKUP(Table3[[#This Row],[Visitor]],$A$6:$B$38,2,FALSE)</f>
        <v>0.50265904989038002</v>
      </c>
      <c r="J395">
        <f>(Table3[[#This Row],[HomeMargin]]-Table3[[#This Row],[HomeForecast]])^2</f>
        <v>12.268620419778982</v>
      </c>
    </row>
    <row r="396" spans="4:10" x14ac:dyDescent="0.2">
      <c r="D396" t="s">
        <v>19</v>
      </c>
      <c r="E396">
        <f>'NHL2025-26Results'!C391</f>
        <v>2</v>
      </c>
      <c r="F396" t="s">
        <v>22</v>
      </c>
      <c r="G396">
        <f>'NHL2025-26Results'!E391</f>
        <v>4</v>
      </c>
      <c r="H396">
        <f>Table3[[#This Row],[G_1]]-Table3[[#This Row],[G]]</f>
        <v>2</v>
      </c>
      <c r="I396">
        <f>HomeEdge+VLOOKUP(Table3[[#This Row],[Home]],$A$6:$B$38,2,FALSE)-VLOOKUP(Table3[[#This Row],[Visitor]],$A$6:$B$38,2,FALSE)</f>
        <v>1.0723895028012314</v>
      </c>
      <c r="J396">
        <f>(Table3[[#This Row],[HomeMargin]]-Table3[[#This Row],[HomeForecast]])^2</f>
        <v>0.86046123451334677</v>
      </c>
    </row>
    <row r="397" spans="4:10" x14ac:dyDescent="0.2">
      <c r="D397" t="s">
        <v>26</v>
      </c>
      <c r="E397">
        <f>'NHL2025-26Results'!C392</f>
        <v>2</v>
      </c>
      <c r="F397" t="s">
        <v>21</v>
      </c>
      <c r="G397">
        <f>'NHL2025-26Results'!E392</f>
        <v>3</v>
      </c>
      <c r="H397">
        <f>Table3[[#This Row],[G_1]]-Table3[[#This Row],[G]]</f>
        <v>1</v>
      </c>
      <c r="I397">
        <f>HomeEdge+VLOOKUP(Table3[[#This Row],[Home]],$A$6:$B$38,2,FALSE)-VLOOKUP(Table3[[#This Row],[Visitor]],$A$6:$B$38,2,FALSE)</f>
        <v>0.76818311098412806</v>
      </c>
      <c r="J397">
        <f>(Table3[[#This Row],[HomeMargin]]-Table3[[#This Row],[HomeForecast]])^2</f>
        <v>5.3739070032997091E-2</v>
      </c>
    </row>
    <row r="398" spans="4:10" x14ac:dyDescent="0.2">
      <c r="D398" t="s">
        <v>18</v>
      </c>
      <c r="E398">
        <f>'NHL2025-26Results'!C393</f>
        <v>2</v>
      </c>
      <c r="F398" t="s">
        <v>12</v>
      </c>
      <c r="G398">
        <f>'NHL2025-26Results'!E393</f>
        <v>7</v>
      </c>
      <c r="H398">
        <f>Table3[[#This Row],[G_1]]-Table3[[#This Row],[G]]</f>
        <v>5</v>
      </c>
      <c r="I398">
        <f>HomeEdge+VLOOKUP(Table3[[#This Row],[Home]],$A$6:$B$38,2,FALSE)-VLOOKUP(Table3[[#This Row],[Visitor]],$A$6:$B$38,2,FALSE)</f>
        <v>2.0618745408692343</v>
      </c>
      <c r="J398">
        <f>(Table3[[#This Row],[HomeMargin]]-Table3[[#This Row],[HomeForecast]])^2</f>
        <v>8.6325812135923723</v>
      </c>
    </row>
    <row r="399" spans="4:10" x14ac:dyDescent="0.2">
      <c r="D399" t="s">
        <v>38</v>
      </c>
      <c r="E399">
        <f>'NHL2025-26Results'!C394</f>
        <v>1</v>
      </c>
      <c r="F399" t="s">
        <v>13</v>
      </c>
      <c r="G399">
        <f>'NHL2025-26Results'!E394</f>
        <v>2</v>
      </c>
      <c r="H399">
        <f>Table3[[#This Row],[G_1]]-Table3[[#This Row],[G]]</f>
        <v>1</v>
      </c>
      <c r="I399">
        <f>HomeEdge+VLOOKUP(Table3[[#This Row],[Home]],$A$6:$B$38,2,FALSE)-VLOOKUP(Table3[[#This Row],[Visitor]],$A$6:$B$38,2,FALSE)</f>
        <v>0.75860604649247576</v>
      </c>
      <c r="J399">
        <f>(Table3[[#This Row],[HomeMargin]]-Table3[[#This Row],[HomeForecast]])^2</f>
        <v>5.8271040789992776E-2</v>
      </c>
    </row>
    <row r="400" spans="4:10" x14ac:dyDescent="0.2">
      <c r="D400" t="s">
        <v>23</v>
      </c>
      <c r="E400">
        <f>'NHL2025-26Results'!C395</f>
        <v>3</v>
      </c>
      <c r="F400" t="s">
        <v>34</v>
      </c>
      <c r="G400">
        <f>'NHL2025-26Results'!E395</f>
        <v>2</v>
      </c>
      <c r="H400">
        <f>Table3[[#This Row],[G_1]]-Table3[[#This Row],[G]]</f>
        <v>-1</v>
      </c>
      <c r="I400">
        <f>HomeEdge+VLOOKUP(Table3[[#This Row],[Home]],$A$6:$B$38,2,FALSE)-VLOOKUP(Table3[[#This Row],[Visitor]],$A$6:$B$38,2,FALSE)</f>
        <v>0.46750902405137251</v>
      </c>
      <c r="J400">
        <f>(Table3[[#This Row],[HomeMargin]]-Table3[[#This Row],[HomeForecast]])^2</f>
        <v>2.1535827356722121</v>
      </c>
    </row>
    <row r="401" spans="4:10" x14ac:dyDescent="0.2">
      <c r="D401" t="s">
        <v>27</v>
      </c>
      <c r="E401">
        <f>'NHL2025-26Results'!C396</f>
        <v>5</v>
      </c>
      <c r="F401" t="s">
        <v>24</v>
      </c>
      <c r="G401">
        <f>'NHL2025-26Results'!E396</f>
        <v>3</v>
      </c>
      <c r="H401">
        <f>Table3[[#This Row],[G_1]]-Table3[[#This Row],[G]]</f>
        <v>-2</v>
      </c>
      <c r="I401">
        <f>HomeEdge+VLOOKUP(Table3[[#This Row],[Home]],$A$6:$B$38,2,FALSE)-VLOOKUP(Table3[[#This Row],[Visitor]],$A$6:$B$38,2,FALSE)</f>
        <v>2.5813335989698177E-2</v>
      </c>
      <c r="J401">
        <f>(Table3[[#This Row],[HomeMargin]]-Table3[[#This Row],[HomeForecast]])^2</f>
        <v>4.1039196722737099</v>
      </c>
    </row>
    <row r="402" spans="4:10" x14ac:dyDescent="0.2">
      <c r="D402" t="s">
        <v>40</v>
      </c>
      <c r="E402">
        <f>'NHL2025-26Results'!C397</f>
        <v>5</v>
      </c>
      <c r="F402" t="s">
        <v>29</v>
      </c>
      <c r="G402">
        <f>'NHL2025-26Results'!E397</f>
        <v>2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-0.71136325199004435</v>
      </c>
      <c r="J402">
        <f>(Table3[[#This Row],[HomeMargin]]-Table3[[#This Row],[HomeForecast]])^2</f>
        <v>5.2378581643415849</v>
      </c>
    </row>
    <row r="403" spans="4:10" x14ac:dyDescent="0.2">
      <c r="D403" t="s">
        <v>37</v>
      </c>
      <c r="E403">
        <f>'NHL2025-26Results'!C398</f>
        <v>4</v>
      </c>
      <c r="F403" t="s">
        <v>15</v>
      </c>
      <c r="G403">
        <f>'NHL2025-26Results'!E398</f>
        <v>1</v>
      </c>
      <c r="H403">
        <f>Table3[[#This Row],[G_1]]-Table3[[#This Row],[G]]</f>
        <v>-3</v>
      </c>
      <c r="I403">
        <f>HomeEdge+VLOOKUP(Table3[[#This Row],[Home]],$A$6:$B$38,2,FALSE)-VLOOKUP(Table3[[#This Row],[Visitor]],$A$6:$B$38,2,FALSE)</f>
        <v>-0.37664069444474141</v>
      </c>
      <c r="J403">
        <f>(Table3[[#This Row],[HomeMargin]]-Table3[[#This Row],[HomeForecast]])^2</f>
        <v>6.882014046043369</v>
      </c>
    </row>
    <row r="404" spans="4:10" x14ac:dyDescent="0.2">
      <c r="D404" t="s">
        <v>19</v>
      </c>
      <c r="E404">
        <f>'NHL2025-26Results'!C399</f>
        <v>7</v>
      </c>
      <c r="F404" t="s">
        <v>14</v>
      </c>
      <c r="G404">
        <f>'NHL2025-26Results'!E399</f>
        <v>2</v>
      </c>
      <c r="H404">
        <f>Table3[[#This Row],[G_1]]-Table3[[#This Row],[G]]</f>
        <v>-5</v>
      </c>
      <c r="I404">
        <f>HomeEdge+VLOOKUP(Table3[[#This Row],[Home]],$A$6:$B$38,2,FALSE)-VLOOKUP(Table3[[#This Row],[Visitor]],$A$6:$B$38,2,FALSE)</f>
        <v>0.38379323183425185</v>
      </c>
      <c r="J404">
        <f>(Table3[[#This Row],[HomeMargin]]-Table3[[#This Row],[HomeForecast]])^2</f>
        <v>28.985229563144301</v>
      </c>
    </row>
    <row r="405" spans="4:10" x14ac:dyDescent="0.2">
      <c r="D405" t="s">
        <v>17</v>
      </c>
      <c r="E405">
        <f>'NHL2025-26Results'!C400</f>
        <v>4</v>
      </c>
      <c r="F405" t="s">
        <v>32</v>
      </c>
      <c r="G405">
        <f>'NHL2025-26Results'!E400</f>
        <v>0</v>
      </c>
      <c r="H405">
        <f>Table3[[#This Row],[G_1]]-Table3[[#This Row],[G]]</f>
        <v>-4</v>
      </c>
      <c r="I405">
        <f>HomeEdge+VLOOKUP(Table3[[#This Row],[Home]],$A$6:$B$38,2,FALSE)-VLOOKUP(Table3[[#This Row],[Visitor]],$A$6:$B$38,2,FALSE)</f>
        <v>-0.25463520140611273</v>
      </c>
      <c r="J405">
        <f>(Table3[[#This Row],[HomeMargin]]-Table3[[#This Row],[HomeForecast]])^2</f>
        <v>14.027757474546231</v>
      </c>
    </row>
    <row r="406" spans="4:10" x14ac:dyDescent="0.2">
      <c r="D406" t="s">
        <v>55</v>
      </c>
      <c r="E406">
        <f>'NHL2025-26Results'!C401</f>
        <v>0</v>
      </c>
      <c r="F406" t="s">
        <v>35</v>
      </c>
      <c r="G406">
        <f>'NHL2025-26Results'!E401</f>
        <v>1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-1.0872047062711148</v>
      </c>
      <c r="J406">
        <f>(Table3[[#This Row],[HomeMargin]]-Table3[[#This Row],[HomeForecast]])^2</f>
        <v>4.3564234858802902</v>
      </c>
    </row>
    <row r="407" spans="4:10" x14ac:dyDescent="0.2">
      <c r="D407" t="s">
        <v>33</v>
      </c>
      <c r="E407">
        <f>'NHL2025-26Results'!C402</f>
        <v>3</v>
      </c>
      <c r="F407" t="s">
        <v>20</v>
      </c>
      <c r="G407">
        <f>'NHL2025-26Results'!E402</f>
        <v>4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0.6516916723808388</v>
      </c>
      <c r="J407">
        <f>(Table3[[#This Row],[HomeMargin]]-Table3[[#This Row],[HomeForecast]])^2</f>
        <v>0.12131869108885693</v>
      </c>
    </row>
    <row r="408" spans="4:10" x14ac:dyDescent="0.2">
      <c r="D408" t="s">
        <v>16</v>
      </c>
      <c r="E408">
        <f>'NHL2025-26Results'!C403</f>
        <v>0</v>
      </c>
      <c r="F408" t="s">
        <v>25</v>
      </c>
      <c r="G408">
        <f>'NHL2025-26Results'!E403</f>
        <v>1</v>
      </c>
      <c r="H408">
        <f>Table3[[#This Row],[G_1]]-Table3[[#This Row],[G]]</f>
        <v>1</v>
      </c>
      <c r="I408">
        <f>HomeEdge+VLOOKUP(Table3[[#This Row],[Home]],$A$6:$B$38,2,FALSE)-VLOOKUP(Table3[[#This Row],[Visitor]],$A$6:$B$38,2,FALSE)</f>
        <v>1.362486262724558</v>
      </c>
      <c r="J408">
        <f>(Table3[[#This Row],[HomeMargin]]-Table3[[#This Row],[HomeForecast]])^2</f>
        <v>0.13139629066401726</v>
      </c>
    </row>
    <row r="409" spans="4:10" x14ac:dyDescent="0.2">
      <c r="D409" t="s">
        <v>31</v>
      </c>
      <c r="E409">
        <f>'NHL2025-26Results'!C404</f>
        <v>3</v>
      </c>
      <c r="F409" t="s">
        <v>10</v>
      </c>
      <c r="G409">
        <f>'NHL2025-26Results'!E404</f>
        <v>5</v>
      </c>
      <c r="H409">
        <f>Table3[[#This Row],[G_1]]-Table3[[#This Row],[G]]</f>
        <v>2</v>
      </c>
      <c r="I409">
        <f>HomeEdge+VLOOKUP(Table3[[#This Row],[Home]],$A$6:$B$38,2,FALSE)-VLOOKUP(Table3[[#This Row],[Visitor]],$A$6:$B$38,2,FALSE)</f>
        <v>-0.25603222093723199</v>
      </c>
      <c r="J409">
        <f>(Table3[[#This Row],[HomeMargin]]-Table3[[#This Row],[HomeForecast]])^2</f>
        <v>5.0896813819069786</v>
      </c>
    </row>
    <row r="410" spans="4:10" x14ac:dyDescent="0.2">
      <c r="D410" t="s">
        <v>36</v>
      </c>
      <c r="E410">
        <f>'NHL2025-26Results'!C405</f>
        <v>1</v>
      </c>
      <c r="F410" t="s">
        <v>39</v>
      </c>
      <c r="G410">
        <f>'NHL2025-26Results'!E405</f>
        <v>6</v>
      </c>
      <c r="H410">
        <f>Table3[[#This Row],[G_1]]-Table3[[#This Row],[G]]</f>
        <v>5</v>
      </c>
      <c r="I410">
        <f>HomeEdge+VLOOKUP(Table3[[#This Row],[Home]],$A$6:$B$38,2,FALSE)-VLOOKUP(Table3[[#This Row],[Visitor]],$A$6:$B$38,2,FALSE)</f>
        <v>1.1212434792376011</v>
      </c>
      <c r="J410">
        <f>(Table3[[#This Row],[HomeMargin]]-Table3[[#This Row],[HomeForecast]])^2</f>
        <v>15.044752147356828</v>
      </c>
    </row>
    <row r="411" spans="4:10" x14ac:dyDescent="0.2">
      <c r="D411" t="s">
        <v>22</v>
      </c>
      <c r="E411">
        <f>'NHL2025-26Results'!C406</f>
        <v>4</v>
      </c>
      <c r="F411" t="s">
        <v>30</v>
      </c>
      <c r="G411">
        <f>'NHL2025-26Results'!E406</f>
        <v>1</v>
      </c>
      <c r="H411">
        <f>Table3[[#This Row],[G_1]]-Table3[[#This Row],[G]]</f>
        <v>-3</v>
      </c>
      <c r="I411">
        <f>HomeEdge+VLOOKUP(Table3[[#This Row],[Home]],$A$6:$B$38,2,FALSE)-VLOOKUP(Table3[[#This Row],[Visitor]],$A$6:$B$38,2,FALSE)</f>
        <v>-0.44931895419407775</v>
      </c>
      <c r="J411">
        <f>(Table3[[#This Row],[HomeMargin]]-Table3[[#This Row],[HomeForecast]])^2</f>
        <v>6.5059737974335929</v>
      </c>
    </row>
    <row r="412" spans="4:10" x14ac:dyDescent="0.2">
      <c r="D412" t="s">
        <v>40</v>
      </c>
      <c r="E412">
        <f>'NHL2025-26Results'!C407</f>
        <v>1</v>
      </c>
      <c r="F412" t="s">
        <v>23</v>
      </c>
      <c r="G412">
        <f>'NHL2025-26Results'!E407</f>
        <v>5</v>
      </c>
      <c r="H412">
        <f>Table3[[#This Row],[G_1]]-Table3[[#This Row],[G]]</f>
        <v>4</v>
      </c>
      <c r="I412">
        <f>HomeEdge+VLOOKUP(Table3[[#This Row],[Home]],$A$6:$B$38,2,FALSE)-VLOOKUP(Table3[[#This Row],[Visitor]],$A$6:$B$38,2,FALSE)</f>
        <v>-0.16798326093122001</v>
      </c>
      <c r="J412">
        <f>(Table3[[#This Row],[HomeMargin]]-Table3[[#This Row],[HomeForecast]])^2</f>
        <v>17.37208446340285</v>
      </c>
    </row>
    <row r="413" spans="4:10" x14ac:dyDescent="0.2">
      <c r="D413" t="s">
        <v>28</v>
      </c>
      <c r="E413">
        <f>'NHL2025-26Results'!C408</f>
        <v>5</v>
      </c>
      <c r="F413" t="s">
        <v>24</v>
      </c>
      <c r="G413">
        <f>'NHL2025-26Results'!E408</f>
        <v>3</v>
      </c>
      <c r="H413">
        <f>Table3[[#This Row],[G_1]]-Table3[[#This Row],[G]]</f>
        <v>-2</v>
      </c>
      <c r="I413">
        <f>HomeEdge+VLOOKUP(Table3[[#This Row],[Home]],$A$6:$B$38,2,FALSE)-VLOOKUP(Table3[[#This Row],[Visitor]],$A$6:$B$38,2,FALSE)</f>
        <v>0.3017005640163628</v>
      </c>
      <c r="J413">
        <f>(Table3[[#This Row],[HomeMargin]]-Table3[[#This Row],[HomeForecast]])^2</f>
        <v>5.2978254863932426</v>
      </c>
    </row>
    <row r="414" spans="4:10" x14ac:dyDescent="0.2">
      <c r="D414" t="s">
        <v>14</v>
      </c>
      <c r="E414">
        <f>'NHL2025-26Results'!C409</f>
        <v>5</v>
      </c>
      <c r="F414" t="s">
        <v>27</v>
      </c>
      <c r="G414">
        <f>'NHL2025-26Results'!E409</f>
        <v>1</v>
      </c>
      <c r="H414">
        <f>Table3[[#This Row],[G_1]]-Table3[[#This Row],[G]]</f>
        <v>-4</v>
      </c>
      <c r="I414">
        <f>HomeEdge+VLOOKUP(Table3[[#This Row],[Home]],$A$6:$B$38,2,FALSE)-VLOOKUP(Table3[[#This Row],[Visitor]],$A$6:$B$38,2,FALSE)</f>
        <v>-0.12701340385582513</v>
      </c>
      <c r="J414">
        <f>(Table3[[#This Row],[HomeMargin]]-Table3[[#This Row],[HomeForecast]])^2</f>
        <v>15.000025173912443</v>
      </c>
    </row>
    <row r="415" spans="4:10" x14ac:dyDescent="0.2">
      <c r="D415" t="s">
        <v>55</v>
      </c>
      <c r="E415">
        <f>'NHL2025-26Results'!C410</f>
        <v>3</v>
      </c>
      <c r="F415" t="s">
        <v>33</v>
      </c>
      <c r="G415">
        <f>'NHL2025-26Results'!E410</f>
        <v>6</v>
      </c>
      <c r="H415">
        <f>Table3[[#This Row],[G_1]]-Table3[[#This Row],[G]]</f>
        <v>3</v>
      </c>
      <c r="I415">
        <f>HomeEdge+VLOOKUP(Table3[[#This Row],[Home]],$A$6:$B$38,2,FALSE)-VLOOKUP(Table3[[#This Row],[Visitor]],$A$6:$B$38,2,FALSE)</f>
        <v>-0.46467585027877778</v>
      </c>
      <c r="J415">
        <f>(Table3[[#This Row],[HomeMargin]]-Table3[[#This Row],[HomeForecast]])^2</f>
        <v>12.003978747504972</v>
      </c>
    </row>
    <row r="416" spans="4:10" x14ac:dyDescent="0.2">
      <c r="D416" t="s">
        <v>31</v>
      </c>
      <c r="E416">
        <f>'NHL2025-26Results'!C411</f>
        <v>4</v>
      </c>
      <c r="F416" t="s">
        <v>35</v>
      </c>
      <c r="G416">
        <f>'NHL2025-26Results'!E411</f>
        <v>1</v>
      </c>
      <c r="H416">
        <f>Table3[[#This Row],[G_1]]-Table3[[#This Row],[G]]</f>
        <v>-3</v>
      </c>
      <c r="I416">
        <f>HomeEdge+VLOOKUP(Table3[[#This Row],[Home]],$A$6:$B$38,2,FALSE)-VLOOKUP(Table3[[#This Row],[Visitor]],$A$6:$B$38,2,FALSE)</f>
        <v>-1.1821586002888782</v>
      </c>
      <c r="J416">
        <f>(Table3[[#This Row],[HomeMargin]]-Table3[[#This Row],[HomeForecast]])^2</f>
        <v>3.3045473545036903</v>
      </c>
    </row>
    <row r="417" spans="4:10" x14ac:dyDescent="0.2">
      <c r="D417" t="s">
        <v>38</v>
      </c>
      <c r="E417">
        <f>'NHL2025-26Results'!C412</f>
        <v>1</v>
      </c>
      <c r="F417" t="s">
        <v>12</v>
      </c>
      <c r="G417">
        <f>'NHL2025-26Results'!E412</f>
        <v>3</v>
      </c>
      <c r="H417">
        <f>Table3[[#This Row],[G_1]]-Table3[[#This Row],[G]]</f>
        <v>2</v>
      </c>
      <c r="I417">
        <f>HomeEdge+VLOOKUP(Table3[[#This Row],[Home]],$A$6:$B$38,2,FALSE)-VLOOKUP(Table3[[#This Row],[Visitor]],$A$6:$B$38,2,FALSE)</f>
        <v>2.4082020844782046</v>
      </c>
      <c r="J417">
        <f>(Table3[[#This Row],[HomeMargin]]-Table3[[#This Row],[HomeForecast]])^2</f>
        <v>0.1666289417723513</v>
      </c>
    </row>
    <row r="418" spans="4:10" x14ac:dyDescent="0.2">
      <c r="D418" t="s">
        <v>21</v>
      </c>
      <c r="E418">
        <f>'NHL2025-26Results'!C413</f>
        <v>4</v>
      </c>
      <c r="F418" t="s">
        <v>26</v>
      </c>
      <c r="G418">
        <f>'NHL2025-26Results'!E413</f>
        <v>5</v>
      </c>
      <c r="H418">
        <f>Table3[[#This Row],[G_1]]-Table3[[#This Row],[G]]</f>
        <v>1</v>
      </c>
      <c r="I418">
        <f>HomeEdge+VLOOKUP(Table3[[#This Row],[Home]],$A$6:$B$38,2,FALSE)-VLOOKUP(Table3[[#This Row],[Visitor]],$A$6:$B$38,2,FALSE)</f>
        <v>-0.60135526524144789</v>
      </c>
      <c r="J418">
        <f>(Table3[[#This Row],[HomeMargin]]-Table3[[#This Row],[HomeForecast]])^2</f>
        <v>2.5643386855165078</v>
      </c>
    </row>
    <row r="419" spans="4:10" x14ac:dyDescent="0.2">
      <c r="D419" t="s">
        <v>34</v>
      </c>
      <c r="E419">
        <f>'NHL2025-26Results'!C414</f>
        <v>1</v>
      </c>
      <c r="F419" t="s">
        <v>17</v>
      </c>
      <c r="G419">
        <f>'NHL2025-26Results'!E414</f>
        <v>0</v>
      </c>
      <c r="H419">
        <f>Table3[[#This Row],[G_1]]-Table3[[#This Row],[G]]</f>
        <v>-1</v>
      </c>
      <c r="I419">
        <f>HomeEdge+VLOOKUP(Table3[[#This Row],[Home]],$A$6:$B$38,2,FALSE)-VLOOKUP(Table3[[#This Row],[Visitor]],$A$6:$B$38,2,FALSE)</f>
        <v>-0.14866582234180045</v>
      </c>
      <c r="J419">
        <f>(Table3[[#This Row],[HomeMargin]]-Table3[[#This Row],[HomeForecast]])^2</f>
        <v>0.72476988204896287</v>
      </c>
    </row>
    <row r="420" spans="4:10" x14ac:dyDescent="0.2">
      <c r="D420" t="s">
        <v>19</v>
      </c>
      <c r="E420">
        <f>'NHL2025-26Results'!C415</f>
        <v>4</v>
      </c>
      <c r="F420" t="s">
        <v>11</v>
      </c>
      <c r="G420">
        <f>'NHL2025-26Results'!E415</f>
        <v>1</v>
      </c>
      <c r="H420">
        <f>Table3[[#This Row],[G_1]]-Table3[[#This Row],[G]]</f>
        <v>-3</v>
      </c>
      <c r="I420">
        <f>HomeEdge+VLOOKUP(Table3[[#This Row],[Home]],$A$6:$B$38,2,FALSE)-VLOOKUP(Table3[[#This Row],[Visitor]],$A$6:$B$38,2,FALSE)</f>
        <v>-0.11705021001944425</v>
      </c>
      <c r="J420">
        <f>(Table3[[#This Row],[HomeMargin]]-Table3[[#This Row],[HomeForecast]])^2</f>
        <v>8.3113994915489293</v>
      </c>
    </row>
    <row r="421" spans="4:10" x14ac:dyDescent="0.2">
      <c r="D421" t="s">
        <v>22</v>
      </c>
      <c r="E421">
        <f>'NHL2025-26Results'!C416</f>
        <v>3</v>
      </c>
      <c r="F421" t="s">
        <v>13</v>
      </c>
      <c r="G421">
        <f>'NHL2025-26Results'!E416</f>
        <v>1</v>
      </c>
      <c r="H421">
        <f>Table3[[#This Row],[G_1]]-Table3[[#This Row],[G]]</f>
        <v>-2</v>
      </c>
      <c r="I421">
        <f>HomeEdge+VLOOKUP(Table3[[#This Row],[Home]],$A$6:$B$38,2,FALSE)-VLOOKUP(Table3[[#This Row],[Visitor]],$A$6:$B$38,2,FALSE)</f>
        <v>-0.77958853643432402</v>
      </c>
      <c r="J421">
        <f>(Table3[[#This Row],[HomeMargin]]-Table3[[#This Row],[HomeForecast]])^2</f>
        <v>1.4894041404025153</v>
      </c>
    </row>
    <row r="422" spans="4:10" x14ac:dyDescent="0.2">
      <c r="D422" t="s">
        <v>36</v>
      </c>
      <c r="E422">
        <f>'NHL2025-26Results'!C417</f>
        <v>5</v>
      </c>
      <c r="F422" t="s">
        <v>18</v>
      </c>
      <c r="G422">
        <f>'NHL2025-26Results'!E417</f>
        <v>2</v>
      </c>
      <c r="H422">
        <f>Table3[[#This Row],[G_1]]-Table3[[#This Row],[G]]</f>
        <v>-3</v>
      </c>
      <c r="I422">
        <f>HomeEdge+VLOOKUP(Table3[[#This Row],[Home]],$A$6:$B$38,2,FALSE)-VLOOKUP(Table3[[#This Row],[Visitor]],$A$6:$B$38,2,FALSE)</f>
        <v>2.6425854695797862E-2</v>
      </c>
      <c r="J422">
        <f>(Table3[[#This Row],[HomeMargin]]-Table3[[#This Row],[HomeForecast]])^2</f>
        <v>9.159253453971191</v>
      </c>
    </row>
    <row r="423" spans="4:10" x14ac:dyDescent="0.2">
      <c r="D423" t="s">
        <v>16</v>
      </c>
      <c r="E423">
        <f>'NHL2025-26Results'!C418</f>
        <v>1</v>
      </c>
      <c r="F423" t="s">
        <v>29</v>
      </c>
      <c r="G423">
        <f>'NHL2025-26Results'!E418</f>
        <v>5</v>
      </c>
      <c r="H423">
        <f>Table3[[#This Row],[G_1]]-Table3[[#This Row],[G]]</f>
        <v>4</v>
      </c>
      <c r="I423">
        <f>HomeEdge+VLOOKUP(Table3[[#This Row],[Home]],$A$6:$B$38,2,FALSE)-VLOOKUP(Table3[[#This Row],[Visitor]],$A$6:$B$38,2,FALSE)</f>
        <v>-0.143369761794926</v>
      </c>
      <c r="J423">
        <f>(Table3[[#This Row],[HomeMargin]]-Table3[[#This Row],[HomeForecast]])^2</f>
        <v>17.167512982956538</v>
      </c>
    </row>
    <row r="424" spans="4:10" x14ac:dyDescent="0.2">
      <c r="D424" t="s">
        <v>37</v>
      </c>
      <c r="E424">
        <f>'NHL2025-26Results'!C419</f>
        <v>1</v>
      </c>
      <c r="F424" t="s">
        <v>30</v>
      </c>
      <c r="G424">
        <f>'NHL2025-26Results'!E419</f>
        <v>2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-0.17147765299468942</v>
      </c>
      <c r="J424">
        <f>(Table3[[#This Row],[HomeMargin]]-Table3[[#This Row],[HomeForecast]])^2</f>
        <v>1.3723598914659456</v>
      </c>
    </row>
    <row r="425" spans="4:10" x14ac:dyDescent="0.2">
      <c r="D425" t="s">
        <v>39</v>
      </c>
      <c r="E425">
        <f>'NHL2025-26Results'!C420</f>
        <v>2</v>
      </c>
      <c r="F425" t="s">
        <v>15</v>
      </c>
      <c r="G425">
        <f>'NHL2025-26Results'!E420</f>
        <v>3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-0.55743258086810377</v>
      </c>
      <c r="J425">
        <f>(Table3[[#This Row],[HomeMargin]]-Table3[[#This Row],[HomeForecast]])^2</f>
        <v>2.4255962439494825</v>
      </c>
    </row>
    <row r="426" spans="4:10" x14ac:dyDescent="0.2">
      <c r="D426" t="s">
        <v>10</v>
      </c>
      <c r="E426">
        <f>'NHL2025-26Results'!C421</f>
        <v>3</v>
      </c>
      <c r="F426" t="s">
        <v>20</v>
      </c>
      <c r="G426">
        <f>'NHL2025-26Results'!E421</f>
        <v>4</v>
      </c>
      <c r="H426">
        <f>Table3[[#This Row],[G_1]]-Table3[[#This Row],[G]]</f>
        <v>1</v>
      </c>
      <c r="I426">
        <f>HomeEdge+VLOOKUP(Table3[[#This Row],[Home]],$A$6:$B$38,2,FALSE)-VLOOKUP(Table3[[#This Row],[Visitor]],$A$6:$B$38,2,FALSE)</f>
        <v>0.34809414902152946</v>
      </c>
      <c r="J426">
        <f>(Table3[[#This Row],[HomeMargin]]-Table3[[#This Row],[HomeForecast]])^2</f>
        <v>0.42498123853996383</v>
      </c>
    </row>
    <row r="427" spans="4:10" x14ac:dyDescent="0.2">
      <c r="D427" t="s">
        <v>55</v>
      </c>
      <c r="E427">
        <f>'NHL2025-26Results'!C422</f>
        <v>7</v>
      </c>
      <c r="F427" t="s">
        <v>31</v>
      </c>
      <c r="G427">
        <f>'NHL2025-26Results'!E422</f>
        <v>0</v>
      </c>
      <c r="H427">
        <f>Table3[[#This Row],[G_1]]-Table3[[#This Row],[G]]</f>
        <v>-7</v>
      </c>
      <c r="I427">
        <f>HomeEdge+VLOOKUP(Table3[[#This Row],[Home]],$A$6:$B$38,2,FALSE)-VLOOKUP(Table3[[#This Row],[Visitor]],$A$6:$B$38,2,FALSE)</f>
        <v>0.17836781688910366</v>
      </c>
      <c r="J427">
        <f>(Table3[[#This Row],[HomeMargin]]-Table3[[#This Row],[HomeForecast]])^2</f>
        <v>51.528964514549237</v>
      </c>
    </row>
    <row r="428" spans="4:10" x14ac:dyDescent="0.2">
      <c r="D428" t="s">
        <v>40</v>
      </c>
      <c r="E428">
        <f>'NHL2025-26Results'!C423</f>
        <v>2</v>
      </c>
      <c r="F428" t="s">
        <v>18</v>
      </c>
      <c r="G428">
        <f>'NHL2025-26Results'!E423</f>
        <v>3</v>
      </c>
      <c r="H428">
        <f>Table3[[#This Row],[G_1]]-Table3[[#This Row],[G]]</f>
        <v>1</v>
      </c>
      <c r="I428">
        <f>HomeEdge+VLOOKUP(Table3[[#This Row],[Home]],$A$6:$B$38,2,FALSE)-VLOOKUP(Table3[[#This Row],[Visitor]],$A$6:$B$38,2,FALSE)</f>
        <v>-7.5198775009498189E-2</v>
      </c>
      <c r="J428">
        <f>(Table3[[#This Row],[HomeMargin]]-Table3[[#This Row],[HomeForecast]])^2</f>
        <v>1.1560524057819257</v>
      </c>
    </row>
    <row r="429" spans="4:10" x14ac:dyDescent="0.2">
      <c r="D429" t="s">
        <v>39</v>
      </c>
      <c r="E429">
        <f>'NHL2025-26Results'!C424</f>
        <v>3</v>
      </c>
      <c r="F429" t="s">
        <v>24</v>
      </c>
      <c r="G429">
        <f>'NHL2025-26Results'!E424</f>
        <v>0</v>
      </c>
      <c r="H429">
        <f>Table3[[#This Row],[G_1]]-Table3[[#This Row],[G]]</f>
        <v>-3</v>
      </c>
      <c r="I429">
        <f>HomeEdge+VLOOKUP(Table3[[#This Row],[Home]],$A$6:$B$38,2,FALSE)-VLOOKUP(Table3[[#This Row],[Visitor]],$A$6:$B$38,2,FALSE)</f>
        <v>-0.77616084692842069</v>
      </c>
      <c r="J429">
        <f>(Table3[[#This Row],[HomeMargin]]-Table3[[#This Row],[HomeForecast]])^2</f>
        <v>4.945460578734119</v>
      </c>
    </row>
    <row r="430" spans="4:10" x14ac:dyDescent="0.2">
      <c r="D430" t="s">
        <v>23</v>
      </c>
      <c r="E430">
        <f>'NHL2025-26Results'!C425</f>
        <v>2</v>
      </c>
      <c r="F430" t="s">
        <v>27</v>
      </c>
      <c r="G430">
        <f>'NHL2025-26Results'!E425</f>
        <v>5</v>
      </c>
      <c r="H430">
        <f>Table3[[#This Row],[G_1]]-Table3[[#This Row],[G]]</f>
        <v>3</v>
      </c>
      <c r="I430">
        <f>HomeEdge+VLOOKUP(Table3[[#This Row],[Home]],$A$6:$B$38,2,FALSE)-VLOOKUP(Table3[[#This Row],[Visitor]],$A$6:$B$38,2,FALSE)</f>
        <v>0.46904185041674629</v>
      </c>
      <c r="J430">
        <f>(Table3[[#This Row],[HomeMargin]]-Table3[[#This Row],[HomeForecast]])^2</f>
        <v>6.4057491549418879</v>
      </c>
    </row>
    <row r="431" spans="4:10" x14ac:dyDescent="0.2">
      <c r="D431" t="s">
        <v>22</v>
      </c>
      <c r="E431">
        <f>'NHL2025-26Results'!C426</f>
        <v>7</v>
      </c>
      <c r="F431" t="s">
        <v>33</v>
      </c>
      <c r="G431">
        <f>'NHL2025-26Results'!E426</f>
        <v>1</v>
      </c>
      <c r="H431">
        <f>Table3[[#This Row],[G_1]]-Table3[[#This Row],[G]]</f>
        <v>-6</v>
      </c>
      <c r="I431">
        <f>HomeEdge+VLOOKUP(Table3[[#This Row],[Home]],$A$6:$B$38,2,FALSE)-VLOOKUP(Table3[[#This Row],[Visitor]],$A$6:$B$38,2,FALSE)</f>
        <v>-1.257485738936948</v>
      </c>
      <c r="J431">
        <f>(Table3[[#This Row],[HomeMargin]]-Table3[[#This Row],[HomeForecast]])^2</f>
        <v>22.491441516386427</v>
      </c>
    </row>
    <row r="432" spans="4:10" x14ac:dyDescent="0.2">
      <c r="D432" t="s">
        <v>35</v>
      </c>
      <c r="E432">
        <f>'NHL2025-26Results'!C427</f>
        <v>2</v>
      </c>
      <c r="F432" t="s">
        <v>21</v>
      </c>
      <c r="G432">
        <f>'NHL2025-26Results'!E427</f>
        <v>5</v>
      </c>
      <c r="H432">
        <f>Table3[[#This Row],[G_1]]-Table3[[#This Row],[G]]</f>
        <v>3</v>
      </c>
      <c r="I432">
        <f>HomeEdge+VLOOKUP(Table3[[#This Row],[Home]],$A$6:$B$38,2,FALSE)-VLOOKUP(Table3[[#This Row],[Visitor]],$A$6:$B$38,2,FALSE)</f>
        <v>1.3074967055597888</v>
      </c>
      <c r="J432">
        <f>(Table3[[#This Row],[HomeMargin]]-Table3[[#This Row],[HomeForecast]])^2</f>
        <v>2.8645674016909681</v>
      </c>
    </row>
    <row r="433" spans="4:10" x14ac:dyDescent="0.2">
      <c r="D433" t="s">
        <v>19</v>
      </c>
      <c r="E433">
        <f>'NHL2025-26Results'!C428</f>
        <v>5</v>
      </c>
      <c r="F433" t="s">
        <v>25</v>
      </c>
      <c r="G433">
        <f>'NHL2025-26Results'!E428</f>
        <v>1</v>
      </c>
      <c r="H433">
        <f>Table3[[#This Row],[G_1]]-Table3[[#This Row],[G]]</f>
        <v>-4</v>
      </c>
      <c r="I433">
        <f>HomeEdge+VLOOKUP(Table3[[#This Row],[Home]],$A$6:$B$38,2,FALSE)-VLOOKUP(Table3[[#This Row],[Visitor]],$A$6:$B$38,2,FALSE)</f>
        <v>0.75021401102234009</v>
      </c>
      <c r="J433">
        <f>(Table3[[#This Row],[HomeMargin]]-Table3[[#This Row],[HomeForecast]])^2</f>
        <v>22.564533150512947</v>
      </c>
    </row>
    <row r="434" spans="4:10" x14ac:dyDescent="0.2">
      <c r="D434" t="s">
        <v>26</v>
      </c>
      <c r="E434">
        <f>'NHL2025-26Results'!C429</f>
        <v>5</v>
      </c>
      <c r="F434" t="s">
        <v>28</v>
      </c>
      <c r="G434">
        <f>'NHL2025-26Results'!E429</f>
        <v>6</v>
      </c>
      <c r="H434">
        <f>Table3[[#This Row],[G_1]]-Table3[[#This Row],[G]]</f>
        <v>1</v>
      </c>
      <c r="I434">
        <f>HomeEdge+VLOOKUP(Table3[[#This Row],[Home]],$A$6:$B$38,2,FALSE)-VLOOKUP(Table3[[#This Row],[Visitor]],$A$6:$B$38,2,FALSE)</f>
        <v>0.33261802037549471</v>
      </c>
      <c r="J434">
        <f>(Table3[[#This Row],[HomeMargin]]-Table3[[#This Row],[HomeForecast]])^2</f>
        <v>0.44539870672752357</v>
      </c>
    </row>
    <row r="435" spans="4:10" x14ac:dyDescent="0.2">
      <c r="D435" t="s">
        <v>34</v>
      </c>
      <c r="E435">
        <f>'NHL2025-26Results'!C430</f>
        <v>1</v>
      </c>
      <c r="F435" t="s">
        <v>16</v>
      </c>
      <c r="G435">
        <f>'NHL2025-26Results'!E430</f>
        <v>4</v>
      </c>
      <c r="H435">
        <f>Table3[[#This Row],[G_1]]-Table3[[#This Row],[G]]</f>
        <v>3</v>
      </c>
      <c r="I435">
        <f>HomeEdge+VLOOKUP(Table3[[#This Row],[Home]],$A$6:$B$38,2,FALSE)-VLOOKUP(Table3[[#This Row],[Visitor]],$A$6:$B$38,2,FALSE)</f>
        <v>-0.61727748470125066</v>
      </c>
      <c r="J435">
        <f>(Table3[[#This Row],[HomeMargin]]-Table3[[#This Row],[HomeForecast]])^2</f>
        <v>13.084696401326607</v>
      </c>
    </row>
    <row r="436" spans="4:10" x14ac:dyDescent="0.2">
      <c r="D436" t="s">
        <v>32</v>
      </c>
      <c r="E436">
        <f>'NHL2025-26Results'!C431</f>
        <v>4</v>
      </c>
      <c r="F436" t="s">
        <v>17</v>
      </c>
      <c r="G436">
        <f>'NHL2025-26Results'!E431</f>
        <v>9</v>
      </c>
      <c r="H436">
        <f>Table3[[#This Row],[G_1]]-Table3[[#This Row],[G]]</f>
        <v>5</v>
      </c>
      <c r="I436">
        <f>HomeEdge+VLOOKUP(Table3[[#This Row],[Home]],$A$6:$B$38,2,FALSE)-VLOOKUP(Table3[[#This Row],[Visitor]],$A$6:$B$38,2,FALSE)</f>
        <v>0.4214630471487929</v>
      </c>
      <c r="J436">
        <f>(Table3[[#This Row],[HomeMargin]]-Table3[[#This Row],[HomeForecast]])^2</f>
        <v>20.96300062862402</v>
      </c>
    </row>
    <row r="437" spans="4:10" x14ac:dyDescent="0.2">
      <c r="D437" t="s">
        <v>29</v>
      </c>
      <c r="E437">
        <f>'NHL2025-26Results'!C432</f>
        <v>2</v>
      </c>
      <c r="F437" t="s">
        <v>11</v>
      </c>
      <c r="G437">
        <f>'NHL2025-26Results'!E432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0.72200572634903981</v>
      </c>
      <c r="J437">
        <f>(Table3[[#This Row],[HomeMargin]]-Table3[[#This Row],[HomeForecast]])^2</f>
        <v>2.9653037215788842</v>
      </c>
    </row>
    <row r="438" spans="4:10" x14ac:dyDescent="0.2">
      <c r="D438" t="s">
        <v>10</v>
      </c>
      <c r="E438">
        <f>'NHL2025-26Results'!C433</f>
        <v>2</v>
      </c>
      <c r="F438" t="s">
        <v>13</v>
      </c>
      <c r="G438">
        <f>'NHL2025-26Results'!E433</f>
        <v>1</v>
      </c>
      <c r="H438">
        <f>Table3[[#This Row],[G_1]]-Table3[[#This Row],[G]]</f>
        <v>-1</v>
      </c>
      <c r="I438">
        <f>HomeEdge+VLOOKUP(Table3[[#This Row],[Home]],$A$6:$B$38,2,FALSE)-VLOOKUP(Table3[[#This Row],[Visitor]],$A$6:$B$38,2,FALSE)</f>
        <v>0.25771360201465465</v>
      </c>
      <c r="J438">
        <f>(Table3[[#This Row],[HomeMargin]]-Table3[[#This Row],[HomeForecast]])^2</f>
        <v>1.5818435046926771</v>
      </c>
    </row>
    <row r="439" spans="4:10" x14ac:dyDescent="0.2">
      <c r="D439" t="s">
        <v>12</v>
      </c>
      <c r="E439">
        <f>'NHL2025-26Results'!C434</f>
        <v>3</v>
      </c>
      <c r="F439" t="s">
        <v>30</v>
      </c>
      <c r="G439">
        <f>'NHL2025-26Results'!E434</f>
        <v>6</v>
      </c>
      <c r="H439">
        <f>Table3[[#This Row],[G_1]]-Table3[[#This Row],[G]]</f>
        <v>3</v>
      </c>
      <c r="I439">
        <f>HomeEdge+VLOOKUP(Table3[[#This Row],[Home]],$A$6:$B$38,2,FALSE)-VLOOKUP(Table3[[#This Row],[Visitor]],$A$6:$B$38,2,FALSE)</f>
        <v>-1.2359125328741427</v>
      </c>
      <c r="J439">
        <f>(Table3[[#This Row],[HomeMargin]]-Table3[[#This Row],[HomeForecast]])^2</f>
        <v>17.942954986160238</v>
      </c>
    </row>
    <row r="440" spans="4:10" x14ac:dyDescent="0.2">
      <c r="D440" t="s">
        <v>15</v>
      </c>
      <c r="E440">
        <f>'NHL2025-26Results'!C435</f>
        <v>4</v>
      </c>
      <c r="F440" t="s">
        <v>36</v>
      </c>
      <c r="G440">
        <f>'NHL2025-26Results'!E435</f>
        <v>2</v>
      </c>
      <c r="H440">
        <f>Table3[[#This Row],[G_1]]-Table3[[#This Row],[G]]</f>
        <v>-2</v>
      </c>
      <c r="I440">
        <f>HomeEdge+VLOOKUP(Table3[[#This Row],[Home]],$A$6:$B$38,2,FALSE)-VLOOKUP(Table3[[#This Row],[Visitor]],$A$6:$B$38,2,FALSE)</f>
        <v>-0.31356912975547707</v>
      </c>
      <c r="J440">
        <f>(Table3[[#This Row],[HomeMargin]]-Table3[[#This Row],[HomeForecast]])^2</f>
        <v>2.8440490801136993</v>
      </c>
    </row>
    <row r="441" spans="4:10" x14ac:dyDescent="0.2">
      <c r="D441" t="s">
        <v>14</v>
      </c>
      <c r="E441">
        <f>'NHL2025-26Results'!C436</f>
        <v>4</v>
      </c>
      <c r="F441" t="s">
        <v>37</v>
      </c>
      <c r="G441">
        <f>'NHL2025-26Results'!E436</f>
        <v>3</v>
      </c>
      <c r="H441">
        <f>Table3[[#This Row],[G_1]]-Table3[[#This Row],[G]]</f>
        <v>-1</v>
      </c>
      <c r="I441">
        <f>HomeEdge+VLOOKUP(Table3[[#This Row],[Home]],$A$6:$B$38,2,FALSE)-VLOOKUP(Table3[[#This Row],[Visitor]],$A$6:$B$38,2,FALSE)</f>
        <v>0.49416889263893132</v>
      </c>
      <c r="J441">
        <f>(Table3[[#This Row],[HomeMargin]]-Table3[[#This Row],[HomeForecast]])^2</f>
        <v>2.2325406797298504</v>
      </c>
    </row>
    <row r="442" spans="4:10" x14ac:dyDescent="0.2">
      <c r="D442" t="s">
        <v>22</v>
      </c>
      <c r="E442">
        <f>'NHL2025-26Results'!C437</f>
        <v>3</v>
      </c>
      <c r="F442" t="s">
        <v>31</v>
      </c>
      <c r="G442">
        <f>'NHL2025-26Results'!E437</f>
        <v>4</v>
      </c>
      <c r="H442">
        <f>Table3[[#This Row],[G_1]]-Table3[[#This Row],[G]]</f>
        <v>1</v>
      </c>
      <c r="I442">
        <f>HomeEdge+VLOOKUP(Table3[[#This Row],[Home]],$A$6:$B$38,2,FALSE)-VLOOKUP(Table3[[#This Row],[Visitor]],$A$6:$B$38,2,FALSE)</f>
        <v>-0.6144420717690664</v>
      </c>
      <c r="J442">
        <f>(Table3[[#This Row],[HomeMargin]]-Table3[[#This Row],[HomeForecast]])^2</f>
        <v>2.6064232030979952</v>
      </c>
    </row>
    <row r="443" spans="4:10" x14ac:dyDescent="0.2">
      <c r="D443" t="s">
        <v>33</v>
      </c>
      <c r="E443">
        <f>'NHL2025-26Results'!C438</f>
        <v>1</v>
      </c>
      <c r="F443" t="s">
        <v>39</v>
      </c>
      <c r="G443">
        <f>'NHL2025-26Results'!E438</f>
        <v>4</v>
      </c>
      <c r="H443">
        <f>Table3[[#This Row],[G_1]]-Table3[[#This Row],[G]]</f>
        <v>3</v>
      </c>
      <c r="I443">
        <f>HomeEdge+VLOOKUP(Table3[[#This Row],[Home]],$A$6:$B$38,2,FALSE)-VLOOKUP(Table3[[#This Row],[Visitor]],$A$6:$B$38,2,FALSE)</f>
        <v>1.3272641699036023</v>
      </c>
      <c r="J443">
        <f>(Table3[[#This Row],[HomeMargin]]-Table3[[#This Row],[HomeForecast]])^2</f>
        <v>2.7980451572882847</v>
      </c>
    </row>
    <row r="444" spans="4:10" x14ac:dyDescent="0.2">
      <c r="D444" t="s">
        <v>20</v>
      </c>
      <c r="E444">
        <f>'NHL2025-26Results'!C439</f>
        <v>3</v>
      </c>
      <c r="F444" t="s">
        <v>24</v>
      </c>
      <c r="G444">
        <f>'NHL2025-26Results'!E439</f>
        <v>0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-0.10058834940565735</v>
      </c>
      <c r="J444">
        <f>(Table3[[#This Row],[HomeMargin]]-Table3[[#This Row],[HomeForecast]])^2</f>
        <v>8.4065879196022095</v>
      </c>
    </row>
    <row r="445" spans="4:10" x14ac:dyDescent="0.2">
      <c r="D445" t="s">
        <v>55</v>
      </c>
      <c r="E445">
        <f>'NHL2025-26Results'!C440</f>
        <v>4</v>
      </c>
      <c r="F445" t="s">
        <v>38</v>
      </c>
      <c r="G445">
        <f>'NHL2025-26Results'!E440</f>
        <v>1</v>
      </c>
      <c r="H445">
        <f>Table3[[#This Row],[G_1]]-Table3[[#This Row],[G]]</f>
        <v>-3</v>
      </c>
      <c r="I445">
        <f>HomeEdge+VLOOKUP(Table3[[#This Row],[Home]],$A$6:$B$38,2,FALSE)-VLOOKUP(Table3[[#This Row],[Visitor]],$A$6:$B$38,2,FALSE)</f>
        <v>-0.66197077139728944</v>
      </c>
      <c r="J445">
        <f>(Table3[[#This Row],[HomeMargin]]-Table3[[#This Row],[HomeForecast]])^2</f>
        <v>5.466380673800586</v>
      </c>
    </row>
    <row r="446" spans="4:10" x14ac:dyDescent="0.2">
      <c r="D446" t="s">
        <v>23</v>
      </c>
      <c r="E446">
        <f>'NHL2025-26Results'!C441</f>
        <v>1</v>
      </c>
      <c r="F446" t="s">
        <v>40</v>
      </c>
      <c r="G446">
        <f>'NHL2025-26Results'!E441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0.33481110667390018</v>
      </c>
      <c r="J446">
        <f>(Table3[[#This Row],[HomeMargin]]-Table3[[#This Row],[HomeForecast]])^2</f>
        <v>7.103231837108801</v>
      </c>
    </row>
    <row r="447" spans="4:10" x14ac:dyDescent="0.2">
      <c r="D447" t="s">
        <v>24</v>
      </c>
      <c r="E447">
        <f>'NHL2025-26Results'!C442</f>
        <v>1</v>
      </c>
      <c r="F447" t="s">
        <v>21</v>
      </c>
      <c r="G447">
        <f>'NHL2025-26Results'!E442</f>
        <v>4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0.30069237233495066</v>
      </c>
      <c r="J447">
        <f>(Table3[[#This Row],[HomeMargin]]-Table3[[#This Row],[HomeForecast]])^2</f>
        <v>7.2862616687707167</v>
      </c>
    </row>
    <row r="448" spans="4:10" x14ac:dyDescent="0.2">
      <c r="D448" t="s">
        <v>29</v>
      </c>
      <c r="E448">
        <f>'NHL2025-26Results'!C443</f>
        <v>3</v>
      </c>
      <c r="F448" t="s">
        <v>25</v>
      </c>
      <c r="G448">
        <f>'NHL2025-26Results'!E443</f>
        <v>6</v>
      </c>
      <c r="H448">
        <f>Table3[[#This Row],[G_1]]-Table3[[#This Row],[G]]</f>
        <v>3</v>
      </c>
      <c r="I448">
        <f>HomeEdge+VLOOKUP(Table3[[#This Row],[Home]],$A$6:$B$38,2,FALSE)-VLOOKUP(Table3[[#This Row],[Visitor]],$A$6:$B$38,2,FALSE)</f>
        <v>1.5892699473908241</v>
      </c>
      <c r="J448">
        <f>(Table3[[#This Row],[HomeMargin]]-Table3[[#This Row],[HomeForecast]])^2</f>
        <v>1.9901592813346882</v>
      </c>
    </row>
    <row r="449" spans="4:10" x14ac:dyDescent="0.2">
      <c r="D449" t="s">
        <v>55</v>
      </c>
      <c r="E449">
        <f>'NHL2025-26Results'!C444</f>
        <v>0</v>
      </c>
      <c r="F449" t="s">
        <v>16</v>
      </c>
      <c r="G449">
        <f>'NHL2025-26Results'!E444</f>
        <v>2</v>
      </c>
      <c r="H449">
        <f>Table3[[#This Row],[G_1]]-Table3[[#This Row],[G]]</f>
        <v>2</v>
      </c>
      <c r="I449">
        <f>HomeEdge+VLOOKUP(Table3[[#This Row],[Home]],$A$6:$B$38,2,FALSE)-VLOOKUP(Table3[[#This Row],[Visitor]],$A$6:$B$38,2,FALSE)</f>
        <v>-0.72502402010259903</v>
      </c>
      <c r="J449">
        <f>(Table3[[#This Row],[HomeMargin]]-Table3[[#This Row],[HomeForecast]])^2</f>
        <v>7.4257559101361297</v>
      </c>
    </row>
    <row r="450" spans="4:10" x14ac:dyDescent="0.2">
      <c r="D450" t="s">
        <v>40</v>
      </c>
      <c r="E450">
        <f>'NHL2025-26Results'!C445</f>
        <v>2</v>
      </c>
      <c r="F450" t="s">
        <v>17</v>
      </c>
      <c r="G450">
        <f>'NHL2025-26Results'!E445</f>
        <v>6</v>
      </c>
      <c r="H450">
        <f>Table3[[#This Row],[G_1]]-Table3[[#This Row],[G]]</f>
        <v>4</v>
      </c>
      <c r="I450">
        <f>HomeEdge+VLOOKUP(Table3[[#This Row],[Home]],$A$6:$B$38,2,FALSE)-VLOOKUP(Table3[[#This Row],[Visitor]],$A$6:$B$38,2,FALSE)</f>
        <v>-1.5967904964328122E-2</v>
      </c>
      <c r="J450">
        <f>(Table3[[#This Row],[HomeMargin]]-Table3[[#This Row],[HomeForecast]])^2</f>
        <v>16.127998213703574</v>
      </c>
    </row>
    <row r="451" spans="4:10" x14ac:dyDescent="0.2">
      <c r="D451" t="s">
        <v>28</v>
      </c>
      <c r="E451">
        <f>'NHL2025-26Results'!C446</f>
        <v>6</v>
      </c>
      <c r="F451" t="s">
        <v>11</v>
      </c>
      <c r="G451">
        <f>'NHL2025-26Results'!E446</f>
        <v>7</v>
      </c>
      <c r="H451">
        <f>Table3[[#This Row],[G_1]]-Table3[[#This Row],[G]]</f>
        <v>1</v>
      </c>
      <c r="I451">
        <f>HomeEdge+VLOOKUP(Table3[[#This Row],[Home]],$A$6:$B$38,2,FALSE)-VLOOKUP(Table3[[#This Row],[Visitor]],$A$6:$B$38,2,FALSE)</f>
        <v>6.8885035771473813E-2</v>
      </c>
      <c r="J451">
        <f>(Table3[[#This Row],[HomeMargin]]-Table3[[#This Row],[HomeForecast]])^2</f>
        <v>0.8669750766102895</v>
      </c>
    </row>
    <row r="452" spans="4:10" x14ac:dyDescent="0.2">
      <c r="D452" t="s">
        <v>10</v>
      </c>
      <c r="E452">
        <f>'NHL2025-26Results'!C447</f>
        <v>0</v>
      </c>
      <c r="F452" t="s">
        <v>13</v>
      </c>
      <c r="G452">
        <f>'NHL2025-26Results'!E447</f>
        <v>6</v>
      </c>
      <c r="H452">
        <f>Table3[[#This Row],[G_1]]-Table3[[#This Row],[G]]</f>
        <v>6</v>
      </c>
      <c r="I452">
        <f>HomeEdge+VLOOKUP(Table3[[#This Row],[Home]],$A$6:$B$38,2,FALSE)-VLOOKUP(Table3[[#This Row],[Visitor]],$A$6:$B$38,2,FALSE)</f>
        <v>0.25771360201465465</v>
      </c>
      <c r="J452">
        <f>(Table3[[#This Row],[HomeMargin]]-Table3[[#This Row],[HomeForecast]])^2</f>
        <v>32.973853076487508</v>
      </c>
    </row>
    <row r="453" spans="4:10" x14ac:dyDescent="0.2">
      <c r="D453" t="s">
        <v>12</v>
      </c>
      <c r="E453">
        <f>'NHL2025-26Results'!C448</f>
        <v>3</v>
      </c>
      <c r="F453" t="s">
        <v>15</v>
      </c>
      <c r="G453">
        <f>'NHL2025-26Results'!E448</f>
        <v>2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-1.4410755743241948</v>
      </c>
      <c r="J453">
        <f>(Table3[[#This Row],[HomeMargin]]-Table3[[#This Row],[HomeForecast]])^2</f>
        <v>0.19454766226541825</v>
      </c>
    </row>
    <row r="454" spans="4:10" x14ac:dyDescent="0.2">
      <c r="D454" t="s">
        <v>35</v>
      </c>
      <c r="E454">
        <f>'NHL2025-26Results'!C449</f>
        <v>2</v>
      </c>
      <c r="F454" t="s">
        <v>36</v>
      </c>
      <c r="G454">
        <f>'NHL2025-26Results'!E449</f>
        <v>1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0.91196346952967799</v>
      </c>
      <c r="J454">
        <f>(Table3[[#This Row],[HomeMargin]]-Table3[[#This Row],[HomeForecast]])^2</f>
        <v>3.6556043088159633</v>
      </c>
    </row>
    <row r="455" spans="4:10" x14ac:dyDescent="0.2">
      <c r="D455" t="s">
        <v>26</v>
      </c>
      <c r="E455">
        <f>'NHL2025-26Results'!C450</f>
        <v>4</v>
      </c>
      <c r="F455" t="s">
        <v>32</v>
      </c>
      <c r="G455">
        <f>'NHL2025-26Results'!E450</f>
        <v>3</v>
      </c>
      <c r="H455">
        <f>Table3[[#This Row],[G_1]]-Table3[[#This Row],[G]]</f>
        <v>-1</v>
      </c>
      <c r="I455">
        <f>HomeEdge+VLOOKUP(Table3[[#This Row],[Home]],$A$6:$B$38,2,FALSE)-VLOOKUP(Table3[[#This Row],[Visitor]],$A$6:$B$38,2,FALSE)</f>
        <v>3.6843552546192204E-2</v>
      </c>
      <c r="J455">
        <f>(Table3[[#This Row],[HomeMargin]]-Table3[[#This Row],[HomeForecast]])^2</f>
        <v>1.0750445524566081</v>
      </c>
    </row>
    <row r="456" spans="4:10" x14ac:dyDescent="0.2">
      <c r="D456" t="s">
        <v>30</v>
      </c>
      <c r="E456">
        <f>'NHL2025-26Results'!C451</f>
        <v>2</v>
      </c>
      <c r="F456" t="s">
        <v>37</v>
      </c>
      <c r="G456">
        <f>'NHL2025-26Results'!E451</f>
        <v>0</v>
      </c>
      <c r="H456">
        <f>Table3[[#This Row],[G_1]]-Table3[[#This Row],[G]]</f>
        <v>-2</v>
      </c>
      <c r="I456">
        <f>HomeEdge+VLOOKUP(Table3[[#This Row],[Home]],$A$6:$B$38,2,FALSE)-VLOOKUP(Table3[[#This Row],[Visitor]],$A$6:$B$38,2,FALSE)</f>
        <v>0.33830549873736954</v>
      </c>
      <c r="J456">
        <f>(Table3[[#This Row],[HomeMargin]]-Table3[[#This Row],[HomeForecast]])^2</f>
        <v>5.4676726054254194</v>
      </c>
    </row>
    <row r="457" spans="4:10" x14ac:dyDescent="0.2">
      <c r="D457" t="s">
        <v>18</v>
      </c>
      <c r="E457">
        <f>'NHL2025-26Results'!C452</f>
        <v>2</v>
      </c>
      <c r="F457" t="s">
        <v>19</v>
      </c>
      <c r="G457">
        <f>'NHL2025-26Results'!E452</f>
        <v>1</v>
      </c>
      <c r="H457">
        <f>Table3[[#This Row],[G_1]]-Table3[[#This Row],[G]]</f>
        <v>-1</v>
      </c>
      <c r="I457">
        <f>HomeEdge+VLOOKUP(Table3[[#This Row],[Home]],$A$6:$B$38,2,FALSE)-VLOOKUP(Table3[[#This Row],[Visitor]],$A$6:$B$38,2,FALSE)</f>
        <v>0.28630538225927787</v>
      </c>
      <c r="J457">
        <f>(Table3[[#This Row],[HomeMargin]]-Table3[[#This Row],[HomeForecast]])^2</f>
        <v>1.6545815364291869</v>
      </c>
    </row>
    <row r="458" spans="4:10" x14ac:dyDescent="0.2">
      <c r="D458" t="s">
        <v>34</v>
      </c>
      <c r="E458">
        <f>'NHL2025-26Results'!C453</f>
        <v>2</v>
      </c>
      <c r="F458" t="s">
        <v>38</v>
      </c>
      <c r="G458">
        <f>'NHL2025-26Results'!E453</f>
        <v>4</v>
      </c>
      <c r="H458">
        <f>Table3[[#This Row],[G_1]]-Table3[[#This Row],[G]]</f>
        <v>2</v>
      </c>
      <c r="I458">
        <f>HomeEdge+VLOOKUP(Table3[[#This Row],[Home]],$A$6:$B$38,2,FALSE)-VLOOKUP(Table3[[#This Row],[Visitor]],$A$6:$B$38,2,FALSE)</f>
        <v>-0.55422423599594106</v>
      </c>
      <c r="J458">
        <f>(Table3[[#This Row],[HomeMargin]]-Table3[[#This Row],[HomeForecast]])^2</f>
        <v>6.5240614477490491</v>
      </c>
    </row>
    <row r="459" spans="4:10" x14ac:dyDescent="0.2">
      <c r="D459" t="s">
        <v>10</v>
      </c>
      <c r="F459" t="s">
        <v>31</v>
      </c>
    </row>
    <row r="460" spans="4:10" x14ac:dyDescent="0.2">
      <c r="D460" t="s">
        <v>33</v>
      </c>
      <c r="F460" t="s">
        <v>25</v>
      </c>
    </row>
    <row r="461" spans="4:10" x14ac:dyDescent="0.2">
      <c r="D461" t="s">
        <v>14</v>
      </c>
      <c r="F461" t="s">
        <v>39</v>
      </c>
    </row>
    <row r="462" spans="4:10" x14ac:dyDescent="0.2">
      <c r="D462" t="s">
        <v>30</v>
      </c>
      <c r="F462" t="s">
        <v>11</v>
      </c>
    </row>
    <row r="463" spans="4:10" x14ac:dyDescent="0.2">
      <c r="D463" t="s">
        <v>35</v>
      </c>
      <c r="F463" t="s">
        <v>18</v>
      </c>
    </row>
    <row r="464" spans="4:10" x14ac:dyDescent="0.2">
      <c r="D464" t="s">
        <v>20</v>
      </c>
      <c r="F464" t="s">
        <v>15</v>
      </c>
    </row>
    <row r="465" spans="4:6" x14ac:dyDescent="0.2">
      <c r="D465" t="s">
        <v>12</v>
      </c>
      <c r="F465" t="s">
        <v>27</v>
      </c>
    </row>
    <row r="466" spans="4:6" x14ac:dyDescent="0.2">
      <c r="D466" t="s">
        <v>28</v>
      </c>
      <c r="F466" t="s">
        <v>22</v>
      </c>
    </row>
    <row r="467" spans="4:6" x14ac:dyDescent="0.2">
      <c r="D467" t="s">
        <v>23</v>
      </c>
      <c r="F467" t="s">
        <v>16</v>
      </c>
    </row>
    <row r="468" spans="4:6" x14ac:dyDescent="0.2">
      <c r="D468" t="s">
        <v>34</v>
      </c>
      <c r="F468" t="s">
        <v>32</v>
      </c>
    </row>
    <row r="469" spans="4:6" x14ac:dyDescent="0.2">
      <c r="D469" t="s">
        <v>37</v>
      </c>
      <c r="F469" t="s">
        <v>19</v>
      </c>
    </row>
    <row r="470" spans="4:6" x14ac:dyDescent="0.2">
      <c r="D470" t="s">
        <v>13</v>
      </c>
      <c r="F470" t="s">
        <v>55</v>
      </c>
    </row>
    <row r="471" spans="4:6" x14ac:dyDescent="0.2">
      <c r="D471" t="s">
        <v>26</v>
      </c>
      <c r="F471" t="s">
        <v>38</v>
      </c>
    </row>
    <row r="472" spans="4:6" x14ac:dyDescent="0.2">
      <c r="D472" t="s">
        <v>28</v>
      </c>
      <c r="F472" t="s">
        <v>25</v>
      </c>
    </row>
    <row r="473" spans="4:6" x14ac:dyDescent="0.2">
      <c r="D473" t="s">
        <v>23</v>
      </c>
      <c r="F473" t="s">
        <v>17</v>
      </c>
    </row>
    <row r="474" spans="4:6" x14ac:dyDescent="0.2">
      <c r="D474" t="s">
        <v>37</v>
      </c>
      <c r="F474" t="s">
        <v>18</v>
      </c>
    </row>
    <row r="475" spans="4:6" x14ac:dyDescent="0.2">
      <c r="D475" t="s">
        <v>12</v>
      </c>
      <c r="F475" t="s">
        <v>29</v>
      </c>
    </row>
    <row r="476" spans="4:6" x14ac:dyDescent="0.2">
      <c r="D476" t="s">
        <v>20</v>
      </c>
      <c r="F476" t="s">
        <v>30</v>
      </c>
    </row>
    <row r="477" spans="4:6" x14ac:dyDescent="0.2">
      <c r="D477" t="s">
        <v>24</v>
      </c>
      <c r="F477" t="s">
        <v>36</v>
      </c>
    </row>
    <row r="478" spans="4:6" x14ac:dyDescent="0.2">
      <c r="D478" t="s">
        <v>33</v>
      </c>
      <c r="F478" t="s">
        <v>27</v>
      </c>
    </row>
    <row r="479" spans="4:6" x14ac:dyDescent="0.2">
      <c r="D479" t="s">
        <v>31</v>
      </c>
      <c r="F479" t="s">
        <v>14</v>
      </c>
    </row>
    <row r="480" spans="4:6" x14ac:dyDescent="0.2">
      <c r="D480" t="s">
        <v>21</v>
      </c>
      <c r="F480" t="s">
        <v>35</v>
      </c>
    </row>
    <row r="481" spans="4:6" x14ac:dyDescent="0.2">
      <c r="D481" t="s">
        <v>39</v>
      </c>
      <c r="F481" t="s">
        <v>40</v>
      </c>
    </row>
    <row r="482" spans="4:6" x14ac:dyDescent="0.2">
      <c r="D482" t="s">
        <v>26</v>
      </c>
      <c r="F482" t="s">
        <v>16</v>
      </c>
    </row>
    <row r="483" spans="4:6" x14ac:dyDescent="0.2">
      <c r="D483" t="s">
        <v>15</v>
      </c>
      <c r="F483" t="s">
        <v>10</v>
      </c>
    </row>
    <row r="484" spans="4:6" x14ac:dyDescent="0.2">
      <c r="D484" t="s">
        <v>13</v>
      </c>
      <c r="F484" t="s">
        <v>32</v>
      </c>
    </row>
    <row r="485" spans="4:6" x14ac:dyDescent="0.2">
      <c r="D485" t="s">
        <v>11</v>
      </c>
      <c r="F485" t="s">
        <v>55</v>
      </c>
    </row>
    <row r="486" spans="4:6" x14ac:dyDescent="0.2">
      <c r="D486" t="s">
        <v>36</v>
      </c>
      <c r="F486" t="s">
        <v>28</v>
      </c>
    </row>
    <row r="487" spans="4:6" x14ac:dyDescent="0.2">
      <c r="D487" t="s">
        <v>11</v>
      </c>
      <c r="F487" t="s">
        <v>12</v>
      </c>
    </row>
    <row r="488" spans="4:6" x14ac:dyDescent="0.2">
      <c r="D488" t="s">
        <v>26</v>
      </c>
      <c r="F488" t="s">
        <v>17</v>
      </c>
    </row>
    <row r="489" spans="4:6" x14ac:dyDescent="0.2">
      <c r="D489" t="s">
        <v>39</v>
      </c>
      <c r="F489" t="s">
        <v>34</v>
      </c>
    </row>
    <row r="490" spans="4:6" x14ac:dyDescent="0.2">
      <c r="D490" t="s">
        <v>37</v>
      </c>
      <c r="F490" t="s">
        <v>24</v>
      </c>
    </row>
    <row r="491" spans="4:6" x14ac:dyDescent="0.2">
      <c r="D491" t="s">
        <v>35</v>
      </c>
      <c r="F491" t="s">
        <v>29</v>
      </c>
    </row>
    <row r="492" spans="4:6" x14ac:dyDescent="0.2">
      <c r="D492" t="s">
        <v>31</v>
      </c>
      <c r="F492" t="s">
        <v>30</v>
      </c>
    </row>
    <row r="493" spans="4:6" x14ac:dyDescent="0.2">
      <c r="D493" t="s">
        <v>20</v>
      </c>
      <c r="F493" t="s">
        <v>27</v>
      </c>
    </row>
    <row r="494" spans="4:6" x14ac:dyDescent="0.2">
      <c r="D494" t="s">
        <v>18</v>
      </c>
      <c r="F494" t="s">
        <v>14</v>
      </c>
    </row>
    <row r="495" spans="4:6" x14ac:dyDescent="0.2">
      <c r="D495" t="s">
        <v>33</v>
      </c>
      <c r="F495" t="s">
        <v>19</v>
      </c>
    </row>
    <row r="496" spans="4:6" x14ac:dyDescent="0.2">
      <c r="D496" t="s">
        <v>23</v>
      </c>
      <c r="F496" t="s">
        <v>38</v>
      </c>
    </row>
    <row r="497" spans="4:6" x14ac:dyDescent="0.2">
      <c r="D497" t="s">
        <v>21</v>
      </c>
      <c r="F497" t="s">
        <v>40</v>
      </c>
    </row>
    <row r="498" spans="4:6" x14ac:dyDescent="0.2">
      <c r="D498" t="s">
        <v>25</v>
      </c>
      <c r="F498" t="s">
        <v>22</v>
      </c>
    </row>
    <row r="499" spans="4:6" x14ac:dyDescent="0.2">
      <c r="D499" t="s">
        <v>10</v>
      </c>
      <c r="F499" t="s">
        <v>35</v>
      </c>
    </row>
    <row r="500" spans="4:6" x14ac:dyDescent="0.2">
      <c r="D500" t="s">
        <v>32</v>
      </c>
      <c r="F500" t="s">
        <v>55</v>
      </c>
    </row>
    <row r="501" spans="4:6" x14ac:dyDescent="0.2">
      <c r="D501" t="s">
        <v>20</v>
      </c>
      <c r="F501" t="s">
        <v>28</v>
      </c>
    </row>
    <row r="502" spans="4:6" x14ac:dyDescent="0.2">
      <c r="D502" t="s">
        <v>26</v>
      </c>
      <c r="F502" t="s">
        <v>10</v>
      </c>
    </row>
    <row r="503" spans="4:6" x14ac:dyDescent="0.2">
      <c r="D503" t="s">
        <v>29</v>
      </c>
      <c r="F503" t="s">
        <v>12</v>
      </c>
    </row>
    <row r="504" spans="4:6" x14ac:dyDescent="0.2">
      <c r="D504" t="s">
        <v>11</v>
      </c>
      <c r="F504" t="s">
        <v>39</v>
      </c>
    </row>
    <row r="505" spans="4:6" x14ac:dyDescent="0.2">
      <c r="D505" t="s">
        <v>16</v>
      </c>
      <c r="F505" t="s">
        <v>13</v>
      </c>
    </row>
    <row r="506" spans="4:6" x14ac:dyDescent="0.2">
      <c r="D506" t="s">
        <v>36</v>
      </c>
      <c r="F506" t="s">
        <v>34</v>
      </c>
    </row>
    <row r="507" spans="4:6" x14ac:dyDescent="0.2">
      <c r="D507" t="s">
        <v>31</v>
      </c>
      <c r="F507" t="s">
        <v>24</v>
      </c>
    </row>
    <row r="508" spans="4:6" x14ac:dyDescent="0.2">
      <c r="D508" t="s">
        <v>37</v>
      </c>
      <c r="F508" t="s">
        <v>30</v>
      </c>
    </row>
    <row r="509" spans="4:6" x14ac:dyDescent="0.2">
      <c r="D509" t="s">
        <v>18</v>
      </c>
      <c r="F509" t="s">
        <v>15</v>
      </c>
    </row>
    <row r="510" spans="4:6" x14ac:dyDescent="0.2">
      <c r="D510" t="s">
        <v>25</v>
      </c>
      <c r="F510" t="s">
        <v>27</v>
      </c>
    </row>
    <row r="511" spans="4:6" x14ac:dyDescent="0.2">
      <c r="D511" t="s">
        <v>33</v>
      </c>
      <c r="F511" t="s">
        <v>14</v>
      </c>
    </row>
    <row r="512" spans="4:6" x14ac:dyDescent="0.2">
      <c r="D512" t="s">
        <v>17</v>
      </c>
      <c r="F512" t="s">
        <v>19</v>
      </c>
    </row>
    <row r="513" spans="4:6" x14ac:dyDescent="0.2">
      <c r="D513" t="s">
        <v>22</v>
      </c>
      <c r="F513" t="s">
        <v>40</v>
      </c>
    </row>
    <row r="514" spans="4:6" x14ac:dyDescent="0.2">
      <c r="D514" t="s">
        <v>27</v>
      </c>
      <c r="F514" t="s">
        <v>25</v>
      </c>
    </row>
    <row r="515" spans="4:6" x14ac:dyDescent="0.2">
      <c r="D515" t="s">
        <v>21</v>
      </c>
      <c r="F515" t="s">
        <v>34</v>
      </c>
    </row>
    <row r="516" spans="4:6" x14ac:dyDescent="0.2">
      <c r="D516" t="s">
        <v>17</v>
      </c>
      <c r="F516" t="s">
        <v>18</v>
      </c>
    </row>
    <row r="517" spans="4:6" x14ac:dyDescent="0.2">
      <c r="D517" t="s">
        <v>38</v>
      </c>
      <c r="F517" t="s">
        <v>24</v>
      </c>
    </row>
    <row r="518" spans="4:6" x14ac:dyDescent="0.2">
      <c r="D518" t="s">
        <v>55</v>
      </c>
      <c r="F518" t="s">
        <v>14</v>
      </c>
    </row>
    <row r="519" spans="4:6" x14ac:dyDescent="0.2">
      <c r="D519" t="s">
        <v>23</v>
      </c>
      <c r="F519" t="s">
        <v>32</v>
      </c>
    </row>
    <row r="520" spans="4:6" x14ac:dyDescent="0.2">
      <c r="D520" t="s">
        <v>13</v>
      </c>
      <c r="F520" t="s">
        <v>39</v>
      </c>
    </row>
    <row r="521" spans="4:6" x14ac:dyDescent="0.2">
      <c r="D521" t="s">
        <v>31</v>
      </c>
      <c r="F521" t="s">
        <v>15</v>
      </c>
    </row>
    <row r="522" spans="4:6" x14ac:dyDescent="0.2">
      <c r="D522" t="s">
        <v>29</v>
      </c>
      <c r="F522" t="s">
        <v>35</v>
      </c>
    </row>
    <row r="523" spans="4:6" x14ac:dyDescent="0.2">
      <c r="D523" t="s">
        <v>11</v>
      </c>
      <c r="F523" t="s">
        <v>37</v>
      </c>
    </row>
    <row r="524" spans="4:6" x14ac:dyDescent="0.2">
      <c r="D524" t="s">
        <v>36</v>
      </c>
      <c r="F524" t="s">
        <v>40</v>
      </c>
    </row>
    <row r="525" spans="4:6" x14ac:dyDescent="0.2">
      <c r="D525" t="s">
        <v>55</v>
      </c>
      <c r="F525" t="s">
        <v>21</v>
      </c>
    </row>
    <row r="526" spans="4:6" x14ac:dyDescent="0.2">
      <c r="D526" t="s">
        <v>31</v>
      </c>
      <c r="F526" t="s">
        <v>28</v>
      </c>
    </row>
    <row r="527" spans="4:6" x14ac:dyDescent="0.2">
      <c r="D527" t="s">
        <v>30</v>
      </c>
      <c r="F527" t="s">
        <v>26</v>
      </c>
    </row>
    <row r="528" spans="4:6" x14ac:dyDescent="0.2">
      <c r="D528" t="s">
        <v>22</v>
      </c>
      <c r="F528" t="s">
        <v>34</v>
      </c>
    </row>
    <row r="529" spans="4:6" x14ac:dyDescent="0.2">
      <c r="D529" t="s">
        <v>27</v>
      </c>
      <c r="F529" t="s">
        <v>18</v>
      </c>
    </row>
    <row r="530" spans="4:6" x14ac:dyDescent="0.2">
      <c r="D530" t="s">
        <v>38</v>
      </c>
      <c r="F530" t="s">
        <v>15</v>
      </c>
    </row>
    <row r="531" spans="4:6" x14ac:dyDescent="0.2">
      <c r="D531" t="s">
        <v>17</v>
      </c>
      <c r="F531" t="s">
        <v>14</v>
      </c>
    </row>
    <row r="532" spans="4:6" x14ac:dyDescent="0.2">
      <c r="D532" t="s">
        <v>12</v>
      </c>
      <c r="F532" t="s">
        <v>32</v>
      </c>
    </row>
    <row r="533" spans="4:6" x14ac:dyDescent="0.2">
      <c r="D533" t="s">
        <v>16</v>
      </c>
      <c r="F533" t="s">
        <v>33</v>
      </c>
    </row>
    <row r="534" spans="4:6" x14ac:dyDescent="0.2">
      <c r="D534" t="s">
        <v>10</v>
      </c>
      <c r="F534" t="s">
        <v>19</v>
      </c>
    </row>
    <row r="535" spans="4:6" x14ac:dyDescent="0.2">
      <c r="D535" t="s">
        <v>55</v>
      </c>
      <c r="F535" t="s">
        <v>26</v>
      </c>
    </row>
    <row r="536" spans="4:6" x14ac:dyDescent="0.2">
      <c r="D536" t="s">
        <v>13</v>
      </c>
      <c r="F536" t="s">
        <v>11</v>
      </c>
    </row>
    <row r="537" spans="4:6" x14ac:dyDescent="0.2">
      <c r="D537" t="s">
        <v>25</v>
      </c>
      <c r="F537" t="s">
        <v>29</v>
      </c>
    </row>
    <row r="538" spans="4:6" x14ac:dyDescent="0.2">
      <c r="D538" t="s">
        <v>40</v>
      </c>
      <c r="F538" t="s">
        <v>35</v>
      </c>
    </row>
    <row r="539" spans="4:6" x14ac:dyDescent="0.2">
      <c r="D539" t="s">
        <v>24</v>
      </c>
      <c r="F539" t="s">
        <v>20</v>
      </c>
    </row>
    <row r="540" spans="4:6" x14ac:dyDescent="0.2">
      <c r="D540" t="s">
        <v>17</v>
      </c>
      <c r="F540" t="s">
        <v>21</v>
      </c>
    </row>
    <row r="541" spans="4:6" x14ac:dyDescent="0.2">
      <c r="D541" t="s">
        <v>27</v>
      </c>
      <c r="F541" t="s">
        <v>23</v>
      </c>
    </row>
    <row r="542" spans="4:6" x14ac:dyDescent="0.2">
      <c r="D542" t="s">
        <v>34</v>
      </c>
      <c r="F542" t="s">
        <v>28</v>
      </c>
    </row>
    <row r="543" spans="4:6" x14ac:dyDescent="0.2">
      <c r="D543" t="s">
        <v>32</v>
      </c>
      <c r="F543" t="s">
        <v>16</v>
      </c>
    </row>
    <row r="544" spans="4:6" x14ac:dyDescent="0.2">
      <c r="D544" t="s">
        <v>10</v>
      </c>
      <c r="F544" t="s">
        <v>18</v>
      </c>
    </row>
    <row r="545" spans="4:6" x14ac:dyDescent="0.2">
      <c r="D545" t="s">
        <v>14</v>
      </c>
      <c r="F545" t="s">
        <v>36</v>
      </c>
    </row>
    <row r="546" spans="4:6" x14ac:dyDescent="0.2">
      <c r="D546" t="s">
        <v>39</v>
      </c>
      <c r="F546" t="s">
        <v>33</v>
      </c>
    </row>
    <row r="547" spans="4:6" x14ac:dyDescent="0.2">
      <c r="D547" t="s">
        <v>15</v>
      </c>
      <c r="F547" t="s">
        <v>35</v>
      </c>
    </row>
    <row r="548" spans="4:6" x14ac:dyDescent="0.2">
      <c r="D548" t="s">
        <v>13</v>
      </c>
      <c r="F548" t="s">
        <v>37</v>
      </c>
    </row>
    <row r="549" spans="4:6" x14ac:dyDescent="0.2">
      <c r="D549" t="s">
        <v>19</v>
      </c>
      <c r="F549" t="s">
        <v>22</v>
      </c>
    </row>
    <row r="550" spans="4:6" x14ac:dyDescent="0.2">
      <c r="D550" t="s">
        <v>39</v>
      </c>
      <c r="F550" t="s">
        <v>31</v>
      </c>
    </row>
    <row r="551" spans="4:6" x14ac:dyDescent="0.2">
      <c r="D551" t="s">
        <v>40</v>
      </c>
      <c r="F551" t="s">
        <v>12</v>
      </c>
    </row>
    <row r="552" spans="4:6" x14ac:dyDescent="0.2">
      <c r="D552" t="s">
        <v>25</v>
      </c>
      <c r="F552" t="s">
        <v>11</v>
      </c>
    </row>
    <row r="553" spans="4:6" x14ac:dyDescent="0.2">
      <c r="D553" t="s">
        <v>38</v>
      </c>
      <c r="F553" t="s">
        <v>30</v>
      </c>
    </row>
    <row r="554" spans="4:6" x14ac:dyDescent="0.2">
      <c r="D554" t="s">
        <v>24</v>
      </c>
      <c r="F554" t="s">
        <v>55</v>
      </c>
    </row>
    <row r="555" spans="4:6" x14ac:dyDescent="0.2">
      <c r="D555" t="s">
        <v>28</v>
      </c>
      <c r="F555" t="s">
        <v>31</v>
      </c>
    </row>
    <row r="556" spans="4:6" x14ac:dyDescent="0.2">
      <c r="D556" t="s">
        <v>38</v>
      </c>
      <c r="F556" t="s">
        <v>21</v>
      </c>
    </row>
    <row r="557" spans="4:6" x14ac:dyDescent="0.2">
      <c r="D557" t="s">
        <v>30</v>
      </c>
      <c r="F557" t="s">
        <v>23</v>
      </c>
    </row>
    <row r="558" spans="4:6" x14ac:dyDescent="0.2">
      <c r="D558" t="s">
        <v>20</v>
      </c>
      <c r="F558" t="s">
        <v>16</v>
      </c>
    </row>
    <row r="559" spans="4:6" x14ac:dyDescent="0.2">
      <c r="D559" t="s">
        <v>35</v>
      </c>
      <c r="F559" t="s">
        <v>11</v>
      </c>
    </row>
    <row r="560" spans="4:6" x14ac:dyDescent="0.2">
      <c r="D560" t="s">
        <v>17</v>
      </c>
      <c r="F560" t="s">
        <v>34</v>
      </c>
    </row>
    <row r="561" spans="4:6" x14ac:dyDescent="0.2">
      <c r="D561" t="s">
        <v>14</v>
      </c>
      <c r="F561" t="s">
        <v>18</v>
      </c>
    </row>
    <row r="562" spans="4:6" x14ac:dyDescent="0.2">
      <c r="D562" t="s">
        <v>19</v>
      </c>
      <c r="F562" t="s">
        <v>29</v>
      </c>
    </row>
    <row r="563" spans="4:6" x14ac:dyDescent="0.2">
      <c r="D563" t="s">
        <v>27</v>
      </c>
      <c r="F563" t="s">
        <v>15</v>
      </c>
    </row>
    <row r="564" spans="4:6" x14ac:dyDescent="0.2">
      <c r="D564" t="s">
        <v>10</v>
      </c>
      <c r="F564" t="s">
        <v>36</v>
      </c>
    </row>
    <row r="565" spans="4:6" x14ac:dyDescent="0.2">
      <c r="D565" t="s">
        <v>32</v>
      </c>
      <c r="F565" t="s">
        <v>33</v>
      </c>
    </row>
    <row r="566" spans="4:6" x14ac:dyDescent="0.2">
      <c r="D566" t="s">
        <v>25</v>
      </c>
      <c r="F566" t="s">
        <v>37</v>
      </c>
    </row>
    <row r="567" spans="4:6" x14ac:dyDescent="0.2">
      <c r="D567" t="s">
        <v>26</v>
      </c>
      <c r="F567" t="s">
        <v>22</v>
      </c>
    </row>
    <row r="568" spans="4:6" x14ac:dyDescent="0.2">
      <c r="D568" t="s">
        <v>36</v>
      </c>
      <c r="F568" t="s">
        <v>21</v>
      </c>
    </row>
    <row r="569" spans="4:6" x14ac:dyDescent="0.2">
      <c r="D569" t="s">
        <v>19</v>
      </c>
      <c r="F569" t="s">
        <v>39</v>
      </c>
    </row>
    <row r="570" spans="4:6" x14ac:dyDescent="0.2">
      <c r="D570" t="s">
        <v>22</v>
      </c>
      <c r="F570" t="s">
        <v>26</v>
      </c>
    </row>
    <row r="571" spans="4:6" x14ac:dyDescent="0.2">
      <c r="D571" t="s">
        <v>20</v>
      </c>
      <c r="F571" t="s">
        <v>17</v>
      </c>
    </row>
    <row r="572" spans="4:6" x14ac:dyDescent="0.2">
      <c r="D572" t="s">
        <v>12</v>
      </c>
      <c r="F572" t="s">
        <v>34</v>
      </c>
    </row>
    <row r="573" spans="4:6" x14ac:dyDescent="0.2">
      <c r="D573" t="s">
        <v>23</v>
      </c>
      <c r="F573" t="s">
        <v>24</v>
      </c>
    </row>
    <row r="574" spans="4:6" x14ac:dyDescent="0.2">
      <c r="D574" t="s">
        <v>15</v>
      </c>
      <c r="F574" t="s">
        <v>29</v>
      </c>
    </row>
    <row r="575" spans="4:6" x14ac:dyDescent="0.2">
      <c r="D575" t="s">
        <v>18</v>
      </c>
      <c r="F575" t="s">
        <v>14</v>
      </c>
    </row>
    <row r="576" spans="4:6" x14ac:dyDescent="0.2">
      <c r="D576" t="s">
        <v>40</v>
      </c>
      <c r="F576" t="s">
        <v>55</v>
      </c>
    </row>
    <row r="577" spans="4:6" x14ac:dyDescent="0.2">
      <c r="D577" t="s">
        <v>32</v>
      </c>
      <c r="F577" t="s">
        <v>31</v>
      </c>
    </row>
    <row r="578" spans="4:6" x14ac:dyDescent="0.2">
      <c r="D578" t="s">
        <v>28</v>
      </c>
      <c r="F578" t="s">
        <v>13</v>
      </c>
    </row>
    <row r="579" spans="4:6" x14ac:dyDescent="0.2">
      <c r="D579" t="s">
        <v>38</v>
      </c>
      <c r="F579" t="s">
        <v>27</v>
      </c>
    </row>
    <row r="580" spans="4:6" x14ac:dyDescent="0.2">
      <c r="D580" t="s">
        <v>35</v>
      </c>
      <c r="F580" t="s">
        <v>37</v>
      </c>
    </row>
    <row r="581" spans="4:6" x14ac:dyDescent="0.2">
      <c r="D581" t="s">
        <v>18</v>
      </c>
      <c r="F581" t="s">
        <v>21</v>
      </c>
    </row>
    <row r="582" spans="4:6" x14ac:dyDescent="0.2">
      <c r="D582" t="s">
        <v>11</v>
      </c>
      <c r="F582" t="s">
        <v>25</v>
      </c>
    </row>
    <row r="583" spans="4:6" x14ac:dyDescent="0.2">
      <c r="D583" t="s">
        <v>27</v>
      </c>
      <c r="F583" t="s">
        <v>10</v>
      </c>
    </row>
    <row r="584" spans="4:6" x14ac:dyDescent="0.2">
      <c r="D584" t="s">
        <v>55</v>
      </c>
      <c r="F584" t="s">
        <v>12</v>
      </c>
    </row>
    <row r="585" spans="4:6" x14ac:dyDescent="0.2">
      <c r="D585" t="s">
        <v>39</v>
      </c>
      <c r="F585" t="s">
        <v>26</v>
      </c>
    </row>
    <row r="586" spans="4:6" x14ac:dyDescent="0.2">
      <c r="D586" t="s">
        <v>16</v>
      </c>
      <c r="F586" t="s">
        <v>17</v>
      </c>
    </row>
    <row r="587" spans="4:6" x14ac:dyDescent="0.2">
      <c r="D587" t="s">
        <v>32</v>
      </c>
      <c r="F587" t="s">
        <v>13</v>
      </c>
    </row>
    <row r="588" spans="4:6" x14ac:dyDescent="0.2">
      <c r="D588" t="s">
        <v>29</v>
      </c>
      <c r="F588" t="s">
        <v>34</v>
      </c>
    </row>
    <row r="589" spans="4:6" x14ac:dyDescent="0.2">
      <c r="D589" t="s">
        <v>24</v>
      </c>
      <c r="F589" t="s">
        <v>30</v>
      </c>
    </row>
    <row r="590" spans="4:6" x14ac:dyDescent="0.2">
      <c r="D590" t="s">
        <v>23</v>
      </c>
      <c r="F590" t="s">
        <v>36</v>
      </c>
    </row>
    <row r="591" spans="4:6" x14ac:dyDescent="0.2">
      <c r="D591" t="s">
        <v>14</v>
      </c>
      <c r="F591" t="s">
        <v>19</v>
      </c>
    </row>
    <row r="592" spans="4:6" x14ac:dyDescent="0.2">
      <c r="D592" t="s">
        <v>33</v>
      </c>
      <c r="F592" t="s">
        <v>20</v>
      </c>
    </row>
    <row r="593" spans="4:6" x14ac:dyDescent="0.2">
      <c r="D593" t="s">
        <v>15</v>
      </c>
      <c r="F593" t="s">
        <v>22</v>
      </c>
    </row>
    <row r="594" spans="4:6" x14ac:dyDescent="0.2">
      <c r="D594" t="s">
        <v>21</v>
      </c>
      <c r="F594" t="s">
        <v>23</v>
      </c>
    </row>
    <row r="595" spans="4:6" x14ac:dyDescent="0.2">
      <c r="D595" t="s">
        <v>26</v>
      </c>
      <c r="F595" t="s">
        <v>25</v>
      </c>
    </row>
    <row r="596" spans="4:6" x14ac:dyDescent="0.2">
      <c r="D596" t="s">
        <v>17</v>
      </c>
      <c r="F596" t="s">
        <v>16</v>
      </c>
    </row>
    <row r="597" spans="4:6" x14ac:dyDescent="0.2">
      <c r="D597" t="s">
        <v>10</v>
      </c>
      <c r="F597" t="s">
        <v>39</v>
      </c>
    </row>
    <row r="598" spans="4:6" x14ac:dyDescent="0.2">
      <c r="D598" t="s">
        <v>37</v>
      </c>
      <c r="F598" t="s">
        <v>11</v>
      </c>
    </row>
    <row r="599" spans="4:6" x14ac:dyDescent="0.2">
      <c r="D599" t="s">
        <v>31</v>
      </c>
      <c r="F599" t="s">
        <v>13</v>
      </c>
    </row>
    <row r="600" spans="4:6" x14ac:dyDescent="0.2">
      <c r="D600" t="s">
        <v>22</v>
      </c>
      <c r="F600" t="s">
        <v>24</v>
      </c>
    </row>
    <row r="601" spans="4:6" x14ac:dyDescent="0.2">
      <c r="D601" t="s">
        <v>15</v>
      </c>
      <c r="F601" t="s">
        <v>30</v>
      </c>
    </row>
    <row r="602" spans="4:6" x14ac:dyDescent="0.2">
      <c r="D602" t="s">
        <v>29</v>
      </c>
      <c r="F602" t="s">
        <v>35</v>
      </c>
    </row>
    <row r="603" spans="4:6" x14ac:dyDescent="0.2">
      <c r="D603" t="s">
        <v>36</v>
      </c>
      <c r="F603" t="s">
        <v>19</v>
      </c>
    </row>
    <row r="604" spans="4:6" x14ac:dyDescent="0.2">
      <c r="D604" t="s">
        <v>33</v>
      </c>
      <c r="F604" t="s">
        <v>38</v>
      </c>
    </row>
    <row r="605" spans="4:6" x14ac:dyDescent="0.2">
      <c r="D605" t="s">
        <v>12</v>
      </c>
      <c r="F605" t="s">
        <v>20</v>
      </c>
    </row>
    <row r="606" spans="4:6" x14ac:dyDescent="0.2">
      <c r="D606" t="s">
        <v>34</v>
      </c>
      <c r="F606" t="s">
        <v>40</v>
      </c>
    </row>
    <row r="607" spans="4:6" x14ac:dyDescent="0.2">
      <c r="D607" t="s">
        <v>30</v>
      </c>
      <c r="F607" t="s">
        <v>28</v>
      </c>
    </row>
    <row r="608" spans="4:6" x14ac:dyDescent="0.2">
      <c r="D608" t="s">
        <v>14</v>
      </c>
      <c r="F608" t="s">
        <v>10</v>
      </c>
    </row>
    <row r="609" spans="4:6" x14ac:dyDescent="0.2">
      <c r="D609" t="s">
        <v>19</v>
      </c>
      <c r="F609" t="s">
        <v>26</v>
      </c>
    </row>
    <row r="610" spans="4:6" x14ac:dyDescent="0.2">
      <c r="D610" t="s">
        <v>27</v>
      </c>
      <c r="F610" t="s">
        <v>32</v>
      </c>
    </row>
    <row r="611" spans="4:6" x14ac:dyDescent="0.2">
      <c r="D611" t="s">
        <v>18</v>
      </c>
      <c r="F611" t="s">
        <v>37</v>
      </c>
    </row>
    <row r="612" spans="4:6" x14ac:dyDescent="0.2">
      <c r="D612" t="s">
        <v>33</v>
      </c>
      <c r="F612" t="s">
        <v>31</v>
      </c>
    </row>
    <row r="613" spans="4:6" x14ac:dyDescent="0.2">
      <c r="D613" t="s">
        <v>15</v>
      </c>
      <c r="F613" t="s">
        <v>25</v>
      </c>
    </row>
    <row r="614" spans="4:6" x14ac:dyDescent="0.2">
      <c r="D614" t="s">
        <v>21</v>
      </c>
      <c r="F614" t="s">
        <v>16</v>
      </c>
    </row>
    <row r="615" spans="4:6" x14ac:dyDescent="0.2">
      <c r="D615" t="s">
        <v>13</v>
      </c>
      <c r="F615" t="s">
        <v>12</v>
      </c>
    </row>
    <row r="616" spans="4:6" x14ac:dyDescent="0.2">
      <c r="D616" t="s">
        <v>22</v>
      </c>
      <c r="F616" t="s">
        <v>11</v>
      </c>
    </row>
    <row r="617" spans="4:6" x14ac:dyDescent="0.2">
      <c r="D617" t="s">
        <v>28</v>
      </c>
      <c r="F617" t="s">
        <v>36</v>
      </c>
    </row>
    <row r="618" spans="4:6" x14ac:dyDescent="0.2">
      <c r="D618" t="s">
        <v>38</v>
      </c>
      <c r="F618" t="s">
        <v>32</v>
      </c>
    </row>
    <row r="619" spans="4:6" x14ac:dyDescent="0.2">
      <c r="D619" t="s">
        <v>23</v>
      </c>
      <c r="F619" t="s">
        <v>35</v>
      </c>
    </row>
    <row r="620" spans="4:6" x14ac:dyDescent="0.2">
      <c r="D620" t="s">
        <v>29</v>
      </c>
      <c r="F620" t="s">
        <v>55</v>
      </c>
    </row>
    <row r="621" spans="4:6" x14ac:dyDescent="0.2">
      <c r="D621" t="s">
        <v>34</v>
      </c>
      <c r="F621" t="s">
        <v>20</v>
      </c>
    </row>
    <row r="622" spans="4:6" x14ac:dyDescent="0.2">
      <c r="D622" t="s">
        <v>17</v>
      </c>
      <c r="F622" t="s">
        <v>40</v>
      </c>
    </row>
    <row r="623" spans="4:6" x14ac:dyDescent="0.2">
      <c r="D623" t="s">
        <v>30</v>
      </c>
      <c r="F623" t="s">
        <v>10</v>
      </c>
    </row>
    <row r="624" spans="4:6" x14ac:dyDescent="0.2">
      <c r="D624" t="s">
        <v>18</v>
      </c>
      <c r="F624" t="s">
        <v>11</v>
      </c>
    </row>
    <row r="625" spans="4:6" x14ac:dyDescent="0.2">
      <c r="D625" t="s">
        <v>25</v>
      </c>
      <c r="F625" t="s">
        <v>14</v>
      </c>
    </row>
    <row r="626" spans="4:6" x14ac:dyDescent="0.2">
      <c r="D626" t="s">
        <v>24</v>
      </c>
      <c r="F626" t="s">
        <v>19</v>
      </c>
    </row>
    <row r="627" spans="4:6" x14ac:dyDescent="0.2">
      <c r="D627" t="s">
        <v>27</v>
      </c>
      <c r="F627" t="s">
        <v>38</v>
      </c>
    </row>
    <row r="628" spans="4:6" x14ac:dyDescent="0.2">
      <c r="D628" t="s">
        <v>37</v>
      </c>
      <c r="F628" t="s">
        <v>31</v>
      </c>
    </row>
    <row r="629" spans="4:6" x14ac:dyDescent="0.2">
      <c r="D629" t="s">
        <v>24</v>
      </c>
      <c r="F629" t="s">
        <v>28</v>
      </c>
    </row>
    <row r="630" spans="4:6" x14ac:dyDescent="0.2">
      <c r="D630" t="s">
        <v>27</v>
      </c>
      <c r="F630" t="s">
        <v>16</v>
      </c>
    </row>
    <row r="631" spans="4:6" x14ac:dyDescent="0.2">
      <c r="D631" t="s">
        <v>35</v>
      </c>
      <c r="F631" t="s">
        <v>12</v>
      </c>
    </row>
    <row r="632" spans="4:6" x14ac:dyDescent="0.2">
      <c r="D632" t="s">
        <v>23</v>
      </c>
      <c r="F632" t="s">
        <v>39</v>
      </c>
    </row>
    <row r="633" spans="4:6" x14ac:dyDescent="0.2">
      <c r="D633" t="s">
        <v>40</v>
      </c>
      <c r="F633" t="s">
        <v>26</v>
      </c>
    </row>
    <row r="634" spans="4:6" x14ac:dyDescent="0.2">
      <c r="D634" t="s">
        <v>21</v>
      </c>
      <c r="F634" t="s">
        <v>17</v>
      </c>
    </row>
    <row r="635" spans="4:6" x14ac:dyDescent="0.2">
      <c r="D635" t="s">
        <v>34</v>
      </c>
      <c r="F635" t="s">
        <v>33</v>
      </c>
    </row>
    <row r="636" spans="4:6" x14ac:dyDescent="0.2">
      <c r="D636" t="s">
        <v>29</v>
      </c>
      <c r="F636" t="s">
        <v>20</v>
      </c>
    </row>
    <row r="637" spans="4:6" x14ac:dyDescent="0.2">
      <c r="D637" t="s">
        <v>15</v>
      </c>
      <c r="F637" t="s">
        <v>22</v>
      </c>
    </row>
    <row r="638" spans="4:6" x14ac:dyDescent="0.2">
      <c r="D638" t="s">
        <v>18</v>
      </c>
      <c r="F638" t="s">
        <v>25</v>
      </c>
    </row>
    <row r="639" spans="4:6" x14ac:dyDescent="0.2">
      <c r="D639" t="s">
        <v>39</v>
      </c>
      <c r="F639" t="s">
        <v>10</v>
      </c>
    </row>
    <row r="640" spans="4:6" x14ac:dyDescent="0.2">
      <c r="D640" t="s">
        <v>37</v>
      </c>
      <c r="F640" t="s">
        <v>13</v>
      </c>
    </row>
    <row r="641" spans="4:6" x14ac:dyDescent="0.2">
      <c r="D641" t="s">
        <v>55</v>
      </c>
      <c r="F641" t="s">
        <v>30</v>
      </c>
    </row>
    <row r="642" spans="4:6" x14ac:dyDescent="0.2">
      <c r="D642" t="s">
        <v>22</v>
      </c>
      <c r="F642" t="s">
        <v>36</v>
      </c>
    </row>
    <row r="643" spans="4:6" x14ac:dyDescent="0.2">
      <c r="D643" t="s">
        <v>26</v>
      </c>
      <c r="F643" t="s">
        <v>14</v>
      </c>
    </row>
    <row r="644" spans="4:6" x14ac:dyDescent="0.2">
      <c r="D644" t="s">
        <v>29</v>
      </c>
      <c r="F644" t="s">
        <v>32</v>
      </c>
    </row>
    <row r="645" spans="4:6" x14ac:dyDescent="0.2">
      <c r="D645" t="s">
        <v>40</v>
      </c>
      <c r="F645" t="s">
        <v>19</v>
      </c>
    </row>
    <row r="646" spans="4:6" x14ac:dyDescent="0.2">
      <c r="D646" t="s">
        <v>34</v>
      </c>
      <c r="F646" t="s">
        <v>31</v>
      </c>
    </row>
    <row r="647" spans="4:6" x14ac:dyDescent="0.2">
      <c r="D647" t="s">
        <v>15</v>
      </c>
      <c r="F647" t="s">
        <v>11</v>
      </c>
    </row>
    <row r="648" spans="4:6" x14ac:dyDescent="0.2">
      <c r="D648" t="s">
        <v>20</v>
      </c>
      <c r="F648" t="s">
        <v>35</v>
      </c>
    </row>
    <row r="649" spans="4:6" x14ac:dyDescent="0.2">
      <c r="D649" t="s">
        <v>32</v>
      </c>
      <c r="F649" t="s">
        <v>38</v>
      </c>
    </row>
    <row r="650" spans="4:6" x14ac:dyDescent="0.2">
      <c r="D650" t="s">
        <v>12</v>
      </c>
      <c r="F650" t="s">
        <v>25</v>
      </c>
    </row>
    <row r="651" spans="4:6" x14ac:dyDescent="0.2">
      <c r="D651" t="s">
        <v>23</v>
      </c>
      <c r="F651" t="s">
        <v>28</v>
      </c>
    </row>
    <row r="652" spans="4:6" x14ac:dyDescent="0.2">
      <c r="D652" t="s">
        <v>29</v>
      </c>
      <c r="F652" t="s">
        <v>16</v>
      </c>
    </row>
    <row r="653" spans="4:6" x14ac:dyDescent="0.2">
      <c r="D653" t="s">
        <v>14</v>
      </c>
      <c r="F653" t="s">
        <v>26</v>
      </c>
    </row>
    <row r="654" spans="4:6" x14ac:dyDescent="0.2">
      <c r="D654" t="s">
        <v>27</v>
      </c>
      <c r="F654" t="s">
        <v>17</v>
      </c>
    </row>
    <row r="655" spans="4:6" x14ac:dyDescent="0.2">
      <c r="D655" t="s">
        <v>34</v>
      </c>
      <c r="F655" t="s">
        <v>13</v>
      </c>
    </row>
    <row r="656" spans="4:6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zoomScale="75" zoomScaleNormal="60" workbookViewId="0">
      <pane ySplit="1" topLeftCell="A440" activePane="bottomLeft" state="frozen"/>
      <selection activeCell="I1" sqref="I1"/>
      <selection pane="bottomLeft" activeCell="O466" sqref="O466"/>
    </sheetView>
  </sheetViews>
  <sheetFormatPr baseColWidth="10" defaultColWidth="10.83203125" defaultRowHeight="16" x14ac:dyDescent="0.2"/>
  <cols>
    <col min="1" max="1" width="19.83203125" bestFit="1" customWidth="1"/>
    <col min="2" max="2" width="12.83203125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8.3413922871340071E-2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-0.2331185823245894</v>
      </c>
      <c r="H2" t="s">
        <v>10</v>
      </c>
      <c r="I2">
        <f>VLOOKUP(Table4[[#This Row],[Visitor]],'NHL Model'!$A$6:$B$38,2,FALSE)</f>
        <v>-8.0981007952892342E-2</v>
      </c>
      <c r="J2">
        <f>($B$1+Table4[[#This Row],[Home Differential]])-Table4[[#This Row],[Away Differential]]</f>
        <v>-6.8723651500357003E-2</v>
      </c>
      <c r="K2" t="str">
        <f>IF(Table4[[#This Row],[HomeIce Differential]]&gt;0,Table4[[#This Row],[Home]],Table4[[#This Row],[Visitor]])</f>
        <v>Chicago Blackhawks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0.4675068408338563</v>
      </c>
      <c r="M2" t="str">
        <f>IF(OR((NHL2025_26Results[[#This Row],[Winning Team]]="")),"-",IF(Table4[[#This Row],[Predicted Winner]]=NHL2025_26Results[[#This Row],[Winning Team]],"YES","NO"))</f>
        <v>NO</v>
      </c>
      <c r="N2">
        <f>IF(Table4[[#This Row],[Adjusted Correct]]="-", "",IF(Table4[[#This Row],[Adjusted Correct]]="YES",(Table4[[#This Row],[Strength of Win]]-1)^2,(Table4[[#This Row],[Strength of Win]]-0)^2))</f>
        <v>0.21856264622645263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9.3318671190422225E-2</v>
      </c>
      <c r="H3" t="s">
        <v>12</v>
      </c>
      <c r="I3">
        <f>VLOOKUP(Table4[[#This Row],[Visitor]],'NHL Model'!$A$6:$B$38,2,FALSE)</f>
        <v>1.7429147091761512</v>
      </c>
      <c r="J3">
        <f>($B$1+Table4[[#This Row],[Home Differential]])-Table4[[#This Row],[Away Differential]]</f>
        <v>-1.5661821151143889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0.69739342575054852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9.1570738778988789E-2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258</v>
      </c>
      <c r="V3">
        <f>COUNTIF(Table4[Locked Correct],"YES")</f>
        <v>262</v>
      </c>
    </row>
    <row r="4" spans="1:22" x14ac:dyDescent="0.2">
      <c r="A4" s="4" t="s">
        <v>31</v>
      </c>
      <c r="B4">
        <v>0.51775546328552802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0.21842521198061643</v>
      </c>
      <c r="H4" t="s">
        <v>14</v>
      </c>
      <c r="I4">
        <f>VLOOKUP(Table4[[#This Row],[Visitor]],'NHL Model'!$A$6:$B$38,2,FALSE)</f>
        <v>0.26772485952910668</v>
      </c>
      <c r="J4">
        <f>($B$1+Table4[[#This Row],[Home Differential]])-Table4[[#This Row],[Away Differential]]</f>
        <v>3.411427532284983E-2</v>
      </c>
      <c r="K4" t="str">
        <f>IF(Table4[[#This Row],[HomeIce Differential]]&gt;0,Table4[[#This Row],[Home]],Table4[[#This Row],[Visitor]])</f>
        <v>New York Rangers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0.48958756243973095</v>
      </c>
      <c r="M4" t="str">
        <f>IF(OR((NHL2025_26Results[[#This Row],[Winning Team]]="")),"-",IF(Table4[[#This Row],[Predicted Winner]]=NHL2025_26Results[[#This Row],[Winning Team]],"YES","NO"))</f>
        <v>NO</v>
      </c>
      <c r="N4">
        <f>IF(Table4[[#This Row],[Adjusted Correct]]="-", "",IF(Table4[[#This Row],[Adjusted Correct]]="YES",(Table4[[#This Row],[Strength of Win]]-1)^2,(Table4[[#This Row],[Strength of Win]]-0)^2))</f>
        <v>0.23969598129567746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194</v>
      </c>
      <c r="V4">
        <f>COUNTIF(Table4[Locked Correct],"NO")</f>
        <v>190</v>
      </c>
    </row>
    <row r="5" spans="1:22" x14ac:dyDescent="0.2">
      <c r="A5" s="4" t="s">
        <v>21</v>
      </c>
      <c r="B5">
        <v>4.029141914856392E-2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-0.17631503877657284</v>
      </c>
      <c r="H5" t="s">
        <v>16</v>
      </c>
      <c r="I5">
        <f>VLOOKUP(Table4[[#This Row],[Visitor]],'NHL Model'!$A$6:$B$38,2,FALSE)</f>
        <v>-0.64492670113602302</v>
      </c>
      <c r="J5">
        <f>($B$1+Table4[[#This Row],[Home Differential]])-Table4[[#This Row],[Away Differential]]</f>
        <v>0.55202558523079026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0.61940444211730228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0.38366186291464649</v>
      </c>
      <c r="O5">
        <v>-4.1674767740132361E-3</v>
      </c>
      <c r="P5" s="11"/>
      <c r="Q5" t="s">
        <v>16</v>
      </c>
      <c r="R5" t="s">
        <v>248</v>
      </c>
      <c r="T5">
        <f>SUM(T3:T4)</f>
        <v>452</v>
      </c>
      <c r="V5">
        <f>SUM(V3:V4)</f>
        <v>452</v>
      </c>
    </row>
    <row r="6" spans="1:22" x14ac:dyDescent="0.2">
      <c r="A6" s="4" t="s">
        <v>23</v>
      </c>
      <c r="B6">
        <v>-0.8683412362501769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-3.2654449433805091E-2</v>
      </c>
      <c r="H6" t="s">
        <v>18</v>
      </c>
      <c r="I6">
        <f>VLOOKUP(Table4[[#This Row],[Visitor]],'NHL Model'!$A$6:$B$38,2,FALSE)</f>
        <v>-0.23554590882174289</v>
      </c>
      <c r="J6">
        <f>($B$1+Table4[[#This Row],[Home Differential]])-Table4[[#This Row],[Away Differential]]</f>
        <v>0.28630538225927787</v>
      </c>
      <c r="K6" t="str">
        <f>IF(Table4[[#This Row],[HomeIce Differential]]&gt;0,Table4[[#This Row],[Home]],Table4[[#This Row],[Visitor]])</f>
        <v>Toronto Maple Leafs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0.49865061928340254</v>
      </c>
      <c r="M6" t="str">
        <f>IF(OR((NHL2025_26Results[[#This Row],[Winning Team]]="")),"-",IF(Table4[[#This Row],[Predicted Winner]]=NHL2025_26Results[[#This Row],[Winning Team]],"YES","NO"))</f>
        <v>YES</v>
      </c>
      <c r="N6">
        <f>IF(Table4[[#This Row],[Adjusted Correct]]="-", "",IF(Table4[[#This Row],[Adjusted Correct]]="YES",(Table4[[#This Row],[Strength of Win]]-1)^2,(Table4[[#This Row],[Strength of Win]]-0)^2))</f>
        <v>0.25135120154491575</v>
      </c>
      <c r="O6">
        <v>-4.4363714293103977E-3</v>
      </c>
      <c r="P6" s="11"/>
      <c r="Q6" t="s">
        <v>18</v>
      </c>
      <c r="R6" t="s">
        <v>249</v>
      </c>
      <c r="T6" s="13">
        <f>T3/T5</f>
        <v>0.57079646017699115</v>
      </c>
      <c r="V6" s="13">
        <f>V3/V5</f>
        <v>0.57964601769911506</v>
      </c>
    </row>
    <row r="7" spans="1:22" x14ac:dyDescent="0.2">
      <c r="A7" s="4" t="s">
        <v>16</v>
      </c>
      <c r="B7">
        <v>-1.3903684122795328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0.18369921819729701</v>
      </c>
      <c r="H7" t="s">
        <v>13</v>
      </c>
      <c r="I7">
        <f>VLOOKUP(Table4[[#This Row],[Visitor]],'NHL Model'!$A$6:$B$38,2,FALSE)</f>
        <v>9.3318671190422225E-2</v>
      </c>
      <c r="J7">
        <f>($B$1+Table4[[#This Row],[Home Differential]])-Table4[[#This Row],[Away Differential]]</f>
        <v>0.17379446987821487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0.4926681759399319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0.2427219315839797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0.67193921242367816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0.95632113049608625</v>
      </c>
      <c r="H8" t="s">
        <v>21</v>
      </c>
      <c r="I8">
        <f>VLOOKUP(Table4[[#This Row],[Visitor]],'NHL Model'!$A$6:$B$38,2,FALSE)</f>
        <v>0.2169753953839102</v>
      </c>
      <c r="J8">
        <f>($B$1+Table4[[#This Row],[Home Differential]])-Table4[[#This Row],[Away Differential]]</f>
        <v>0.82275965798351614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0.65590964547784258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0.43021746303086916</v>
      </c>
      <c r="O8">
        <v>-4.9858230986448791E-3</v>
      </c>
      <c r="P8" s="11"/>
      <c r="Q8" t="s">
        <v>21</v>
      </c>
      <c r="R8" t="s">
        <v>248</v>
      </c>
      <c r="T8">
        <f>SUM(Table4[Error])</f>
        <v>104.66586607611897</v>
      </c>
      <c r="V8">
        <f>COUNTIF(Table4[Locked Correct],"")</f>
        <v>860</v>
      </c>
    </row>
    <row r="9" spans="1:22" x14ac:dyDescent="0.2">
      <c r="A9" s="4" t="s">
        <v>10</v>
      </c>
      <c r="B9">
        <v>0.30570968833820172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0.2169753953839102</v>
      </c>
      <c r="H9" t="s">
        <v>10</v>
      </c>
      <c r="I9">
        <f>VLOOKUP(Table4[[#This Row],[Visitor]],'NHL Model'!$A$6:$B$38,2,FALSE)</f>
        <v>-8.0981007952892342E-2</v>
      </c>
      <c r="J9">
        <f>($B$1+Table4[[#This Row],[Home Differential]])-Table4[[#This Row],[Away Differential]]</f>
        <v>0.3813703262081426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0.64078648884381195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0.12903434659715685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1.5475013591489768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-0.32833039474346476</v>
      </c>
      <c r="H10" t="s">
        <v>15</v>
      </c>
      <c r="I10">
        <f>VLOOKUP(Table4[[#This Row],[Visitor]],'NHL Model'!$A$6:$B$38,2,FALSE)</f>
        <v>0.21842521198061643</v>
      </c>
      <c r="J10">
        <f>($B$1+Table4[[#This Row],[Home Differential]])-Table4[[#This Row],[Away Differential]]</f>
        <v>-0.4633416838527411</v>
      </c>
      <c r="K10" t="str">
        <f>IF(Table4[[#This Row],[HomeIce Differential]]&gt;0,Table4[[#This Row],[Home]],Table4[[#This Row],[Visitor]])</f>
        <v>New York Rangers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0.60713360559034502</v>
      </c>
      <c r="M10" t="str">
        <f>IF(OR((NHL2025_26Results[[#This Row],[Winning Team]]="")),"-",IF(Table4[[#This Row],[Predicted Winner]]=NHL2025_26Results[[#This Row],[Winning Team]],"YES","NO"))</f>
        <v>YES</v>
      </c>
      <c r="N10">
        <f>IF(Table4[[#This Row],[Adjusted Correct]]="-", "",IF(Table4[[#This Row],[Adjusted Correct]]="YES",(Table4[[#This Row],[Strength of Win]]-1)^2,(Table4[[#This Row],[Strength of Win]]-0)^2))</f>
        <v>0.15434400385644259</v>
      </c>
      <c r="O10">
        <v>2.893763878885032E-2</v>
      </c>
      <c r="P10" s="11"/>
      <c r="Q10" t="s">
        <v>23</v>
      </c>
      <c r="R10" t="s">
        <v>249</v>
      </c>
      <c r="T10">
        <v>0.10923227549713746</v>
      </c>
    </row>
    <row r="11" spans="1:22" x14ac:dyDescent="0.2">
      <c r="A11" s="4" t="s">
        <v>28</v>
      </c>
      <c r="B11">
        <v>-0.40822279081308277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0.63414563871719487</v>
      </c>
      <c r="H11" t="s">
        <v>24</v>
      </c>
      <c r="I11">
        <f>VLOOKUP(Table4[[#This Row],[Visitor]],'NHL Model'!$A$6:$B$38,2,FALSE)</f>
        <v>-3.0305407970040489E-4</v>
      </c>
      <c r="J11">
        <f>($B$1+Table4[[#This Row],[Home Differential]])-Table4[[#This Row],[Away Differential]]</f>
        <v>0.71786261566823539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0.65781290863466979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0.11709200549706485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0.19809534061227302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1.7429147091761512</v>
      </c>
      <c r="H12" t="s">
        <v>55</v>
      </c>
      <c r="I12">
        <f>VLOOKUP(Table4[[#This Row],[Visitor]],'NHL Model'!$A$6:$B$38,2,FALSE)</f>
        <v>0.16351124183791613</v>
      </c>
      <c r="J12">
        <f>($B$1+Table4[[#This Row],[Home Differential]])-Table4[[#This Row],[Away Differential]]</f>
        <v>1.6628173902095751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0.82945429311097063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2.9085838138278721E-2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-0.513643833119658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-0.46779379272887778</v>
      </c>
      <c r="H13" t="s">
        <v>18</v>
      </c>
      <c r="I13">
        <f>VLOOKUP(Table4[[#This Row],[Visitor]],'NHL Model'!$A$6:$B$38,2,FALSE)</f>
        <v>-0.23554590882174289</v>
      </c>
      <c r="J13">
        <f>($B$1+Table4[[#This Row],[Home Differential]])-Table4[[#This Row],[Away Differential]]</f>
        <v>-0.1488339610357948</v>
      </c>
      <c r="K13" t="str">
        <f>IF(Table4[[#This Row],[HomeIce Differential]]&gt;0,Table4[[#This Row],[Home]],Table4[[#This Row],[Visitor]])</f>
        <v>Montreal Canadiens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0.53870645182702892</v>
      </c>
      <c r="M13" t="str">
        <f>IF(OR((NHL2025_26Results[[#This Row],[Winning Team]]="")),"-",IF(Table4[[#This Row],[Predicted Winner]]=NHL2025_26Results[[#This Row],[Winning Team]],"YES","NO"))</f>
        <v>YES</v>
      </c>
      <c r="N13">
        <f>IF(Table4[[#This Row],[Adjusted Correct]]="-", "",IF(Table4[[#This Row],[Adjusted Correct]]="YES",(Table4[[#This Row],[Strength of Win]]-1)^2,(Table4[[#This Row],[Strength of Win]]-0)^2))</f>
        <v>0.21279173758600919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-0.61980804137564283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-0.2331185823245894</v>
      </c>
      <c r="H14" t="s">
        <v>27</v>
      </c>
      <c r="I14">
        <f>VLOOKUP(Table4[[#This Row],[Visitor]],'NHL Model'!$A$6:$B$38,2,FALSE)</f>
        <v>5.7297532801941484E-2</v>
      </c>
      <c r="J14">
        <f>($B$1+Table4[[#This Row],[Home Differential]])-Table4[[#This Row],[Away Differential]]</f>
        <v>-0.20700219225519084</v>
      </c>
      <c r="K14" t="str">
        <f>IF(Table4[[#This Row],[HomeIce Differential]]&gt;0,Table4[[#This Row],[Home]],Table4[[#This Row],[Visitor]])</f>
        <v>Philadelphia Flyers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0.52512388330700077</v>
      </c>
      <c r="M14" t="str">
        <f>IF(OR((NHL2025_26Results[[#This Row],[Winning Team]]="")),"-",IF(Table4[[#This Row],[Predicted Winner]]=NHL2025_26Results[[#This Row],[Winning Team]],"YES","NO"))</f>
        <v>NO</v>
      </c>
      <c r="N14">
        <f>IF(Table4[[#This Row],[Adjusted Correct]]="-", "",IF(Table4[[#This Row],[Adjusted Correct]]="YES",(Table4[[#This Row],[Strength of Win]]-1)^2,(Table4[[#This Row],[Strength of Win]]-0)^2))</f>
        <v>0.27575509281942456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-0.28105923893144158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-0.8717103858022891</v>
      </c>
      <c r="H15" t="s">
        <v>28</v>
      </c>
      <c r="I15">
        <f>VLOOKUP(Table4[[#This Row],[Visitor]],'NHL Model'!$A$6:$B$38,2,FALSE)</f>
        <v>-0.21858969522472316</v>
      </c>
      <c r="J15">
        <f>($B$1+Table4[[#This Row],[Home Differential]])-Table4[[#This Row],[Away Differential]]</f>
        <v>-0.56970676770622586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0.52223036660267019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0.27272455580195931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-7.5459708298993802E-2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0.26772485952910668</v>
      </c>
      <c r="H16" t="s">
        <v>30</v>
      </c>
      <c r="I16">
        <f>VLOOKUP(Table4[[#This Row],[Visitor]],'NHL Model'!$A$6:$B$38,2,FALSE)</f>
        <v>0.42358825343066847</v>
      </c>
      <c r="J16">
        <f>($B$1+Table4[[#This Row],[Home Differential]])-Table4[[#This Row],[Away Differential]]</f>
        <v>-7.2449471030221702E-2</v>
      </c>
      <c r="K16" t="str">
        <f>IF(Table4[[#This Row],[HomeIce Differential]]&gt;0,Table4[[#This Row],[Home]],Table4[[#This Row],[Visitor]])</f>
        <v>New York Islanders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0.5513920814487604</v>
      </c>
      <c r="M16" t="str">
        <f>IF(OR((NHL2025_26Results[[#This Row],[Winning Team]]="")),"-",IF(Table4[[#This Row],[Predicted Winner]]=NHL2025_26Results[[#This Row],[Winning Team]],"YES","NO"))</f>
        <v>NO</v>
      </c>
      <c r="N16">
        <f>IF(Table4[[#This Row],[Adjusted Correct]]="-", "",IF(Table4[[#This Row],[Adjusted Correct]]="YES",(Table4[[#This Row],[Strength of Win]]-1)^2,(Table4[[#This Row],[Strength of Win]]-0)^2))</f>
        <v>0.30403322748439643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-0.53650300840565446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-0.51436416305402566</v>
      </c>
      <c r="H17" t="s">
        <v>31</v>
      </c>
      <c r="I17">
        <f>VLOOKUP(Table4[[#This Row],[Visitor]],'NHL Model'!$A$6:$B$38,2,FALSE)</f>
        <v>0.25846513585567971</v>
      </c>
      <c r="J17">
        <f>($B$1+Table4[[#This Row],[Home Differential]])-Table4[[#This Row],[Away Differential]]</f>
        <v>-0.68941537603836522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0.55607564105661611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0.30922011857652654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-0.52437726201848234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-0.38457853131220177</v>
      </c>
      <c r="H18" t="s">
        <v>20</v>
      </c>
      <c r="I18">
        <f>VLOOKUP(Table4[[#This Row],[Visitor]],'NHL Model'!$A$6:$B$38,2,FALSE)</f>
        <v>0.18369921819729701</v>
      </c>
      <c r="J18">
        <f>($B$1+Table4[[#This Row],[Home Differential]])-Table4[[#This Row],[Away Differential]]</f>
        <v>-0.48486382663815869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0.53373200985916636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0.21740583862997254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-1.3516250707060606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-1.0071073873045386</v>
      </c>
      <c r="H19" t="s">
        <v>34</v>
      </c>
      <c r="I19">
        <f>VLOOKUP(Table4[[#This Row],[Visitor]],'NHL Model'!$A$6:$B$38,2,FALSE)</f>
        <v>5.5764706436567675E-2</v>
      </c>
      <c r="J19">
        <f>($B$1+Table4[[#This Row],[Home Differential]])-Table4[[#This Row],[Away Differential]]</f>
        <v>-0.97945817086976628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0.58775767552759939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0.16994373408640803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0.559441163373953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0.67847982929669792</v>
      </c>
      <c r="H20" t="s">
        <v>36</v>
      </c>
      <c r="I20">
        <f>VLOOKUP(Table4[[#This Row],[Visitor]],'NHL Model'!$A$6:$B$38,2,FALSE)</f>
        <v>-0.1785578406462007</v>
      </c>
      <c r="J20">
        <f>($B$1+Table4[[#This Row],[Home Differential]])-Table4[[#This Row],[Away Differential]]</f>
        <v>0.94045159281423873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0.63915150853760927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0.40851465086590161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-6.4729560818359025E-2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-0.58187345243071342</v>
      </c>
      <c r="H21" t="s">
        <v>16</v>
      </c>
      <c r="I21">
        <f>VLOOKUP(Table4[[#This Row],[Visitor]],'NHL Model'!$A$6:$B$38,2,FALSE)</f>
        <v>-0.64492670113602302</v>
      </c>
      <c r="J21">
        <f>($B$1+Table4[[#This Row],[Home Differential]])-Table4[[#This Row],[Away Differential]]</f>
        <v>0.14646717157664968</v>
      </c>
      <c r="K21" t="str">
        <f>IF(Table4[[#This Row],[HomeIce Differential]]&gt;0,Table4[[#This Row],[Home]],Table4[[#This Row],[Visitor]])</f>
        <v>Vancouver Canucks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0.55599894243694714</v>
      </c>
      <c r="M21" t="str">
        <f>IF(OR((NHL2025_26Results[[#This Row],[Winning Team]]="")),"-",IF(Table4[[#This Row],[Predicted Winner]]=NHL2025_26Results[[#This Row],[Winning Team]],"YES","NO"))</f>
        <v>YES</v>
      </c>
      <c r="N21">
        <f>IF(Table4[[#This Row],[Adjusted Correct]]="-", "",IF(Table4[[#This Row],[Adjusted Correct]]="YES",(Table4[[#This Row],[Strength of Win]]-1)^2,(Table4[[#This Row],[Strength of Win]]-0)^2))</f>
        <v>0.19713693911710939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-0.30719665303039001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-7.6933210940904648E-2</v>
      </c>
      <c r="H22" t="s">
        <v>39</v>
      </c>
      <c r="I22">
        <f>VLOOKUP(Table4[[#This Row],[Visitor]],'NHL Model'!$A$6:$B$38,2,FALSE)</f>
        <v>0.85927171572006034</v>
      </c>
      <c r="J22">
        <f>($B$1+Table4[[#This Row],[Home Differential]])-Table4[[#This Row],[Away Differential]]</f>
        <v>-0.85279100378962491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0.62648563520076206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0.13951298071137819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-0.40651947573390851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0.2169753953839102</v>
      </c>
      <c r="H23" t="s">
        <v>23</v>
      </c>
      <c r="I23">
        <f>VLOOKUP(Table4[[#This Row],[Visitor]],'NHL Model'!$A$6:$B$38,2,FALSE)</f>
        <v>-0.32833039474346476</v>
      </c>
      <c r="J23">
        <f>($B$1+Table4[[#This Row],[Home Differential]])-Table4[[#This Row],[Away Differential]]</f>
        <v>0.62871971299871499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0.66780502520576779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0.11035350127854057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-0.51358590497437617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0.63414563871719487</v>
      </c>
      <c r="H24" t="s">
        <v>27</v>
      </c>
      <c r="I24">
        <f>VLOOKUP(Table4[[#This Row],[Visitor]],'NHL Model'!$A$6:$B$38,2,FALSE)</f>
        <v>5.7297532801941484E-2</v>
      </c>
      <c r="J24">
        <f>($B$1+Table4[[#This Row],[Home Differential]])-Table4[[#This Row],[Away Differential]]</f>
        <v>0.66026202878659346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0.61310553038609317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0.14968733061782627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0.26289091192875702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-0.64492670113602302</v>
      </c>
      <c r="H25" t="s">
        <v>35</v>
      </c>
      <c r="I25">
        <f>VLOOKUP(Table4[[#This Row],[Visitor]],'NHL Model'!$A$6:$B$38,2,FALSE)</f>
        <v>-1.0071073873045386</v>
      </c>
      <c r="J25">
        <f>($B$1+Table4[[#This Row],[Home Differential]])-Table4[[#This Row],[Away Differential]]</f>
        <v>0.4455946090398557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0.58867331309468085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0.34653626954986816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-0.39418177254008485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-8.0981007952892342E-2</v>
      </c>
      <c r="H26" t="s">
        <v>18</v>
      </c>
      <c r="I26">
        <f>VLOOKUP(Table4[[#This Row],[Visitor]],'NHL Model'!$A$6:$B$38,2,FALSE)</f>
        <v>-0.23554590882174289</v>
      </c>
      <c r="J26">
        <f>($B$1+Table4[[#This Row],[Home Differential]])-Table4[[#This Row],[Away Differential]]</f>
        <v>0.23797882374019064</v>
      </c>
      <c r="K26" t="str">
        <f>IF(Table4[[#This Row],[HomeIce Differential]]&gt;0,Table4[[#This Row],[Home]],Table4[[#This Row],[Visitor]])</f>
        <v>Chicago Blackhawks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0.49337179932941705</v>
      </c>
      <c r="M26" t="str">
        <f>IF(OR((NHL2025_26Results[[#This Row],[Winning Team]]="")),"-",IF(Table4[[#This Row],[Predicted Winner]]=NHL2025_26Results[[#This Row],[Winning Team]],"YES","NO"))</f>
        <v>NO</v>
      </c>
      <c r="N26">
        <f>IF(Table4[[#This Row],[Adjusted Correct]]="-", "",IF(Table4[[#This Row],[Adjusted Correct]]="YES",(Table4[[#This Row],[Strength of Win]]-1)^2,(Table4[[#This Row],[Strength of Win]]-0)^2))</f>
        <v>0.24341573237354658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-0.361361309178443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1.7429147091761512</v>
      </c>
      <c r="H27" t="s">
        <v>39</v>
      </c>
      <c r="I27">
        <f>VLOOKUP(Table4[[#This Row],[Visitor]],'NHL Model'!$A$6:$B$38,2,FALSE)</f>
        <v>0.85927171572006034</v>
      </c>
      <c r="J27">
        <f>($B$1+Table4[[#This Row],[Home Differential]])-Table4[[#This Row],[Away Differential]]</f>
        <v>0.96705691632743085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0.66495586140399532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0.44216629761552945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-1.6211574240381006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-0.46779379272887778</v>
      </c>
      <c r="H28" t="s">
        <v>19</v>
      </c>
      <c r="I28">
        <f>VLOOKUP(Table4[[#This Row],[Visitor]],'NHL Model'!$A$6:$B$38,2,FALSE)</f>
        <v>-3.2654449433805091E-2</v>
      </c>
      <c r="J28">
        <f>($B$1+Table4[[#This Row],[Home Differential]])-Table4[[#This Row],[Away Differential]]</f>
        <v>-0.35172542042373262</v>
      </c>
      <c r="K28" t="str">
        <f>IF(Table4[[#This Row],[HomeIce Differential]]&gt;0,Table4[[#This Row],[Home]],Table4[[#This Row],[Visitor]])</f>
        <v>Toronto Maple Leafs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0.48829751863431864</v>
      </c>
      <c r="M28" t="str">
        <f>IF(OR((NHL2025_26Results[[#This Row],[Winning Team]]="")),"-",IF(Table4[[#This Row],[Predicted Winner]]=NHL2025_26Results[[#This Row],[Winning Team]],"YES","NO"))</f>
        <v>NO</v>
      </c>
      <c r="N28">
        <f>IF(Table4[[#This Row],[Adjusted Correct]]="-", "",IF(Table4[[#This Row],[Adjusted Correct]]="YES",(Table4[[#This Row],[Strength of Win]]-1)^2,(Table4[[#This Row],[Strength of Win]]-0)^2))</f>
        <v>0.23843446670443275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-0.11309445867623392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-0.17631503877657284</v>
      </c>
      <c r="H29" t="s">
        <v>38</v>
      </c>
      <c r="I29">
        <f>VLOOKUP(Table4[[#This Row],[Visitor]],'NHL Model'!$A$6:$B$38,2,FALSE)</f>
        <v>-0.58187345243071342</v>
      </c>
      <c r="J29">
        <f>($B$1+Table4[[#This Row],[Home Differential]])-Table4[[#This Row],[Away Differential]]</f>
        <v>0.48897233652548067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0.61251699228373435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0.15014308126884357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-0.635565543477981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-0.2331185823245894</v>
      </c>
      <c r="H30" t="s">
        <v>36</v>
      </c>
      <c r="I30">
        <f>VLOOKUP(Table4[[#This Row],[Visitor]],'NHL Model'!$A$6:$B$38,2,FALSE)</f>
        <v>-0.1785578406462007</v>
      </c>
      <c r="J30">
        <f>($B$1+Table4[[#This Row],[Home Differential]])-Table4[[#This Row],[Away Differential]]</f>
        <v>2.8853181192951355E-2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0.53957553969663985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0.21199068364564047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-0.12212311954851815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5.5764706436567675E-2</v>
      </c>
      <c r="H31" t="s">
        <v>28</v>
      </c>
      <c r="I31">
        <f>VLOOKUP(Table4[[#This Row],[Visitor]],'NHL Model'!$A$6:$B$38,2,FALSE)</f>
        <v>-0.21858969522472316</v>
      </c>
      <c r="J31">
        <f>($B$1+Table4[[#This Row],[Home Differential]])-Table4[[#This Row],[Away Differential]]</f>
        <v>0.35776832453263091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0.57907984818949765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0.33533347057917162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-0.6902088310934803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-0.8717103858022891</v>
      </c>
      <c r="H32" t="s">
        <v>55</v>
      </c>
      <c r="I32">
        <f>VLOOKUP(Table4[[#This Row],[Visitor]],'NHL Model'!$A$6:$B$38,2,FALSE)</f>
        <v>0.16351124183791613</v>
      </c>
      <c r="J32">
        <f>($B$1+Table4[[#This Row],[Home Differential]])-Table4[[#This Row],[Away Differential]]</f>
        <v>-0.95180770476886511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0.56396812142761077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0.19012379913136679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-6.3745791019188943E-4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0.42358825343066847</v>
      </c>
      <c r="H33" t="s">
        <v>22</v>
      </c>
      <c r="I33">
        <f>VLOOKUP(Table4[[#This Row],[Visitor]],'NHL Model'!$A$6:$B$38,2,FALSE)</f>
        <v>0.95632113049608625</v>
      </c>
      <c r="J33">
        <f>($B$1+Table4[[#This Row],[Home Differential]])-Table4[[#This Row],[Away Differential]]</f>
        <v>-0.44931895419407775</v>
      </c>
      <c r="K33" t="str">
        <f>IF(Table4[[#This Row],[HomeIce Differential]]&gt;0,Table4[[#This Row],[Home]],Table4[[#This Row],[Visitor]])</f>
        <v>Washington Capitals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0.56321894927133298</v>
      </c>
      <c r="M33" t="str">
        <f>IF(OR((NHL2025_26Results[[#This Row],[Winning Team]]="")),"-",IF(Table4[[#This Row],[Predicted Winner]]=NHL2025_26Results[[#This Row],[Winning Team]],"YES","NO"))</f>
        <v>YES</v>
      </c>
      <c r="N33">
        <f>IF(Table4[[#This Row],[Adjusted Correct]]="-", "",IF(Table4[[#This Row],[Adjusted Correct]]="YES",(Table4[[#This Row],[Strength of Win]]-1)^2,(Table4[[#This Row],[Strength of Win]]-0)^2))</f>
        <v>0.1907776862756384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-6.1308839486784707E-2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0.26772485952910668</v>
      </c>
      <c r="H34" t="s">
        <v>15</v>
      </c>
      <c r="I34">
        <f>VLOOKUP(Table4[[#This Row],[Visitor]],'NHL Model'!$A$6:$B$38,2,FALSE)</f>
        <v>0.21842521198061643</v>
      </c>
      <c r="J34">
        <f>($B$1+Table4[[#This Row],[Home Differential]])-Table4[[#This Row],[Away Differential]]</f>
        <v>0.13271357041983034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0.44792436732596763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0.20063623884436838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0.105105258369765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-0.51436416305402566</v>
      </c>
      <c r="H35" t="s">
        <v>20</v>
      </c>
      <c r="I35">
        <f>VLOOKUP(Table4[[#This Row],[Visitor]],'NHL Model'!$A$6:$B$38,2,FALSE)</f>
        <v>0.18369921819729701</v>
      </c>
      <c r="J35">
        <f>($B$1+Table4[[#This Row],[Home Differential]])-Table4[[#This Row],[Away Differential]]</f>
        <v>-0.61464945837998264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0.54790878974115931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0.30020404187562194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-7.6523491360758822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-0.38457853131220177</v>
      </c>
      <c r="H36" t="s">
        <v>31</v>
      </c>
      <c r="I36">
        <f>VLOOKUP(Table4[[#This Row],[Visitor]],'NHL Model'!$A$6:$B$38,2,FALSE)</f>
        <v>0.25846513585567971</v>
      </c>
      <c r="J36">
        <f>($B$1+Table4[[#This Row],[Home Differential]])-Table4[[#This Row],[Away Differential]]</f>
        <v>-0.55962974429654144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0.54189886117462316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0.20985665339310719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0.67847982929669792</v>
      </c>
      <c r="H37" t="s">
        <v>24</v>
      </c>
      <c r="I37">
        <f>VLOOKUP(Table4[[#This Row],[Visitor]],'NHL Model'!$A$6:$B$38,2,FALSE)</f>
        <v>-3.0305407970040489E-4</v>
      </c>
      <c r="J37">
        <f>($B$1+Table4[[#This Row],[Home Differential]])-Table4[[#This Row],[Away Differential]]</f>
        <v>0.76219680624773845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0.61968033258269384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0.38400371458979804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-7.6933210940904648E-2</v>
      </c>
      <c r="H38" t="s">
        <v>13</v>
      </c>
      <c r="I38">
        <f>VLOOKUP(Table4[[#This Row],[Visitor]],'NHL Model'!$A$6:$B$38,2,FALSE)</f>
        <v>9.3318671190422225E-2</v>
      </c>
      <c r="J38">
        <f>($B$1+Table4[[#This Row],[Home Differential]])-Table4[[#This Row],[Away Differential]]</f>
        <v>-8.6837959259986802E-2</v>
      </c>
      <c r="K38" t="str">
        <f>IF(Table4[[#This Row],[HomeIce Differential]]&gt;0,Table4[[#This Row],[Home]],Table4[[#This Row],[Visitor]])</f>
        <v>Los Angeles Kings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0.51652776141062284</v>
      </c>
      <c r="M38" t="str">
        <f>IF(OR((NHL2025_26Results[[#This Row],[Winning Team]]="")),"-",IF(Table4[[#This Row],[Predicted Winner]]=NHL2025_26Results[[#This Row],[Winning Team]],"YES","NO"))</f>
        <v>NO</v>
      </c>
      <c r="N38">
        <f>IF(Table4[[#This Row],[Adjusted Correct]]="-", "",IF(Table4[[#This Row],[Adjusted Correct]]="YES",(Table4[[#This Row],[Strength of Win]]-1)^2,(Table4[[#This Row],[Strength of Win]]-0)^2))</f>
        <v>0.26680092830786933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0.21842521198061643</v>
      </c>
      <c r="H39" t="s">
        <v>22</v>
      </c>
      <c r="I39">
        <f>VLOOKUP(Table4[[#This Row],[Visitor]],'NHL Model'!$A$6:$B$38,2,FALSE)</f>
        <v>0.95632113049608625</v>
      </c>
      <c r="J39">
        <f>($B$1+Table4[[#This Row],[Home Differential]])-Table4[[#This Row],[Away Differential]]</f>
        <v>-0.65448199564412968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0.58562937513683566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0.17170301474948926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0.7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0.2169753953839102</v>
      </c>
      <c r="H40" t="s">
        <v>37</v>
      </c>
      <c r="I40">
        <f>VLOOKUP(Table4[[#This Row],[Visitor]],'NHL Model'!$A$6:$B$38,2,FALSE)</f>
        <v>0.67847982929669792</v>
      </c>
      <c r="J40">
        <f>($B$1+Table4[[#This Row],[Home Differential]])-Table4[[#This Row],[Away Differential]]</f>
        <v>-0.37809051104144764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0.51362441011216531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0.23656121443873918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-0.32833039474346476</v>
      </c>
      <c r="H41" t="s">
        <v>12</v>
      </c>
      <c r="I41">
        <f>VLOOKUP(Table4[[#This Row],[Visitor]],'NHL Model'!$A$6:$B$38,2,FALSE)</f>
        <v>1.7429147091761512</v>
      </c>
      <c r="J41">
        <f>($B$1+Table4[[#This Row],[Home Differential]])-Table4[[#This Row],[Away Differential]]</f>
        <v>-1.9878311810482758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0.73326435546812996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7.1147904063832132E-2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0.2857142857142857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-0.21858969522472316</v>
      </c>
      <c r="H42" t="s">
        <v>24</v>
      </c>
      <c r="I42">
        <f>VLOOKUP(Table4[[#This Row],[Visitor]],'NHL Model'!$A$6:$B$38,2,FALSE)</f>
        <v>-3.0305407970040489E-4</v>
      </c>
      <c r="J42">
        <f>($B$1+Table4[[#This Row],[Home Differential]])-Table4[[#This Row],[Away Differential]]</f>
        <v>-0.13487271827368266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0.47830861285991599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0.27216190341614499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0.8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-8.0981007952892342E-2</v>
      </c>
      <c r="H43" t="s">
        <v>55</v>
      </c>
      <c r="I43">
        <f>VLOOKUP(Table4[[#This Row],[Visitor]],'NHL Model'!$A$6:$B$38,2,FALSE)</f>
        <v>0.16351124183791613</v>
      </c>
      <c r="J43">
        <f>($B$1+Table4[[#This Row],[Home Differential]])-Table4[[#This Row],[Away Differential]]</f>
        <v>-0.16107832691946838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0.47759495218268538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0.22809693835038153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5.5764706436567675E-2</v>
      </c>
      <c r="H44" t="s">
        <v>13</v>
      </c>
      <c r="I44">
        <f>VLOOKUP(Table4[[#This Row],[Visitor]],'NHL Model'!$A$6:$B$38,2,FALSE)</f>
        <v>9.3318671190422225E-2</v>
      </c>
      <c r="J44">
        <f>($B$1+Table4[[#This Row],[Home Differential]])-Table4[[#This Row],[Away Differential]]</f>
        <v>4.5859958117485528E-2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0.47869359810569212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0.27176036465598963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0.66666666666666663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0.42358825343066847</v>
      </c>
      <c r="H45" t="s">
        <v>40</v>
      </c>
      <c r="I45">
        <f>VLOOKUP(Table4[[#This Row],[Visitor]],'NHL Model'!$A$6:$B$38,2,FALSE)</f>
        <v>-7.6933210940904648E-2</v>
      </c>
      <c r="J45">
        <f>($B$1+Table4[[#This Row],[Home Differential]])-Table4[[#This Row],[Away Differential]]</f>
        <v>0.58393538724291316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0.60378459109184557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0.36455583243994716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-0.1785578406462007</v>
      </c>
      <c r="H46" t="s">
        <v>29</v>
      </c>
      <c r="I46">
        <f>VLOOKUP(Table4[[#This Row],[Visitor]],'NHL Model'!$A$6:$B$38,2,FALSE)</f>
        <v>-0.8717103858022891</v>
      </c>
      <c r="J46">
        <f>($B$1+Table4[[#This Row],[Home Differential]])-Table4[[#This Row],[Away Differential]]</f>
        <v>0.77656646802742846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0.62482612237741109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0.39040768320519148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0.5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5.7297532801941484E-2</v>
      </c>
      <c r="H47" t="s">
        <v>11</v>
      </c>
      <c r="I47">
        <f>VLOOKUP(Table4[[#This Row],[Visitor]],'NHL Model'!$A$6:$B$38,2,FALSE)</f>
        <v>-0.2331185823245894</v>
      </c>
      <c r="J47">
        <f>($B$1+Table4[[#This Row],[Home Differential]])-Table4[[#This Row],[Away Differential]]</f>
        <v>0.37383003799787096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0.60687204154874541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0.15454959171605134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0.7142857142857143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-3.2654449433805091E-2</v>
      </c>
      <c r="H48" t="s">
        <v>26</v>
      </c>
      <c r="I48">
        <f>VLOOKUP(Table4[[#This Row],[Visitor]],'NHL Model'!$A$6:$B$38,2,FALSE)</f>
        <v>-0.46779379272887778</v>
      </c>
      <c r="J48">
        <f>($B$1+Table4[[#This Row],[Home Differential]])-Table4[[#This Row],[Away Differential]]</f>
        <v>0.51855326616641273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0.59581326014227243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0.3549934409613632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0.66666666666666663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-0.58187345243071342</v>
      </c>
      <c r="H49" t="s">
        <v>35</v>
      </c>
      <c r="I49">
        <f>VLOOKUP(Table4[[#This Row],[Visitor]],'NHL Model'!$A$6:$B$38,2,FALSE)</f>
        <v>-1.0071073873045386</v>
      </c>
      <c r="J49">
        <f>($B$1+Table4[[#This Row],[Home Differential]])-Table4[[#This Row],[Away Differential]]</f>
        <v>0.5086478577451653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0.59556076292824867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0.35469262233967763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0.7142857142857143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0.25846513585567971</v>
      </c>
      <c r="H50" t="s">
        <v>14</v>
      </c>
      <c r="I50">
        <f>VLOOKUP(Table4[[#This Row],[Visitor]],'NHL Model'!$A$6:$B$38,2,FALSE)</f>
        <v>0.26772485952910668</v>
      </c>
      <c r="J50">
        <f>($B$1+Table4[[#This Row],[Home Differential]])-Table4[[#This Row],[Away Differential]]</f>
        <v>7.4154199197913107E-2</v>
      </c>
      <c r="K50" t="str">
        <f>IF(Table4[[#This Row],[HomeIce Differential]]&gt;0,Table4[[#This Row],[Home]],Table4[[#This Row],[Visitor]])</f>
        <v>Anaheim Ducks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0.5636555874716116</v>
      </c>
      <c r="M50" t="str">
        <f>IF(OR((NHL2025_26Results[[#This Row],[Winning Team]]="")),"-",IF(Table4[[#This Row],[Predicted Winner]]=NHL2025_26Results[[#This Row],[Winning Team]],"YES","NO"))</f>
        <v>YES</v>
      </c>
      <c r="N50">
        <f>IF(Table4[[#This Row],[Adjusted Correct]]="-", "",IF(Table4[[#This Row],[Adjusted Correct]]="YES",(Table4[[#This Row],[Strength of Win]]-1)^2,(Table4[[#This Row],[Strength of Win]]-0)^2))</f>
        <v>0.1903964463447444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0.14285714285714285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-0.64492670113602302</v>
      </c>
      <c r="H51" t="s">
        <v>20</v>
      </c>
      <c r="I51">
        <f>VLOOKUP(Table4[[#This Row],[Visitor]],'NHL Model'!$A$6:$B$38,2,FALSE)</f>
        <v>0.18369921819729701</v>
      </c>
      <c r="J51">
        <f>($B$1+Table4[[#This Row],[Home Differential]])-Table4[[#This Row],[Away Differential]]</f>
        <v>-0.74521199646197989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0.56217043287053758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0.19169472985277244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0.375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0.85927171572006034</v>
      </c>
      <c r="H52" t="s">
        <v>34</v>
      </c>
      <c r="I52">
        <f>VLOOKUP(Table4[[#This Row],[Visitor]],'NHL Model'!$A$6:$B$38,2,FALSE)</f>
        <v>5.5764706436567675E-2</v>
      </c>
      <c r="J52">
        <f>($B$1+Table4[[#This Row],[Home Differential]])-Table4[[#This Row],[Away Differential]]</f>
        <v>0.8869209321548327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0.6593803916053147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0.11602171762294877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0.66666666666666663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-0.23554590882174289</v>
      </c>
      <c r="H53" t="s">
        <v>32</v>
      </c>
      <c r="I53">
        <f>VLOOKUP(Table4[[#This Row],[Visitor]],'NHL Model'!$A$6:$B$38,2,FALSE)</f>
        <v>-0.51436416305402566</v>
      </c>
      <c r="J53">
        <f>($B$1+Table4[[#This Row],[Home Differential]])-Table4[[#This Row],[Away Differential]]</f>
        <v>0.36223217710362282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0.57956744496331081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0.17676353333467867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0.4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0.21842521198061643</v>
      </c>
      <c r="H54" t="s">
        <v>17</v>
      </c>
      <c r="I54">
        <f>VLOOKUP(Table4[[#This Row],[Visitor]],'NHL Model'!$A$6:$B$38,2,FALSE)</f>
        <v>-0.17631503877657284</v>
      </c>
      <c r="J54">
        <f>($B$1+Table4[[#This Row],[Home Differential]])-Table4[[#This Row],[Away Differential]]</f>
        <v>0.47815417362852936</v>
      </c>
      <c r="K54" t="str">
        <f>IF(Table4[[#This Row],[HomeIce Differential]]&gt;0,Table4[[#This Row],[Home]],Table4[[#This Row],[Visitor]])</f>
        <v>New York Rangers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0.59222986842389769</v>
      </c>
      <c r="M54" t="str">
        <f>IF(OR((NHL2025_26Results[[#This Row],[Winning Team]]="")),"-",IF(Table4[[#This Row],[Predicted Winner]]=NHL2025_26Results[[#This Row],[Winning Team]],"YES","NO"))</f>
        <v>NO</v>
      </c>
      <c r="N54">
        <f>IF(Table4[[#This Row],[Adjusted Correct]]="-", "",IF(Table4[[#This Row],[Adjusted Correct]]="YES",(Table4[[#This Row],[Strength of Win]]-1)^2,(Table4[[#This Row],[Strength of Win]]-0)^2))</f>
        <v>0.35073621705338714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1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-0.38457853131220177</v>
      </c>
      <c r="H55" t="s">
        <v>25</v>
      </c>
      <c r="I55">
        <f>VLOOKUP(Table4[[#This Row],[Visitor]],'NHL Model'!$A$6:$B$38,2,FALSE)</f>
        <v>0.63414563871719487</v>
      </c>
      <c r="J55">
        <f>($B$1+Table4[[#This Row],[Home Differential]])-Table4[[#This Row],[Away Differential]]</f>
        <v>-0.93531024715805655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0.63478923570072077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0.13337890236006369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0.5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-3.2654449433805091E-2</v>
      </c>
      <c r="H56" t="s">
        <v>29</v>
      </c>
      <c r="I56">
        <f>VLOOKUP(Table4[[#This Row],[Visitor]],'NHL Model'!$A$6:$B$38,2,FALSE)</f>
        <v>-0.8717103858022891</v>
      </c>
      <c r="J56">
        <f>($B$1+Table4[[#This Row],[Home Differential]])-Table4[[#This Row],[Away Differential]]</f>
        <v>0.92246985923982405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0.64076348180229015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0.12905087600681353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0.95632113049608625</v>
      </c>
      <c r="H57" t="s">
        <v>37</v>
      </c>
      <c r="I57">
        <f>VLOOKUP(Table4[[#This Row],[Visitor]],'NHL Model'!$A$6:$B$38,2,FALSE)</f>
        <v>0.67847982929669792</v>
      </c>
      <c r="J57">
        <f>($B$1+Table4[[#This Row],[Home Differential]])-Table4[[#This Row],[Away Differential]]</f>
        <v>0.36125522407072841</v>
      </c>
      <c r="K57" t="str">
        <f>IF(Table4[[#This Row],[HomeIce Differential]]&gt;0,Table4[[#This Row],[Home]],Table4[[#This Row],[Visitor]])</f>
        <v>Washington Capitals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0.53313161623642324</v>
      </c>
      <c r="M57" t="str">
        <f>IF(OR((NHL2025_26Results[[#This Row],[Winning Team]]="")),"-",IF(Table4[[#This Row],[Predicted Winner]]=NHL2025_26Results[[#This Row],[Winning Team]],"YES","NO"))</f>
        <v>YES</v>
      </c>
      <c r="N57">
        <f>IF(Table4[[#This Row],[Adjusted Correct]]="-", "",IF(Table4[[#This Row],[Adjusted Correct]]="YES",(Table4[[#This Row],[Strength of Win]]-1)^2,(Table4[[#This Row],[Strength of Win]]-0)^2))</f>
        <v>0.21796608775801438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0.5714285714285714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-0.32833039474346476</v>
      </c>
      <c r="H58" t="s">
        <v>36</v>
      </c>
      <c r="I58">
        <f>VLOOKUP(Table4[[#This Row],[Visitor]],'NHL Model'!$A$6:$B$38,2,FALSE)</f>
        <v>-0.1785578406462007</v>
      </c>
      <c r="J58">
        <f>($B$1+Table4[[#This Row],[Home Differential]])-Table4[[#This Row],[Away Differential]]</f>
        <v>-6.6358631225923975E-2</v>
      </c>
      <c r="K58" t="str">
        <f>IF(Table4[[#This Row],[HomeIce Differential]]&gt;0,Table4[[#This Row],[Home]],Table4[[#This Row],[Visitor]])</f>
        <v>Ottawa Senators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0.46068979983424174</v>
      </c>
      <c r="M58" t="str">
        <f>IF(OR((NHL2025_26Results[[#This Row],[Winning Team]]="")),"-",IF(Table4[[#This Row],[Predicted Winner]]=NHL2025_26Results[[#This Row],[Winning Team]],"YES","NO"))</f>
        <v>NO</v>
      </c>
      <c r="N58">
        <f>IF(Table4[[#This Row],[Adjusted Correct]]="-", "",IF(Table4[[#This Row],[Adjusted Correct]]="YES",(Table4[[#This Row],[Strength of Win]]-1)^2,(Table4[[#This Row],[Strength of Win]]-0)^2))</f>
        <v>0.21223509167131371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0.66666666666666663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-0.46779379272887778</v>
      </c>
      <c r="H59" t="s">
        <v>11</v>
      </c>
      <c r="I59">
        <f>VLOOKUP(Table4[[#This Row],[Visitor]],'NHL Model'!$A$6:$B$38,2,FALSE)</f>
        <v>-0.2331185823245894</v>
      </c>
      <c r="J59">
        <f>($B$1+Table4[[#This Row],[Home Differential]])-Table4[[#This Row],[Away Differential]]</f>
        <v>-0.15126128753294829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0.46640036524309769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0.21752930069889492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0.66666666666666663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-1.0071073873045386</v>
      </c>
      <c r="H60" t="s">
        <v>10</v>
      </c>
      <c r="I60">
        <f>VLOOKUP(Table4[[#This Row],[Visitor]],'NHL Model'!$A$6:$B$38,2,FALSE)</f>
        <v>-8.0981007952892342E-2</v>
      </c>
      <c r="J60">
        <f>($B$1+Table4[[#This Row],[Home Differential]])-Table4[[#This Row],[Away Differential]]</f>
        <v>-0.84271245648030624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0.55205139921112634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0.2006579489487097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0.33333333333333331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0.16351124183791613</v>
      </c>
      <c r="H61" t="s">
        <v>16</v>
      </c>
      <c r="I61">
        <f>VLOOKUP(Table4[[#This Row],[Visitor]],'NHL Model'!$A$6:$B$38,2,FALSE)</f>
        <v>-0.64492670113602302</v>
      </c>
      <c r="J61">
        <f>($B$1+Table4[[#This Row],[Home Differential]])-Table4[[#This Row],[Away Differential]]</f>
        <v>0.8918518658452792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0.67785018615875037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0.10378050255795179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0.5714285714285714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0.25846513585567971</v>
      </c>
      <c r="H62" t="s">
        <v>25</v>
      </c>
      <c r="I62">
        <f>VLOOKUP(Table4[[#This Row],[Visitor]],'NHL Model'!$A$6:$B$38,2,FALSE)</f>
        <v>0.63414563871719487</v>
      </c>
      <c r="J62">
        <f>($B$1+Table4[[#This Row],[Home Differential]])-Table4[[#This Row],[Away Differential]]</f>
        <v>-0.29226657999017508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0.49473486093946484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0.25529286074986196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0.25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-0.21858969522472316</v>
      </c>
      <c r="H63" t="s">
        <v>12</v>
      </c>
      <c r="I63">
        <f>VLOOKUP(Table4[[#This Row],[Visitor]],'NHL Model'!$A$6:$B$38,2,FALSE)</f>
        <v>1.7429147091761512</v>
      </c>
      <c r="J63">
        <f>($B$1+Table4[[#This Row],[Home Differential]])-Table4[[#This Row],[Away Differential]]</f>
        <v>-1.8780904815295343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0.73146388636066983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7.2111644328515245E-2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0.85927171572006034</v>
      </c>
      <c r="H64" t="s">
        <v>38</v>
      </c>
      <c r="I64">
        <f>VLOOKUP(Table4[[#This Row],[Visitor]],'NHL Model'!$A$6:$B$38,2,FALSE)</f>
        <v>-0.58187345243071342</v>
      </c>
      <c r="J64">
        <f>($B$1+Table4[[#This Row],[Home Differential]])-Table4[[#This Row],[Away Differential]]</f>
        <v>1.5245590910221138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0.74943261304633801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0.5616492414974622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0.7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9.3318671190422225E-2</v>
      </c>
      <c r="H65" t="s">
        <v>14</v>
      </c>
      <c r="I65">
        <f>VLOOKUP(Table4[[#This Row],[Visitor]],'NHL Model'!$A$6:$B$38,2,FALSE)</f>
        <v>0.26772485952910668</v>
      </c>
      <c r="J65">
        <f>($B$1+Table4[[#This Row],[Home Differential]])-Table4[[#This Row],[Away Differential]]</f>
        <v>-9.0992265467344402E-2</v>
      </c>
      <c r="K65" t="str">
        <f>IF(Table4[[#This Row],[HomeIce Differential]]&gt;0,Table4[[#This Row],[Home]],Table4[[#This Row],[Visitor]])</f>
        <v>Pittsburgh Penguins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0.5240781096903574</v>
      </c>
      <c r="M65" t="str">
        <f>IF(OR((NHL2025_26Results[[#This Row],[Winning Team]]="")),"-",IF(Table4[[#This Row],[Predicted Winner]]=NHL2025_26Results[[#This Row],[Winning Team]],"YES","NO"))</f>
        <v>YES</v>
      </c>
      <c r="N65">
        <f>IF(Table4[[#This Row],[Adjusted Correct]]="-", "",IF(Table4[[#This Row],[Adjusted Correct]]="YES",(Table4[[#This Row],[Strength of Win]]-1)^2,(Table4[[#This Row],[Strength of Win]]-0)^2))</f>
        <v>0.22650164567590347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0.8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-0.23554590882174289</v>
      </c>
      <c r="H66" t="s">
        <v>29</v>
      </c>
      <c r="I66">
        <f>VLOOKUP(Table4[[#This Row],[Visitor]],'NHL Model'!$A$6:$B$38,2,FALSE)</f>
        <v>-0.8717103858022891</v>
      </c>
      <c r="J66">
        <f>($B$1+Table4[[#This Row],[Home Differential]])-Table4[[#This Row],[Away Differential]]</f>
        <v>0.71957839985188632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0.61860118601441061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0.14546505530961421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0.33333333333333331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-3.0305407970040489E-4</v>
      </c>
      <c r="H67" t="s">
        <v>11</v>
      </c>
      <c r="I67">
        <f>VLOOKUP(Table4[[#This Row],[Visitor]],'NHL Model'!$A$6:$B$38,2,FALSE)</f>
        <v>-0.2331185823245894</v>
      </c>
      <c r="J67">
        <f>($B$1+Table4[[#This Row],[Home Differential]])-Table4[[#This Row],[Away Differential]]</f>
        <v>0.31622945111622908</v>
      </c>
      <c r="K67" t="str">
        <f>IF(Table4[[#This Row],[HomeIce Differential]]&gt;0,Table4[[#This Row],[Home]],Table4[[#This Row],[Visitor]])</f>
        <v>New Jersey Devils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0.61744401692878159</v>
      </c>
      <c r="M67" t="str">
        <f>IF(OR((NHL2025_26Results[[#This Row],[Winning Team]]="")),"-",IF(Table4[[#This Row],[Predicted Winner]]=NHL2025_26Results[[#This Row],[Winning Team]],"YES","NO"))</f>
        <v>YES</v>
      </c>
      <c r="N67">
        <f>IF(Table4[[#This Row],[Adjusted Correct]]="-", "",IF(Table4[[#This Row],[Adjusted Correct]]="YES",(Table4[[#This Row],[Strength of Win]]-1)^2,(Table4[[#This Row],[Strength of Win]]-0)^2))</f>
        <v>0.14634908018358633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0.5714285714285714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0.42358825343066847</v>
      </c>
      <c r="H68" t="s">
        <v>17</v>
      </c>
      <c r="I68">
        <f>VLOOKUP(Table4[[#This Row],[Visitor]],'NHL Model'!$A$6:$B$38,2,FALSE)</f>
        <v>-0.17631503877657284</v>
      </c>
      <c r="J68">
        <f>($B$1+Table4[[#This Row],[Home Differential]])-Table4[[#This Row],[Away Differential]]</f>
        <v>0.68331721507858134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0.61464029428940037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0.14850210278535994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-0.1785578406462007</v>
      </c>
      <c r="H69" t="s">
        <v>32</v>
      </c>
      <c r="I69">
        <f>VLOOKUP(Table4[[#This Row],[Visitor]],'NHL Model'!$A$6:$B$38,2,FALSE)</f>
        <v>-0.51436416305402566</v>
      </c>
      <c r="J69">
        <f>($B$1+Table4[[#This Row],[Home Differential]])-Table4[[#This Row],[Away Differential]]</f>
        <v>0.41922024527916502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0.58579238132631128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0.17156795136732791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0.625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5.7297532801941484E-2</v>
      </c>
      <c r="H70" t="s">
        <v>40</v>
      </c>
      <c r="I70">
        <f>VLOOKUP(Table4[[#This Row],[Visitor]],'NHL Model'!$A$6:$B$38,2,FALSE)</f>
        <v>-7.6933210940904648E-2</v>
      </c>
      <c r="J70">
        <f>($B$1+Table4[[#This Row],[Home Differential]])-Table4[[#This Row],[Away Differential]]</f>
        <v>0.21764466661418619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0.58981155803314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0.34787767398948005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17.521428571428572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-3.2654449433805091E-2</v>
      </c>
      <c r="H71" t="s">
        <v>15</v>
      </c>
      <c r="I71">
        <f>VLOOKUP(Table4[[#This Row],[Visitor]],'NHL Model'!$A$6:$B$38,2,FALSE)</f>
        <v>0.21842521198061643</v>
      </c>
      <c r="J71">
        <f>($B$1+Table4[[#This Row],[Home Differential]])-Table4[[#This Row],[Away Differential]]</f>
        <v>-0.16766573854308145</v>
      </c>
      <c r="K71" t="str">
        <f>IF(Table4[[#This Row],[HomeIce Differential]]&gt;0,Table4[[#This Row],[Home]],Table4[[#This Row],[Visitor]])</f>
        <v>New York Rangers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0.58488674810430874</v>
      </c>
      <c r="M71" t="str">
        <f>IF(OR((NHL2025_26Results[[#This Row],[Winning Team]]="")),"-",IF(Table4[[#This Row],[Predicted Winner]]=NHL2025_26Results[[#This Row],[Winning Team]],"YES","NO"))</f>
        <v>NO</v>
      </c>
      <c r="N71">
        <f>IF(Table4[[#This Row],[Adjusted Correct]]="-", "",IF(Table4[[#This Row],[Adjusted Correct]]="YES",(Table4[[#This Row],[Strength of Win]]-1)^2,(Table4[[#This Row],[Strength of Win]]-0)^2))</f>
        <v>0.3420925081080331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0.18369921819729701</v>
      </c>
      <c r="H72" t="s">
        <v>21</v>
      </c>
      <c r="I72">
        <f>VLOOKUP(Table4[[#This Row],[Visitor]],'NHL Model'!$A$6:$B$38,2,FALSE)</f>
        <v>0.2169753953839102</v>
      </c>
      <c r="J72">
        <f>($B$1+Table4[[#This Row],[Home Differential]])-Table4[[#This Row],[Away Differential]]</f>
        <v>5.0137745684726898E-2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0.54547666004943951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0.20659146655981278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-8.0981007952892342E-2</v>
      </c>
      <c r="H73" t="s">
        <v>38</v>
      </c>
      <c r="I73">
        <f>VLOOKUP(Table4[[#This Row],[Visitor]],'NHL Model'!$A$6:$B$38,2,FALSE)</f>
        <v>-0.58187345243071342</v>
      </c>
      <c r="J73">
        <f>($B$1+Table4[[#This Row],[Home Differential]])-Table4[[#This Row],[Away Differential]]</f>
        <v>0.58430636734916119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0.6038251140930152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0.36460476840944284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-0.46779379272887778</v>
      </c>
      <c r="H74" t="s">
        <v>37</v>
      </c>
      <c r="I74">
        <f>VLOOKUP(Table4[[#This Row],[Visitor]],'NHL Model'!$A$6:$B$38,2,FALSE)</f>
        <v>0.67847982929669792</v>
      </c>
      <c r="J74">
        <f>($B$1+Table4[[#This Row],[Home Differential]])-Table4[[#This Row],[Away Differential]]</f>
        <v>-1.0628596991542356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0.63854756306465688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0.40774299029581196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0.16351124183791613</v>
      </c>
      <c r="H75" t="s">
        <v>33</v>
      </c>
      <c r="I75">
        <f>VLOOKUP(Table4[[#This Row],[Visitor]],'NHL Model'!$A$6:$B$38,2,FALSE)</f>
        <v>-0.38457853131220177</v>
      </c>
      <c r="J75">
        <f>($B$1+Table4[[#This Row],[Home Differential]])-Table4[[#This Row],[Away Differential]]</f>
        <v>0.63150369602145795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0.64941176314737914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0.12291211181942939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0.95632113049608625</v>
      </c>
      <c r="H76" t="s">
        <v>34</v>
      </c>
      <c r="I76">
        <f>VLOOKUP(Table4[[#This Row],[Visitor]],'NHL Model'!$A$6:$B$38,2,FALSE)</f>
        <v>5.5764706436567675E-2</v>
      </c>
      <c r="J76">
        <f>($B$1+Table4[[#This Row],[Home Differential]])-Table4[[#This Row],[Away Differential]]</f>
        <v>0.98397034693085861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0.65293586547151095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0.12045351347600915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-0.32833039474346476</v>
      </c>
      <c r="H77" t="s">
        <v>11</v>
      </c>
      <c r="I77">
        <f>VLOOKUP(Table4[[#This Row],[Visitor]],'NHL Model'!$A$6:$B$38,2,FALSE)</f>
        <v>-0.2331185823245894</v>
      </c>
      <c r="J77">
        <f>($B$1+Table4[[#This Row],[Home Differential]])-Table4[[#This Row],[Away Differential]]</f>
        <v>-1.1797889547535273E-2</v>
      </c>
      <c r="K77" t="str">
        <f>IF(Table4[[#This Row],[HomeIce Differential]]&gt;0,Table4[[#This Row],[Home]],Table4[[#This Row],[Visitor]])</f>
        <v>Florida Panthers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0.45116646093258811</v>
      </c>
      <c r="M77" t="str">
        <f>IF(OR((NHL2025_26Results[[#This Row],[Winning Team]]="")),"-",IF(Table4[[#This Row],[Predicted Winner]]=NHL2025_26Results[[#This Row],[Winning Team]],"YES","NO"))</f>
        <v>NO</v>
      </c>
      <c r="N77">
        <f>IF(Table4[[#This Row],[Adjusted Correct]]="-", "",IF(Table4[[#This Row],[Adjusted Correct]]="YES",(Table4[[#This Row],[Strength of Win]]-1)^2,(Table4[[#This Row],[Strength of Win]]-0)^2))</f>
        <v>0.20355117547043655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-0.21858969522472316</v>
      </c>
      <c r="H78" t="s">
        <v>37</v>
      </c>
      <c r="I78">
        <f>VLOOKUP(Table4[[#This Row],[Visitor]],'NHL Model'!$A$6:$B$38,2,FALSE)</f>
        <v>0.67847982929669792</v>
      </c>
      <c r="J78">
        <f>($B$1+Table4[[#This Row],[Home Differential]])-Table4[[#This Row],[Away Differential]]</f>
        <v>-0.813655601650081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0.621500621947087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0.38626302308061594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1.7429147091761512</v>
      </c>
      <c r="H79" t="s">
        <v>21</v>
      </c>
      <c r="I79">
        <f>VLOOKUP(Table4[[#This Row],[Visitor]],'NHL Model'!$A$6:$B$38,2,FALSE)</f>
        <v>0.2169753953839102</v>
      </c>
      <c r="J79">
        <f>($B$1+Table4[[#This Row],[Home Differential]])-Table4[[#This Row],[Away Differential]]</f>
        <v>1.609353236663581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0.82361428196161335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3.1111921527917238E-2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9.3318671190422225E-2</v>
      </c>
      <c r="H80" t="s">
        <v>25</v>
      </c>
      <c r="I80">
        <f>VLOOKUP(Table4[[#This Row],[Visitor]],'NHL Model'!$A$6:$B$38,2,FALSE)</f>
        <v>0.63414563871719487</v>
      </c>
      <c r="J80">
        <f>($B$1+Table4[[#This Row],[Home Differential]])-Table4[[#This Row],[Away Differential]]</f>
        <v>-0.45741304465543259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0.58258743681764291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0.17423324790246525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-0.23554590882174289</v>
      </c>
      <c r="H81" t="s">
        <v>15</v>
      </c>
      <c r="I81">
        <f>VLOOKUP(Table4[[#This Row],[Visitor]],'NHL Model'!$A$6:$B$38,2,FALSE)</f>
        <v>0.21842521198061643</v>
      </c>
      <c r="J81">
        <f>($B$1+Table4[[#This Row],[Home Differential]])-Table4[[#This Row],[Away Differential]]</f>
        <v>-0.37055719793101927</v>
      </c>
      <c r="K81" t="str">
        <f>IF(Table4[[#This Row],[HomeIce Differential]]&gt;0,Table4[[#This Row],[Home]],Table4[[#This Row],[Visitor]])</f>
        <v>New York Rangers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0.60704904389218828</v>
      </c>
      <c r="M81" t="str">
        <f>IF(OR((NHL2025_26Results[[#This Row],[Winning Team]]="")),"-",IF(Table4[[#This Row],[Predicted Winner]]=NHL2025_26Results[[#This Row],[Winning Team]],"YES","NO"))</f>
        <v>YES</v>
      </c>
      <c r="N81">
        <f>IF(Table4[[#This Row],[Adjusted Correct]]="-", "",IF(Table4[[#This Row],[Adjusted Correct]]="YES",(Table4[[#This Row],[Strength of Win]]-1)^2,(Table4[[#This Row],[Strength of Win]]-0)^2))</f>
        <v>0.15441045390604338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-3.0305407970040489E-4</v>
      </c>
      <c r="H82" t="s">
        <v>17</v>
      </c>
      <c r="I82">
        <f>VLOOKUP(Table4[[#This Row],[Visitor]],'NHL Model'!$A$6:$B$38,2,FALSE)</f>
        <v>-0.17631503877657284</v>
      </c>
      <c r="J82">
        <f>($B$1+Table4[[#This Row],[Home Differential]])-Table4[[#This Row],[Away Differential]]</f>
        <v>0.25942590756821249</v>
      </c>
      <c r="K82" t="str">
        <f>IF(Table4[[#This Row],[HomeIce Differential]]&gt;0,Table4[[#This Row],[Home]],Table4[[#This Row],[Visitor]])</f>
        <v>New Jersey Devils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0.61123923661073098</v>
      </c>
      <c r="M82" t="str">
        <f>IF(OR((NHL2025_26Results[[#This Row],[Winning Team]]="")),"-",IF(Table4[[#This Row],[Predicted Winner]]=NHL2025_26Results[[#This Row],[Winning Team]],"YES","NO"))</f>
        <v>YES</v>
      </c>
      <c r="N82">
        <f>IF(Table4[[#This Row],[Adjusted Correct]]="-", "",IF(Table4[[#This Row],[Adjusted Correct]]="YES",(Table4[[#This Row],[Strength of Win]]-1)^2,(Table4[[#This Row],[Strength of Win]]-0)^2))</f>
        <v>0.15113493115100721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-0.1785578406462007</v>
      </c>
      <c r="H83" t="s">
        <v>30</v>
      </c>
      <c r="I83">
        <f>VLOOKUP(Table4[[#This Row],[Visitor]],'NHL Model'!$A$6:$B$38,2,FALSE)</f>
        <v>0.42358825343066847</v>
      </c>
      <c r="J83">
        <f>($B$1+Table4[[#This Row],[Home Differential]])-Table4[[#This Row],[Away Differential]]</f>
        <v>-0.51873217120552906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0.60014055630391594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0.15988757471294182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5.7297532801941484E-2</v>
      </c>
      <c r="H84" t="s">
        <v>34</v>
      </c>
      <c r="I84">
        <f>VLOOKUP(Table4[[#This Row],[Visitor]],'NHL Model'!$A$6:$B$38,2,FALSE)</f>
        <v>5.5764706436567675E-2</v>
      </c>
      <c r="J84">
        <f>($B$1+Table4[[#This Row],[Home Differential]])-Table4[[#This Row],[Away Differential]]</f>
        <v>8.4946749236713887E-2</v>
      </c>
      <c r="K84" t="str">
        <f>IF(Table4[[#This Row],[HomeIce Differential]]&gt;0,Table4[[#This Row],[Home]],Table4[[#This Row],[Visitor]])</f>
        <v>Philadelphia Flyers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0.55473347216975644</v>
      </c>
      <c r="M84" t="str">
        <f>IF(OR((NHL2025_26Results[[#This Row],[Winning Team]]="")),"-",IF(Table4[[#This Row],[Predicted Winner]]=NHL2025_26Results[[#This Row],[Winning Team]],"YES","NO"))</f>
        <v>YES</v>
      </c>
      <c r="N84">
        <f>IF(Table4[[#This Row],[Adjusted Correct]]="-", "",IF(Table4[[#This Row],[Adjusted Correct]]="YES",(Table4[[#This Row],[Strength of Win]]-1)^2,(Table4[[#This Row],[Strength of Win]]-0)^2))</f>
        <v>0.19826228080600106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-0.38457853131220177</v>
      </c>
      <c r="H85" t="s">
        <v>14</v>
      </c>
      <c r="I85">
        <f>VLOOKUP(Table4[[#This Row],[Visitor]],'NHL Model'!$A$6:$B$38,2,FALSE)</f>
        <v>0.26772485952910668</v>
      </c>
      <c r="J85">
        <f>($B$1+Table4[[#This Row],[Home Differential]])-Table4[[#This Row],[Away Differential]]</f>
        <v>-0.56888946796996831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0.57627990857343525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0.1795387158785364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-1.0071073873045386</v>
      </c>
      <c r="H86" t="s">
        <v>39</v>
      </c>
      <c r="I86">
        <f>VLOOKUP(Table4[[#This Row],[Visitor]],'NHL Model'!$A$6:$B$38,2,FALSE)</f>
        <v>0.85927171572006034</v>
      </c>
      <c r="J86">
        <f>($B$1+Table4[[#This Row],[Home Differential]])-Table4[[#This Row],[Away Differential]]</f>
        <v>-1.7829651801532589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0.74724353160560797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0.55837289552642122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-3.2654449433805091E-2</v>
      </c>
      <c r="H87" t="s">
        <v>32</v>
      </c>
      <c r="I87">
        <f>VLOOKUP(Table4[[#This Row],[Visitor]],'NHL Model'!$A$6:$B$38,2,FALSE)</f>
        <v>-0.51436416305402566</v>
      </c>
      <c r="J87">
        <f>($B$1+Table4[[#This Row],[Home Differential]])-Table4[[#This Row],[Away Differential]]</f>
        <v>0.56512363649156061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0.60172974075119035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0.36207868090449474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0.18369921819729701</v>
      </c>
      <c r="H88" t="s">
        <v>16</v>
      </c>
      <c r="I88">
        <f>VLOOKUP(Table4[[#This Row],[Visitor]],'NHL Model'!$A$6:$B$38,2,FALSE)</f>
        <v>-0.64492670113602302</v>
      </c>
      <c r="J88">
        <f>($B$1+Table4[[#This Row],[Home Differential]])-Table4[[#This Row],[Away Differential]]</f>
        <v>0.91203984220466006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0.63962418730806525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0.12987072637337244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-7.6933210940904648E-2</v>
      </c>
      <c r="H89" t="s">
        <v>29</v>
      </c>
      <c r="I89">
        <f>VLOOKUP(Table4[[#This Row],[Visitor]],'NHL Model'!$A$6:$B$38,2,FALSE)</f>
        <v>-0.8717103858022891</v>
      </c>
      <c r="J89">
        <f>($B$1+Table4[[#This Row],[Home Differential]])-Table4[[#This Row],[Away Differential]]</f>
        <v>0.87819109773272452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0.6550322432365786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0.11900275320638706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-8.0981007952892342E-2</v>
      </c>
      <c r="H90" t="s">
        <v>31</v>
      </c>
      <c r="I90">
        <f>VLOOKUP(Table4[[#This Row],[Visitor]],'NHL Model'!$A$6:$B$38,2,FALSE)</f>
        <v>0.25846513585567971</v>
      </c>
      <c r="J90">
        <f>($B$1+Table4[[#This Row],[Home Differential]])-Table4[[#This Row],[Away Differential]]</f>
        <v>-0.25603222093723199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0.50873621286279036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0.25881253427797435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-0.46779379272887778</v>
      </c>
      <c r="H91" t="s">
        <v>17</v>
      </c>
      <c r="I91">
        <f>VLOOKUP(Table4[[#This Row],[Visitor]],'NHL Model'!$A$6:$B$38,2,FALSE)</f>
        <v>-0.17631503877657284</v>
      </c>
      <c r="J91">
        <f>($B$1+Table4[[#This Row],[Home Differential]])-Table4[[#This Row],[Away Differential]]</f>
        <v>-0.20806483108096485</v>
      </c>
      <c r="K91" t="str">
        <f>IF(Table4[[#This Row],[HomeIce Differential]]&gt;0,Table4[[#This Row],[Home]],Table4[[#This Row],[Visitor]])</f>
        <v>Edmonton Oilers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0.4726051455611483</v>
      </c>
      <c r="M91" t="str">
        <f>IF(OR((NHL2025_26Results[[#This Row],[Winning Team]]="")),"-",IF(Table4[[#This Row],[Predicted Winner]]=NHL2025_26Results[[#This Row],[Winning Team]],"YES","NO"))</f>
        <v>NO</v>
      </c>
      <c r="N91">
        <f>IF(Table4[[#This Row],[Adjusted Correct]]="-", "",IF(Table4[[#This Row],[Adjusted Correct]]="YES",(Table4[[#This Row],[Strength of Win]]-1)^2,(Table4[[#This Row],[Strength of Win]]-0)^2))</f>
        <v>0.22335562361087416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0.16351124183791613</v>
      </c>
      <c r="H92" t="s">
        <v>21</v>
      </c>
      <c r="I92">
        <f>VLOOKUP(Table4[[#This Row],[Visitor]],'NHL Model'!$A$6:$B$38,2,FALSE)</f>
        <v>0.2169753953839102</v>
      </c>
      <c r="J92">
        <f>($B$1+Table4[[#This Row],[Home Differential]])-Table4[[#This Row],[Away Differential]]</f>
        <v>2.9949769325345987E-2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0.58370265890012463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0.17330347620682598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0.95632113049608625</v>
      </c>
      <c r="H93" t="s">
        <v>38</v>
      </c>
      <c r="I93">
        <f>VLOOKUP(Table4[[#This Row],[Visitor]],'NHL Model'!$A$6:$B$38,2,FALSE)</f>
        <v>-0.58187345243071342</v>
      </c>
      <c r="J93">
        <f>($B$1+Table4[[#This Row],[Home Differential]])-Table4[[#This Row],[Away Differential]]</f>
        <v>1.6216085057981398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0.7431697229029004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0.55230123703957379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-0.64492670113602302</v>
      </c>
      <c r="H94" t="s">
        <v>40</v>
      </c>
      <c r="I94">
        <f>VLOOKUP(Table4[[#This Row],[Visitor]],'NHL Model'!$A$6:$B$38,2,FALSE)</f>
        <v>-7.6933210940904648E-2</v>
      </c>
      <c r="J94">
        <f>($B$1+Table4[[#This Row],[Home Differential]])-Table4[[#This Row],[Away Differential]]</f>
        <v>-0.48457956732377827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0.5129317287981946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0.23723550081151545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-0.23554590882174289</v>
      </c>
      <c r="H95" t="s">
        <v>23</v>
      </c>
      <c r="I95">
        <f>VLOOKUP(Table4[[#This Row],[Visitor]],'NHL Model'!$A$6:$B$38,2,FALSE)</f>
        <v>-0.32833039474346476</v>
      </c>
      <c r="J95">
        <f>($B$1+Table4[[#This Row],[Home Differential]])-Table4[[#This Row],[Away Differential]]</f>
        <v>0.17619840879306192</v>
      </c>
      <c r="K95" t="str">
        <f>IF(Table4[[#This Row],[HomeIce Differential]]&gt;0,Table4[[#This Row],[Home]],Table4[[#This Row],[Visitor]])</f>
        <v>Montreal Canadiens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0.559246553131441</v>
      </c>
      <c r="M95" t="str">
        <f>IF(OR((NHL2025_26Results[[#This Row],[Winning Team]]="")),"-",IF(Table4[[#This Row],[Predicted Winner]]=NHL2025_26Results[[#This Row],[Winning Team]],"YES","NO"))</f>
        <v>YES</v>
      </c>
      <c r="N95">
        <f>IF(Table4[[#This Row],[Adjusted Correct]]="-", "",IF(Table4[[#This Row],[Adjusted Correct]]="YES",(Table4[[#This Row],[Strength of Win]]-1)^2,(Table4[[#This Row],[Strength of Win]]-0)^2))</f>
        <v>0.19426360092651565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0.21842521198061643</v>
      </c>
      <c r="H96" t="s">
        <v>34</v>
      </c>
      <c r="I96">
        <f>VLOOKUP(Table4[[#This Row],[Visitor]],'NHL Model'!$A$6:$B$38,2,FALSE)</f>
        <v>5.5764706436567675E-2</v>
      </c>
      <c r="J96">
        <f>($B$1+Table4[[#This Row],[Home Differential]])-Table4[[#This Row],[Away Differential]]</f>
        <v>0.24607442841538885</v>
      </c>
      <c r="K96" t="str">
        <f>IF(Table4[[#This Row],[HomeIce Differential]]&gt;0,Table4[[#This Row],[Home]],Table4[[#This Row],[Visitor]])</f>
        <v>New York Rangers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0.54611003898823962</v>
      </c>
      <c r="M96" t="str">
        <f>IF(OR((NHL2025_26Results[[#This Row],[Winning Team]]="")),"-",IF(Table4[[#This Row],[Predicted Winner]]=NHL2025_26Results[[#This Row],[Winning Team]],"YES","NO"))</f>
        <v>NO</v>
      </c>
      <c r="N96">
        <f>IF(Table4[[#This Row],[Adjusted Correct]]="-", "",IF(Table4[[#This Row],[Adjusted Correct]]="YES",(Table4[[#This Row],[Strength of Win]]-1)^2,(Table4[[#This Row],[Strength of Win]]-0)^2))</f>
        <v>0.29823617468373659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5.7297532801941484E-2</v>
      </c>
      <c r="H97" t="s">
        <v>32</v>
      </c>
      <c r="I97">
        <f>VLOOKUP(Table4[[#This Row],[Visitor]],'NHL Model'!$A$6:$B$38,2,FALSE)</f>
        <v>-0.51436416305402566</v>
      </c>
      <c r="J97">
        <f>($B$1+Table4[[#This Row],[Home Differential]])-Table4[[#This Row],[Away Differential]]</f>
        <v>0.65507561872730724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0.63759313630533554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0.1313387348530031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0.18369921819729701</v>
      </c>
      <c r="H98" t="s">
        <v>25</v>
      </c>
      <c r="I98">
        <f>VLOOKUP(Table4[[#This Row],[Visitor]],'NHL Model'!$A$6:$B$38,2,FALSE)</f>
        <v>0.63414563871719487</v>
      </c>
      <c r="J98">
        <f>($B$1+Table4[[#This Row],[Home Differential]])-Table4[[#This Row],[Away Differential]]</f>
        <v>-0.36703249764855778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0.57271496400740596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0.32800242999800427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0.2169753953839102</v>
      </c>
      <c r="H99" t="s">
        <v>11</v>
      </c>
      <c r="I99">
        <f>VLOOKUP(Table4[[#This Row],[Visitor]],'NHL Model'!$A$6:$B$38,2,FALSE)</f>
        <v>-0.2331185823245894</v>
      </c>
      <c r="J99">
        <f>($B$1+Table4[[#This Row],[Home Differential]])-Table4[[#This Row],[Away Differential]]</f>
        <v>0.53350790057983966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0.65740482228104746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0.43218110035837559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0.85927171572006034</v>
      </c>
      <c r="H100" t="s">
        <v>28</v>
      </c>
      <c r="I100">
        <f>VLOOKUP(Table4[[#This Row],[Visitor]],'NHL Model'!$A$6:$B$38,2,FALSE)</f>
        <v>-0.21858969522472316</v>
      </c>
      <c r="J100">
        <f>($B$1+Table4[[#This Row],[Home Differential]])-Table4[[#This Row],[Away Differential]]</f>
        <v>1.1612753338161235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0.70975030159557817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0.50374549061501417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-0.8717103858022891</v>
      </c>
      <c r="H101" t="s">
        <v>31</v>
      </c>
      <c r="I101">
        <f>VLOOKUP(Table4[[#This Row],[Visitor]],'NHL Model'!$A$6:$B$38,2,FALSE)</f>
        <v>0.25846513585567971</v>
      </c>
      <c r="J101">
        <f>($B$1+Table4[[#This Row],[Home Differential]])-Table4[[#This Row],[Away Differential]]</f>
        <v>-1.0467615987866288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0.5951093821077158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0.1639364124571957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0.42358825343066847</v>
      </c>
      <c r="H102" t="s">
        <v>33</v>
      </c>
      <c r="I102">
        <f>VLOOKUP(Table4[[#This Row],[Visitor]],'NHL Model'!$A$6:$B$38,2,FALSE)</f>
        <v>-0.38457853131220177</v>
      </c>
      <c r="J102">
        <f>($B$1+Table4[[#This Row],[Home Differential]])-Table4[[#This Row],[Away Differential]]</f>
        <v>0.89158070761421027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0.63738938948204815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0.13148645486020177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-0.1785578406462007</v>
      </c>
      <c r="H103" t="s">
        <v>17</v>
      </c>
      <c r="I103">
        <f>VLOOKUP(Table4[[#This Row],[Visitor]],'NHL Model'!$A$6:$B$38,2,FALSE)</f>
        <v>-0.17631503877657284</v>
      </c>
      <c r="J103">
        <f>($B$1+Table4[[#This Row],[Home Differential]])-Table4[[#This Row],[Away Differential]]</f>
        <v>8.1171121001712213E-2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0.54886650625167055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0.30125444168491511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0.26772485952910668</v>
      </c>
      <c r="H104" t="s">
        <v>38</v>
      </c>
      <c r="I104">
        <f>VLOOKUP(Table4[[#This Row],[Visitor]],'NHL Model'!$A$6:$B$38,2,FALSE)</f>
        <v>-0.58187345243071342</v>
      </c>
      <c r="J104">
        <f>($B$1+Table4[[#This Row],[Home Differential]])-Table4[[#This Row],[Away Differential]]</f>
        <v>0.93301223483116025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0.64191504947727729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0.12822483179086078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-1.0071073873045386</v>
      </c>
      <c r="H105" t="s">
        <v>13</v>
      </c>
      <c r="I105">
        <f>VLOOKUP(Table4[[#This Row],[Visitor]],'NHL Model'!$A$6:$B$38,2,FALSE)</f>
        <v>9.3318671190422225E-2</v>
      </c>
      <c r="J105">
        <f>($B$1+Table4[[#This Row],[Home Differential]])-Table4[[#This Row],[Away Differential]]</f>
        <v>-1.0170121356236208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0.63740633925605561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0.13147416281169463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-3.2654449433805091E-2</v>
      </c>
      <c r="H106" t="s">
        <v>24</v>
      </c>
      <c r="I106">
        <f>VLOOKUP(Table4[[#This Row],[Visitor]],'NHL Model'!$A$6:$B$38,2,FALSE)</f>
        <v>-3.0305407970040489E-4</v>
      </c>
      <c r="J106">
        <f>($B$1+Table4[[#This Row],[Home Differential]])-Table4[[#This Row],[Away Differential]]</f>
        <v>5.1062527517235383E-2</v>
      </c>
      <c r="K106" t="str">
        <f>IF(Table4[[#This Row],[HomeIce Differential]]&gt;0,Table4[[#This Row],[Home]],Table4[[#This Row],[Visitor]])</f>
        <v>Toronto Maple Leafs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0.54200151713294542</v>
      </c>
      <c r="M106" t="str">
        <f>IF(OR((NHL2025_26Results[[#This Row],[Winning Team]]="")),"-",IF(Table4[[#This Row],[Predicted Winner]]=NHL2025_26Results[[#This Row],[Winning Team]],"YES","NO"))</f>
        <v>NO</v>
      </c>
      <c r="N106">
        <f>IF(Table4[[#This Row],[Adjusted Correct]]="-", "",IF(Table4[[#This Row],[Adjusted Correct]]="YES",(Table4[[#This Row],[Strength of Win]]-1)^2,(Table4[[#This Row],[Strength of Win]]-0)^2))</f>
        <v>0.29376564457441451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0.16351124183791613</v>
      </c>
      <c r="H107" t="s">
        <v>12</v>
      </c>
      <c r="I107">
        <f>VLOOKUP(Table4[[#This Row],[Visitor]],'NHL Model'!$A$6:$B$38,2,FALSE)</f>
        <v>1.7429147091761512</v>
      </c>
      <c r="J107">
        <f>($B$1+Table4[[#This Row],[Home Differential]])-Table4[[#This Row],[Away Differential]]</f>
        <v>-1.4959895444668949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0.64870445970910384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0.42081747604648034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0.95632113049608625</v>
      </c>
      <c r="H108" t="s">
        <v>32</v>
      </c>
      <c r="I108">
        <f>VLOOKUP(Table4[[#This Row],[Visitor]],'NHL Model'!$A$6:$B$38,2,FALSE)</f>
        <v>-0.51436416305402566</v>
      </c>
      <c r="J108">
        <f>($B$1+Table4[[#This Row],[Home Differential]])-Table4[[#This Row],[Away Differential]]</f>
        <v>1.554099216421452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0.73579552960709005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6.9804002175598026E-2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-0.32833039474346476</v>
      </c>
      <c r="H109" t="s">
        <v>26</v>
      </c>
      <c r="I109">
        <f>VLOOKUP(Table4[[#This Row],[Visitor]],'NHL Model'!$A$6:$B$38,2,FALSE)</f>
        <v>-0.46779379272887778</v>
      </c>
      <c r="J109">
        <f>($B$1+Table4[[#This Row],[Home Differential]])-Table4[[#This Row],[Away Differential]]</f>
        <v>0.2228773208567531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0.57364117156177596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0.18178185058721497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-0.64492670113602302</v>
      </c>
      <c r="H110" t="s">
        <v>18</v>
      </c>
      <c r="I110">
        <f>VLOOKUP(Table4[[#This Row],[Visitor]],'NHL Model'!$A$6:$B$38,2,FALSE)</f>
        <v>-0.23554590882174289</v>
      </c>
      <c r="J110">
        <f>($B$1+Table4[[#This Row],[Home Differential]])-Table4[[#This Row],[Away Differential]]</f>
        <v>-0.32596686944294007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0.56822927199378692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0.18642596156301525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-3.0305407970040489E-4</v>
      </c>
      <c r="H111" t="s">
        <v>34</v>
      </c>
      <c r="I111">
        <f>VLOOKUP(Table4[[#This Row],[Visitor]],'NHL Model'!$A$6:$B$38,2,FALSE)</f>
        <v>5.5764706436567675E-2</v>
      </c>
      <c r="J111">
        <f>($B$1+Table4[[#This Row],[Home Differential]])-Table4[[#This Row],[Away Differential]]</f>
        <v>2.7346162355071986E-2</v>
      </c>
      <c r="K111" t="str">
        <f>IF(Table4[[#This Row],[HomeIce Differential]]&gt;0,Table4[[#This Row],[Home]],Table4[[#This Row],[Visitor]])</f>
        <v>New Jersey Devils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0.56548708354015875</v>
      </c>
      <c r="M111" t="str">
        <f>IF(OR((NHL2025_26Results[[#This Row],[Winning Team]]="")),"-",IF(Table4[[#This Row],[Predicted Winner]]=NHL2025_26Results[[#This Row],[Winning Team]],"YES","NO"))</f>
        <v>YES</v>
      </c>
      <c r="N111">
        <f>IF(Table4[[#This Row],[Adjusted Correct]]="-", "",IF(Table4[[#This Row],[Adjusted Correct]]="YES",(Table4[[#This Row],[Strength of Win]]-1)^2,(Table4[[#This Row],[Strength of Win]]-0)^2))</f>
        <v>0.18880147457043697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0.2169753953839102</v>
      </c>
      <c r="H112" t="s">
        <v>31</v>
      </c>
      <c r="I112">
        <f>VLOOKUP(Table4[[#This Row],[Visitor]],'NHL Model'!$A$6:$B$38,2,FALSE)</f>
        <v>0.25846513585567971</v>
      </c>
      <c r="J112">
        <f>($B$1+Table4[[#This Row],[Home Differential]])-Table4[[#This Row],[Away Differential]]</f>
        <v>4.1924182399570575E-2</v>
      </c>
      <c r="K112" t="str">
        <f>IF(Table4[[#This Row],[HomeIce Differential]]&gt;0,Table4[[#This Row],[Home]],Table4[[#This Row],[Visitor]])</f>
        <v>Boston Bruins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0.58352684226291474</v>
      </c>
      <c r="M112" t="str">
        <f>IF(OR((NHL2025_26Results[[#This Row],[Winning Team]]="")),"-",IF(Table4[[#This Row],[Predicted Winner]]=NHL2025_26Results[[#This Row],[Winning Team]],"YES","NO"))</f>
        <v>NO</v>
      </c>
      <c r="N112">
        <f>IF(Table4[[#This Row],[Adjusted Correct]]="-", "",IF(Table4[[#This Row],[Adjusted Correct]]="YES",(Table4[[#This Row],[Strength of Win]]-1)^2,(Table4[[#This Row],[Strength of Win]]-0)^2))</f>
        <v>0.34050357564132855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1.7429147091761512</v>
      </c>
      <c r="H113" t="s">
        <v>25</v>
      </c>
      <c r="I113">
        <f>VLOOKUP(Table4[[#This Row],[Visitor]],'NHL Model'!$A$6:$B$38,2,FALSE)</f>
        <v>0.63414563871719487</v>
      </c>
      <c r="J113">
        <f>($B$1+Table4[[#This Row],[Home Differential]])-Table4[[#This Row],[Away Differential]]</f>
        <v>1.1921829933302963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0.7091722295915095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0.50292525122379261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0.85927171572006034</v>
      </c>
      <c r="H114" t="s">
        <v>13</v>
      </c>
      <c r="I114">
        <f>VLOOKUP(Table4[[#This Row],[Visitor]],'NHL Model'!$A$6:$B$38,2,FALSE)</f>
        <v>9.3318671190422225E-2</v>
      </c>
      <c r="J114">
        <f>($B$1+Table4[[#This Row],[Home Differential]])-Table4[[#This Row],[Away Differential]]</f>
        <v>0.84936696740097817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0.61001966589165668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0.37212399277456842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-0.17631503877657284</v>
      </c>
      <c r="H115" t="s">
        <v>18</v>
      </c>
      <c r="I115">
        <f>VLOOKUP(Table4[[#This Row],[Visitor]],'NHL Model'!$A$6:$B$38,2,FALSE)</f>
        <v>-0.23554590882174289</v>
      </c>
      <c r="J115">
        <f>($B$1+Table4[[#This Row],[Home Differential]])-Table4[[#This Row],[Away Differential]]</f>
        <v>0.14264479291651011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0.50221243136086902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0.24779246349165754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-0.2331185823245894</v>
      </c>
      <c r="H116" t="s">
        <v>14</v>
      </c>
      <c r="I116">
        <f>VLOOKUP(Table4[[#This Row],[Visitor]],'NHL Model'!$A$6:$B$38,2,FALSE)</f>
        <v>0.26772485952910668</v>
      </c>
      <c r="J116">
        <f>($B$1+Table4[[#This Row],[Home Differential]])-Table4[[#This Row],[Away Differential]]</f>
        <v>-0.41742951898235603</v>
      </c>
      <c r="K116" t="str">
        <f>IF(Table4[[#This Row],[HomeIce Differential]]&gt;0,Table4[[#This Row],[Home]],Table4[[#This Row],[Visitor]])</f>
        <v>Pittsburgh Penguins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0.55973559369883807</v>
      </c>
      <c r="M116" t="str">
        <f>IF(OR((NHL2025_26Results[[#This Row],[Winning Team]]="")),"-",IF(Table4[[#This Row],[Predicted Winner]]=NHL2025_26Results[[#This Row],[Winning Team]],"YES","NO"))</f>
        <v>YES</v>
      </c>
      <c r="N116">
        <f>IF(Table4[[#This Row],[Adjusted Correct]]="-", "",IF(Table4[[#This Row],[Adjusted Correct]]="YES",(Table4[[#This Row],[Strength of Win]]-1)^2,(Table4[[#This Row],[Strength of Win]]-0)^2))</f>
        <v>0.19383274745571458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-0.8717103858022891</v>
      </c>
      <c r="H117" t="s">
        <v>38</v>
      </c>
      <c r="I117">
        <f>VLOOKUP(Table4[[#This Row],[Visitor]],'NHL Model'!$A$6:$B$38,2,FALSE)</f>
        <v>-0.58187345243071342</v>
      </c>
      <c r="J117">
        <f>($B$1+Table4[[#This Row],[Home Differential]])-Table4[[#This Row],[Away Differential]]</f>
        <v>-0.20642301050023559</v>
      </c>
      <c r="K117" t="str">
        <f>IF(Table4[[#This Row],[HomeIce Differential]]&gt;0,Table4[[#This Row],[Home]],Table4[[#This Row],[Visitor]])</f>
        <v>Vancouver Canucks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0.48254805515191024</v>
      </c>
      <c r="M117" t="str">
        <f>IF(OR((NHL2025_26Results[[#This Row],[Winning Team]]="")),"-",IF(Table4[[#This Row],[Predicted Winner]]=NHL2025_26Results[[#This Row],[Winning Team]],"YES","NO"))</f>
        <v>NO</v>
      </c>
      <c r="N117">
        <f>IF(Table4[[#This Row],[Adjusted Correct]]="-", "",IF(Table4[[#This Row],[Adjusted Correct]]="YES",(Table4[[#This Row],[Strength of Win]]-1)^2,(Table4[[#This Row],[Strength of Win]]-0)^2))</f>
        <v>0.23285262553089101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0.42358825343066847</v>
      </c>
      <c r="H118" t="s">
        <v>26</v>
      </c>
      <c r="I118">
        <f>VLOOKUP(Table4[[#This Row],[Visitor]],'NHL Model'!$A$6:$B$38,2,FALSE)</f>
        <v>-0.46779379272887778</v>
      </c>
      <c r="J118">
        <f>($B$1+Table4[[#This Row],[Home Differential]])-Table4[[#This Row],[Away Differential]]</f>
        <v>0.97479596903088628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0.6456496887551233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0.125564143079341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0.21842521198061643</v>
      </c>
      <c r="H119" t="s">
        <v>33</v>
      </c>
      <c r="I119">
        <f>VLOOKUP(Table4[[#This Row],[Visitor]],'NHL Model'!$A$6:$B$38,2,FALSE)</f>
        <v>-0.38457853131220177</v>
      </c>
      <c r="J119">
        <f>($B$1+Table4[[#This Row],[Home Differential]])-Table4[[#This Row],[Away Differential]]</f>
        <v>0.68641766616415834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0.61497896361654547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0.37819912569088038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-0.1785578406462007</v>
      </c>
      <c r="H120" t="s">
        <v>27</v>
      </c>
      <c r="I120">
        <f>VLOOKUP(Table4[[#This Row],[Visitor]],'NHL Model'!$A$6:$B$38,2,FALSE)</f>
        <v>5.7297532801941484E-2</v>
      </c>
      <c r="J120">
        <f>($B$1+Table4[[#This Row],[Home Differential]])-Table4[[#This Row],[Away Differential]]</f>
        <v>-0.15244145057680211</v>
      </c>
      <c r="K120" t="str">
        <f>IF(Table4[[#This Row],[HomeIce Differential]]&gt;0,Table4[[#This Row],[Home]],Table4[[#This Row],[Visitor]])</f>
        <v>Philadelphia Flyers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0.51916408934065883</v>
      </c>
      <c r="M120" t="str">
        <f>IF(OR((NHL2025_26Results[[#This Row],[Winning Team]]="")),"-",IF(Table4[[#This Row],[Predicted Winner]]=NHL2025_26Results[[#This Row],[Winning Team]],"YES","NO"))</f>
        <v>NO</v>
      </c>
      <c r="N120">
        <f>IF(Table4[[#This Row],[Adjusted Correct]]="-", "",IF(Table4[[#This Row],[Adjusted Correct]]="YES",(Table4[[#This Row],[Strength of Win]]-1)^2,(Table4[[#This Row],[Strength of Win]]-0)^2))</f>
        <v>0.26953135166091557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-1.0071073873045386</v>
      </c>
      <c r="H121" t="s">
        <v>55</v>
      </c>
      <c r="I121">
        <f>VLOOKUP(Table4[[#This Row],[Visitor]],'NHL Model'!$A$6:$B$38,2,FALSE)</f>
        <v>0.16351124183791613</v>
      </c>
      <c r="J121">
        <f>($B$1+Table4[[#This Row],[Home Differential]])-Table4[[#This Row],[Away Differential]]</f>
        <v>-1.0872047062711148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0.57875784399719088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0.17744495399389498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0.67847982929669792</v>
      </c>
      <c r="H122" t="s">
        <v>10</v>
      </c>
      <c r="I122">
        <f>VLOOKUP(Table4[[#This Row],[Visitor]],'NHL Model'!$A$6:$B$38,2,FALSE)</f>
        <v>-8.0981007952892342E-2</v>
      </c>
      <c r="J122">
        <f>($B$1+Table4[[#This Row],[Home Differential]])-Table4[[#This Row],[Away Differential]]</f>
        <v>0.84287476012093032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0.63206912800711312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0.39951138257967234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-7.6933210940904648E-2</v>
      </c>
      <c r="H123" t="s">
        <v>32</v>
      </c>
      <c r="I123">
        <f>VLOOKUP(Table4[[#This Row],[Visitor]],'NHL Model'!$A$6:$B$38,2,FALSE)</f>
        <v>-0.51436416305402566</v>
      </c>
      <c r="J123">
        <f>($B$1+Table4[[#This Row],[Home Differential]])-Table4[[#This Row],[Away Differential]]</f>
        <v>0.52084487498446108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0.6159985021854788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0.37945415469475335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-0.32833039474346476</v>
      </c>
      <c r="H124" t="s">
        <v>19</v>
      </c>
      <c r="I124">
        <f>VLOOKUP(Table4[[#This Row],[Visitor]],'NHL Model'!$A$6:$B$38,2,FALSE)</f>
        <v>-3.2654449433805091E-2</v>
      </c>
      <c r="J124">
        <f>($B$1+Table4[[#This Row],[Home Differential]])-Table4[[#This Row],[Away Differential]]</f>
        <v>-0.2122620224383196</v>
      </c>
      <c r="K124" t="str">
        <f>IF(Table4[[#This Row],[HomeIce Differential]]&gt;0,Table4[[#This Row],[Home]],Table4[[#This Row],[Visitor]])</f>
        <v>Toronto Maple Leafs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0.47306361432380906</v>
      </c>
      <c r="M124" t="str">
        <f>IF(OR((NHL2025_26Results[[#This Row],[Winning Team]]="")),"-",IF(Table4[[#This Row],[Predicted Winner]]=NHL2025_26Results[[#This Row],[Winning Team]],"YES","NO"))</f>
        <v>NO</v>
      </c>
      <c r="N124">
        <f>IF(Table4[[#This Row],[Adjusted Correct]]="-", "",IF(Table4[[#This Row],[Adjusted Correct]]="YES",(Table4[[#This Row],[Strength of Win]]-1)^2,(Table4[[#This Row],[Strength of Win]]-0)^2))</f>
        <v>0.22378918319710556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-0.21858969522472316</v>
      </c>
      <c r="H125" t="s">
        <v>22</v>
      </c>
      <c r="I125">
        <f>VLOOKUP(Table4[[#This Row],[Visitor]],'NHL Model'!$A$6:$B$38,2,FALSE)</f>
        <v>0.95632113049608625</v>
      </c>
      <c r="J125">
        <f>($B$1+Table4[[#This Row],[Home Differential]])-Table4[[#This Row],[Away Differential]]</f>
        <v>-1.0914969028494692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0.63336550787704526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0.13442085081425695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-3.0305407970040489E-4</v>
      </c>
      <c r="H126" t="s">
        <v>33</v>
      </c>
      <c r="I126">
        <f>VLOOKUP(Table4[[#This Row],[Visitor]],'NHL Model'!$A$6:$B$38,2,FALSE)</f>
        <v>-0.38457853131220177</v>
      </c>
      <c r="J126">
        <f>($B$1+Table4[[#This Row],[Home Differential]])-Table4[[#This Row],[Away Differential]]</f>
        <v>0.46768940010384141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0.63398833180337877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0.13396454125607354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-7.6933210940904648E-2</v>
      </c>
      <c r="H127" t="s">
        <v>16</v>
      </c>
      <c r="I127">
        <f>VLOOKUP(Table4[[#This Row],[Visitor]],'NHL Model'!$A$6:$B$38,2,FALSE)</f>
        <v>-0.64492670113602302</v>
      </c>
      <c r="J127">
        <f>($B$1+Table4[[#This Row],[Home Differential]])-Table4[[#This Row],[Away Differential]]</f>
        <v>0.65140741306645844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0.63026014531485708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0.13670756014259061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0.2169753953839102</v>
      </c>
      <c r="H128" t="s">
        <v>12</v>
      </c>
      <c r="I128">
        <f>VLOOKUP(Table4[[#This Row],[Visitor]],'NHL Model'!$A$6:$B$38,2,FALSE)</f>
        <v>1.7429147091761512</v>
      </c>
      <c r="J128">
        <f>($B$1+Table4[[#This Row],[Home Differential]])-Table4[[#This Row],[Away Differential]]</f>
        <v>-1.4425253909209008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0.62358974838841585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0.38886417429512782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0.85927171572006034</v>
      </c>
      <c r="H129" t="s">
        <v>25</v>
      </c>
      <c r="I129">
        <f>VLOOKUP(Table4[[#This Row],[Visitor]],'NHL Model'!$A$6:$B$38,2,FALSE)</f>
        <v>0.63414563871719487</v>
      </c>
      <c r="J129">
        <f>($B$1+Table4[[#This Row],[Home Differential]])-Table4[[#This Row],[Away Differential]]</f>
        <v>0.30853999987420555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0.54461955683583163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0.20737134801639437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-0.46779379272887778</v>
      </c>
      <c r="H130" t="s">
        <v>35</v>
      </c>
      <c r="I130">
        <f>VLOOKUP(Table4[[#This Row],[Visitor]],'NHL Model'!$A$6:$B$38,2,FALSE)</f>
        <v>-1.0071073873045386</v>
      </c>
      <c r="J130">
        <f>($B$1+Table4[[#This Row],[Home Differential]])-Table4[[#This Row],[Away Differential]]</f>
        <v>0.62272751744700094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0.61814419313417235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0.14581385723715226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-0.2331185823245894</v>
      </c>
      <c r="H131" t="s">
        <v>20</v>
      </c>
      <c r="I131">
        <f>VLOOKUP(Table4[[#This Row],[Visitor]],'NHL Model'!$A$6:$B$38,2,FALSE)</f>
        <v>0.18369921819729701</v>
      </c>
      <c r="J131">
        <f>($B$1+Table4[[#This Row],[Home Differential]])-Table4[[#This Row],[Away Differential]]</f>
        <v>-0.33340387765054635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0.51718769498456907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0.26748311184345164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5.5764706436567675E-2</v>
      </c>
      <c r="H132" t="s">
        <v>55</v>
      </c>
      <c r="I132">
        <f>VLOOKUP(Table4[[#This Row],[Visitor]],'NHL Model'!$A$6:$B$38,2,FALSE)</f>
        <v>0.16351124183791613</v>
      </c>
      <c r="J132">
        <f>($B$1+Table4[[#This Row],[Home Differential]])-Table4[[#This Row],[Away Differential]]</f>
        <v>-2.4332612530008374E-2</v>
      </c>
      <c r="K132" t="str">
        <f>IF(Table4[[#This Row],[HomeIce Differential]]&gt;0,Table4[[#This Row],[Home]],Table4[[#This Row],[Visitor]])</f>
        <v>Utah Mammoth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0.46265790663544298</v>
      </c>
      <c r="M132" t="str">
        <f>IF(OR((NHL2025_26Results[[#This Row],[Winning Team]]="")),"-",IF(Table4[[#This Row],[Predicted Winner]]=NHL2025_26Results[[#This Row],[Winning Team]],"YES","NO"))</f>
        <v>YES</v>
      </c>
      <c r="N132">
        <f>IF(Table4[[#This Row],[Adjusted Correct]]="-", "",IF(Table4[[#This Row],[Adjusted Correct]]="YES",(Table4[[#This Row],[Strength of Win]]-1)^2,(Table4[[#This Row],[Strength of Win]]-0)^2))</f>
        <v>0.28873652530140426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-0.8717103858022891</v>
      </c>
      <c r="H133" t="s">
        <v>13</v>
      </c>
      <c r="I133">
        <f>VLOOKUP(Table4[[#This Row],[Visitor]],'NHL Model'!$A$6:$B$38,2,FALSE)</f>
        <v>9.3318671190422225E-2</v>
      </c>
      <c r="J133">
        <f>($B$1+Table4[[#This Row],[Home Differential]])-Table4[[#This Row],[Away Differential]]</f>
        <v>-0.88161513412137127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0.62261661668647561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0.38765145137411372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5.7297532801941484E-2</v>
      </c>
      <c r="H134" t="s">
        <v>30</v>
      </c>
      <c r="I134">
        <f>VLOOKUP(Table4[[#This Row],[Visitor]],'NHL Model'!$A$6:$B$38,2,FALSE)</f>
        <v>0.42358825343066847</v>
      </c>
      <c r="J134">
        <f>($B$1+Table4[[#This Row],[Home Differential]])-Table4[[#This Row],[Away Differential]]</f>
        <v>-0.28287679775738694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0.5481406556147278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0.30045817833774363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0.26772485952910668</v>
      </c>
      <c r="H135" t="s">
        <v>28</v>
      </c>
      <c r="I135">
        <f>VLOOKUP(Table4[[#This Row],[Visitor]],'NHL Model'!$A$6:$B$38,2,FALSE)</f>
        <v>-0.21858969522472316</v>
      </c>
      <c r="J135">
        <f>($B$1+Table4[[#This Row],[Home Differential]])-Table4[[#This Row],[Away Differential]]</f>
        <v>0.56972847762516987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0.60223273802651733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0.36268427075091586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-0.51436416305402566</v>
      </c>
      <c r="H136" t="s">
        <v>17</v>
      </c>
      <c r="I136">
        <f>VLOOKUP(Table4[[#This Row],[Visitor]],'NHL Model'!$A$6:$B$38,2,FALSE)</f>
        <v>-0.17631503877657284</v>
      </c>
      <c r="J136">
        <f>($B$1+Table4[[#This Row],[Home Differential]])-Table4[[#This Row],[Away Differential]]</f>
        <v>-0.25463520140611273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0.48781438247126163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0.23796287174581832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0.67847982929669792</v>
      </c>
      <c r="H137" t="s">
        <v>31</v>
      </c>
      <c r="I137">
        <f>VLOOKUP(Table4[[#This Row],[Visitor]],'NHL Model'!$A$6:$B$38,2,FALSE)</f>
        <v>0.25846513585567971</v>
      </c>
      <c r="J137">
        <f>($B$1+Table4[[#This Row],[Home Differential]])-Table4[[#This Row],[Away Differential]]</f>
        <v>0.50342861631235825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0.57422142254094355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0.18128739702305774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-3.2654449433805091E-2</v>
      </c>
      <c r="H138" t="s">
        <v>23</v>
      </c>
      <c r="I138">
        <f>VLOOKUP(Table4[[#This Row],[Visitor]],'NHL Model'!$A$6:$B$38,2,FALSE)</f>
        <v>-0.32833039474346476</v>
      </c>
      <c r="J138">
        <f>($B$1+Table4[[#This Row],[Home Differential]])-Table4[[#This Row],[Away Differential]]</f>
        <v>0.37908986818099977</v>
      </c>
      <c r="K138" t="str">
        <f>IF(Table4[[#This Row],[HomeIce Differential]]&gt;0,Table4[[#This Row],[Home]],Table4[[#This Row],[Visitor]])</f>
        <v>Toronto Maple Leafs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0.58140884891932054</v>
      </c>
      <c r="M138" t="str">
        <f>IF(OR((NHL2025_26Results[[#This Row],[Winning Team]]="")),"-",IF(Table4[[#This Row],[Predicted Winner]]=NHL2025_26Results[[#This Row],[Winning Team]],"YES","NO"))</f>
        <v>YES</v>
      </c>
      <c r="N138">
        <f>IF(Table4[[#This Row],[Adjusted Correct]]="-", "",IF(Table4[[#This Row],[Adjusted Correct]]="YES",(Table4[[#This Row],[Strength of Win]]-1)^2,(Table4[[#This Row],[Strength of Win]]-0)^2))</f>
        <v>0.17521855176304821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-0.58187345243071342</v>
      </c>
      <c r="H139" t="s">
        <v>18</v>
      </c>
      <c r="I139">
        <f>VLOOKUP(Table4[[#This Row],[Visitor]],'NHL Model'!$A$6:$B$38,2,FALSE)</f>
        <v>-0.23554590882174289</v>
      </c>
      <c r="J139">
        <f>($B$1+Table4[[#This Row],[Home Differential]])-Table4[[#This Row],[Away Differential]]</f>
        <v>-0.26291362073763047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0.561341822160219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0.19242099698571694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0.95632113049608625</v>
      </c>
      <c r="H140" t="s">
        <v>36</v>
      </c>
      <c r="I140">
        <f>VLOOKUP(Table4[[#This Row],[Visitor]],'NHL Model'!$A$6:$B$38,2,FALSE)</f>
        <v>-0.1785578406462007</v>
      </c>
      <c r="J140">
        <f>($B$1+Table4[[#This Row],[Home Differential]])-Table4[[#This Row],[Away Differential]]</f>
        <v>1.2182928940136271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0.69557690503510139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0.48382723081821044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-0.64492670113602302</v>
      </c>
      <c r="H141" t="s">
        <v>15</v>
      </c>
      <c r="I141">
        <f>VLOOKUP(Table4[[#This Row],[Visitor]],'NHL Model'!$A$6:$B$38,2,FALSE)</f>
        <v>0.21842521198061643</v>
      </c>
      <c r="J141">
        <f>($B$1+Table4[[#This Row],[Home Differential]])-Table4[[#This Row],[Away Differential]]</f>
        <v>-0.77993799024529942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0.65176663938149804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0.42479975221065169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-8.0981007952892342E-2</v>
      </c>
      <c r="H142" t="s">
        <v>13</v>
      </c>
      <c r="I142">
        <f>VLOOKUP(Table4[[#This Row],[Visitor]],'NHL Model'!$A$6:$B$38,2,FALSE)</f>
        <v>9.3318671190422225E-2</v>
      </c>
      <c r="J142">
        <f>($B$1+Table4[[#This Row],[Home Differential]])-Table4[[#This Row],[Away Differential]]</f>
        <v>-9.0885756271974497E-2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0.53624344744155017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0.21507014004089825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5.5764706436567675E-2</v>
      </c>
      <c r="H143" t="s">
        <v>33</v>
      </c>
      <c r="I143">
        <f>VLOOKUP(Table4[[#This Row],[Visitor]],'NHL Model'!$A$6:$B$38,2,FALSE)</f>
        <v>-0.38457853131220177</v>
      </c>
      <c r="J143">
        <f>($B$1+Table4[[#This Row],[Home Differential]])-Table4[[#This Row],[Away Differential]]</f>
        <v>0.52375716062010946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0.5972111864624543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0.35666120123589234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-3.0305407970040489E-4</v>
      </c>
      <c r="H144" t="s">
        <v>12</v>
      </c>
      <c r="I144">
        <f>VLOOKUP(Table4[[#This Row],[Visitor]],'NHL Model'!$A$6:$B$38,2,FALSE)</f>
        <v>1.7429147091761512</v>
      </c>
      <c r="J144">
        <f>($B$1+Table4[[#This Row],[Home Differential]])-Table4[[#This Row],[Away Differential]]</f>
        <v>-1.6598038403845115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0.6640627710537429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0.44097936389957576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-0.8717103858022891</v>
      </c>
      <c r="H145" t="s">
        <v>39</v>
      </c>
      <c r="I145">
        <f>VLOOKUP(Table4[[#This Row],[Visitor]],'NHL Model'!$A$6:$B$38,2,FALSE)</f>
        <v>0.85927171572006034</v>
      </c>
      <c r="J145">
        <f>($B$1+Table4[[#This Row],[Home Differential]])-Table4[[#This Row],[Away Differential]]</f>
        <v>-1.6475681786510092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0.73245380903602797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7.1580964299330183E-2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0.67847982929669792</v>
      </c>
      <c r="H146" t="s">
        <v>20</v>
      </c>
      <c r="I146">
        <f>VLOOKUP(Table4[[#This Row],[Visitor]],'NHL Model'!$A$6:$B$38,2,FALSE)</f>
        <v>0.18369921819729701</v>
      </c>
      <c r="J146">
        <f>($B$1+Table4[[#This Row],[Home Differential]])-Table4[[#This Row],[Away Differential]]</f>
        <v>0.57819453397074105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0.58238827385640024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0.17439955381263697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-0.58187345243071342</v>
      </c>
      <c r="H147" t="s">
        <v>17</v>
      </c>
      <c r="I147">
        <f>VLOOKUP(Table4[[#This Row],[Visitor]],'NHL Model'!$A$6:$B$38,2,FALSE)</f>
        <v>-0.17631503877657284</v>
      </c>
      <c r="J147">
        <f>($B$1+Table4[[#This Row],[Home Differential]])-Table4[[#This Row],[Away Differential]]</f>
        <v>-0.3221444907828005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0.49518857576707193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0.24521172557022114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-7.6933210940904648E-2</v>
      </c>
      <c r="H148" t="s">
        <v>55</v>
      </c>
      <c r="I148">
        <f>VLOOKUP(Table4[[#This Row],[Visitor]],'NHL Model'!$A$6:$B$38,2,FALSE)</f>
        <v>0.16351124183791613</v>
      </c>
      <c r="J148">
        <f>($B$1+Table4[[#This Row],[Home Differential]])-Table4[[#This Row],[Away Differential]]</f>
        <v>-0.1570305299074807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0.45804737079441121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0.29371265230285037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-0.1785578406462007</v>
      </c>
      <c r="H149" t="s">
        <v>21</v>
      </c>
      <c r="I149">
        <f>VLOOKUP(Table4[[#This Row],[Visitor]],'NHL Model'!$A$6:$B$38,2,FALSE)</f>
        <v>0.2169753953839102</v>
      </c>
      <c r="J149">
        <f>($B$1+Table4[[#This Row],[Home Differential]])-Table4[[#This Row],[Away Differential]]</f>
        <v>-0.31211931315877084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0.49409350280293618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0.24412838951207511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0.26772485952910668</v>
      </c>
      <c r="H150" t="s">
        <v>35</v>
      </c>
      <c r="I150">
        <f>VLOOKUP(Table4[[#This Row],[Visitor]],'NHL Model'!$A$6:$B$38,2,FALSE)</f>
        <v>-1.0071073873045386</v>
      </c>
      <c r="J150">
        <f>($B$1+Table4[[#This Row],[Home Differential]])-Table4[[#This Row],[Away Differential]]</f>
        <v>1.3582461697049855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0.68836431980214674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9.7116797172378672E-2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0.2169753953839102</v>
      </c>
      <c r="H151" t="s">
        <v>30</v>
      </c>
      <c r="I151">
        <f>VLOOKUP(Table4[[#This Row],[Visitor]],'NHL Model'!$A$6:$B$38,2,FALSE)</f>
        <v>0.42358825343066847</v>
      </c>
      <c r="J151">
        <f>($B$1+Table4[[#This Row],[Home Differential]])-Table4[[#This Row],[Away Differential]]</f>
        <v>-0.12319893517541819</v>
      </c>
      <c r="K151" t="str">
        <f>IF(Table4[[#This Row],[HomeIce Differential]]&gt;0,Table4[[#This Row],[Home]],Table4[[#This Row],[Visitor]])</f>
        <v>New York Islanders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0.49667877653810244</v>
      </c>
      <c r="M151" t="str">
        <f>IF(OR((NHL2025_26Results[[#This Row],[Winning Team]]="")),"-",IF(Table4[[#This Row],[Predicted Winner]]=NHL2025_26Results[[#This Row],[Winning Team]],"YES","NO"))</f>
        <v>NO</v>
      </c>
      <c r="N151">
        <f>IF(Table4[[#This Row],[Adjusted Correct]]="-", "",IF(Table4[[#This Row],[Adjusted Correct]]="YES",(Table4[[#This Row],[Strength of Win]]-1)^2,(Table4[[#This Row],[Strength of Win]]-0)^2))</f>
        <v>0.24668980706338631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-0.32833039474346476</v>
      </c>
      <c r="H152" t="s">
        <v>28</v>
      </c>
      <c r="I152">
        <f>VLOOKUP(Table4[[#This Row],[Visitor]],'NHL Model'!$A$6:$B$38,2,FALSE)</f>
        <v>-0.21858969522472316</v>
      </c>
      <c r="J152">
        <f>($B$1+Table4[[#This Row],[Home Differential]])-Table4[[#This Row],[Away Differential]]</f>
        <v>-2.6326776647401517E-2</v>
      </c>
      <c r="K152" t="str">
        <f>IF(Table4[[#This Row],[HomeIce Differential]]&gt;0,Table4[[#This Row],[Home]],Table4[[#This Row],[Visitor]])</f>
        <v>Columbus Blue Jackets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0.45275348433094753</v>
      </c>
      <c r="M152" t="str">
        <f>IF(OR((NHL2025_26Results[[#This Row],[Winning Team]]="")),"-",IF(Table4[[#This Row],[Predicted Winner]]=NHL2025_26Results[[#This Row],[Winning Team]],"YES","NO"))</f>
        <v>YES</v>
      </c>
      <c r="N152">
        <f>IF(Table4[[#This Row],[Adjusted Correct]]="-", "",IF(Table4[[#This Row],[Adjusted Correct]]="YES",(Table4[[#This Row],[Strength of Win]]-1)^2,(Table4[[#This Row],[Strength of Win]]-0)^2))</f>
        <v>0.2994787489119185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0.63414563871719487</v>
      </c>
      <c r="H153" t="s">
        <v>20</v>
      </c>
      <c r="I153">
        <f>VLOOKUP(Table4[[#This Row],[Visitor]],'NHL Model'!$A$6:$B$38,2,FALSE)</f>
        <v>0.18369921819729701</v>
      </c>
      <c r="J153">
        <f>($B$1+Table4[[#This Row],[Home Differential]])-Table4[[#This Row],[Away Differential]]</f>
        <v>0.53386034339123789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0.62081478010630819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0.3854109911984438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-8.0981007952892342E-2</v>
      </c>
      <c r="H154" t="s">
        <v>36</v>
      </c>
      <c r="I154">
        <f>VLOOKUP(Table4[[#This Row],[Visitor]],'NHL Model'!$A$6:$B$38,2,FALSE)</f>
        <v>-0.1785578406462007</v>
      </c>
      <c r="J154">
        <f>($B$1+Table4[[#This Row],[Home Differential]])-Table4[[#This Row],[Away Differential]]</f>
        <v>0.18099075556464844</v>
      </c>
      <c r="K154" t="str">
        <f>IF(Table4[[#This Row],[HomeIce Differential]]&gt;0,Table4[[#This Row],[Home]],Table4[[#This Row],[Visitor]])</f>
        <v>Chicago Blackhawks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0.55619387313387536</v>
      </c>
      <c r="M154" t="str">
        <f>IF(OR((NHL2025_26Results[[#This Row],[Winning Team]]="")),"-",IF(Table4[[#This Row],[Predicted Winner]]=NHL2025_26Results[[#This Row],[Winning Team]],"YES","NO"))</f>
        <v>YES</v>
      </c>
      <c r="N154">
        <f>IF(Table4[[#This Row],[Adjusted Correct]]="-", "",IF(Table4[[#This Row],[Adjusted Correct]]="YES",(Table4[[#This Row],[Strength of Win]]-1)^2,(Table4[[#This Row],[Strength of Win]]-0)^2))</f>
        <v>0.19696387824391071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1.7429147091761512</v>
      </c>
      <c r="H155" t="s">
        <v>24</v>
      </c>
      <c r="I155">
        <f>VLOOKUP(Table4[[#This Row],[Visitor]],'NHL Model'!$A$6:$B$38,2,FALSE)</f>
        <v>-3.0305407970040489E-4</v>
      </c>
      <c r="J155">
        <f>($B$1+Table4[[#This Row],[Home Differential]])-Table4[[#This Row],[Away Differential]]</f>
        <v>1.8266316861271916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0.84405838557084611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2.4317787110770896E-2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0.85927171572006034</v>
      </c>
      <c r="H156" t="s">
        <v>22</v>
      </c>
      <c r="I156">
        <f>VLOOKUP(Table4[[#This Row],[Visitor]],'NHL Model'!$A$6:$B$38,2,FALSE)</f>
        <v>0.95632113049608625</v>
      </c>
      <c r="J156">
        <f>($B$1+Table4[[#This Row],[Home Differential]])-Table4[[#This Row],[Away Differential]]</f>
        <v>-1.3635491904685826E-2</v>
      </c>
      <c r="K156" t="str">
        <f>IF(Table4[[#This Row],[HomeIce Differential]]&gt;0,Table4[[#This Row],[Home]],Table4[[#This Row],[Visitor]])</f>
        <v>Washington Capitals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0.47207767110238924</v>
      </c>
      <c r="M156" t="str">
        <f>IF(OR((NHL2025_26Results[[#This Row],[Winning Team]]="")),"-",IF(Table4[[#This Row],[Predicted Winner]]=NHL2025_26Results[[#This Row],[Winning Team]],"YES","NO"))</f>
        <v>NO</v>
      </c>
      <c r="N156">
        <f>IF(Table4[[#This Row],[Adjusted Correct]]="-", "",IF(Table4[[#This Row],[Adjusted Correct]]="YES",(Table4[[#This Row],[Strength of Win]]-1)^2,(Table4[[#This Row],[Strength of Win]]-0)^2))</f>
        <v>0.22285732755345558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-0.17631503877657284</v>
      </c>
      <c r="H157" t="s">
        <v>55</v>
      </c>
      <c r="I157">
        <f>VLOOKUP(Table4[[#This Row],[Visitor]],'NHL Model'!$A$6:$B$38,2,FALSE)</f>
        <v>0.16351124183791613</v>
      </c>
      <c r="J157">
        <f>($B$1+Table4[[#This Row],[Home Differential]])-Table4[[#This Row],[Away Differential]]</f>
        <v>-0.25641235774314891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0.46890307399196601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0.21987009279911515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-0.2331185823245894</v>
      </c>
      <c r="H158" t="s">
        <v>31</v>
      </c>
      <c r="I158">
        <f>VLOOKUP(Table4[[#This Row],[Visitor]],'NHL Model'!$A$6:$B$38,2,FALSE)</f>
        <v>0.25846513585567971</v>
      </c>
      <c r="J158">
        <f>($B$1+Table4[[#This Row],[Home Differential]])-Table4[[#This Row],[Away Differential]]</f>
        <v>-0.40816979530892905</v>
      </c>
      <c r="K158" t="str">
        <f>IF(Table4[[#This Row],[HomeIce Differential]]&gt;0,Table4[[#This Row],[Home]],Table4[[#This Row],[Visitor]])</f>
        <v>Anaheim Ducks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0.52535454630002587</v>
      </c>
      <c r="M158" t="str">
        <f>IF(OR((NHL2025_26Results[[#This Row],[Winning Team]]="")),"-",IF(Table4[[#This Row],[Predicted Winner]]=NHL2025_26Results[[#This Row],[Winning Team]],"YES","NO"))</f>
        <v>YES</v>
      </c>
      <c r="N158">
        <f>IF(Table4[[#This Row],[Adjusted Correct]]="-", "",IF(Table4[[#This Row],[Adjusted Correct]]="YES",(Table4[[#This Row],[Strength of Win]]-1)^2,(Table4[[#This Row],[Strength of Win]]-0)^2))</f>
        <v>0.22528830671805428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5.5764706436567675E-2</v>
      </c>
      <c r="H159" t="s">
        <v>40</v>
      </c>
      <c r="I159">
        <f>VLOOKUP(Table4[[#This Row],[Visitor]],'NHL Model'!$A$6:$B$38,2,FALSE)</f>
        <v>-7.6933210940904648E-2</v>
      </c>
      <c r="J159">
        <f>($B$1+Table4[[#This Row],[Home Differential]])-Table4[[#This Row],[Away Differential]]</f>
        <v>0.21611184024881241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0.56360638807225172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0.31765216067584962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-0.8717103858022891</v>
      </c>
      <c r="H160" t="s">
        <v>37</v>
      </c>
      <c r="I160">
        <f>VLOOKUP(Table4[[#This Row],[Visitor]],'NHL Model'!$A$6:$B$38,2,FALSE)</f>
        <v>0.67847982929669792</v>
      </c>
      <c r="J160">
        <f>($B$1+Table4[[#This Row],[Home Differential]])-Table4[[#This Row],[Away Differential]]</f>
        <v>-1.4667762922276468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0.6928424811531364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9.4345741384161366E-2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5.7297532801941484E-2</v>
      </c>
      <c r="H161" t="s">
        <v>14</v>
      </c>
      <c r="I161">
        <f>VLOOKUP(Table4[[#This Row],[Visitor]],'NHL Model'!$A$6:$B$38,2,FALSE)</f>
        <v>0.26772485952910668</v>
      </c>
      <c r="J161">
        <f>($B$1+Table4[[#This Row],[Home Differential]])-Table4[[#This Row],[Away Differential]]</f>
        <v>-0.12701340385582513</v>
      </c>
      <c r="K161" t="str">
        <f>IF(Table4[[#This Row],[HomeIce Differential]]&gt;0,Table4[[#This Row],[Home]],Table4[[#This Row],[Visitor]])</f>
        <v>Pittsburgh Penguins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0.50167884117058925</v>
      </c>
      <c r="M161" t="str">
        <f>IF(OR((NHL2025_26Results[[#This Row],[Winning Team]]="")),"-",IF(Table4[[#This Row],[Predicted Winner]]=NHL2025_26Results[[#This Row],[Winning Team]],"YES","NO"))</f>
        <v>NO</v>
      </c>
      <c r="N161">
        <f>IF(Table4[[#This Row],[Adjusted Correct]]="-", "",IF(Table4[[#This Row],[Adjusted Correct]]="YES",(Table4[[#This Row],[Strength of Win]]-1)^2,(Table4[[#This Row],[Strength of Win]]-0)^2))</f>
        <v>0.25168165967826533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-0.51436416305402566</v>
      </c>
      <c r="H162" t="s">
        <v>18</v>
      </c>
      <c r="I162">
        <f>VLOOKUP(Table4[[#This Row],[Visitor]],'NHL Model'!$A$6:$B$38,2,FALSE)</f>
        <v>-0.23554590882174289</v>
      </c>
      <c r="J162">
        <f>($B$1+Table4[[#This Row],[Home Differential]])-Table4[[#This Row],[Away Differential]]</f>
        <v>-0.19540433136094268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0.55396762886440865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0.19894487610083791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-0.38457853131220177</v>
      </c>
      <c r="H163" t="s">
        <v>13</v>
      </c>
      <c r="I163">
        <f>VLOOKUP(Table4[[#This Row],[Visitor]],'NHL Model'!$A$6:$B$38,2,FALSE)</f>
        <v>9.3318671190422225E-2</v>
      </c>
      <c r="J163">
        <f>($B$1+Table4[[#This Row],[Home Differential]])-Table4[[#This Row],[Away Differential]]</f>
        <v>-0.39448327963128393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0.56940609575338286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0.18541111037434491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-1.0071073873045386</v>
      </c>
      <c r="H164" t="s">
        <v>26</v>
      </c>
      <c r="I164">
        <f>VLOOKUP(Table4[[#This Row],[Visitor]],'NHL Model'!$A$6:$B$38,2,FALSE)</f>
        <v>-0.46779379272887778</v>
      </c>
      <c r="J164">
        <f>($B$1+Table4[[#This Row],[Home Differential]])-Table4[[#This Row],[Away Differential]]</f>
        <v>-0.45589967170432077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0.51062845162621839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0.23948451235775248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-3.2654449433805091E-2</v>
      </c>
      <c r="H165" t="s">
        <v>16</v>
      </c>
      <c r="I165">
        <f>VLOOKUP(Table4[[#This Row],[Visitor]],'NHL Model'!$A$6:$B$38,2,FALSE)</f>
        <v>-0.64492670113602302</v>
      </c>
      <c r="J165">
        <f>($B$1+Table4[[#This Row],[Home Differential]])-Table4[[#This Row],[Away Differential]]</f>
        <v>0.69568617457355797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0.61599138388056862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0.14746261725396081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-0.58187345243071342</v>
      </c>
      <c r="H166" t="s">
        <v>15</v>
      </c>
      <c r="I166">
        <f>VLOOKUP(Table4[[#This Row],[Visitor]],'NHL Model'!$A$6:$B$38,2,FALSE)</f>
        <v>0.21842521198061643</v>
      </c>
      <c r="J166">
        <f>($B$1+Table4[[#This Row],[Home Differential]])-Table4[[#This Row],[Away Differential]]</f>
        <v>-0.71688474153998971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0.64487918954793022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0.12611079001613487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-0.21858969522472316</v>
      </c>
      <c r="H167" t="s">
        <v>19</v>
      </c>
      <c r="I167">
        <f>VLOOKUP(Table4[[#This Row],[Visitor]],'NHL Model'!$A$6:$B$38,2,FALSE)</f>
        <v>-3.2654449433805091E-2</v>
      </c>
      <c r="J167">
        <f>($B$1+Table4[[#This Row],[Home Differential]])-Table4[[#This Row],[Away Differential]]</f>
        <v>-0.10252132291957798</v>
      </c>
      <c r="K167" t="str">
        <f>IF(Table4[[#This Row],[HomeIce Differential]]&gt;0,Table4[[#This Row],[Home]],Table4[[#This Row],[Visitor]])</f>
        <v>Toronto Maple Leafs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0.47119863738948237</v>
      </c>
      <c r="M167" t="str">
        <f>IF(OR((NHL2025_26Results[[#This Row],[Winning Team]]="")),"-",IF(Table4[[#This Row],[Predicted Winner]]=NHL2025_26Results[[#This Row],[Winning Team]],"YES","NO"))</f>
        <v>NO</v>
      </c>
      <c r="N167">
        <f>IF(Table4[[#This Row],[Adjusted Correct]]="-", "",IF(Table4[[#This Row],[Adjusted Correct]]="YES",(Table4[[#This Row],[Strength of Win]]-1)^2,(Table4[[#This Row],[Strength of Win]]-0)^2))</f>
        <v>0.22202815587770489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0.2169753953839102</v>
      </c>
      <c r="H168" t="s">
        <v>23</v>
      </c>
      <c r="I168">
        <f>VLOOKUP(Table4[[#This Row],[Visitor]],'NHL Model'!$A$6:$B$38,2,FALSE)</f>
        <v>-0.32833039474346476</v>
      </c>
      <c r="J168">
        <f>($B$1+Table4[[#This Row],[Home Differential]])-Table4[[#This Row],[Away Differential]]</f>
        <v>0.62871971299871499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0.66780502520576779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0.11035350127854057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0.63414563871719487</v>
      </c>
      <c r="H169" t="s">
        <v>30</v>
      </c>
      <c r="I169">
        <f>VLOOKUP(Table4[[#This Row],[Visitor]],'NHL Model'!$A$6:$B$38,2,FALSE)</f>
        <v>0.42358825343066847</v>
      </c>
      <c r="J169">
        <f>($B$1+Table4[[#This Row],[Home Differential]])-Table4[[#This Row],[Away Differential]]</f>
        <v>0.29397130815786648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0.53211115492095395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0.21891997134940355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-0.17631503877657284</v>
      </c>
      <c r="H170" t="s">
        <v>15</v>
      </c>
      <c r="I170">
        <f>VLOOKUP(Table4[[#This Row],[Visitor]],'NHL Model'!$A$6:$B$38,2,FALSE)</f>
        <v>0.21842521198061643</v>
      </c>
      <c r="J170">
        <f>($B$1+Table4[[#This Row],[Home Differential]])-Table4[[#This Row],[Away Differential]]</f>
        <v>-0.31132632788584919</v>
      </c>
      <c r="K170" t="str">
        <f>IF(Table4[[#This Row],[HomeIce Differential]]&gt;0,Table4[[#This Row],[Home]],Table4[[#This Row],[Visitor]])</f>
        <v>New York Rangers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0.58153540032740536</v>
      </c>
      <c r="M170" t="str">
        <f>IF(OR((NHL2025_26Results[[#This Row],[Winning Team]]="")),"-",IF(Table4[[#This Row],[Predicted Winner]]=NHL2025_26Results[[#This Row],[Winning Team]],"YES","NO"))</f>
        <v>YES</v>
      </c>
      <c r="N170">
        <f>IF(Table4[[#This Row],[Adjusted Correct]]="-", "",IF(Table4[[#This Row],[Adjusted Correct]]="YES",(Table4[[#This Row],[Strength of Win]]-1)^2,(Table4[[#This Row],[Strength of Win]]-0)^2))</f>
        <v>0.17511262117914489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9.3318671190422225E-2</v>
      </c>
      <c r="H171" t="s">
        <v>26</v>
      </c>
      <c r="I171">
        <f>VLOOKUP(Table4[[#This Row],[Visitor]],'NHL Model'!$A$6:$B$38,2,FALSE)</f>
        <v>-0.46779379272887778</v>
      </c>
      <c r="J171">
        <f>($B$1+Table4[[#This Row],[Home Differential]])-Table4[[#This Row],[Away Differential]]</f>
        <v>0.64452638679064012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0.60957359075953221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0.37157996255146963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5.5764706436567675E-2</v>
      </c>
      <c r="H172" t="s">
        <v>14</v>
      </c>
      <c r="I172">
        <f>VLOOKUP(Table4[[#This Row],[Visitor]],'NHL Model'!$A$6:$B$38,2,FALSE)</f>
        <v>0.26772485952910668</v>
      </c>
      <c r="J172">
        <f>($B$1+Table4[[#This Row],[Home Differential]])-Table4[[#This Row],[Away Differential]]</f>
        <v>-0.12854623022119893</v>
      </c>
      <c r="K172" t="str">
        <f>IF(Table4[[#This Row],[HomeIce Differential]]&gt;0,Table4[[#This Row],[Home]],Table4[[#This Row],[Visitor]])</f>
        <v>Pittsburgh Penguins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0.52818021471436027</v>
      </c>
      <c r="M172" t="str">
        <f>IF(OR((NHL2025_26Results[[#This Row],[Winning Team]]="")),"-",IF(Table4[[#This Row],[Predicted Winner]]=NHL2025_26Results[[#This Row],[Winning Team]],"YES","NO"))</f>
        <v>YES</v>
      </c>
      <c r="N172">
        <f>IF(Table4[[#This Row],[Adjusted Correct]]="-", "",IF(Table4[[#This Row],[Adjusted Correct]]="YES",(Table4[[#This Row],[Strength of Win]]-1)^2,(Table4[[#This Row],[Strength of Win]]-0)^2))</f>
        <v>0.22261390978698717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-0.1785578406462007</v>
      </c>
      <c r="H173" t="s">
        <v>16</v>
      </c>
      <c r="I173">
        <f>VLOOKUP(Table4[[#This Row],[Visitor]],'NHL Model'!$A$6:$B$38,2,FALSE)</f>
        <v>-0.64492670113602302</v>
      </c>
      <c r="J173">
        <f>($B$1+Table4[[#This Row],[Home Differential]])-Table4[[#This Row],[Away Differential]]</f>
        <v>0.54978278336116237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0.60005402445568956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0.15995678335409017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5.7297532801941484E-2</v>
      </c>
      <c r="H174" t="s">
        <v>29</v>
      </c>
      <c r="I174">
        <f>VLOOKUP(Table4[[#This Row],[Visitor]],'NHL Model'!$A$6:$B$38,2,FALSE)</f>
        <v>-0.8717103858022891</v>
      </c>
      <c r="J174">
        <f>($B$1+Table4[[#This Row],[Home Differential]])-Table4[[#This Row],[Away Differential]]</f>
        <v>1.0124218414755706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0.67662687735643534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0.10457017644824991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-0.38457853131220177</v>
      </c>
      <c r="H175" t="s">
        <v>24</v>
      </c>
      <c r="I175">
        <f>VLOOKUP(Table4[[#This Row],[Visitor]],'NHL Model'!$A$6:$B$38,2,FALSE)</f>
        <v>-3.0305407970040489E-4</v>
      </c>
      <c r="J175">
        <f>($B$1+Table4[[#This Row],[Home Differential]])-Table4[[#This Row],[Away Differential]]</f>
        <v>-0.3008615543611613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0.49643995113287265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0.24645262508080898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-1.0071073873045386</v>
      </c>
      <c r="H176" t="s">
        <v>38</v>
      </c>
      <c r="I176">
        <f>VLOOKUP(Table4[[#This Row],[Visitor]],'NHL Model'!$A$6:$B$38,2,FALSE)</f>
        <v>-0.58187345243071342</v>
      </c>
      <c r="J176">
        <f>($B$1+Table4[[#This Row],[Home Differential]])-Table4[[#This Row],[Away Differential]]</f>
        <v>-0.34182001200248513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0.49733777772149029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0.25266930970596996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0.67847982929669792</v>
      </c>
      <c r="H177" t="s">
        <v>39</v>
      </c>
      <c r="I177">
        <f>VLOOKUP(Table4[[#This Row],[Visitor]],'NHL Model'!$A$6:$B$38,2,FALSE)</f>
        <v>0.85927171572006034</v>
      </c>
      <c r="J177">
        <f>($B$1+Table4[[#This Row],[Home Differential]])-Table4[[#This Row],[Away Differential]]</f>
        <v>-9.7377963552022329E-2</v>
      </c>
      <c r="K177" t="str">
        <f>IF(Table4[[#This Row],[HomeIce Differential]]&gt;0,Table4[[#This Row],[Home]],Table4[[#This Row],[Visitor]])</f>
        <v>Dallas Stars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0.56312300438736862</v>
      </c>
      <c r="M177" t="str">
        <f>IF(OR((NHL2025_26Results[[#This Row],[Winning Team]]="")),"-",IF(Table4[[#This Row],[Predicted Winner]]=NHL2025_26Results[[#This Row],[Winning Team]],"YES","NO"))</f>
        <v>NO</v>
      </c>
      <c r="N177">
        <f>IF(Table4[[#This Row],[Adjusted Correct]]="-", "",IF(Table4[[#This Row],[Adjusted Correct]]="YES",(Table4[[#This Row],[Strength of Win]]-1)^2,(Table4[[#This Row],[Strength of Win]]-0)^2))</f>
        <v>0.31710751807025639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-7.6933210940904648E-2</v>
      </c>
      <c r="H178" t="s">
        <v>10</v>
      </c>
      <c r="I178">
        <f>VLOOKUP(Table4[[#This Row],[Visitor]],'NHL Model'!$A$6:$B$38,2,FALSE)</f>
        <v>-8.0981007952892342E-2</v>
      </c>
      <c r="J178">
        <f>($B$1+Table4[[#This Row],[Home Differential]])-Table4[[#This Row],[Away Differential]]</f>
        <v>8.7461719883327765E-2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0.56865907399165316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0.18605499444973814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0.25846513585567971</v>
      </c>
      <c r="H179" t="s">
        <v>26</v>
      </c>
      <c r="I179">
        <f>VLOOKUP(Table4[[#This Row],[Visitor]],'NHL Model'!$A$6:$B$38,2,FALSE)</f>
        <v>-0.46779379272887778</v>
      </c>
      <c r="J179">
        <f>($B$1+Table4[[#This Row],[Home Differential]])-Table4[[#This Row],[Away Differential]]</f>
        <v>0.80967285145589751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0.69591904348680211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9.2465228113981349E-2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0.18369921819729701</v>
      </c>
      <c r="H180" t="s">
        <v>12</v>
      </c>
      <c r="I180">
        <f>VLOOKUP(Table4[[#This Row],[Visitor]],'NHL Model'!$A$6:$B$38,2,FALSE)</f>
        <v>1.7429147091761512</v>
      </c>
      <c r="J180">
        <f>($B$1+Table4[[#This Row],[Home Differential]])-Table4[[#This Row],[Away Differential]]</f>
        <v>-1.4758015681075141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0.68752095294031168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9.7643154851330904E-2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0.95632113049608625</v>
      </c>
      <c r="H181" t="s">
        <v>30</v>
      </c>
      <c r="I181">
        <f>VLOOKUP(Table4[[#This Row],[Visitor]],'NHL Model'!$A$6:$B$38,2,FALSE)</f>
        <v>0.42358825343066847</v>
      </c>
      <c r="J181">
        <f>($B$1+Table4[[#This Row],[Home Differential]])-Table4[[#This Row],[Away Differential]]</f>
        <v>0.61614679993675781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0.55006173768702671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0.30256791526727139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0.2169753953839102</v>
      </c>
      <c r="H182" t="s">
        <v>25</v>
      </c>
      <c r="I182">
        <f>VLOOKUP(Table4[[#This Row],[Visitor]],'NHL Model'!$A$6:$B$38,2,FALSE)</f>
        <v>0.63414563871719487</v>
      </c>
      <c r="J182">
        <f>($B$1+Table4[[#This Row],[Home Differential]])-Table4[[#This Row],[Away Differential]]</f>
        <v>-0.33375632046194459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0.50878168559284254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0.2588588035946941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-0.32833039474346476</v>
      </c>
      <c r="H183" t="s">
        <v>22</v>
      </c>
      <c r="I183">
        <f>VLOOKUP(Table4[[#This Row],[Visitor]],'NHL Model'!$A$6:$B$38,2,FALSE)</f>
        <v>0.95632113049608625</v>
      </c>
      <c r="J183">
        <f>($B$1+Table4[[#This Row],[Home Differential]])-Table4[[#This Row],[Away Differential]]</f>
        <v>-1.201237602368211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0.63515092459342104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0.4034166970118776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-0.21858969522472316</v>
      </c>
      <c r="H184" t="s">
        <v>35</v>
      </c>
      <c r="I184">
        <f>VLOOKUP(Table4[[#This Row],[Visitor]],'NHL Model'!$A$6:$B$38,2,FALSE)</f>
        <v>-1.0071073873045386</v>
      </c>
      <c r="J184">
        <f>($B$1+Table4[[#This Row],[Home Differential]])-Table4[[#This Row],[Away Differential]]</f>
        <v>0.87193161495115556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0.63524307437900862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0.13304761478847743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-0.17631503877657284</v>
      </c>
      <c r="H185" t="s">
        <v>10</v>
      </c>
      <c r="I185">
        <f>VLOOKUP(Table4[[#This Row],[Visitor]],'NHL Model'!$A$6:$B$38,2,FALSE)</f>
        <v>-8.0981007952892342E-2</v>
      </c>
      <c r="J185">
        <f>($B$1+Table4[[#This Row],[Home Differential]])-Table4[[#This Row],[Away Differential]]</f>
        <v>-1.1920107952340428E-2</v>
      </c>
      <c r="K185" t="str">
        <f>IF(Table4[[#This Row],[HomeIce Differential]]&gt;0,Table4[[#This Row],[Home]],Table4[[#This Row],[Visitor]])</f>
        <v>Chicago Blackhawks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0.44219662920590147</v>
      </c>
      <c r="M185" t="str">
        <f>IF(OR((NHL2025_26Results[[#This Row],[Winning Team]]="")),"-",IF(Table4[[#This Row],[Predicted Winner]]=NHL2025_26Results[[#This Row],[Winning Team]],"YES","NO"))</f>
        <v>NO</v>
      </c>
      <c r="N185">
        <f>IF(Table4[[#This Row],[Adjusted Correct]]="-", "",IF(Table4[[#This Row],[Adjusted Correct]]="YES",(Table4[[#This Row],[Strength of Win]]-1)^2,(Table4[[#This Row],[Strength of Win]]-0)^2))</f>
        <v>0.19553785888106151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-0.2331185823245894</v>
      </c>
      <c r="H186" t="s">
        <v>39</v>
      </c>
      <c r="I186">
        <f>VLOOKUP(Table4[[#This Row],[Visitor]],'NHL Model'!$A$6:$B$38,2,FALSE)</f>
        <v>0.85927171572006034</v>
      </c>
      <c r="J186">
        <f>($B$1+Table4[[#This Row],[Home Differential]])-Table4[[#This Row],[Away Differential]]</f>
        <v>-1.0089763751733096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0.66269897322833793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0.43916992911789338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9.3318671190422225E-2</v>
      </c>
      <c r="H187" t="s">
        <v>24</v>
      </c>
      <c r="I187">
        <f>VLOOKUP(Table4[[#This Row],[Visitor]],'NHL Model'!$A$6:$B$38,2,FALSE)</f>
        <v>-3.0305407970040489E-4</v>
      </c>
      <c r="J187">
        <f>($B$1+Table4[[#This Row],[Home Differential]])-Table4[[#This Row],[Away Differential]]</f>
        <v>0.17703564814146269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0.55576184775020521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0.30887123141472228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5.5764706436567675E-2</v>
      </c>
      <c r="H188" t="s">
        <v>38</v>
      </c>
      <c r="I188">
        <f>VLOOKUP(Table4[[#This Row],[Visitor]],'NHL Model'!$A$6:$B$38,2,FALSE)</f>
        <v>-0.58187345243071342</v>
      </c>
      <c r="J188">
        <f>($B$1+Table4[[#This Row],[Home Differential]])-Table4[[#This Row],[Away Differential]]</f>
        <v>0.72105208173862123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0.6187621596402576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0.14534229092216042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-0.23554590882174289</v>
      </c>
      <c r="H189" t="s">
        <v>36</v>
      </c>
      <c r="I189">
        <f>VLOOKUP(Table4[[#This Row],[Visitor]],'NHL Model'!$A$6:$B$38,2,FALSE)</f>
        <v>-0.1785578406462007</v>
      </c>
      <c r="J189">
        <f>($B$1+Table4[[#This Row],[Home Differential]])-Table4[[#This Row],[Away Differential]]</f>
        <v>2.6425854695797862E-2</v>
      </c>
      <c r="K189" t="str">
        <f>IF(Table4[[#This Row],[HomeIce Differential]]&gt;0,Table4[[#This Row],[Home]],Table4[[#This Row],[Visitor]])</f>
        <v>Montreal Canadiens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0.53931039729998131</v>
      </c>
      <c r="M189" t="str">
        <f>IF(OR((NHL2025_26Results[[#This Row],[Winning Team]]="")),"-",IF(Table4[[#This Row],[Predicted Winner]]=NHL2025_26Results[[#This Row],[Winning Team]],"YES","NO"))</f>
        <v>YES</v>
      </c>
      <c r="N189">
        <f>IF(Table4[[#This Row],[Adjusted Correct]]="-", "",IF(Table4[[#This Row],[Adjusted Correct]]="YES",(Table4[[#This Row],[Strength of Win]]-1)^2,(Table4[[#This Row],[Strength of Win]]-0)^2))</f>
        <v>0.21223491003590106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-0.8717103858022891</v>
      </c>
      <c r="H190" t="s">
        <v>16</v>
      </c>
      <c r="I190">
        <f>VLOOKUP(Table4[[#This Row],[Visitor]],'NHL Model'!$A$6:$B$38,2,FALSE)</f>
        <v>-0.64492670113602302</v>
      </c>
      <c r="J190">
        <f>($B$1+Table4[[#This Row],[Home Differential]])-Table4[[#This Row],[Away Differential]]</f>
        <v>-0.143369761794926</v>
      </c>
      <c r="K190" t="str">
        <f>IF(Table4[[#This Row],[HomeIce Differential]]&gt;0,Table4[[#This Row],[Home]],Table4[[#This Row],[Visitor]])</f>
        <v>Calgary Flames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0.47566060531834237</v>
      </c>
      <c r="M190" t="str">
        <f>IF(OR((NHL2025_26Results[[#This Row],[Winning Team]]="")),"-",IF(Table4[[#This Row],[Predicted Winner]]=NHL2025_26Results[[#This Row],[Winning Team]],"YES","NO"))</f>
        <v>NO</v>
      </c>
      <c r="N190">
        <f>IF(Table4[[#This Row],[Adjusted Correct]]="-", "",IF(Table4[[#This Row],[Adjusted Correct]]="YES",(Table4[[#This Row],[Strength of Win]]-1)^2,(Table4[[#This Row],[Strength of Win]]-0)^2))</f>
        <v>0.22625301145181187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5.7297532801941484E-2</v>
      </c>
      <c r="H191" t="s">
        <v>19</v>
      </c>
      <c r="I191">
        <f>VLOOKUP(Table4[[#This Row],[Visitor]],'NHL Model'!$A$6:$B$38,2,FALSE)</f>
        <v>-3.2654449433805091E-2</v>
      </c>
      <c r="J191">
        <f>($B$1+Table4[[#This Row],[Home Differential]])-Table4[[#This Row],[Away Differential]]</f>
        <v>0.17336590510708666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0.58497488815752452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0.34219561977490831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-0.51436416305402566</v>
      </c>
      <c r="H192" t="s">
        <v>15</v>
      </c>
      <c r="I192">
        <f>VLOOKUP(Table4[[#This Row],[Visitor]],'NHL Model'!$A$6:$B$38,2,FALSE)</f>
        <v>0.21842521198061643</v>
      </c>
      <c r="J192">
        <f>($B$1+Table4[[#This Row],[Home Differential]])-Table4[[#This Row],[Away Differential]]</f>
        <v>-0.64937545216330195</v>
      </c>
      <c r="K192" t="str">
        <f>IF(Table4[[#This Row],[HomeIce Differential]]&gt;0,Table4[[#This Row],[Home]],Table4[[#This Row],[Visitor]])</f>
        <v>New York Rangers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0.63750499625211987</v>
      </c>
      <c r="M192" t="str">
        <f>IF(OR((NHL2025_26Results[[#This Row],[Winning Team]]="")),"-",IF(Table4[[#This Row],[Predicted Winner]]=NHL2025_26Results[[#This Row],[Winning Team]],"YES","NO"))</f>
        <v>YES</v>
      </c>
      <c r="N192">
        <f>IF(Table4[[#This Row],[Adjusted Correct]]="-", "",IF(Table4[[#This Row],[Adjusted Correct]]="YES",(Table4[[#This Row],[Strength of Win]]-1)^2,(Table4[[#This Row],[Strength of Win]]-0)^2))</f>
        <v>0.13140262774217562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-0.38457853131220177</v>
      </c>
      <c r="H193" t="s">
        <v>12</v>
      </c>
      <c r="I193">
        <f>VLOOKUP(Table4[[#This Row],[Visitor]],'NHL Model'!$A$6:$B$38,2,FALSE)</f>
        <v>1.7429147091761512</v>
      </c>
      <c r="J193">
        <f>($B$1+Table4[[#This Row],[Home Differential]])-Table4[[#This Row],[Away Differential]]</f>
        <v>-2.0440793176170127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0.74959522463362649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0.56189300079353699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-7.6933210940904648E-2</v>
      </c>
      <c r="H194" t="s">
        <v>14</v>
      </c>
      <c r="I194">
        <f>VLOOKUP(Table4[[#This Row],[Visitor]],'NHL Model'!$A$6:$B$38,2,FALSE)</f>
        <v>0.26772485952910668</v>
      </c>
      <c r="J194">
        <f>($B$1+Table4[[#This Row],[Home Differential]])-Table4[[#This Row],[Away Differential]]</f>
        <v>-0.26124414759867126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0.52338165352725519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0.27392835524892378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0.25846513585567971</v>
      </c>
      <c r="H195" t="s">
        <v>24</v>
      </c>
      <c r="I195">
        <f>VLOOKUP(Table4[[#This Row],[Visitor]],'NHL Model'!$A$6:$B$38,2,FALSE)</f>
        <v>-3.0305407970040489E-4</v>
      </c>
      <c r="J195">
        <f>($B$1+Table4[[#This Row],[Home Differential]])-Table4[[#This Row],[Away Differential]]</f>
        <v>0.34218211280672017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0.64221604049371561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0.12800936167999455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0.42358825343066847</v>
      </c>
      <c r="H196" t="s">
        <v>28</v>
      </c>
      <c r="I196">
        <f>VLOOKUP(Table4[[#This Row],[Visitor]],'NHL Model'!$A$6:$B$38,2,FALSE)</f>
        <v>-0.21858969522472316</v>
      </c>
      <c r="J196">
        <f>($B$1+Table4[[#This Row],[Home Differential]])-Table4[[#This Row],[Away Differential]]</f>
        <v>0.72559187152673166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0.6192580512090915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0.1449644315690988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5.7297532801941484E-2</v>
      </c>
      <c r="H197" t="s">
        <v>16</v>
      </c>
      <c r="I197">
        <f>VLOOKUP(Table4[[#This Row],[Visitor]],'NHL Model'!$A$6:$B$38,2,FALSE)</f>
        <v>-0.64492670113602302</v>
      </c>
      <c r="J197">
        <f>($B$1+Table4[[#This Row],[Home Differential]])-Table4[[#This Row],[Away Differential]]</f>
        <v>0.7856381568093046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0.65185477943471382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0.4249146534718794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-0.38457853131220177</v>
      </c>
      <c r="H198" t="s">
        <v>26</v>
      </c>
      <c r="I198">
        <f>VLOOKUP(Table4[[#This Row],[Visitor]],'NHL Model'!$A$6:$B$38,2,FALSE)</f>
        <v>-0.46779379272887778</v>
      </c>
      <c r="J198">
        <f>($B$1+Table4[[#This Row],[Home Differential]])-Table4[[#This Row],[Away Differential]]</f>
        <v>0.1666291842880161</v>
      </c>
      <c r="K198" t="str">
        <f>IF(Table4[[#This Row],[HomeIce Differential]]&gt;0,Table4[[#This Row],[Home]],Table4[[#This Row],[Visitor]])</f>
        <v>San Jose Sharks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0.55737179187645425</v>
      </c>
      <c r="M198" t="str">
        <f>IF(OR((NHL2025_26Results[[#This Row],[Winning Team]]="")),"-",IF(Table4[[#This Row],[Predicted Winner]]=NHL2025_26Results[[#This Row],[Winning Team]],"YES","NO"))</f>
        <v>NO</v>
      </c>
      <c r="N198">
        <f>IF(Table4[[#This Row],[Adjusted Correct]]="-", "",IF(Table4[[#This Row],[Adjusted Correct]]="YES",(Table4[[#This Row],[Strength of Win]]-1)^2,(Table4[[#This Row],[Strength of Win]]-0)^2))</f>
        <v>0.31066331437956946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0.16351124183791613</v>
      </c>
      <c r="H199" t="s">
        <v>37</v>
      </c>
      <c r="I199">
        <f>VLOOKUP(Table4[[#This Row],[Visitor]],'NHL Model'!$A$6:$B$38,2,FALSE)</f>
        <v>0.67847982929669792</v>
      </c>
      <c r="J199">
        <f>($B$1+Table4[[#This Row],[Home Differential]])-Table4[[#This Row],[Away Differential]]</f>
        <v>-0.43155466458744174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0.5387598097461338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0.21274251310542269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-0.8717103858022891</v>
      </c>
      <c r="H200" t="s">
        <v>38</v>
      </c>
      <c r="I200">
        <f>VLOOKUP(Table4[[#This Row],[Visitor]],'NHL Model'!$A$6:$B$38,2,FALSE)</f>
        <v>-0.58187345243071342</v>
      </c>
      <c r="J200">
        <f>($B$1+Table4[[#This Row],[Home Differential]])-Table4[[#This Row],[Away Differential]]</f>
        <v>-0.20642301050023559</v>
      </c>
      <c r="K200" t="str">
        <f>IF(Table4[[#This Row],[HomeIce Differential]]&gt;0,Table4[[#This Row],[Home]],Table4[[#This Row],[Visitor]])</f>
        <v>Vancouver Canucks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0.48254805515191024</v>
      </c>
      <c r="M200" t="str">
        <f>IF(OR((NHL2025_26Results[[#This Row],[Winning Team]]="")),"-",IF(Table4[[#This Row],[Predicted Winner]]=NHL2025_26Results[[#This Row],[Winning Team]],"YES","NO"))</f>
        <v>YES</v>
      </c>
      <c r="N200">
        <f>IF(Table4[[#This Row],[Adjusted Correct]]="-", "",IF(Table4[[#This Row],[Adjusted Correct]]="YES",(Table4[[#This Row],[Strength of Win]]-1)^2,(Table4[[#This Row],[Strength of Win]]-0)^2))</f>
        <v>0.2677565152270705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-0.51436416305402566</v>
      </c>
      <c r="H201" t="s">
        <v>10</v>
      </c>
      <c r="I201">
        <f>VLOOKUP(Table4[[#This Row],[Visitor]],'NHL Model'!$A$6:$B$38,2,FALSE)</f>
        <v>-8.0981007952892342E-2</v>
      </c>
      <c r="J201">
        <f>($B$1+Table4[[#This Row],[Home Differential]])-Table4[[#This Row],[Away Differential]]</f>
        <v>-0.34996923222979326</v>
      </c>
      <c r="K201" t="str">
        <f>IF(Table4[[#This Row],[HomeIce Differential]]&gt;0,Table4[[#This Row],[Home]],Table4[[#This Row],[Visitor]])</f>
        <v>Chicago Blackhawks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0.49822793559044648</v>
      </c>
      <c r="M201" t="str">
        <f>IF(OR((NHL2025_26Results[[#This Row],[Winning Team]]="")),"-",IF(Table4[[#This Row],[Predicted Winner]]=NHL2025_26Results[[#This Row],[Winning Team]],"YES","NO"))</f>
        <v>NO</v>
      </c>
      <c r="N201">
        <f>IF(Table4[[#This Row],[Adjusted Correct]]="-", "",IF(Table4[[#This Row],[Adjusted Correct]]="YES",(Table4[[#This Row],[Strength of Win]]-1)^2,(Table4[[#This Row],[Strength of Win]]-0)^2))</f>
        <v>0.24823107580271808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-1.0071073873045386</v>
      </c>
      <c r="H202" t="s">
        <v>17</v>
      </c>
      <c r="I202">
        <f>VLOOKUP(Table4[[#This Row],[Visitor]],'NHL Model'!$A$6:$B$38,2,FALSE)</f>
        <v>-0.17631503877657284</v>
      </c>
      <c r="J202">
        <f>($B$1+Table4[[#This Row],[Home Differential]])-Table4[[#This Row],[Away Differential]]</f>
        <v>-0.74737842565662571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0.54163784609194143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0.29337155631911765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-3.2654449433805091E-2</v>
      </c>
      <c r="H203" t="s">
        <v>14</v>
      </c>
      <c r="I203">
        <f>VLOOKUP(Table4[[#This Row],[Visitor]],'NHL Model'!$A$6:$B$38,2,FALSE)</f>
        <v>0.26772485952910668</v>
      </c>
      <c r="J203">
        <f>($B$1+Table4[[#This Row],[Home Differential]])-Table4[[#This Row],[Away Differential]]</f>
        <v>-0.2169653860915717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0.53783844030761707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0.28927018787253017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0.25846513585567971</v>
      </c>
      <c r="H204" t="s">
        <v>11</v>
      </c>
      <c r="I204">
        <f>VLOOKUP(Table4[[#This Row],[Visitor]],'NHL Model'!$A$6:$B$38,2,FALSE)</f>
        <v>-0.2331185823245894</v>
      </c>
      <c r="J204">
        <f>($B$1+Table4[[#This Row],[Home Differential]])-Table4[[#This Row],[Away Differential]]</f>
        <v>0.57499764105160922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0.67108080682027849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0.10818783564199896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-0.32833039474346476</v>
      </c>
      <c r="H205" t="s">
        <v>55</v>
      </c>
      <c r="I205">
        <f>VLOOKUP(Table4[[#This Row],[Visitor]],'NHL Model'!$A$6:$B$38,2,FALSE)</f>
        <v>0.16351124183791613</v>
      </c>
      <c r="J205">
        <f>($B$1+Table4[[#This Row],[Home Differential]])-Table4[[#This Row],[Away Differential]]</f>
        <v>-0.40842771371004083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0.49449123915588811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0.2555391072901495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1.7429147091761512</v>
      </c>
      <c r="H206" t="s">
        <v>37</v>
      </c>
      <c r="I206">
        <f>VLOOKUP(Table4[[#This Row],[Visitor]],'NHL Model'!$A$6:$B$38,2,FALSE)</f>
        <v>0.67847982929669792</v>
      </c>
      <c r="J206">
        <f>($B$1+Table4[[#This Row],[Home Differential]])-Table4[[#This Row],[Away Differential]]</f>
        <v>1.1478488027507932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0.70432950507218661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8.7421041570858116E-2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0.85927171572006034</v>
      </c>
      <c r="H207" t="s">
        <v>17</v>
      </c>
      <c r="I207">
        <f>VLOOKUP(Table4[[#This Row],[Visitor]],'NHL Model'!$A$6:$B$38,2,FALSE)</f>
        <v>-0.17631503877657284</v>
      </c>
      <c r="J207">
        <f>($B$1+Table4[[#This Row],[Home Differential]])-Table4[[#This Row],[Away Differential]]</f>
        <v>1.1190006773679733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0.70513254467588693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8.6946816209317823E-2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9.3318671190422225E-2</v>
      </c>
      <c r="H208" t="s">
        <v>40</v>
      </c>
      <c r="I208">
        <f>VLOOKUP(Table4[[#This Row],[Visitor]],'NHL Model'!$A$6:$B$38,2,FALSE)</f>
        <v>-7.6933210940904648E-2</v>
      </c>
      <c r="J208">
        <f>($B$1+Table4[[#This Row],[Home Differential]])-Table4[[#This Row],[Away Differential]]</f>
        <v>0.25366580500266694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0.56770849309625449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0.18687594694111107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5.5764706436567675E-2</v>
      </c>
      <c r="H209" t="s">
        <v>29</v>
      </c>
      <c r="I209">
        <f>VLOOKUP(Table4[[#This Row],[Visitor]],'NHL Model'!$A$6:$B$38,2,FALSE)</f>
        <v>-0.8717103858022891</v>
      </c>
      <c r="J209">
        <f>($B$1+Table4[[#This Row],[Home Differential]])-Table4[[#This Row],[Away Differential]]</f>
        <v>1.0108890151101968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0.65042170739554694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0.1222049826602446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-0.23554590882174289</v>
      </c>
      <c r="H210" t="s">
        <v>27</v>
      </c>
      <c r="I210">
        <f>VLOOKUP(Table4[[#This Row],[Visitor]],'NHL Model'!$A$6:$B$38,2,FALSE)</f>
        <v>5.7297532801941484E-2</v>
      </c>
      <c r="J210">
        <f>($B$1+Table4[[#This Row],[Home Differential]])-Table4[[#This Row],[Away Differential]]</f>
        <v>-0.20942951875234433</v>
      </c>
      <c r="K210" t="str">
        <f>IF(Table4[[#This Row],[HomeIce Differential]]&gt;0,Table4[[#This Row],[Home]],Table4[[#This Row],[Visitor]])</f>
        <v>Philadelphia Flyers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0.52538902570365931</v>
      </c>
      <c r="M210" t="str">
        <f>IF(OR((NHL2025_26Results[[#This Row],[Winning Team]]="")),"-",IF(Table4[[#This Row],[Predicted Winner]]=NHL2025_26Results[[#This Row],[Winning Team]],"YES","NO"))</f>
        <v>YES</v>
      </c>
      <c r="N210">
        <f>IF(Table4[[#This Row],[Adjusted Correct]]="-", "",IF(Table4[[#This Row],[Adjusted Correct]]="YES",(Table4[[#This Row],[Strength of Win]]-1)^2,(Table4[[#This Row],[Strength of Win]]-0)^2))</f>
        <v>0.22525557692252177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0.42358825343066847</v>
      </c>
      <c r="H211" t="s">
        <v>21</v>
      </c>
      <c r="I211">
        <f>VLOOKUP(Table4[[#This Row],[Visitor]],'NHL Model'!$A$6:$B$38,2,FALSE)</f>
        <v>0.2169753953839102</v>
      </c>
      <c r="J211">
        <f>($B$1+Table4[[#This Row],[Home Differential]])-Table4[[#This Row],[Away Differential]]</f>
        <v>0.2900267809180983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0.57168028523479364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0.32681834852613501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0.21842521198061643</v>
      </c>
      <c r="H212" t="s">
        <v>25</v>
      </c>
      <c r="I212">
        <f>VLOOKUP(Table4[[#This Row],[Visitor]],'NHL Model'!$A$6:$B$38,2,FALSE)</f>
        <v>0.63414563871719487</v>
      </c>
      <c r="J212">
        <f>($B$1+Table4[[#This Row],[Home Differential]])-Table4[[#This Row],[Away Differential]]</f>
        <v>-0.33230650386523836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0.56892176468755451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0.18582844496009213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0.18369921819729701</v>
      </c>
      <c r="H213" t="s">
        <v>26</v>
      </c>
      <c r="I213">
        <f>VLOOKUP(Table4[[#This Row],[Visitor]],'NHL Model'!$A$6:$B$38,2,FALSE)</f>
        <v>-0.46779379272887778</v>
      </c>
      <c r="J213">
        <f>($B$1+Table4[[#This Row],[Home Differential]])-Table4[[#This Row],[Away Differential]]</f>
        <v>0.73490693379751493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0.61944606356976906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0.14482129853254425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-0.64492670113602302</v>
      </c>
      <c r="H214" t="s">
        <v>28</v>
      </c>
      <c r="I214">
        <f>VLOOKUP(Table4[[#This Row],[Visitor]],'NHL Model'!$A$6:$B$38,2,FALSE)</f>
        <v>-0.21858969522472316</v>
      </c>
      <c r="J214">
        <f>($B$1+Table4[[#This Row],[Home Differential]])-Table4[[#This Row],[Away Differential]]</f>
        <v>-0.34292308303995978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0.49745826868094867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0.2474647290790469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-0.51436416305402566</v>
      </c>
      <c r="H215" t="s">
        <v>33</v>
      </c>
      <c r="I215">
        <f>VLOOKUP(Table4[[#This Row],[Visitor]],'NHL Model'!$A$6:$B$38,2,FALSE)</f>
        <v>-0.38457853131220177</v>
      </c>
      <c r="J215">
        <f>($B$1+Table4[[#This Row],[Home Differential]])-Table4[[#This Row],[Away Differential]]</f>
        <v>-4.6371708870483808E-2</v>
      </c>
      <c r="K215" t="str">
        <f>IF(Table4[[#This Row],[HomeIce Differential]]&gt;0,Table4[[#This Row],[Home]],Table4[[#This Row],[Visitor]])</f>
        <v>San Jose Sharks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0.46506528727861374</v>
      </c>
      <c r="M215" t="str">
        <f>IF(OR((NHL2025_26Results[[#This Row],[Winning Team]]="")),"-",IF(Table4[[#This Row],[Predicted Winner]]=NHL2025_26Results[[#This Row],[Winning Team]],"YES","NO"))</f>
        <v>YES</v>
      </c>
      <c r="N215">
        <f>IF(Table4[[#This Row],[Adjusted Correct]]="-", "",IF(Table4[[#This Row],[Adjusted Correct]]="YES",(Table4[[#This Row],[Strength of Win]]-1)^2,(Table4[[#This Row],[Strength of Win]]-0)^2))</f>
        <v>0.28615514687431204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-3.2654449433805091E-2</v>
      </c>
      <c r="H216" t="s">
        <v>55</v>
      </c>
      <c r="I216">
        <f>VLOOKUP(Table4[[#This Row],[Visitor]],'NHL Model'!$A$6:$B$38,2,FALSE)</f>
        <v>0.16351124183791613</v>
      </c>
      <c r="J216">
        <f>($B$1+Table4[[#This Row],[Home Differential]])-Table4[[#This Row],[Away Differential]]</f>
        <v>-0.11275176840038115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0.47231613222869989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0.22308252876347873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-0.58187345243071342</v>
      </c>
      <c r="H217" t="s">
        <v>10</v>
      </c>
      <c r="I217">
        <f>VLOOKUP(Table4[[#This Row],[Visitor]],'NHL Model'!$A$6:$B$38,2,FALSE)</f>
        <v>-8.0981007952892342E-2</v>
      </c>
      <c r="J217">
        <f>($B$1+Table4[[#This Row],[Home Differential]])-Table4[[#This Row],[Away Differential]]</f>
        <v>-0.41747852160648102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0.50560212888625677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0.24442925496180146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0.95632113049608625</v>
      </c>
      <c r="H218" t="s">
        <v>35</v>
      </c>
      <c r="I218">
        <f>VLOOKUP(Table4[[#This Row],[Visitor]],'NHL Model'!$A$6:$B$38,2,FALSE)</f>
        <v>-1.0071073873045386</v>
      </c>
      <c r="J218">
        <f>($B$1+Table4[[#This Row],[Home Differential]])-Table4[[#This Row],[Away Differential]]</f>
        <v>2.046842440671965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0.78961899322776996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4.4260168010497099E-2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0.2169753953839102</v>
      </c>
      <c r="H219" t="s">
        <v>36</v>
      </c>
      <c r="I219">
        <f>VLOOKUP(Table4[[#This Row],[Visitor]],'NHL Model'!$A$6:$B$38,2,FALSE)</f>
        <v>-0.1785578406462007</v>
      </c>
      <c r="J219">
        <f>($B$1+Table4[[#This Row],[Home Differential]])-Table4[[#This Row],[Away Differential]]</f>
        <v>0.47894715890145101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0.64798435804579557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0.12391501218043065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-0.32833039474346476</v>
      </c>
      <c r="H220" t="s">
        <v>35</v>
      </c>
      <c r="I220">
        <f>VLOOKUP(Table4[[#This Row],[Visitor]],'NHL Model'!$A$6:$B$38,2,FALSE)</f>
        <v>-1.0071073873045386</v>
      </c>
      <c r="J220">
        <f>($B$1+Table4[[#This Row],[Home Differential]])-Table4[[#This Row],[Away Differential]]</f>
        <v>0.76219091543241402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0.63337809744468199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0.40116781432264509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0.63414563871719487</v>
      </c>
      <c r="H221" t="s">
        <v>34</v>
      </c>
      <c r="I221">
        <f>VLOOKUP(Table4[[#This Row],[Visitor]],'NHL Model'!$A$6:$B$38,2,FALSE)</f>
        <v>5.5764706436567675E-2</v>
      </c>
      <c r="J221">
        <f>($B$1+Table4[[#This Row],[Home Differential]])-Table4[[#This Row],[Away Differential]]</f>
        <v>0.66179485515196723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0.63478935794054792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0.13337881307347724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0.85927171572006034</v>
      </c>
      <c r="H222" t="s">
        <v>31</v>
      </c>
      <c r="I222">
        <f>VLOOKUP(Table4[[#This Row],[Visitor]],'NHL Model'!$A$6:$B$38,2,FALSE)</f>
        <v>0.25846513585567971</v>
      </c>
      <c r="J222">
        <f>($B$1+Table4[[#This Row],[Home Differential]])-Table4[[#This Row],[Away Differential]]</f>
        <v>0.68422050273572066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0.63723896245561829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0.40607349527151287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9.3318671190422225E-2</v>
      </c>
      <c r="H223" t="s">
        <v>11</v>
      </c>
      <c r="I223">
        <f>VLOOKUP(Table4[[#This Row],[Visitor]],'NHL Model'!$A$6:$B$38,2,FALSE)</f>
        <v>-0.2331185823245894</v>
      </c>
      <c r="J223">
        <f>($B$1+Table4[[#This Row],[Home Differential]])-Table4[[#This Row],[Away Differential]]</f>
        <v>0.40985117638635171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0.58476897661185989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0.34195475600768194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-3.0305407970040489E-4</v>
      </c>
      <c r="H224" t="s">
        <v>18</v>
      </c>
      <c r="I224">
        <f>VLOOKUP(Table4[[#This Row],[Visitor]],'NHL Model'!$A$6:$B$38,2,FALSE)</f>
        <v>-0.23554590882174289</v>
      </c>
      <c r="J224">
        <f>($B$1+Table4[[#This Row],[Home Differential]])-Table4[[#This Row],[Away Differential]]</f>
        <v>0.31865677761338257</v>
      </c>
      <c r="K224" t="str">
        <f>IF(Table4[[#This Row],[HomeIce Differential]]&gt;0,Table4[[#This Row],[Home]],Table4[[#This Row],[Visitor]])</f>
        <v>New Jersey Devils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0.54572463548898076</v>
      </c>
      <c r="M224" t="str">
        <f>IF(OR((NHL2025_26Results[[#This Row],[Winning Team]]="")),"-",IF(Table4[[#This Row],[Predicted Winner]]=NHL2025_26Results[[#This Row],[Winning Team]],"YES","NO"))</f>
        <v>YES</v>
      </c>
      <c r="N224">
        <f>IF(Table4[[#This Row],[Adjusted Correct]]="-", "",IF(Table4[[#This Row],[Adjusted Correct]]="YES",(Table4[[#This Row],[Strength of Win]]-1)^2,(Table4[[#This Row],[Strength of Win]]-0)^2))</f>
        <v>0.2063661068016194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-0.8717103858022891</v>
      </c>
      <c r="H225" t="s">
        <v>27</v>
      </c>
      <c r="I225">
        <f>VLOOKUP(Table4[[#This Row],[Visitor]],'NHL Model'!$A$6:$B$38,2,FALSE)</f>
        <v>5.7297532801941484E-2</v>
      </c>
      <c r="J225">
        <f>($B$1+Table4[[#This Row],[Home Differential]])-Table4[[#This Row],[Away Differential]]</f>
        <v>-0.84559399573289051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0.5948787191146907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0.16412325222615368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0.26772485952910668</v>
      </c>
      <c r="H226" t="s">
        <v>22</v>
      </c>
      <c r="I226">
        <f>VLOOKUP(Table4[[#This Row],[Visitor]],'NHL Model'!$A$6:$B$38,2,FALSE)</f>
        <v>0.95632113049608625</v>
      </c>
      <c r="J226">
        <f>($B$1+Table4[[#This Row],[Home Differential]])-Table4[[#This Row],[Away Differential]]</f>
        <v>-0.60518234809563953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0.58024426245390726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0.33668340411067882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0.18369921819729701</v>
      </c>
      <c r="H227" t="s">
        <v>37</v>
      </c>
      <c r="I227">
        <f>VLOOKUP(Table4[[#This Row],[Visitor]],'NHL Model'!$A$6:$B$38,2,FALSE)</f>
        <v>0.67847982929669792</v>
      </c>
      <c r="J227">
        <f>($B$1+Table4[[#This Row],[Home Differential]])-Table4[[#This Row],[Away Differential]]</f>
        <v>-0.41136668822806083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0.57755768852672884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0.17845750652288025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-0.64492670113602302</v>
      </c>
      <c r="H228" t="s">
        <v>10</v>
      </c>
      <c r="I228">
        <f>VLOOKUP(Table4[[#This Row],[Visitor]],'NHL Model'!$A$6:$B$38,2,FALSE)</f>
        <v>-8.0981007952892342E-2</v>
      </c>
      <c r="J228">
        <f>($B$1+Table4[[#This Row],[Home Differential]])-Table4[[#This Row],[Away Differential]]</f>
        <v>-0.48053177031179062</v>
      </c>
      <c r="K228" t="str">
        <f>IF(Table4[[#This Row],[HomeIce Differential]]&gt;0,Table4[[#This Row],[Home]],Table4[[#This Row],[Visitor]])</f>
        <v>Chicago Blackhawks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0.5124895787198247</v>
      </c>
      <c r="M228" t="str">
        <f>IF(OR((NHL2025_26Results[[#This Row],[Winning Team]]="")),"-",IF(Table4[[#This Row],[Predicted Winner]]=NHL2025_26Results[[#This Row],[Winning Team]],"YES","NO"))</f>
        <v>YES</v>
      </c>
      <c r="N228">
        <f>IF(Table4[[#This Row],[Adjusted Correct]]="-", "",IF(Table4[[#This Row],[Adjusted Correct]]="YES",(Table4[[#This Row],[Strength of Win]]-1)^2,(Table4[[#This Row],[Strength of Win]]-0)^2))</f>
        <v>0.23766641085677401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-0.46779379272887778</v>
      </c>
      <c r="H229" t="s">
        <v>15</v>
      </c>
      <c r="I229">
        <f>VLOOKUP(Table4[[#This Row],[Visitor]],'NHL Model'!$A$6:$B$38,2,FALSE)</f>
        <v>0.21842521198061643</v>
      </c>
      <c r="J229">
        <f>($B$1+Table4[[#This Row],[Home Differential]])-Table4[[#This Row],[Away Differential]]</f>
        <v>-0.60280508183815407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0.62236750990085454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0.1426062975784812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0.42358825343066847</v>
      </c>
      <c r="H230" t="s">
        <v>34</v>
      </c>
      <c r="I230">
        <f>VLOOKUP(Table4[[#This Row],[Visitor]],'NHL Model'!$A$6:$B$38,2,FALSE)</f>
        <v>5.5764706436567675E-2</v>
      </c>
      <c r="J230">
        <f>($B$1+Table4[[#This Row],[Home Differential]])-Table4[[#This Row],[Away Differential]]</f>
        <v>0.45123746986544083</v>
      </c>
      <c r="K230" t="str">
        <f>IF(Table4[[#This Row],[HomeIce Differential]]&gt;0,Table4[[#This Row],[Home]],Table4[[#This Row],[Visitor]])</f>
        <v>New York Islanders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0.56852046485374241</v>
      </c>
      <c r="M230" t="str">
        <f>IF(OR((NHL2025_26Results[[#This Row],[Winning Team]]="")),"-",IF(Table4[[#This Row],[Predicted Winner]]=NHL2025_26Results[[#This Row],[Winning Team]],"YES","NO"))</f>
        <v>NO</v>
      </c>
      <c r="N230">
        <f>IF(Table4[[#This Row],[Adjusted Correct]]="-", "",IF(Table4[[#This Row],[Adjusted Correct]]="YES",(Table4[[#This Row],[Strength of Win]]-1)^2,(Table4[[#This Row],[Strength of Win]]-0)^2))</f>
        <v>0.32321551895751538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-0.38457853131220177</v>
      </c>
      <c r="H231" t="s">
        <v>40</v>
      </c>
      <c r="I231">
        <f>VLOOKUP(Table4[[#This Row],[Visitor]],'NHL Model'!$A$6:$B$38,2,FALSE)</f>
        <v>-7.6933210940904648E-2</v>
      </c>
      <c r="J231">
        <f>($B$1+Table4[[#This Row],[Home Differential]])-Table4[[#This Row],[Away Differential]]</f>
        <v>-0.22423139749995702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0.48449330578682348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0.23473376335224444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0.63414563871719487</v>
      </c>
      <c r="H232" t="s">
        <v>23</v>
      </c>
      <c r="I232">
        <f>VLOOKUP(Table4[[#This Row],[Visitor]],'NHL Model'!$A$6:$B$38,2,FALSE)</f>
        <v>-0.32833039474346476</v>
      </c>
      <c r="J232">
        <f>($B$1+Table4[[#This Row],[Home Differential]])-Table4[[#This Row],[Away Differential]]</f>
        <v>1.0458899563319997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0.69714649425389108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9.1720245942708431E-2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-0.17631503877657284</v>
      </c>
      <c r="H233" t="s">
        <v>12</v>
      </c>
      <c r="I233">
        <f>VLOOKUP(Table4[[#This Row],[Visitor]],'NHL Model'!$A$6:$B$38,2,FALSE)</f>
        <v>1.7429147091761512</v>
      </c>
      <c r="J233">
        <f>($B$1+Table4[[#This Row],[Home Differential]])-Table4[[#This Row],[Away Differential]]</f>
        <v>-1.8358158250813841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0.70757259348842116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8.5513788079088174E-2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-0.23554590882174289</v>
      </c>
      <c r="H234" t="s">
        <v>55</v>
      </c>
      <c r="I234">
        <f>VLOOKUP(Table4[[#This Row],[Visitor]],'NHL Model'!$A$6:$B$38,2,FALSE)</f>
        <v>0.16351124183791613</v>
      </c>
      <c r="J234">
        <f>($B$1+Table4[[#This Row],[Home Differential]])-Table4[[#This Row],[Away Differential]]</f>
        <v>-0.31564322778831899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0.49447842801657937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0.24450891577374748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-3.0305407970040489E-4</v>
      </c>
      <c r="H235" t="s">
        <v>14</v>
      </c>
      <c r="I235">
        <f>VLOOKUP(Table4[[#This Row],[Visitor]],'NHL Model'!$A$6:$B$38,2,FALSE)</f>
        <v>0.26772485952910668</v>
      </c>
      <c r="J235">
        <f>($B$1+Table4[[#This Row],[Home Differential]])-Table4[[#This Row],[Away Differential]]</f>
        <v>-0.18461399073746704</v>
      </c>
      <c r="K235" t="str">
        <f>IF(Table4[[#This Row],[HomeIce Differential]]&gt;0,Table4[[#This Row],[Home]],Table4[[#This Row],[Visitor]])</f>
        <v>Pittsburgh Penguins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0.49075404159097857</v>
      </c>
      <c r="M235" t="str">
        <f>IF(OR((NHL2025_26Results[[#This Row],[Winning Team]]="")),"-",IF(Table4[[#This Row],[Predicted Winner]]=NHL2025_26Results[[#This Row],[Winning Team]],"YES","NO"))</f>
        <v>NO</v>
      </c>
      <c r="N235">
        <f>IF(Table4[[#This Row],[Adjusted Correct]]="-", "",IF(Table4[[#This Row],[Adjusted Correct]]="YES",(Table4[[#This Row],[Strength of Win]]-1)^2,(Table4[[#This Row],[Strength of Win]]-0)^2))</f>
        <v>0.24083952933787992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Pittsburgh Penguins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-0.8717103858022891</v>
      </c>
      <c r="H236" t="s">
        <v>39</v>
      </c>
      <c r="I236">
        <f>VLOOKUP(Table4[[#This Row],[Visitor]],'NHL Model'!$A$6:$B$38,2,FALSE)</f>
        <v>0.85927171572006034</v>
      </c>
      <c r="J236">
        <f>($B$1+Table4[[#This Row],[Home Differential]])-Table4[[#This Row],[Away Differential]]</f>
        <v>-1.6475681786510092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0.73245380903602797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7.1580964299330183E-2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0.21842521198061643</v>
      </c>
      <c r="H237" t="s">
        <v>30</v>
      </c>
      <c r="I237">
        <f>VLOOKUP(Table4[[#This Row],[Visitor]],'NHL Model'!$A$6:$B$38,2,FALSE)</f>
        <v>0.42358825343066847</v>
      </c>
      <c r="J237">
        <f>($B$1+Table4[[#This Row],[Home Differential]])-Table4[[#This Row],[Away Differential]]</f>
        <v>-0.12174911857871196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0.5567771941316888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0.19644645564177868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5.7297532801941484E-2</v>
      </c>
      <c r="H238" t="s">
        <v>36</v>
      </c>
      <c r="I238">
        <f>VLOOKUP(Table4[[#This Row],[Visitor]],'NHL Model'!$A$6:$B$38,2,FALSE)</f>
        <v>-0.1785578406462007</v>
      </c>
      <c r="J238">
        <f>($B$1+Table4[[#This Row],[Home Differential]])-Table4[[#This Row],[Away Differential]]</f>
        <v>0.31926929631948225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0.59737451173334688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0.35685630726865458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-0.38457853131220177</v>
      </c>
      <c r="H239" t="s">
        <v>11</v>
      </c>
      <c r="I239">
        <f>VLOOKUP(Table4[[#This Row],[Visitor]],'NHL Model'!$A$6:$B$38,2,FALSE)</f>
        <v>-0.2331185823245894</v>
      </c>
      <c r="J239">
        <f>($B$1+Table4[[#This Row],[Home Differential]])-Table4[[#This Row],[Away Differential]]</f>
        <v>-6.8046026116272279E-2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0.46743282227121807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0.21849344333643614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-1.0071073873045386</v>
      </c>
      <c r="H240" t="s">
        <v>32</v>
      </c>
      <c r="I240">
        <f>VLOOKUP(Table4[[#This Row],[Visitor]],'NHL Model'!$A$6:$B$38,2,FALSE)</f>
        <v>-0.51436416305402566</v>
      </c>
      <c r="J240">
        <f>($B$1+Table4[[#This Row],[Home Differential]])-Table4[[#This Row],[Away Differential]]</f>
        <v>-0.40932930137917289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0.5047119710173007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0.24531023165356719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0.67847982929669792</v>
      </c>
      <c r="H241" t="s">
        <v>22</v>
      </c>
      <c r="I241">
        <f>VLOOKUP(Table4[[#This Row],[Visitor]],'NHL Model'!$A$6:$B$38,2,FALSE)</f>
        <v>0.95632113049608625</v>
      </c>
      <c r="J241">
        <f>($B$1+Table4[[#This Row],[Home Differential]])-Table4[[#This Row],[Away Differential]]</f>
        <v>-0.19442737832804824</v>
      </c>
      <c r="K241" t="str">
        <f>IF(Table4[[#This Row],[HomeIce Differential]]&gt;0,Table4[[#This Row],[Home]],Table4[[#This Row],[Visitor]])</f>
        <v>Washington Capitals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0.53537656243443532</v>
      </c>
      <c r="M241" t="str">
        <f>IF(OR((NHL2025_26Results[[#This Row],[Winning Team]]="")),"-",IF(Table4[[#This Row],[Predicted Winner]]=NHL2025_26Results[[#This Row],[Winning Team]],"YES","NO"))</f>
        <v>NO</v>
      </c>
      <c r="N241">
        <f>IF(Table4[[#This Row],[Adjusted Correct]]="-", "",IF(Table4[[#This Row],[Adjusted Correct]]="YES",(Table4[[#This Row],[Strength of Win]]-1)^2,(Table4[[#This Row],[Strength of Win]]-0)^2))</f>
        <v>0.2866280636041128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Washington Capitals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-3.2654449433805091E-2</v>
      </c>
      <c r="H242" t="s">
        <v>21</v>
      </c>
      <c r="I242">
        <f>VLOOKUP(Table4[[#This Row],[Visitor]],'NHL Model'!$A$6:$B$38,2,FALSE)</f>
        <v>0.2169753953839102</v>
      </c>
      <c r="J242">
        <f>($B$1+Table4[[#This Row],[Home Differential]])-Table4[[#This Row],[Away Differential]]</f>
        <v>-0.16621592194637522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0.47815614337805717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0.27232101069406278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-0.58187345243071342</v>
      </c>
      <c r="H243" t="s">
        <v>28</v>
      </c>
      <c r="I243">
        <f>VLOOKUP(Table4[[#This Row],[Visitor]],'NHL Model'!$A$6:$B$38,2,FALSE)</f>
        <v>-0.21858969522472316</v>
      </c>
      <c r="J243">
        <f>($B$1+Table4[[#This Row],[Home Differential]])-Table4[[#This Row],[Away Differential]]</f>
        <v>-0.27986983433465018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0.49057081884738074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0.24065972830458965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0.18369921819729701</v>
      </c>
      <c r="H244" t="s">
        <v>31</v>
      </c>
      <c r="I244">
        <f>VLOOKUP(Table4[[#This Row],[Visitor]],'NHL Model'!$A$6:$B$38,2,FALSE)</f>
        <v>0.25846513585567971</v>
      </c>
      <c r="J244">
        <f>($B$1+Table4[[#This Row],[Home Differential]])-Table4[[#This Row],[Away Differential]]</f>
        <v>8.6480052129573881E-3</v>
      </c>
      <c r="K244" t="str">
        <f>IF(Table4[[#This Row],[HomeIce Differential]]&gt;0,Table4[[#This Row],[Home]],Table4[[#This Row],[Visitor]])</f>
        <v>Vegas Golden Knights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0.52017541051869176</v>
      </c>
      <c r="M244" t="str">
        <f>IF(OR((NHL2025_26Results[[#This Row],[Winning Team]]="")),"-",IF(Table4[[#This Row],[Predicted Winner]]=NHL2025_26Results[[#This Row],[Winning Team]],"YES","NO"))</f>
        <v>NO</v>
      </c>
      <c r="N244">
        <f>IF(Table4[[#This Row],[Adjusted Correct]]="-", "",IF(Table4[[#This Row],[Adjusted Correct]]="YES",(Table4[[#This Row],[Strength of Win]]-1)^2,(Table4[[#This Row],[Strength of Win]]-0)^2))</f>
        <v>0.27058245770828948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Vegas Golden Knights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0.25846513585567971</v>
      </c>
      <c r="H245" t="s">
        <v>40</v>
      </c>
      <c r="I245">
        <f>VLOOKUP(Table4[[#This Row],[Visitor]],'NHL Model'!$A$6:$B$38,2,FALSE)</f>
        <v>-7.6933210940904648E-2</v>
      </c>
      <c r="J245">
        <f>($B$1+Table4[[#This Row],[Home Differential]])-Table4[[#This Row],[Away Differential]]</f>
        <v>0.41881226966792445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0.65402032330467308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0.11970193668620294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0.85927171572006034</v>
      </c>
      <c r="H246" t="s">
        <v>32</v>
      </c>
      <c r="I246">
        <f>VLOOKUP(Table4[[#This Row],[Visitor]],'NHL Model'!$A$6:$B$38,2,FALSE)</f>
        <v>-0.51436416305402566</v>
      </c>
      <c r="J246">
        <f>($B$1+Table4[[#This Row],[Home Differential]])-Table4[[#This Row],[Away Differential]]</f>
        <v>1.4570498016454261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0.74205841975052778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6.6533858821594918E-2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-0.46779379272887778</v>
      </c>
      <c r="H247" t="s">
        <v>10</v>
      </c>
      <c r="I247">
        <f>VLOOKUP(Table4[[#This Row],[Visitor]],'NHL Model'!$A$6:$B$38,2,FALSE)</f>
        <v>-8.0981007952892342E-2</v>
      </c>
      <c r="J247">
        <f>($B$1+Table4[[#This Row],[Home Differential]])-Table4[[#This Row],[Away Differential]]</f>
        <v>-0.30339886190464538</v>
      </c>
      <c r="K247" t="str">
        <f>IF(Table4[[#This Row],[HomeIce Differential]]&gt;0,Table4[[#This Row],[Home]],Table4[[#This Row],[Visitor]])</f>
        <v>Chicago Blackhawks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0.48301869868033315</v>
      </c>
      <c r="M247" t="str">
        <f>IF(OR((NHL2025_26Results[[#This Row],[Winning Team]]="")),"-",IF(Table4[[#This Row],[Predicted Winner]]=NHL2025_26Results[[#This Row],[Winning Team]],"YES","NO"))</f>
        <v>YES</v>
      </c>
      <c r="N247">
        <f>IF(Table4[[#This Row],[Adjusted Correct]]="-", "",IF(Table4[[#This Row],[Adjusted Correct]]="YES",(Table4[[#This Row],[Strength of Win]]-1)^2,(Table4[[#This Row],[Strength of Win]]-0)^2))</f>
        <v>0.26726966591417622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5.5764706436567675E-2</v>
      </c>
      <c r="H248" t="s">
        <v>16</v>
      </c>
      <c r="I248">
        <f>VLOOKUP(Table4[[#This Row],[Visitor]],'NHL Model'!$A$6:$B$38,2,FALSE)</f>
        <v>-0.64492670113602302</v>
      </c>
      <c r="J248">
        <f>($B$1+Table4[[#This Row],[Home Differential]])-Table4[[#This Row],[Away Differential]]</f>
        <v>0.78410533044393071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0.62564960947382553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0.14013821488709935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-0.1785578406462007</v>
      </c>
      <c r="H249" t="s">
        <v>55</v>
      </c>
      <c r="I249">
        <f>VLOOKUP(Table4[[#This Row],[Visitor]],'NHL Model'!$A$6:$B$38,2,FALSE)</f>
        <v>0.16351124183791613</v>
      </c>
      <c r="J249">
        <f>($B$1+Table4[[#This Row],[Home Differential]])-Table4[[#This Row],[Away Differential]]</f>
        <v>-0.25865515961277674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0.4882534916535789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0.23839147211191145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0.26772485952910668</v>
      </c>
      <c r="H250" t="s">
        <v>13</v>
      </c>
      <c r="I250">
        <f>VLOOKUP(Table4[[#This Row],[Visitor]],'NHL Model'!$A$6:$B$38,2,FALSE)</f>
        <v>9.3318671190422225E-2</v>
      </c>
      <c r="J250">
        <f>($B$1+Table4[[#This Row],[Home Differential]])-Table4[[#This Row],[Away Differential]]</f>
        <v>0.25782011121002457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0.50184648794271181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0.2518498974604344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-3.2654449433805091E-2</v>
      </c>
      <c r="H251" t="s">
        <v>25</v>
      </c>
      <c r="I251">
        <f>VLOOKUP(Table4[[#This Row],[Visitor]],'NHL Model'!$A$6:$B$38,2,FALSE)</f>
        <v>0.63414563871719487</v>
      </c>
      <c r="J251">
        <f>($B$1+Table4[[#This Row],[Home Differential]])-Table4[[#This Row],[Away Differential]]</f>
        <v>-0.58338616527965992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0.59634776743490259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0.16293512485478748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-0.58187345243071342</v>
      </c>
      <c r="H252" t="s">
        <v>12</v>
      </c>
      <c r="I252">
        <f>VLOOKUP(Table4[[#This Row],[Visitor]],'NHL Model'!$A$6:$B$38,2,FALSE)</f>
        <v>1.7429147091761512</v>
      </c>
      <c r="J252">
        <f>($B$1+Table4[[#This Row],[Home Differential]])-Table4[[#This Row],[Away Differential]]</f>
        <v>-2.2413742387355247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0.77114619781142979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5.2374062776165221E-2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-0.17631503877657284</v>
      </c>
      <c r="H253" t="s">
        <v>28</v>
      </c>
      <c r="I253">
        <f>VLOOKUP(Table4[[#This Row],[Visitor]],'NHL Model'!$A$6:$B$38,2,FALSE)</f>
        <v>-0.21858969522472316</v>
      </c>
      <c r="J253">
        <f>($B$1+Table4[[#This Row],[Home Differential]])-Table4[[#This Row],[Away Differential]]</f>
        <v>0.1256885793194904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0.57283468083297451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0.18247020989906676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-3.0305407970040489E-4</v>
      </c>
      <c r="H254" t="s">
        <v>30</v>
      </c>
      <c r="I254">
        <f>VLOOKUP(Table4[[#This Row],[Visitor]],'NHL Model'!$A$6:$B$38,2,FALSE)</f>
        <v>0.42358825343066847</v>
      </c>
      <c r="J254">
        <f>($B$1+Table4[[#This Row],[Home Differential]])-Table4[[#This Row],[Away Differential]]</f>
        <v>-0.34047738463902882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0.53719111947943521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0.21419205988869841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0.21842521198061643</v>
      </c>
      <c r="H255" t="s">
        <v>29</v>
      </c>
      <c r="I255">
        <f>VLOOKUP(Table4[[#This Row],[Visitor]],'NHL Model'!$A$6:$B$38,2,FALSE)</f>
        <v>-0.8717103858022891</v>
      </c>
      <c r="J255">
        <f>($B$1+Table4[[#This Row],[Home Differential]])-Table4[[#This Row],[Away Differential]]</f>
        <v>1.1735495206542457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0.66818948454963822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0.11009821816343478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0.18369921819729701</v>
      </c>
      <c r="H256" t="s">
        <v>11</v>
      </c>
      <c r="I256">
        <f>VLOOKUP(Table4[[#This Row],[Visitor]],'NHL Model'!$A$6:$B$38,2,FALSE)</f>
        <v>-0.2331185823245894</v>
      </c>
      <c r="J256">
        <f>($B$1+Table4[[#This Row],[Home Differential]])-Table4[[#This Row],[Away Differential]]</f>
        <v>0.50023172339322652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0.59464144942209685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0.35359845337081214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0.2169753953839102</v>
      </c>
      <c r="H257" t="s">
        <v>19</v>
      </c>
      <c r="I257">
        <f>VLOOKUP(Table4[[#This Row],[Visitor]],'NHL Model'!$A$6:$B$38,2,FALSE)</f>
        <v>-3.2654449433805091E-2</v>
      </c>
      <c r="J257">
        <f>($B$1+Table4[[#This Row],[Home Differential]])-Table4[[#This Row],[Away Differential]]</f>
        <v>0.33304376768905536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0.63550766888982646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0.13285465943812838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0.63414563871719487</v>
      </c>
      <c r="H258" t="s">
        <v>22</v>
      </c>
      <c r="I258">
        <f>VLOOKUP(Table4[[#This Row],[Visitor]],'NHL Model'!$A$6:$B$38,2,FALSE)</f>
        <v>0.95632113049608625</v>
      </c>
      <c r="J258">
        <f>($B$1+Table4[[#This Row],[Home Differential]])-Table4[[#This Row],[Away Differential]]</f>
        <v>-0.23876156890755129</v>
      </c>
      <c r="K258" t="str">
        <f>IF(Table4[[#This Row],[HomeIce Differential]]&gt;0,Table4[[#This Row],[Home]],Table4[[#This Row],[Visitor]])</f>
        <v>Washington Capitals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0.49666870476715602</v>
      </c>
      <c r="M258" t="str">
        <f>IF(OR((NHL2025_26Results[[#This Row],[Winning Team]]="")),"-",IF(Table4[[#This Row],[Predicted Winner]]=NHL2025_26Results[[#This Row],[Winning Team]],"YES","NO"))</f>
        <v>YES</v>
      </c>
      <c r="N258">
        <f>IF(Table4[[#This Row],[Adjusted Correct]]="-", "",IF(Table4[[#This Row],[Adjusted Correct]]="YES",(Table4[[#This Row],[Strength of Win]]-1)^2,(Table4[[#This Row],[Strength of Win]]-0)^2))</f>
        <v>0.25334239276077231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1.7429147091761512</v>
      </c>
      <c r="H259" t="s">
        <v>31</v>
      </c>
      <c r="I259">
        <f>VLOOKUP(Table4[[#This Row],[Visitor]],'NHL Model'!$A$6:$B$38,2,FALSE)</f>
        <v>0.25846513585567971</v>
      </c>
      <c r="J259">
        <f>($B$1+Table4[[#This Row],[Home Differential]])-Table4[[#This Row],[Away Differential]]</f>
        <v>1.5678634961918114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0.79983272592935761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4.0066937608871665E-2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5.5764706436567675E-2</v>
      </c>
      <c r="H260" t="s">
        <v>33</v>
      </c>
      <c r="I260">
        <f>VLOOKUP(Table4[[#This Row],[Visitor]],'NHL Model'!$A$6:$B$38,2,FALSE)</f>
        <v>-0.38457853131220177</v>
      </c>
      <c r="J260">
        <f>($B$1+Table4[[#This Row],[Home Differential]])-Table4[[#This Row],[Away Differential]]</f>
        <v>0.52375716062010946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0.5972111864624543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0.35666120123589234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-0.23554590882174289</v>
      </c>
      <c r="H261" t="s">
        <v>13</v>
      </c>
      <c r="I261">
        <f>VLOOKUP(Table4[[#This Row],[Visitor]],'NHL Model'!$A$6:$B$38,2,FALSE)</f>
        <v>9.3318671190422225E-2</v>
      </c>
      <c r="J261">
        <f>($B$1+Table4[[#This Row],[Home Differential]])-Table4[[#This Row],[Away Differential]]</f>
        <v>-0.24545065714082506</v>
      </c>
      <c r="K261" t="str">
        <f>IF(Table4[[#This Row],[HomeIce Differential]]&gt;0,Table4[[#This Row],[Home]],Table4[[#This Row],[Visitor]])</f>
        <v>Los Angeles Kings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0.55312692327544422</v>
      </c>
      <c r="M261" t="str">
        <f>IF(OR((NHL2025_26Results[[#This Row],[Winning Team]]="")),"-",IF(Table4[[#This Row],[Predicted Winner]]=NHL2025_26Results[[#This Row],[Winning Team]],"YES","NO"))</f>
        <v>YES</v>
      </c>
      <c r="N261">
        <f>IF(Table4[[#This Row],[Adjusted Correct]]="-", "",IF(Table4[[#This Row],[Adjusted Correct]]="YES",(Table4[[#This Row],[Strength of Win]]-1)^2,(Table4[[#This Row],[Strength of Win]]-0)^2))</f>
        <v>0.19969554670127071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-0.1785578406462007</v>
      </c>
      <c r="H262" t="s">
        <v>39</v>
      </c>
      <c r="I262">
        <f>VLOOKUP(Table4[[#This Row],[Visitor]],'NHL Model'!$A$6:$B$38,2,FALSE)</f>
        <v>0.85927171572006034</v>
      </c>
      <c r="J262">
        <f>($B$1+Table4[[#This Row],[Home Differential]])-Table4[[#This Row],[Away Differential]]</f>
        <v>-0.95441563349492098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0.6567391792619961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0.11782799105372806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-0.51436416305402566</v>
      </c>
      <c r="H263" t="s">
        <v>28</v>
      </c>
      <c r="I263">
        <f>VLOOKUP(Table4[[#This Row],[Visitor]],'NHL Model'!$A$6:$B$38,2,FALSE)</f>
        <v>-0.21858969522472316</v>
      </c>
      <c r="J263">
        <f>($B$1+Table4[[#This Row],[Home Differential]])-Table4[[#This Row],[Away Differential]]</f>
        <v>-0.21236054495796242</v>
      </c>
      <c r="K263" t="str">
        <f>IF(Table4[[#This Row],[HomeIce Differential]]&gt;0,Table4[[#This Row],[Home]],Table4[[#This Row],[Visitor]])</f>
        <v>Columbus Blue Jackets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0.48319662555157039</v>
      </c>
      <c r="M263" t="str">
        <f>IF(OR((NHL2025_26Results[[#This Row],[Winning Team]]="")),"-",IF(Table4[[#This Row],[Predicted Winner]]=NHL2025_26Results[[#This Row],[Winning Team]],"YES","NO"))</f>
        <v>YES</v>
      </c>
      <c r="N263">
        <f>IF(Table4[[#This Row],[Adjusted Correct]]="-", "",IF(Table4[[#This Row],[Adjusted Correct]]="YES",(Table4[[#This Row],[Strength of Win]]-1)^2,(Table4[[#This Row],[Strength of Win]]-0)^2))</f>
        <v>0.26708572784128376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-1.0071073873045386</v>
      </c>
      <c r="H264" t="s">
        <v>16</v>
      </c>
      <c r="I264">
        <f>VLOOKUP(Table4[[#This Row],[Visitor]],'NHL Model'!$A$6:$B$38,2,FALSE)</f>
        <v>-0.64492670113602302</v>
      </c>
      <c r="J264">
        <f>($B$1+Table4[[#This Row],[Home Differential]])-Table4[[#This Row],[Away Differential]]</f>
        <v>-0.27876676329717553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0.49045032788792242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0.24054152412537061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-0.58187345243071342</v>
      </c>
      <c r="H265" t="s">
        <v>40</v>
      </c>
      <c r="I265">
        <f>VLOOKUP(Table4[[#This Row],[Visitor]],'NHL Model'!$A$6:$B$38,2,FALSE)</f>
        <v>-7.6933210940904648E-2</v>
      </c>
      <c r="J265">
        <f>($B$1+Table4[[#This Row],[Home Differential]])-Table4[[#This Row],[Away Differential]]</f>
        <v>-0.42152631861846868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0.50604427896462678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0.24399225434357544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-8.0981007952892342E-2</v>
      </c>
      <c r="H266" t="s">
        <v>24</v>
      </c>
      <c r="I266">
        <f>VLOOKUP(Table4[[#This Row],[Visitor]],'NHL Model'!$A$6:$B$38,2,FALSE)</f>
        <v>-3.0305407970040489E-4</v>
      </c>
      <c r="J266">
        <f>($B$1+Table4[[#This Row],[Home Differential]])-Table4[[#This Row],[Away Differential]]</f>
        <v>2.7359689981481337E-3</v>
      </c>
      <c r="K266" t="str">
        <f>IF(Table4[[#This Row],[HomeIce Differential]]&gt;0,Table4[[#This Row],[Home]],Table4[[#This Row],[Visitor]])</f>
        <v>Chicago Blackhawks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0.53672269717895993</v>
      </c>
      <c r="M266" t="str">
        <f>IF(OR((NHL2025_26Results[[#This Row],[Winning Team]]="")),"-",IF(Table4[[#This Row],[Predicted Winner]]=NHL2025_26Results[[#This Row],[Winning Team]],"YES","NO"))</f>
        <v>NO</v>
      </c>
      <c r="N266">
        <f>IF(Table4[[#This Row],[Adjusted Correct]]="-", "",IF(Table4[[#This Row],[Adjusted Correct]]="YES",(Table4[[#This Row],[Strength of Win]]-1)^2,(Table4[[#This Row],[Strength of Win]]-0)^2))</f>
        <v>0.28807125366705755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5.7297532801941484E-2</v>
      </c>
      <c r="H267" t="s">
        <v>17</v>
      </c>
      <c r="I267">
        <f>VLOOKUP(Table4[[#This Row],[Visitor]],'NHL Model'!$A$6:$B$38,2,FALSE)</f>
        <v>-0.17631503877657284</v>
      </c>
      <c r="J267">
        <f>($B$1+Table4[[#This Row],[Home Differential]])-Table4[[#This Row],[Away Differential]]</f>
        <v>0.31702649444985442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0.6006672612306948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0.36080115871438373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0.67847982929669792</v>
      </c>
      <c r="H268" t="s">
        <v>15</v>
      </c>
      <c r="I268">
        <f>VLOOKUP(Table4[[#This Row],[Visitor]],'NHL Model'!$A$6:$B$38,2,FALSE)</f>
        <v>0.21842521198061643</v>
      </c>
      <c r="J268">
        <f>($B$1+Table4[[#This Row],[Home Differential]])-Table4[[#This Row],[Away Differential]]</f>
        <v>0.54346854018742152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0.49279206734543957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0.24284402163859226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0.16351124183791613</v>
      </c>
      <c r="H269" t="s">
        <v>23</v>
      </c>
      <c r="I269">
        <f>VLOOKUP(Table4[[#This Row],[Visitor]],'NHL Model'!$A$6:$B$38,2,FALSE)</f>
        <v>-0.32833039474346476</v>
      </c>
      <c r="J269">
        <f>($B$1+Table4[[#This Row],[Home Differential]])-Table4[[#This Row],[Away Differential]]</f>
        <v>0.57525555945272089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0.64326765119750229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0.12725796868214689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-0.21858969522472316</v>
      </c>
      <c r="H270" t="s">
        <v>17</v>
      </c>
      <c r="I270">
        <f>VLOOKUP(Table4[[#This Row],[Visitor]],'NHL Model'!$A$6:$B$38,2,FALSE)</f>
        <v>-0.17631503877657284</v>
      </c>
      <c r="J270">
        <f>($B$1+Table4[[#This Row],[Home Differential]])-Table4[[#This Row],[Away Differential]]</f>
        <v>4.1139266423189769E-2</v>
      </c>
      <c r="K270" t="str">
        <f>IF(Table4[[#This Row],[HomeIce Differential]]&gt;0,Table4[[#This Row],[Home]],Table4[[#This Row],[Visitor]])</f>
        <v>Columbus Blue Jackets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0.54449373568368808</v>
      </c>
      <c r="M270" t="str">
        <f>IF(OR((NHL2025_26Results[[#This Row],[Winning Team]]="")),"-",IF(Table4[[#This Row],[Predicted Winner]]=NHL2025_26Results[[#This Row],[Winning Team]],"YES","NO"))</f>
        <v>YES</v>
      </c>
      <c r="N270">
        <f>IF(Table4[[#This Row],[Adjusted Correct]]="-", "",IF(Table4[[#This Row],[Adjusted Correct]]="YES",(Table4[[#This Row],[Strength of Win]]-1)^2,(Table4[[#This Row],[Strength of Win]]-0)^2))</f>
        <v>0.20748595683140181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-0.64492670113602302</v>
      </c>
      <c r="H271" t="s">
        <v>33</v>
      </c>
      <c r="I271">
        <f>VLOOKUP(Table4[[#This Row],[Visitor]],'NHL Model'!$A$6:$B$38,2,FALSE)</f>
        <v>-0.38457853131220177</v>
      </c>
      <c r="J271">
        <f>($B$1+Table4[[#This Row],[Home Differential]])-Table4[[#This Row],[Away Differential]]</f>
        <v>-0.17693424695248117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0.47932693040799201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0.22975430621434803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1.7429147091761512</v>
      </c>
      <c r="H272" t="s">
        <v>23</v>
      </c>
      <c r="I272">
        <f>VLOOKUP(Table4[[#This Row],[Visitor]],'NHL Model'!$A$6:$B$38,2,FALSE)</f>
        <v>-0.32833039474346476</v>
      </c>
      <c r="J272">
        <f>($B$1+Table4[[#This Row],[Home Differential]])-Table4[[#This Row],[Away Differential]]</f>
        <v>2.1546590267909558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0.88317927425899101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1.364708196265604E-2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-0.46779379272887778</v>
      </c>
      <c r="H273" t="s">
        <v>31</v>
      </c>
      <c r="I273">
        <f>VLOOKUP(Table4[[#This Row],[Visitor]],'NHL Model'!$A$6:$B$38,2,FALSE)</f>
        <v>0.25846513585567971</v>
      </c>
      <c r="J273">
        <f>($B$1+Table4[[#This Row],[Home Differential]])-Table4[[#This Row],[Away Differential]]</f>
        <v>-0.64284500571321734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0.54080765806014275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0.2924729230164963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-0.2331185823245894</v>
      </c>
      <c r="H274" t="s">
        <v>22</v>
      </c>
      <c r="I274">
        <f>VLOOKUP(Table4[[#This Row],[Visitor]],'NHL Model'!$A$6:$B$38,2,FALSE)</f>
        <v>0.95632113049608625</v>
      </c>
      <c r="J274">
        <f>($B$1+Table4[[#This Row],[Home Differential]])-Table4[[#This Row],[Away Differential]]</f>
        <v>-1.1060257899493355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0.63495253127540463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0.40316471697304368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-0.23554590882174289</v>
      </c>
      <c r="H275" t="s">
        <v>39</v>
      </c>
      <c r="I275">
        <f>VLOOKUP(Table4[[#This Row],[Visitor]],'NHL Model'!$A$6:$B$38,2,FALSE)</f>
        <v>0.85927171572006034</v>
      </c>
      <c r="J275">
        <f>($B$1+Table4[[#This Row],[Home Differential]])-Table4[[#This Row],[Away Differential]]</f>
        <v>-1.0114037016704631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0.66296411562499657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0.11359318735644068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-0.1785578406462007</v>
      </c>
      <c r="H276" t="s">
        <v>21</v>
      </c>
      <c r="I276">
        <f>VLOOKUP(Table4[[#This Row],[Visitor]],'NHL Model'!$A$6:$B$38,2,FALSE)</f>
        <v>0.2169753953839102</v>
      </c>
      <c r="J276">
        <f>($B$1+Table4[[#This Row],[Home Differential]])-Table4[[#This Row],[Away Differential]]</f>
        <v>-0.31211931315877084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0.49409350280293618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0.24412838951207511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-0.51436416305402566</v>
      </c>
      <c r="H277" t="s">
        <v>40</v>
      </c>
      <c r="I277">
        <f>VLOOKUP(Table4[[#This Row],[Visitor]],'NHL Model'!$A$6:$B$38,2,FALSE)</f>
        <v>-7.6933210940904648E-2</v>
      </c>
      <c r="J277">
        <f>($B$1+Table4[[#This Row],[Home Differential]])-Table4[[#This Row],[Away Differential]]</f>
        <v>-0.35401702924178091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0.49867008566881643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0.24867185434094471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-3.2654449433805091E-2</v>
      </c>
      <c r="H278" t="s">
        <v>13</v>
      </c>
      <c r="I278">
        <f>VLOOKUP(Table4[[#This Row],[Visitor]],'NHL Model'!$A$6:$B$38,2,FALSE)</f>
        <v>9.3318671190422225E-2</v>
      </c>
      <c r="J278">
        <f>($B$1+Table4[[#This Row],[Home Differential]])-Table4[[#This Row],[Away Differential]]</f>
        <v>-4.2559197752887246E-2</v>
      </c>
      <c r="K278" t="str">
        <f>IF(Table4[[#This Row],[HomeIce Differential]]&gt;0,Table4[[#This Row],[Home]],Table4[[#This Row],[Visitor]])</f>
        <v>Los Angeles Kings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0.53096462748756468</v>
      </c>
      <c r="M278" t="str">
        <f>IF(OR((NHL2025_26Results[[#This Row],[Winning Team]]="")),"-",IF(Table4[[#This Row],[Predicted Winner]]=NHL2025_26Results[[#This Row],[Winning Team]],"YES","NO"))</f>
        <v>YES</v>
      </c>
      <c r="N278">
        <f>IF(Table4[[#This Row],[Adjusted Correct]]="-", "",IF(Table4[[#This Row],[Adjusted Correct]]="YES",(Table4[[#This Row],[Strength of Win]]-1)^2,(Table4[[#This Row],[Strength of Win]]-0)^2))</f>
        <v>0.21999418066787896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0.18369921819729701</v>
      </c>
      <c r="H279" t="s">
        <v>30</v>
      </c>
      <c r="I279">
        <f>VLOOKUP(Table4[[#This Row],[Visitor]],'NHL Model'!$A$6:$B$38,2,FALSE)</f>
        <v>0.42358825343066847</v>
      </c>
      <c r="J279">
        <f>($B$1+Table4[[#This Row],[Home Differential]])-Table4[[#This Row],[Away Differential]]</f>
        <v>-0.15647511236203138</v>
      </c>
      <c r="K279" t="str">
        <f>IF(Table4[[#This Row],[HomeIce Differential]]&gt;0,Table4[[#This Row],[Home]],Table4[[#This Row],[Visitor]])</f>
        <v>New York Islanders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0.56057039345154025</v>
      </c>
      <c r="M279" t="str">
        <f>IF(OR((NHL2025_26Results[[#This Row],[Winning Team]]="")),"-",IF(Table4[[#This Row],[Predicted Winner]]=NHL2025_26Results[[#This Row],[Winning Team]],"YES","NO"))</f>
        <v>YES</v>
      </c>
      <c r="N279">
        <f>IF(Table4[[#This Row],[Adjusted Correct]]="-", "",IF(Table4[[#This Row],[Adjusted Correct]]="YES",(Table4[[#This Row],[Strength of Win]]-1)^2,(Table4[[#This Row],[Strength of Win]]-0)^2))</f>
        <v>0.19309837911133415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0.63414563871719487</v>
      </c>
      <c r="H280" t="s">
        <v>38</v>
      </c>
      <c r="I280">
        <f>VLOOKUP(Table4[[#This Row],[Visitor]],'NHL Model'!$A$6:$B$38,2,FALSE)</f>
        <v>-0.58187345243071342</v>
      </c>
      <c r="J280">
        <f>($B$1+Table4[[#This Row],[Home Differential]])-Table4[[#This Row],[Away Differential]]</f>
        <v>1.2994330140192485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0.72484157938157123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7.5712156437228159E-2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-0.8717103858022891</v>
      </c>
      <c r="H281" t="s">
        <v>14</v>
      </c>
      <c r="I281">
        <f>VLOOKUP(Table4[[#This Row],[Visitor]],'NHL Model'!$A$6:$B$38,2,FALSE)</f>
        <v>0.26772485952910668</v>
      </c>
      <c r="J281">
        <f>($B$1+Table4[[#This Row],[Home Differential]])-Table4[[#This Row],[Away Differential]]</f>
        <v>-1.0560213224600556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0.629490429506528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0.3962582008403131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-1.0071073873045386</v>
      </c>
      <c r="H282" t="s">
        <v>27</v>
      </c>
      <c r="I282">
        <f>VLOOKUP(Table4[[#This Row],[Visitor]],'NHL Model'!$A$6:$B$38,2,FALSE)</f>
        <v>5.7297532801941484E-2</v>
      </c>
      <c r="J282">
        <f>($B$1+Table4[[#This Row],[Home Differential]])-Table4[[#This Row],[Away Differential]]</f>
        <v>-0.98099099723514005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0.6096684416842707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0.15235872541718559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0.16351124183791613</v>
      </c>
      <c r="H283" t="s">
        <v>30</v>
      </c>
      <c r="I283">
        <f>VLOOKUP(Table4[[#This Row],[Visitor]],'NHL Model'!$A$6:$B$38,2,FALSE)</f>
        <v>0.42358825343066847</v>
      </c>
      <c r="J283">
        <f>($B$1+Table4[[#This Row],[Home Differential]])-Table4[[#This Row],[Away Differential]]</f>
        <v>-0.17666308872141229</v>
      </c>
      <c r="K283" t="str">
        <f>IF(Table4[[#This Row],[HomeIce Differential]]&gt;0,Table4[[#This Row],[Home]],Table4[[#This Row],[Visitor]])</f>
        <v>New York Islanders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0.52183538224338244</v>
      </c>
      <c r="M283" t="str">
        <f>IF(OR((NHL2025_26Results[[#This Row],[Winning Team]]="")),"-",IF(Table4[[#This Row],[Predicted Winner]]=NHL2025_26Results[[#This Row],[Winning Team]],"YES","NO"))</f>
        <v>YES</v>
      </c>
      <c r="N283">
        <f>IF(Table4[[#This Row],[Adjusted Correct]]="-", "",IF(Table4[[#This Row],[Adjusted Correct]]="YES",(Table4[[#This Row],[Strength of Win]]-1)^2,(Table4[[#This Row],[Strength of Win]]-0)^2))</f>
        <v>0.2286414016743322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0.63414563871719487</v>
      </c>
      <c r="H284" t="s">
        <v>17</v>
      </c>
      <c r="I284">
        <f>VLOOKUP(Table4[[#This Row],[Visitor]],'NHL Model'!$A$6:$B$38,2,FALSE)</f>
        <v>-0.17631503877657284</v>
      </c>
      <c r="J284">
        <f>($B$1+Table4[[#This Row],[Home Differential]])-Table4[[#This Row],[Away Differential]]</f>
        <v>0.8938746003651078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0.68054151101112015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0.46313674820929857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-0.21858969522472316</v>
      </c>
      <c r="H285" t="s">
        <v>15</v>
      </c>
      <c r="I285">
        <f>VLOOKUP(Table4[[#This Row],[Visitor]],'NHL Model'!$A$6:$B$38,2,FALSE)</f>
        <v>0.21842521198061643</v>
      </c>
      <c r="J285">
        <f>($B$1+Table4[[#This Row],[Home Differential]])-Table4[[#This Row],[Away Differential]]</f>
        <v>-0.3536009843339995</v>
      </c>
      <c r="K285" t="str">
        <f>IF(Table4[[#This Row],[HomeIce Differential]]&gt;0,Table4[[#This Row],[Home]],Table4[[#This Row],[Visitor]])</f>
        <v>New York Rangers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0.60519687809717027</v>
      </c>
      <c r="M285" t="str">
        <f>IF(OR((NHL2025_26Results[[#This Row],[Winning Team]]="")),"-",IF(Table4[[#This Row],[Predicted Winner]]=NHL2025_26Results[[#This Row],[Winning Team]],"YES","NO"))</f>
        <v>YES</v>
      </c>
      <c r="N285">
        <f>IF(Table4[[#This Row],[Adjusted Correct]]="-", "",IF(Table4[[#This Row],[Adjusted Correct]]="YES",(Table4[[#This Row],[Strength of Win]]-1)^2,(Table4[[#This Row],[Strength of Win]]-0)^2))</f>
        <v>0.15586950506422065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-0.64492670113602302</v>
      </c>
      <c r="H286" t="s">
        <v>40</v>
      </c>
      <c r="I286">
        <f>VLOOKUP(Table4[[#This Row],[Visitor]],'NHL Model'!$A$6:$B$38,2,FALSE)</f>
        <v>-7.6933210940904648E-2</v>
      </c>
      <c r="J286">
        <f>($B$1+Table4[[#This Row],[Home Differential]])-Table4[[#This Row],[Away Differential]]</f>
        <v>-0.48457956732377827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0.5129317287981946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0.23723550081151545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-8.0981007952892342E-2</v>
      </c>
      <c r="H287" t="s">
        <v>19</v>
      </c>
      <c r="I287">
        <f>VLOOKUP(Table4[[#This Row],[Visitor]],'NHL Model'!$A$6:$B$38,2,FALSE)</f>
        <v>-3.2654449433805091E-2</v>
      </c>
      <c r="J287">
        <f>($B$1+Table4[[#This Row],[Home Differential]])-Table4[[#This Row],[Away Differential]]</f>
        <v>3.508736435225282E-2</v>
      </c>
      <c r="K287" t="str">
        <f>IF(Table4[[#This Row],[HomeIce Differential]]&gt;0,Table4[[#This Row],[Home]],Table4[[#This Row],[Visitor]])</f>
        <v>Chicago Blackhawks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0.54383267264939372</v>
      </c>
      <c r="M287" t="str">
        <f>IF(OR((NHL2025_26Results[[#This Row],[Winning Team]]="")),"-",IF(Table4[[#This Row],[Predicted Winner]]=NHL2025_26Results[[#This Row],[Winning Team]],"YES","NO"))</f>
        <v>YES</v>
      </c>
      <c r="N287">
        <f>IF(Table4[[#This Row],[Adjusted Correct]]="-", "",IF(Table4[[#This Row],[Adjusted Correct]]="YES",(Table4[[#This Row],[Strength of Win]]-1)^2,(Table4[[#This Row],[Strength of Win]]-0)^2))</f>
        <v>0.20808863054219517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0.85927171572006034</v>
      </c>
      <c r="H288" t="s">
        <v>27</v>
      </c>
      <c r="I288">
        <f>VLOOKUP(Table4[[#This Row],[Visitor]],'NHL Model'!$A$6:$B$38,2,FALSE)</f>
        <v>5.7297532801941484E-2</v>
      </c>
      <c r="J288">
        <f>($B$1+Table4[[#This Row],[Home Differential]])-Table4[[#This Row],[Away Differential]]</f>
        <v>0.88538810578945892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0.63769656405085995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0.13126377970055264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-0.46779379272887778</v>
      </c>
      <c r="H289" t="s">
        <v>23</v>
      </c>
      <c r="I289">
        <f>VLOOKUP(Table4[[#This Row],[Visitor]],'NHL Model'!$A$6:$B$38,2,FALSE)</f>
        <v>-0.32833039474346476</v>
      </c>
      <c r="J289">
        <f>($B$1+Table4[[#This Row],[Home Differential]])-Table4[[#This Row],[Away Differential]]</f>
        <v>-5.6049475114072933E-2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0.45600016231837731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0.29593582339763175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-0.2331185823245894</v>
      </c>
      <c r="H290" t="s">
        <v>37</v>
      </c>
      <c r="I290">
        <f>VLOOKUP(Table4[[#This Row],[Visitor]],'NHL Model'!$A$6:$B$38,2,FALSE)</f>
        <v>0.67847982929669792</v>
      </c>
      <c r="J290">
        <f>($B$1+Table4[[#This Row],[Home Differential]])-Table4[[#This Row],[Away Differential]]</f>
        <v>-0.82818448874994721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0.62308764534544636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0.14206292309124002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5.5764706436567675E-2</v>
      </c>
      <c r="H291" t="s">
        <v>31</v>
      </c>
      <c r="I291">
        <f>VLOOKUP(Table4[[#This Row],[Visitor]],'NHL Model'!$A$6:$B$38,2,FALSE)</f>
        <v>0.25846513585567971</v>
      </c>
      <c r="J291">
        <f>($B$1+Table4[[#This Row],[Home Differential]])-Table4[[#This Row],[Away Differential]]</f>
        <v>-0.11928650654777195</v>
      </c>
      <c r="K291" t="str">
        <f>IF(Table4[[#This Row],[HomeIce Differential]]&gt;0,Table4[[#This Row],[Home]],Table4[[#This Row],[Visitor]])</f>
        <v>Anaheim Ducks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0.49379916731554807</v>
      </c>
      <c r="M291" t="str">
        <f>IF(OR((NHL2025_26Results[[#This Row],[Winning Team]]="")),"-",IF(Table4[[#This Row],[Predicted Winner]]=NHL2025_26Results[[#This Row],[Winning Team]],"YES","NO"))</f>
        <v>NO</v>
      </c>
      <c r="N291">
        <f>IF(Table4[[#This Row],[Adjusted Correct]]="-", "",IF(Table4[[#This Row],[Adjusted Correct]]="YES",(Table4[[#This Row],[Strength of Win]]-1)^2,(Table4[[#This Row],[Strength of Win]]-0)^2))</f>
        <v>0.24383761764152864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-0.23554590882174289</v>
      </c>
      <c r="H292" t="s">
        <v>21</v>
      </c>
      <c r="I292">
        <f>VLOOKUP(Table4[[#This Row],[Visitor]],'NHL Model'!$A$6:$B$38,2,FALSE)</f>
        <v>0.2169753953839102</v>
      </c>
      <c r="J292">
        <f>($B$1+Table4[[#This Row],[Home Differential]])-Table4[[#This Row],[Away Differential]]</f>
        <v>-0.36910738133431303</v>
      </c>
      <c r="K292" t="str">
        <f>IF(Table4[[#This Row],[HomeIce Differential]]&gt;0,Table4[[#This Row],[Home]],Table4[[#This Row],[Visitor]])</f>
        <v>Boston Bruins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0.50031843916593666</v>
      </c>
      <c r="M292" t="str">
        <f>IF(OR((NHL2025_26Results[[#This Row],[Winning Team]]="")),"-",IF(Table4[[#This Row],[Predicted Winner]]=NHL2025_26Results[[#This Row],[Winning Team]],"YES","NO"))</f>
        <v>YES</v>
      </c>
      <c r="N292">
        <f>IF(Table4[[#This Row],[Adjusted Correct]]="-", "",IF(Table4[[#This Row],[Adjusted Correct]]="YES",(Table4[[#This Row],[Strength of Win]]-1)^2,(Table4[[#This Row],[Strength of Win]]-0)^2))</f>
        <v>0.24968166223756574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-0.1785578406462007</v>
      </c>
      <c r="H293" t="s">
        <v>13</v>
      </c>
      <c r="I293">
        <f>VLOOKUP(Table4[[#This Row],[Visitor]],'NHL Model'!$A$6:$B$38,2,FALSE)</f>
        <v>9.3318671190422225E-2</v>
      </c>
      <c r="J293">
        <f>($B$1+Table4[[#This Row],[Home Differential]])-Table4[[#This Row],[Away Differential]]</f>
        <v>-0.18846258896528284</v>
      </c>
      <c r="K293" t="str">
        <f>IF(Table4[[#This Row],[HomeIce Differential]]&gt;0,Table4[[#This Row],[Home]],Table4[[#This Row],[Visitor]])</f>
        <v>Los Angeles Kings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0.54690198691244374</v>
      </c>
      <c r="M293" t="str">
        <f>IF(OR((NHL2025_26Results[[#This Row],[Winning Team]]="")),"-",IF(Table4[[#This Row],[Predicted Winner]]=NHL2025_26Results[[#This Row],[Winning Team]],"YES","NO"))</f>
        <v>YES</v>
      </c>
      <c r="N293">
        <f>IF(Table4[[#This Row],[Adjusted Correct]]="-", "",IF(Table4[[#This Row],[Adjusted Correct]]="YES",(Table4[[#This Row],[Strength of Win]]-1)^2,(Table4[[#This Row],[Strength of Win]]-0)^2))</f>
        <v>0.20529780946389131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-0.51436416305402566</v>
      </c>
      <c r="H294" t="s">
        <v>33</v>
      </c>
      <c r="I294">
        <f>VLOOKUP(Table4[[#This Row],[Visitor]],'NHL Model'!$A$6:$B$38,2,FALSE)</f>
        <v>-0.38457853131220177</v>
      </c>
      <c r="J294">
        <f>($B$1+Table4[[#This Row],[Home Differential]])-Table4[[#This Row],[Away Differential]]</f>
        <v>-4.6371708870483808E-2</v>
      </c>
      <c r="K294" t="str">
        <f>IF(Table4[[#This Row],[HomeIce Differential]]&gt;0,Table4[[#This Row],[Home]],Table4[[#This Row],[Visitor]])</f>
        <v>San Jose Sharks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0.46506528727861374</v>
      </c>
      <c r="M294" t="str">
        <f>IF(OR((NHL2025_26Results[[#This Row],[Winning Team]]="")),"-",IF(Table4[[#This Row],[Predicted Winner]]=NHL2025_26Results[[#This Row],[Winning Team]],"YES","NO"))</f>
        <v>NO</v>
      </c>
      <c r="N294">
        <f>IF(Table4[[#This Row],[Adjusted Correct]]="-", "",IF(Table4[[#This Row],[Adjusted Correct]]="YES",(Table4[[#This Row],[Strength of Win]]-1)^2,(Table4[[#This Row],[Strength of Win]]-0)^2))</f>
        <v>0.21628572143153951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-1.0071073873045386</v>
      </c>
      <c r="H295" t="s">
        <v>20</v>
      </c>
      <c r="I295">
        <f>VLOOKUP(Table4[[#This Row],[Visitor]],'NHL Model'!$A$6:$B$38,2,FALSE)</f>
        <v>0.18369921819729701</v>
      </c>
      <c r="J295">
        <f>($B$1+Table4[[#This Row],[Home Differential]])-Table4[[#This Row],[Away Differential]]</f>
        <v>-1.1073926826304956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0.60173225336183911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0.15861719801223831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0.95632113049608625</v>
      </c>
      <c r="H296" t="s">
        <v>24</v>
      </c>
      <c r="I296">
        <f>VLOOKUP(Table4[[#This Row],[Visitor]],'NHL Model'!$A$6:$B$38,2,FALSE)</f>
        <v>-3.0305407970040489E-4</v>
      </c>
      <c r="J296">
        <f>($B$1+Table4[[#This Row],[Home Differential]])-Table4[[#This Row],[Away Differential]]</f>
        <v>1.0400381074471268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0.67610572908018596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0.45711895689504983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1.7429147091761512</v>
      </c>
      <c r="H297" t="s">
        <v>30</v>
      </c>
      <c r="I297">
        <f>VLOOKUP(Table4[[#This Row],[Visitor]],'NHL Model'!$A$6:$B$38,2,FALSE)</f>
        <v>0.42358825343066847</v>
      </c>
      <c r="J297">
        <f>($B$1+Table4[[#This Row],[Home Differential]])-Table4[[#This Row],[Away Differential]]</f>
        <v>1.4027403786168227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0.72149020614485826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7.7567705273233548E-2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5.5764706436567675E-2</v>
      </c>
      <c r="H298" t="s">
        <v>20</v>
      </c>
      <c r="I298">
        <f>VLOOKUP(Table4[[#This Row],[Visitor]],'NHL Model'!$A$6:$B$38,2,FALSE)</f>
        <v>0.18369921819729701</v>
      </c>
      <c r="J298">
        <f>($B$1+Table4[[#This Row],[Home Differential]])-Table4[[#This Row],[Away Differential]]</f>
        <v>-4.4520588889389257E-2</v>
      </c>
      <c r="K298" t="str">
        <f>IF(Table4[[#This Row],[HomeIce Differential]]&gt;0,Table4[[#This Row],[Home]],Table4[[#This Row],[Visitor]])</f>
        <v>Vegas Golden Knights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0.48563231600009127</v>
      </c>
      <c r="M298" t="str">
        <f>IF(OR((NHL2025_26Results[[#This Row],[Winning Team]]="")),"-",IF(Table4[[#This Row],[Predicted Winner]]=NHL2025_26Results[[#This Row],[Winning Team]],"YES","NO"))</f>
        <v>NO</v>
      </c>
      <c r="N298">
        <f>IF(Table4[[#This Row],[Adjusted Correct]]="-", "",IF(Table4[[#This Row],[Adjusted Correct]]="YES",(Table4[[#This Row],[Strength of Win]]-1)^2,(Table4[[#This Row],[Strength of Win]]-0)^2))</f>
        <v>0.23583874634361252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0.21842521198061643</v>
      </c>
      <c r="H299" t="s">
        <v>26</v>
      </c>
      <c r="I299">
        <f>VLOOKUP(Table4[[#This Row],[Visitor]],'NHL Model'!$A$6:$B$38,2,FALSE)</f>
        <v>-0.46779379272887778</v>
      </c>
      <c r="J299">
        <f>($B$1+Table4[[#This Row],[Home Differential]])-Table4[[#This Row],[Away Differential]]</f>
        <v>0.76963292758083424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0.6232392628896205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0.38842717880719752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0.26772485952910668</v>
      </c>
      <c r="H300" t="s">
        <v>29</v>
      </c>
      <c r="I300">
        <f>VLOOKUP(Table4[[#This Row],[Visitor]],'NHL Model'!$A$6:$B$38,2,FALSE)</f>
        <v>-0.8717103858022891</v>
      </c>
      <c r="J300">
        <f>($B$1+Table4[[#This Row],[Home Differential]])-Table4[[#This Row],[Away Differential]]</f>
        <v>1.2228491682027358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0.67357459723256663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0.1065535435718811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0.67847982929669792</v>
      </c>
      <c r="H301" t="s">
        <v>38</v>
      </c>
      <c r="I301">
        <f>VLOOKUP(Table4[[#This Row],[Visitor]],'NHL Model'!$A$6:$B$38,2,FALSE)</f>
        <v>-0.58187345243071342</v>
      </c>
      <c r="J301">
        <f>($B$1+Table4[[#This Row],[Home Differential]])-Table4[[#This Row],[Away Differential]]</f>
        <v>1.3437672045987514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0.68678274949674911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0.47167054500631445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0.25846513585567971</v>
      </c>
      <c r="H302" t="s">
        <v>55</v>
      </c>
      <c r="I302">
        <f>VLOOKUP(Table4[[#This Row],[Visitor]],'NHL Model'!$A$6:$B$38,2,FALSE)</f>
        <v>0.16351124183791613</v>
      </c>
      <c r="J302">
        <f>($B$1+Table4[[#This Row],[Home Differential]])-Table4[[#This Row],[Away Differential]]</f>
        <v>0.17836781688910366</v>
      </c>
      <c r="K302" t="str">
        <f>IF(Table4[[#This Row],[HomeIce Differential]]&gt;0,Table4[[#This Row],[Home]],Table4[[#This Row],[Visitor]])</f>
        <v>Anaheim Ducks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0.62775602859697854</v>
      </c>
      <c r="M302" t="str">
        <f>IF(OR((NHL2025_26Results[[#This Row],[Winning Team]]="")),"-",IF(Table4[[#This Row],[Predicted Winner]]=NHL2025_26Results[[#This Row],[Winning Team]],"YES","NO"))</f>
        <v>YES</v>
      </c>
      <c r="N302">
        <f>IF(Table4[[#This Row],[Adjusted Correct]]="-", "",IF(Table4[[#This Row],[Adjusted Correct]]="YES",(Table4[[#This Row],[Strength of Win]]-1)^2,(Table4[[#This Row],[Strength of Win]]-0)^2))</f>
        <v>0.13856557424589347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0.2169753953839102</v>
      </c>
      <c r="H303" t="s">
        <v>25</v>
      </c>
      <c r="I303">
        <f>VLOOKUP(Table4[[#This Row],[Visitor]],'NHL Model'!$A$6:$B$38,2,FALSE)</f>
        <v>0.63414563871719487</v>
      </c>
      <c r="J303">
        <f>($B$1+Table4[[#This Row],[Home Differential]])-Table4[[#This Row],[Away Differential]]</f>
        <v>-0.33375632046194459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0.50878168559284254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0.241295432409009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-0.32833039474346476</v>
      </c>
      <c r="H304" t="s">
        <v>17</v>
      </c>
      <c r="I304">
        <f>VLOOKUP(Table4[[#This Row],[Visitor]],'NHL Model'!$A$6:$B$38,2,FALSE)</f>
        <v>-0.17631503877657284</v>
      </c>
      <c r="J304">
        <f>($B$1+Table4[[#This Row],[Home Differential]])-Table4[[#This Row],[Away Differential]]</f>
        <v>-6.8601433095551834E-2</v>
      </c>
      <c r="K304" t="str">
        <f>IF(Table4[[#This Row],[HomeIce Differential]]&gt;0,Table4[[#This Row],[Home]],Table4[[#This Row],[Visitor]])</f>
        <v>Edmonton Oilers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0.45737124125063872</v>
      </c>
      <c r="M304" t="str">
        <f>IF(OR((NHL2025_26Results[[#This Row],[Winning Team]]="")),"-",IF(Table4[[#This Row],[Predicted Winner]]=NHL2025_26Results[[#This Row],[Winning Team]],"YES","NO"))</f>
        <v>NO</v>
      </c>
      <c r="N304">
        <f>IF(Table4[[#This Row],[Adjusted Correct]]="-", "",IF(Table4[[#This Row],[Adjusted Correct]]="YES",(Table4[[#This Row],[Strength of Win]]-1)^2,(Table4[[#This Row],[Strength of Win]]-0)^2))</f>
        <v>0.20918845232314998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-0.21858969522472316</v>
      </c>
      <c r="H305" t="s">
        <v>18</v>
      </c>
      <c r="I305">
        <f>VLOOKUP(Table4[[#This Row],[Visitor]],'NHL Model'!$A$6:$B$38,2,FALSE)</f>
        <v>-0.23554590882174289</v>
      </c>
      <c r="J305">
        <f>($B$1+Table4[[#This Row],[Home Differential]])-Table4[[#This Row],[Away Differential]]</f>
        <v>0.10037013646835982</v>
      </c>
      <c r="K305" t="str">
        <f>IF(Table4[[#This Row],[HomeIce Differential]]&gt;0,Table4[[#This Row],[Home]],Table4[[#This Row],[Visitor]])</f>
        <v>Columbus Blue Jackets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0.47834048929054096</v>
      </c>
      <c r="M305" t="str">
        <f>IF(OR((NHL2025_26Results[[#This Row],[Winning Team]]="")),"-",IF(Table4[[#This Row],[Predicted Winner]]=NHL2025_26Results[[#This Row],[Winning Team]],"YES","NO"))</f>
        <v>YES</v>
      </c>
      <c r="N305">
        <f>IF(Table4[[#This Row],[Adjusted Correct]]="-", "",IF(Table4[[#This Row],[Adjusted Correct]]="YES",(Table4[[#This Row],[Strength of Win]]-1)^2,(Table4[[#This Row],[Strength of Win]]-0)^2))</f>
        <v>0.27212864511363222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-0.2331185823245894</v>
      </c>
      <c r="H306" t="s">
        <v>38</v>
      </c>
      <c r="I306">
        <f>VLOOKUP(Table4[[#This Row],[Visitor]],'NHL Model'!$A$6:$B$38,2,FALSE)</f>
        <v>-0.58187345243071342</v>
      </c>
      <c r="J306">
        <f>($B$1+Table4[[#This Row],[Home Differential]])-Table4[[#This Row],[Away Differential]]</f>
        <v>0.43216879297746408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0.5872067806557798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0.1703982419365655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0.95632113049608625</v>
      </c>
      <c r="H307" t="s">
        <v>13</v>
      </c>
      <c r="I307">
        <f>VLOOKUP(Table4[[#This Row],[Visitor]],'NHL Model'!$A$6:$B$38,2,FALSE)</f>
        <v>9.3318671190422225E-2</v>
      </c>
      <c r="J307">
        <f>($B$1+Table4[[#This Row],[Home Differential]])-Table4[[#This Row],[Away Differential]]</f>
        <v>0.94641638217700408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0.60337921499296265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0.15730804709959853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-8.0981007952892342E-2</v>
      </c>
      <c r="H308" t="s">
        <v>16</v>
      </c>
      <c r="I308">
        <f>VLOOKUP(Table4[[#This Row],[Visitor]],'NHL Model'!$A$6:$B$38,2,FALSE)</f>
        <v>-0.64492670113602302</v>
      </c>
      <c r="J308">
        <f>($B$1+Table4[[#This Row],[Home Differential]])-Table4[[#This Row],[Away Differential]]</f>
        <v>0.64735961605447079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0.61071256392658313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0.15154470788461463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0.85927171572006034</v>
      </c>
      <c r="H309" t="s">
        <v>30</v>
      </c>
      <c r="I309">
        <f>VLOOKUP(Table4[[#This Row],[Visitor]],'NHL Model'!$A$6:$B$38,2,FALSE)</f>
        <v>0.42358825343066847</v>
      </c>
      <c r="J309">
        <f>($B$1+Table4[[#This Row],[Home Differential]])-Table4[[#This Row],[Away Differential]]</f>
        <v>0.51909738516073189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0.55670218858572074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0.30991732677613137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-0.46779379272887778</v>
      </c>
      <c r="H310" t="s">
        <v>32</v>
      </c>
      <c r="I310">
        <f>VLOOKUP(Table4[[#This Row],[Visitor]],'NHL Model'!$A$6:$B$38,2,FALSE)</f>
        <v>-0.51436416305402566</v>
      </c>
      <c r="J310">
        <f>($B$1+Table4[[#This Row],[Home Differential]])-Table4[[#This Row],[Away Differential]]</f>
        <v>0.12998429319648797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0.56432072951349255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0.18981642673165533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-0.38457853131220177</v>
      </c>
      <c r="H311" t="s">
        <v>55</v>
      </c>
      <c r="I311">
        <f>VLOOKUP(Table4[[#This Row],[Visitor]],'NHL Model'!$A$6:$B$38,2,FALSE)</f>
        <v>0.16351124183791613</v>
      </c>
      <c r="J311">
        <f>($B$1+Table4[[#This Row],[Home Differential]])-Table4[[#This Row],[Away Differential]]</f>
        <v>-0.46467585027877778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0.51075760049451802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0.26087332646291767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0.67847982929669792</v>
      </c>
      <c r="H312" t="s">
        <v>24</v>
      </c>
      <c r="I312">
        <f>VLOOKUP(Table4[[#This Row],[Visitor]],'NHL Model'!$A$6:$B$38,2,FALSE)</f>
        <v>-3.0305407970040489E-4</v>
      </c>
      <c r="J312">
        <f>($B$1+Table4[[#This Row],[Home Differential]])-Table4[[#This Row],[Away Differential]]</f>
        <v>0.76219680624773845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0.61968033258269384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0.14464304942441036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-3.2654449433805091E-2</v>
      </c>
      <c r="H313" t="s">
        <v>35</v>
      </c>
      <c r="I313">
        <f>VLOOKUP(Table4[[#This Row],[Visitor]],'NHL Model'!$A$6:$B$38,2,FALSE)</f>
        <v>-1.0071073873045386</v>
      </c>
      <c r="J313">
        <f>($B$1+Table4[[#This Row],[Home Differential]])-Table4[[#This Row],[Away Differential]]</f>
        <v>1.0578668607420736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0.65555320437187015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0.11864359501848666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0.18369921819729701</v>
      </c>
      <c r="H314" t="s">
        <v>15</v>
      </c>
      <c r="I314">
        <f>VLOOKUP(Table4[[#This Row],[Visitor]],'NHL Model'!$A$6:$B$38,2,FALSE)</f>
        <v>0.21842521198061643</v>
      </c>
      <c r="J314">
        <f>($B$1+Table4[[#This Row],[Home Differential]])-Table4[[#This Row],[Away Differential]]</f>
        <v>4.8687929088020665E-2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0.43874605532318778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0.31500599041528221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-7.6933210940904648E-2</v>
      </c>
      <c r="H315" t="s">
        <v>28</v>
      </c>
      <c r="I315">
        <f>VLOOKUP(Table4[[#This Row],[Visitor]],'NHL Model'!$A$6:$B$38,2,FALSE)</f>
        <v>-0.21858969522472316</v>
      </c>
      <c r="J315">
        <f>($B$1+Table4[[#This Row],[Home Differential]])-Table4[[#This Row],[Away Differential]]</f>
        <v>0.22507040715515858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0.58369038403052931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0.17331369634864816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0.25846513585567971</v>
      </c>
      <c r="H316" t="s">
        <v>21</v>
      </c>
      <c r="I316">
        <f>VLOOKUP(Table4[[#This Row],[Visitor]],'NHL Model'!$A$6:$B$38,2,FALSE)</f>
        <v>0.2169753953839102</v>
      </c>
      <c r="J316">
        <f>($B$1+Table4[[#This Row],[Home Differential]])-Table4[[#This Row],[Away Differential]]</f>
        <v>0.12490366334310959</v>
      </c>
      <c r="K316" t="str">
        <f>IF(Table4[[#This Row],[HomeIce Differential]]&gt;0,Table4[[#This Row],[Home]],Table4[[#This Row],[Visitor]])</f>
        <v>Anaheim Ducks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0.62191601744762126</v>
      </c>
      <c r="M316" t="str">
        <f>IF(OR((NHL2025_26Results[[#This Row],[Winning Team]]="")),"-",IF(Table4[[#This Row],[Predicted Winner]]=NHL2025_26Results[[#This Row],[Winning Team]],"YES","NO"))</f>
        <v>YES</v>
      </c>
      <c r="N316">
        <f>IF(Table4[[#This Row],[Adjusted Correct]]="-", "",IF(Table4[[#This Row],[Adjusted Correct]]="YES",(Table4[[#This Row],[Strength of Win]]-1)^2,(Table4[[#This Row],[Strength of Win]]-0)^2))</f>
        <v>0.14294749786266744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-0.32833039474346476</v>
      </c>
      <c r="H317" t="s">
        <v>16</v>
      </c>
      <c r="I317">
        <f>VLOOKUP(Table4[[#This Row],[Visitor]],'NHL Model'!$A$6:$B$38,2,FALSE)</f>
        <v>-0.64492670113602302</v>
      </c>
      <c r="J317">
        <f>($B$1+Table4[[#This Row],[Home Differential]])-Table4[[#This Row],[Away Differential]]</f>
        <v>0.40001022926389834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0.59381627695338035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0.35261777077477374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5.5764706436567675E-2</v>
      </c>
      <c r="H318" t="s">
        <v>25</v>
      </c>
      <c r="I318">
        <f>VLOOKUP(Table4[[#This Row],[Visitor]],'NHL Model'!$A$6:$B$38,2,FALSE)</f>
        <v>0.63414563871719487</v>
      </c>
      <c r="J318">
        <f>($B$1+Table4[[#This Row],[Home Differential]])-Table4[[#This Row],[Away Differential]]</f>
        <v>-0.49496700940928712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0.58668954184164568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0.34420461850636014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0.95632113049608625</v>
      </c>
      <c r="H319" t="s">
        <v>17</v>
      </c>
      <c r="I319">
        <f>VLOOKUP(Table4[[#This Row],[Visitor]],'NHL Model'!$A$6:$B$38,2,FALSE)</f>
        <v>-0.17631503877657284</v>
      </c>
      <c r="J319">
        <f>($B$1+Table4[[#This Row],[Home Differential]])-Table4[[#This Row],[Away Differential]]</f>
        <v>1.2160500921439992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0.69886965453244931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9.0679484961406417E-2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0.25846513585567971</v>
      </c>
      <c r="H320" t="s">
        <v>36</v>
      </c>
      <c r="I320">
        <f>VLOOKUP(Table4[[#This Row],[Visitor]],'NHL Model'!$A$6:$B$38,2,FALSE)</f>
        <v>-0.1785578406462007</v>
      </c>
      <c r="J320">
        <f>($B$1+Table4[[#This Row],[Home Differential]])-Table4[[#This Row],[Away Differential]]</f>
        <v>0.52043689937322046</v>
      </c>
      <c r="K320" t="str">
        <f>IF(Table4[[#This Row],[HomeIce Differential]]&gt;0,Table4[[#This Row],[Home]],Table4[[#This Row],[Visitor]])</f>
        <v>Anaheim Ducks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0.66168721644863104</v>
      </c>
      <c r="M320" t="str">
        <f>IF(OR((NHL2025_26Results[[#This Row],[Winning Team]]="")),"-",IF(Table4[[#This Row],[Predicted Winner]]=NHL2025_26Results[[#This Row],[Winning Team]],"YES","NO"))</f>
        <v>NO</v>
      </c>
      <c r="N320">
        <f>IF(Table4[[#This Row],[Adjusted Correct]]="-", "",IF(Table4[[#This Row],[Adjusted Correct]]="YES",(Table4[[#This Row],[Strength of Win]]-1)^2,(Table4[[#This Row],[Strength of Win]]-0)^2))</f>
        <v>0.43782997241153748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-8.0981007952892342E-2</v>
      </c>
      <c r="H321" t="s">
        <v>32</v>
      </c>
      <c r="I321">
        <f>VLOOKUP(Table4[[#This Row],[Visitor]],'NHL Model'!$A$6:$B$38,2,FALSE)</f>
        <v>-0.51436416305402566</v>
      </c>
      <c r="J321">
        <f>($B$1+Table4[[#This Row],[Home Differential]])-Table4[[#This Row],[Away Differential]]</f>
        <v>0.51679707797247343</v>
      </c>
      <c r="K321" t="str">
        <f>IF(Table4[[#This Row],[HomeIce Differential]]&gt;0,Table4[[#This Row],[Home]],Table4[[#This Row],[Visitor]])</f>
        <v>Chicago Blackhawks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0.59645092079720485</v>
      </c>
      <c r="M321" t="str">
        <f>IF(OR((NHL2025_26Results[[#This Row],[Winning Team]]="")),"-",IF(Table4[[#This Row],[Predicted Winner]]=NHL2025_26Results[[#This Row],[Winning Team]],"YES","NO"))</f>
        <v>NO</v>
      </c>
      <c r="N321">
        <f>IF(Table4[[#This Row],[Adjusted Correct]]="-", "",IF(Table4[[#This Row],[Adjusted Correct]]="YES",(Table4[[#This Row],[Strength of Win]]-1)^2,(Table4[[#This Row],[Strength of Win]]-0)^2))</f>
        <v>0.35575370091983355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1.7429147091761512</v>
      </c>
      <c r="H322" t="s">
        <v>15</v>
      </c>
      <c r="I322">
        <f>VLOOKUP(Table4[[#This Row],[Visitor]],'NHL Model'!$A$6:$B$38,2,FALSE)</f>
        <v>0.21842521198061643</v>
      </c>
      <c r="J322">
        <f>($B$1+Table4[[#This Row],[Home Differential]])-Table4[[#This Row],[Away Differential]]</f>
        <v>1.6079034200668747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0.72082445372671222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7.7938985636988645E-2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-0.46779379272887778</v>
      </c>
      <c r="H323" t="s">
        <v>30</v>
      </c>
      <c r="I323">
        <f>VLOOKUP(Table4[[#This Row],[Visitor]],'NHL Model'!$A$6:$B$38,2,FALSE)</f>
        <v>0.42358825343066847</v>
      </c>
      <c r="J323">
        <f>($B$1+Table4[[#This Row],[Home Differential]])-Table4[[#This Row],[Away Differential]]</f>
        <v>-0.80796812328820611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0.62158952996925587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0.14319448382888869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-0.2331185823245894</v>
      </c>
      <c r="H324" t="s">
        <v>24</v>
      </c>
      <c r="I324">
        <f>VLOOKUP(Table4[[#This Row],[Visitor]],'NHL Model'!$A$6:$B$38,2,FALSE)</f>
        <v>-3.0305407970040489E-4</v>
      </c>
      <c r="J324">
        <f>($B$1+Table4[[#This Row],[Home Differential]])-Table4[[#This Row],[Away Differential]]</f>
        <v>-0.14940160537354893</v>
      </c>
      <c r="K324" t="str">
        <f>IF(Table4[[#This Row],[HomeIce Differential]]&gt;0,Table4[[#This Row],[Home]],Table4[[#This Row],[Visitor]])</f>
        <v>New Jersey Devils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0.47989563625827536</v>
      </c>
      <c r="M324" t="str">
        <f>IF(OR((NHL2025_26Results[[#This Row],[Winning Team]]="")),"-",IF(Table4[[#This Row],[Predicted Winner]]=NHL2025_26Results[[#This Row],[Winning Team]],"YES","NO"))</f>
        <v>NO</v>
      </c>
      <c r="N324">
        <f>IF(Table4[[#This Row],[Adjusted Correct]]="-", "",IF(Table4[[#This Row],[Adjusted Correct]]="YES",(Table4[[#This Row],[Strength of Win]]-1)^2,(Table4[[#This Row],[Strength of Win]]-0)^2))</f>
        <v>0.23029982169973492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-0.23554590882174289</v>
      </c>
      <c r="H325" t="s">
        <v>22</v>
      </c>
      <c r="I325">
        <f>VLOOKUP(Table4[[#This Row],[Visitor]],'NHL Model'!$A$6:$B$38,2,FALSE)</f>
        <v>0.95632113049608625</v>
      </c>
      <c r="J325">
        <f>($B$1+Table4[[#This Row],[Home Differential]])-Table4[[#This Row],[Away Differential]]</f>
        <v>-1.108453116446489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0.63521767367206328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0.13306614560122132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5.7297532801941484E-2</v>
      </c>
      <c r="H326" t="s">
        <v>35</v>
      </c>
      <c r="I326">
        <f>VLOOKUP(Table4[[#This Row],[Visitor]],'NHL Model'!$A$6:$B$38,2,FALSE)</f>
        <v>-1.0071073873045386</v>
      </c>
      <c r="J326">
        <f>($B$1+Table4[[#This Row],[Home Differential]])-Table4[[#This Row],[Away Differential]]</f>
        <v>1.1478188429778202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0.69141659992601545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9.5223714801220813E-2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-0.38457853131220177</v>
      </c>
      <c r="H327" t="s">
        <v>13</v>
      </c>
      <c r="I327">
        <f>VLOOKUP(Table4[[#This Row],[Visitor]],'NHL Model'!$A$6:$B$38,2,FALSE)</f>
        <v>9.3318671190422225E-2</v>
      </c>
      <c r="J327">
        <f>($B$1+Table4[[#This Row],[Home Differential]])-Table4[[#This Row],[Away Differential]]</f>
        <v>-0.39448327963128393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0.56940609575338286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0.32422330188111059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0.67847982929669792</v>
      </c>
      <c r="H328" t="s">
        <v>17</v>
      </c>
      <c r="I328">
        <f>VLOOKUP(Table4[[#This Row],[Visitor]],'NHL Model'!$A$6:$B$38,2,FALSE)</f>
        <v>-0.17631503877657284</v>
      </c>
      <c r="J328">
        <f>($B$1+Table4[[#This Row],[Home Differential]])-Table4[[#This Row],[Away Differential]]</f>
        <v>0.93820879094461085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0.64248268112629803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0.1278186332946403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-3.2654449433805091E-2</v>
      </c>
      <c r="H329" t="s">
        <v>28</v>
      </c>
      <c r="I329">
        <f>VLOOKUP(Table4[[#This Row],[Visitor]],'NHL Model'!$A$6:$B$38,2,FALSE)</f>
        <v>-0.21858969522472316</v>
      </c>
      <c r="J329">
        <f>($B$1+Table4[[#This Row],[Home Differential]])-Table4[[#This Row],[Away Differential]]</f>
        <v>0.26934916866225811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0.56942162259624074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0.32424098428013565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0.16351124183791613</v>
      </c>
      <c r="H330" t="s">
        <v>20</v>
      </c>
      <c r="I330">
        <f>VLOOKUP(Table4[[#This Row],[Visitor]],'NHL Model'!$A$6:$B$38,2,FALSE)</f>
        <v>0.18369921819729701</v>
      </c>
      <c r="J330">
        <f>($B$1+Table4[[#This Row],[Home Differential]])-Table4[[#This Row],[Away Differential]]</f>
        <v>6.3225946511959175E-2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0.56690631400796165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0.3213827688620936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-0.58187345243071342</v>
      </c>
      <c r="H331" t="s">
        <v>39</v>
      </c>
      <c r="I331">
        <f>VLOOKUP(Table4[[#This Row],[Visitor]],'NHL Model'!$A$6:$B$38,2,FALSE)</f>
        <v>0.85927171572006034</v>
      </c>
      <c r="J331">
        <f>($B$1+Table4[[#This Row],[Home Differential]])-Table4[[#This Row],[Away Differential]]</f>
        <v>-1.3577312452794337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0.70079426128073852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8.9524074082538971E-2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-0.32833039474346476</v>
      </c>
      <c r="H332" t="s">
        <v>10</v>
      </c>
      <c r="I332">
        <f>VLOOKUP(Table4[[#This Row],[Visitor]],'NHL Model'!$A$6:$B$38,2,FALSE)</f>
        <v>-8.0981007952892342E-2</v>
      </c>
      <c r="J332">
        <f>($B$1+Table4[[#This Row],[Home Differential]])-Table4[[#This Row],[Away Differential]]</f>
        <v>-0.16393546391923233</v>
      </c>
      <c r="K332" t="str">
        <f>IF(Table4[[#This Row],[HomeIce Differential]]&gt;0,Table4[[#This Row],[Home]],Table4[[#This Row],[Visitor]])</f>
        <v>Chicago Blackhawks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0.46778479436982356</v>
      </c>
      <c r="M332" t="str">
        <f>IF(OR((NHL2025_26Results[[#This Row],[Winning Team]]="")),"-",IF(Table4[[#This Row],[Predicted Winner]]=NHL2025_26Results[[#This Row],[Winning Team]],"YES","NO"))</f>
        <v>NO</v>
      </c>
      <c r="N332">
        <f>IF(Table4[[#This Row],[Adjusted Correct]]="-", "",IF(Table4[[#This Row],[Adjusted Correct]]="YES",(Table4[[#This Row],[Strength of Win]]-1)^2,(Table4[[#This Row],[Strength of Win]]-0)^2))</f>
        <v>0.21882261384361812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9.3318671190422225E-2</v>
      </c>
      <c r="H333" t="s">
        <v>21</v>
      </c>
      <c r="I333">
        <f>VLOOKUP(Table4[[#This Row],[Visitor]],'NHL Model'!$A$6:$B$38,2,FALSE)</f>
        <v>0.2169753953839102</v>
      </c>
      <c r="J333">
        <f>($B$1+Table4[[#This Row],[Home Differential]])-Table4[[#This Row],[Away Differential]]</f>
        <v>-4.0242801322147914E-2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0.46439581276079744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0.28687184538816674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0.26772485952910668</v>
      </c>
      <c r="H334" t="s">
        <v>34</v>
      </c>
      <c r="I334">
        <f>VLOOKUP(Table4[[#This Row],[Visitor]],'NHL Model'!$A$6:$B$38,2,FALSE)</f>
        <v>5.5764706436567675E-2</v>
      </c>
      <c r="J334">
        <f>($B$1+Table4[[#This Row],[Home Differential]])-Table4[[#This Row],[Away Differential]]</f>
        <v>0.2953740759638791</v>
      </c>
      <c r="K334" t="str">
        <f>IF(Table4[[#This Row],[HomeIce Differential]]&gt;0,Table4[[#This Row],[Home]],Table4[[#This Row],[Visitor]])</f>
        <v>Pittsburgh Penguins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0.55149515167116814</v>
      </c>
      <c r="M334" t="str">
        <f>IF(OR((NHL2025_26Results[[#This Row],[Winning Team]]="")),"-",IF(Table4[[#This Row],[Predicted Winner]]=NHL2025_26Results[[#This Row],[Winning Team]],"YES","NO"))</f>
        <v>NO</v>
      </c>
      <c r="N334">
        <f>IF(Table4[[#This Row],[Adjusted Correct]]="-", "",IF(Table4[[#This Row],[Adjusted Correct]]="YES",(Table4[[#This Row],[Strength of Win]]-1)^2,(Table4[[#This Row],[Strength of Win]]-0)^2))</f>
        <v>0.30414690231680475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-7.6933210940904648E-2</v>
      </c>
      <c r="H335" t="s">
        <v>25</v>
      </c>
      <c r="I335">
        <f>VLOOKUP(Table4[[#This Row],[Visitor]],'NHL Model'!$A$6:$B$38,2,FALSE)</f>
        <v>0.63414563871719487</v>
      </c>
      <c r="J335">
        <f>($B$1+Table4[[#This Row],[Home Differential]])-Table4[[#This Row],[Away Differential]]</f>
        <v>-0.62766492678675945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0.58193025215988115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0.17478231405910055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0.25846513585567971</v>
      </c>
      <c r="H336" t="s">
        <v>20</v>
      </c>
      <c r="I336">
        <f>VLOOKUP(Table4[[#This Row],[Visitor]],'NHL Model'!$A$6:$B$38,2,FALSE)</f>
        <v>0.18369921819729701</v>
      </c>
      <c r="J336">
        <f>($B$1+Table4[[#This Row],[Home Differential]])-Table4[[#This Row],[Away Differential]]</f>
        <v>0.15817984052972278</v>
      </c>
      <c r="K336" t="str">
        <f>IF(Table4[[#This Row],[HomeIce Differential]]&gt;0,Table4[[#This Row],[Home]],Table4[[#This Row],[Visitor]])</f>
        <v>Anaheim Ducks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0.60551363803648295</v>
      </c>
      <c r="M336" t="str">
        <f>IF(OR((NHL2025_26Results[[#This Row],[Winning Team]]="")),"-",IF(Table4[[#This Row],[Predicted Winner]]=NHL2025_26Results[[#This Row],[Winning Team]],"YES","NO"))</f>
        <v>YES</v>
      </c>
      <c r="N336">
        <f>IF(Table4[[#This Row],[Adjusted Correct]]="-", "",IF(Table4[[#This Row],[Adjusted Correct]]="YES",(Table4[[#This Row],[Strength of Win]]-1)^2,(Table4[[#This Row],[Strength of Win]]-0)^2))</f>
        <v>0.15561948977521101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-0.64492670113602302</v>
      </c>
      <c r="H337" t="s">
        <v>39</v>
      </c>
      <c r="I337">
        <f>VLOOKUP(Table4[[#This Row],[Visitor]],'NHL Model'!$A$6:$B$38,2,FALSE)</f>
        <v>0.85927171572006034</v>
      </c>
      <c r="J337">
        <f>($B$1+Table4[[#This Row],[Home Differential]])-Table4[[#This Row],[Away Differential]]</f>
        <v>-1.4207844939847432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0.70768171111430644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0.50081340424567267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-0.46779379272887778</v>
      </c>
      <c r="H338" t="s">
        <v>28</v>
      </c>
      <c r="I338">
        <f>VLOOKUP(Table4[[#This Row],[Visitor]],'NHL Model'!$A$6:$B$38,2,FALSE)</f>
        <v>-0.21858969522472316</v>
      </c>
      <c r="J338">
        <f>($B$1+Table4[[#This Row],[Home Differential]])-Table4[[#This Row],[Away Differential]]</f>
        <v>-0.16579017463281454</v>
      </c>
      <c r="K338" t="str">
        <f>IF(Table4[[#This Row],[HomeIce Differential]]&gt;0,Table4[[#This Row],[Home]],Table4[[#This Row],[Visitor]])</f>
        <v>Columbus Blue Jackets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0.46798738864145711</v>
      </c>
      <c r="M338" t="str">
        <f>IF(OR((NHL2025_26Results[[#This Row],[Winning Team]]="")),"-",IF(Table4[[#This Row],[Predicted Winner]]=NHL2025_26Results[[#This Row],[Winning Team]],"YES","NO"))</f>
        <v>NO</v>
      </c>
      <c r="N338">
        <f>IF(Table4[[#This Row],[Adjusted Correct]]="-", "",IF(Table4[[#This Row],[Adjusted Correct]]="YES",(Table4[[#This Row],[Strength of Win]]-1)^2,(Table4[[#This Row],[Strength of Win]]-0)^2))</f>
        <v>0.21901219592745022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-0.2331185823245894</v>
      </c>
      <c r="H339" t="s">
        <v>17</v>
      </c>
      <c r="I339">
        <f>VLOOKUP(Table4[[#This Row],[Visitor]],'NHL Model'!$A$6:$B$38,2,FALSE)</f>
        <v>-0.17631503877657284</v>
      </c>
      <c r="J339">
        <f>($B$1+Table4[[#This Row],[Home Differential]])-Table4[[#This Row],[Away Differential]]</f>
        <v>2.6610379323323496E-2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0.54290671228532861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0.29474769824446456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-0.23554590882174289</v>
      </c>
      <c r="H340" t="s">
        <v>19</v>
      </c>
      <c r="I340">
        <f>VLOOKUP(Table4[[#This Row],[Visitor]],'NHL Model'!$A$6:$B$38,2,FALSE)</f>
        <v>-3.2654449433805091E-2</v>
      </c>
      <c r="J340">
        <f>($B$1+Table4[[#This Row],[Home Differential]])-Table4[[#This Row],[Away Differential]]</f>
        <v>-0.11947753651659775</v>
      </c>
      <c r="K340" t="str">
        <f>IF(Table4[[#This Row],[HomeIce Differential]]&gt;0,Table4[[#This Row],[Home]],Table4[[#This Row],[Visitor]])</f>
        <v>Toronto Maple Leafs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0.47305080318450032</v>
      </c>
      <c r="M340" t="str">
        <f>IF(OR((NHL2025_26Results[[#This Row],[Winning Team]]="")),"-",IF(Table4[[#This Row],[Predicted Winner]]=NHL2025_26Results[[#This Row],[Winning Team]],"YES","NO"))</f>
        <v>NO</v>
      </c>
      <c r="N340">
        <f>IF(Table4[[#This Row],[Adjusted Correct]]="-", "",IF(Table4[[#This Row],[Adjusted Correct]]="YES",(Table4[[#This Row],[Strength of Win]]-1)^2,(Table4[[#This Row],[Strength of Win]]-0)^2))</f>
        <v>0.22377706239350087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-0.8717103858022891</v>
      </c>
      <c r="H341" t="s">
        <v>12</v>
      </c>
      <c r="I341">
        <f>VLOOKUP(Table4[[#This Row],[Visitor]],'NHL Model'!$A$6:$B$38,2,FALSE)</f>
        <v>1.7429147091761512</v>
      </c>
      <c r="J341">
        <f>($B$1+Table4[[#This Row],[Home Differential]])-Table4[[#This Row],[Away Differential]]</f>
        <v>-2.5312111721071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0.80280574556671913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3.8885573981497515E-2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0.42358825343066847</v>
      </c>
      <c r="H342" t="s">
        <v>35</v>
      </c>
      <c r="I342">
        <f>VLOOKUP(Table4[[#This Row],[Visitor]],'NHL Model'!$A$6:$B$38,2,FALSE)</f>
        <v>-1.0071073873045386</v>
      </c>
      <c r="J342">
        <f>($B$1+Table4[[#This Row],[Home Differential]])-Table4[[#This Row],[Away Differential]]</f>
        <v>1.5141095636065471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0.7053896329847209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0.49757453432231924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5.7297532801941484E-2</v>
      </c>
      <c r="H343" t="s">
        <v>24</v>
      </c>
      <c r="I343">
        <f>VLOOKUP(Table4[[#This Row],[Visitor]],'NHL Model'!$A$6:$B$38,2,FALSE)</f>
        <v>-3.0305407970040489E-4</v>
      </c>
      <c r="J343">
        <f>($B$1+Table4[[#This Row],[Home Differential]])-Table4[[#This Row],[Away Differential]]</f>
        <v>0.14101450975298196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0.57790333577843156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0.17816559394697551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0.26772485952910668</v>
      </c>
      <c r="H344" t="s">
        <v>32</v>
      </c>
      <c r="I344">
        <f>VLOOKUP(Table4[[#This Row],[Visitor]],'NHL Model'!$A$6:$B$38,2,FALSE)</f>
        <v>-0.51436416305402566</v>
      </c>
      <c r="J344">
        <f>($B$1+Table4[[#This Row],[Home Differential]])-Table4[[#This Row],[Away Differential]]</f>
        <v>0.86550294545447248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0.63454085618146694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0.4026420981635091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-0.38457853131220177</v>
      </c>
      <c r="H345" t="s">
        <v>36</v>
      </c>
      <c r="I345">
        <f>VLOOKUP(Table4[[#This Row],[Visitor]],'NHL Model'!$A$6:$B$38,2,FALSE)</f>
        <v>-0.1785578406462007</v>
      </c>
      <c r="J345">
        <f>($B$1+Table4[[#This Row],[Home Differential]])-Table4[[#This Row],[Away Differential]]</f>
        <v>-0.12260676779466098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0.47696877517795727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0.27356166213884625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0.16351124183791613</v>
      </c>
      <c r="H346" t="s">
        <v>15</v>
      </c>
      <c r="I346">
        <f>VLOOKUP(Table4[[#This Row],[Visitor]],'NHL Model'!$A$6:$B$38,2,FALSE)</f>
        <v>0.21842521198061643</v>
      </c>
      <c r="J346">
        <f>($B$1+Table4[[#This Row],[Home Differential]])-Table4[[#This Row],[Away Differential]]</f>
        <v>2.8499952728639755E-2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0.47721670034548064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0.27330237839766702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0.95632113049608625</v>
      </c>
      <c r="H347" t="s">
        <v>37</v>
      </c>
      <c r="I347">
        <f>VLOOKUP(Table4[[#This Row],[Visitor]],'NHL Model'!$A$6:$B$38,2,FALSE)</f>
        <v>0.67847982929669792</v>
      </c>
      <c r="J347">
        <f>($B$1+Table4[[#This Row],[Home Differential]])-Table4[[#This Row],[Away Differential]]</f>
        <v>0.36125522407072841</v>
      </c>
      <c r="K347" t="str">
        <f>IF(Table4[[#This Row],[HomeIce Differential]]&gt;0,Table4[[#This Row],[Home]],Table4[[#This Row],[Visitor]])</f>
        <v>Washington Capitals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0.53313161623642324</v>
      </c>
      <c r="M347" t="str">
        <f>IF(OR((NHL2025_26Results[[#This Row],[Winning Team]]="")),"-",IF(Table4[[#This Row],[Predicted Winner]]=NHL2025_26Results[[#This Row],[Winning Team]],"YES","NO"))</f>
        <v>NO</v>
      </c>
      <c r="N347">
        <f>IF(Table4[[#This Row],[Adjusted Correct]]="-", "",IF(Table4[[#This Row],[Adjusted Correct]]="YES",(Table4[[#This Row],[Strength of Win]]-1)^2,(Table4[[#This Row],[Strength of Win]]-0)^2))</f>
        <v>0.28422932023086089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-0.32833039474346476</v>
      </c>
      <c r="H348" t="s">
        <v>25</v>
      </c>
      <c r="I348">
        <f>VLOOKUP(Table4[[#This Row],[Visitor]],'NHL Model'!$A$6:$B$38,2,FALSE)</f>
        <v>0.63414563871719487</v>
      </c>
      <c r="J348">
        <f>($B$1+Table4[[#This Row],[Home Differential]])-Table4[[#This Row],[Away Differential]]</f>
        <v>-0.87906211058931949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0.61847093423482447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0.38250629649329659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-8.0981007952892342E-2</v>
      </c>
      <c r="H349" t="s">
        <v>12</v>
      </c>
      <c r="I349">
        <f>VLOOKUP(Table4[[#This Row],[Visitor]],'NHL Model'!$A$6:$B$38,2,FALSE)</f>
        <v>1.7429147091761512</v>
      </c>
      <c r="J349">
        <f>($B$1+Table4[[#This Row],[Home Differential]])-Table4[[#This Row],[Away Differential]]</f>
        <v>-1.7404817942577036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0.7164325763217938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8.0410483771495303E-2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0.42358825343066847</v>
      </c>
      <c r="H350" t="s">
        <v>32</v>
      </c>
      <c r="I350">
        <f>VLOOKUP(Table4[[#This Row],[Visitor]],'NHL Model'!$A$6:$B$38,2,FALSE)</f>
        <v>-0.51436416305402566</v>
      </c>
      <c r="J350">
        <f>($B$1+Table4[[#This Row],[Home Differential]])-Table4[[#This Row],[Away Differential]]</f>
        <v>1.0213663393560342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0.6515661693640411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0.12140613433164808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-0.38457853131220177</v>
      </c>
      <c r="H351" t="s">
        <v>21</v>
      </c>
      <c r="I351">
        <f>VLOOKUP(Table4[[#This Row],[Visitor]],'NHL Model'!$A$6:$B$38,2,FALSE)</f>
        <v>0.2169753953839102</v>
      </c>
      <c r="J351">
        <f>($B$1+Table4[[#This Row],[Home Differential]])-Table4[[#This Row],[Away Differential]]</f>
        <v>-0.51814000382477188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0.51659761164387541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0.26687309235615631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-0.58187345243071342</v>
      </c>
      <c r="H352" t="s">
        <v>16</v>
      </c>
      <c r="I352">
        <f>VLOOKUP(Table4[[#This Row],[Visitor]],'NHL Model'!$A$6:$B$38,2,FALSE)</f>
        <v>-0.64492670113602302</v>
      </c>
      <c r="J352">
        <f>($B$1+Table4[[#This Row],[Home Differential]])-Table4[[#This Row],[Away Differential]]</f>
        <v>0.14646717157664968</v>
      </c>
      <c r="K352" t="str">
        <f>IF(Table4[[#This Row],[HomeIce Differential]]&gt;0,Table4[[#This Row],[Home]],Table4[[#This Row],[Visitor]])</f>
        <v>Vancouver Canucks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0.55599894243694714</v>
      </c>
      <c r="M352" t="str">
        <f>IF(OR((NHL2025_26Results[[#This Row],[Winning Team]]="")),"-",IF(Table4[[#This Row],[Predicted Winner]]=NHL2025_26Results[[#This Row],[Winning Team]],"YES","NO"))</f>
        <v>NO</v>
      </c>
      <c r="N352">
        <f>IF(Table4[[#This Row],[Adjusted Correct]]="-", "",IF(Table4[[#This Row],[Adjusted Correct]]="YES",(Table4[[#This Row],[Strength of Win]]-1)^2,(Table4[[#This Row],[Strength of Win]]-0)^2))</f>
        <v>0.30913482399100367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-7.6933210940904648E-2</v>
      </c>
      <c r="H353" t="s">
        <v>34</v>
      </c>
      <c r="I353">
        <f>VLOOKUP(Table4[[#This Row],[Visitor]],'NHL Model'!$A$6:$B$38,2,FALSE)</f>
        <v>5.5764706436567675E-2</v>
      </c>
      <c r="J353">
        <f>($B$1+Table4[[#This Row],[Home Differential]])-Table4[[#This Row],[Away Differential]]</f>
        <v>-4.9283994506132252E-2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0.46692186440395472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0.2841722986505556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9.3318671190422225E-2</v>
      </c>
      <c r="H354" t="s">
        <v>36</v>
      </c>
      <c r="I354">
        <f>VLOOKUP(Table4[[#This Row],[Visitor]],'NHL Model'!$A$6:$B$38,2,FALSE)</f>
        <v>-0.1785578406462007</v>
      </c>
      <c r="J354">
        <f>($B$1+Table4[[#This Row],[Home Differential]])-Table4[[#This Row],[Away Differential]]</f>
        <v>0.35529043470796295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0.57523302370512053</v>
      </c>
      <c r="M354" t="str">
        <f>IF(OR((NHL2025_26Results[[#This Row],[Winning Team]]="")),"-",IF(Table4[[#This Row],[Predicted Winner]]=NHL2025_26Results[[#This Row],[Winning Team]],"YES","NO"))</f>
        <v>YES</v>
      </c>
      <c r="N354">
        <f>IF(Table4[[#This Row],[Adjusted Correct]]="-", "",IF(Table4[[#This Row],[Adjusted Correct]]="YES",(Table4[[#This Row],[Strength of Win]]-1)^2,(Table4[[#This Row],[Strength of Win]]-0)^2))</f>
        <v>0.18042698415069469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-3.0305407970040489E-4</v>
      </c>
      <c r="H355" t="s">
        <v>26</v>
      </c>
      <c r="I355">
        <f>VLOOKUP(Table4[[#This Row],[Visitor]],'NHL Model'!$A$6:$B$38,2,FALSE)</f>
        <v>-0.46779379272887778</v>
      </c>
      <c r="J355">
        <f>($B$1+Table4[[#This Row],[Home Differential]])-Table4[[#This Row],[Away Differential]]</f>
        <v>0.55090466152051742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0.64226612199867239</v>
      </c>
      <c r="M355" t="str">
        <f>IF(OR((NHL2025_26Results[[#This Row],[Winning Team]]="")),"-",IF(Table4[[#This Row],[Predicted Winner]]=NHL2025_26Results[[#This Row],[Winning Team]],"YES","NO"))</f>
        <v>YES</v>
      </c>
      <c r="N355">
        <f>IF(Table4[[#This Row],[Adjusted Correct]]="-", "",IF(Table4[[#This Row],[Adjusted Correct]]="YES",(Table4[[#This Row],[Strength of Win]]-1)^2,(Table4[[#This Row],[Strength of Win]]-0)^2))</f>
        <v>0.12797352746986876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-0.8717103858022891</v>
      </c>
      <c r="H356" t="s">
        <v>11</v>
      </c>
      <c r="I356">
        <f>VLOOKUP(Table4[[#This Row],[Visitor]],'NHL Model'!$A$6:$B$38,2,FALSE)</f>
        <v>-0.2331185823245894</v>
      </c>
      <c r="J356">
        <f>($B$1+Table4[[#This Row],[Home Differential]])-Table4[[#This Row],[Away Differential]]</f>
        <v>-0.55517788060635964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0.52064334320431083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0.22978280441434015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0.21842521198061643</v>
      </c>
      <c r="H357" t="s">
        <v>35</v>
      </c>
      <c r="I357">
        <f>VLOOKUP(Table4[[#This Row],[Visitor]],'NHL Model'!$A$6:$B$38,2,FALSE)</f>
        <v>-1.0071073873045386</v>
      </c>
      <c r="J357">
        <f>($B$1+Table4[[#This Row],[Home Differential]])-Table4[[#This Row],[Away Differential]]</f>
        <v>1.3089465221564951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0.68297920711921822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0.10050218311875954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0.67847982929669792</v>
      </c>
      <c r="H358" t="s">
        <v>27</v>
      </c>
      <c r="I358">
        <f>VLOOKUP(Table4[[#This Row],[Visitor]],'NHL Model'!$A$6:$B$38,2,FALSE)</f>
        <v>5.7297532801941484E-2</v>
      </c>
      <c r="J358">
        <f>($B$1+Table4[[#This Row],[Home Differential]])-Table4[[#This Row],[Away Differential]]</f>
        <v>0.70459621936609651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0.57445208553396865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0.18109102750638872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0.16351124183791613</v>
      </c>
      <c r="H359" t="s">
        <v>20</v>
      </c>
      <c r="I359">
        <f>VLOOKUP(Table4[[#This Row],[Visitor]],'NHL Model'!$A$6:$B$38,2,FALSE)</f>
        <v>0.18369921819729701</v>
      </c>
      <c r="J359">
        <f>($B$1+Table4[[#This Row],[Home Differential]])-Table4[[#This Row],[Away Differential]]</f>
        <v>6.3225946511959175E-2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0.56690631400796165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0.18757014084617032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0.95632113049608625</v>
      </c>
      <c r="H360" t="s">
        <v>28</v>
      </c>
      <c r="I360">
        <f>VLOOKUP(Table4[[#This Row],[Visitor]],'NHL Model'!$A$6:$B$38,2,FALSE)</f>
        <v>-0.21858969522472316</v>
      </c>
      <c r="J360">
        <f>($B$1+Table4[[#This Row],[Home Differential]])-Table4[[#This Row],[Away Differential]]</f>
        <v>1.2583247485921496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0.70348741145214055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8.7919715167352183E-2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-0.17631503877657284</v>
      </c>
      <c r="H361" t="s">
        <v>39</v>
      </c>
      <c r="I361">
        <f>VLOOKUP(Table4[[#This Row],[Visitor]],'NHL Model'!$A$6:$B$38,2,FALSE)</f>
        <v>0.85927171572006034</v>
      </c>
      <c r="J361">
        <f>($B$1+Table4[[#This Row],[Home Differential]])-Table4[[#This Row],[Away Differential]]</f>
        <v>-0.95217283162529309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0.63734133839831686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0.13152130483472413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0.25846513585567971</v>
      </c>
      <c r="H362" t="s">
        <v>38</v>
      </c>
      <c r="I362">
        <f>VLOOKUP(Table4[[#This Row],[Visitor]],'NHL Model'!$A$6:$B$38,2,FALSE)</f>
        <v>-0.58187345243071342</v>
      </c>
      <c r="J362">
        <f>($B$1+Table4[[#This Row],[Home Differential]])-Table4[[#This Row],[Away Differential]]</f>
        <v>0.92375251115773316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0.70917609487267907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0.50293073353886308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0.63414563871719487</v>
      </c>
      <c r="H363" t="s">
        <v>15</v>
      </c>
      <c r="I363">
        <f>VLOOKUP(Table4[[#This Row],[Visitor]],'NHL Model'!$A$6:$B$38,2,FALSE)</f>
        <v>0.21842521198061643</v>
      </c>
      <c r="J363">
        <f>($B$1+Table4[[#This Row],[Home Differential]])-Table4[[#This Row],[Away Differential]]</f>
        <v>0.49913434960791853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0.53115709480514828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0.28212785936184526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-0.21858969522472316</v>
      </c>
      <c r="H364" t="s">
        <v>19</v>
      </c>
      <c r="I364">
        <f>VLOOKUP(Table4[[#This Row],[Visitor]],'NHL Model'!$A$6:$B$38,2,FALSE)</f>
        <v>-3.2654449433805091E-2</v>
      </c>
      <c r="J364">
        <f>($B$1+Table4[[#This Row],[Home Differential]])-Table4[[#This Row],[Away Differential]]</f>
        <v>-0.10252132291957798</v>
      </c>
      <c r="K364" t="str">
        <f>IF(Table4[[#This Row],[HomeIce Differential]]&gt;0,Table4[[#This Row],[Home]],Table4[[#This Row],[Visitor]])</f>
        <v>Toronto Maple Leafs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0.47119863738948237</v>
      </c>
      <c r="M364" t="str">
        <f>IF(OR((NHL2025_26Results[[#This Row],[Winning Team]]="")),"-",IF(Table4[[#This Row],[Predicted Winner]]=NHL2025_26Results[[#This Row],[Winning Team]],"YES","NO"))</f>
        <v>YES</v>
      </c>
      <c r="N364">
        <f>IF(Table4[[#This Row],[Adjusted Correct]]="-", "",IF(Table4[[#This Row],[Adjusted Correct]]="YES",(Table4[[#This Row],[Strength of Win]]-1)^2,(Table4[[#This Row],[Strength of Win]]-0)^2))</f>
        <v>0.27963088109874024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-8.0981007952892342E-2</v>
      </c>
      <c r="H365" t="s">
        <v>34</v>
      </c>
      <c r="I365">
        <f>VLOOKUP(Table4[[#This Row],[Visitor]],'NHL Model'!$A$6:$B$38,2,FALSE)</f>
        <v>5.5764706436567675E-2</v>
      </c>
      <c r="J365">
        <f>($B$1+Table4[[#This Row],[Home Differential]])-Table4[[#This Row],[Away Differential]]</f>
        <v>-5.3331791518119946E-2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0.48659478371309389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0.26358491611060481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1.7429147091761512</v>
      </c>
      <c r="H366" t="s">
        <v>33</v>
      </c>
      <c r="I366">
        <f>VLOOKUP(Table4[[#This Row],[Visitor]],'NHL Model'!$A$6:$B$38,2,FALSE)</f>
        <v>-0.38457853131220177</v>
      </c>
      <c r="J366">
        <f>($B$1+Table4[[#This Row],[Home Differential]])-Table4[[#This Row],[Away Differential]]</f>
        <v>2.2109071633596931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0.88932338620886786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1.224931284027142E-2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-0.46779379272887778</v>
      </c>
      <c r="H367" t="s">
        <v>29</v>
      </c>
      <c r="I367">
        <f>VLOOKUP(Table4[[#This Row],[Visitor]],'NHL Model'!$A$6:$B$38,2,FALSE)</f>
        <v>-0.8717103858022891</v>
      </c>
      <c r="J367">
        <f>($B$1+Table4[[#This Row],[Home Differential]])-Table4[[#This Row],[Away Differential]]</f>
        <v>0.48733051594475141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0.60335447056459235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0.36403661715027952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-0.2331185823245894</v>
      </c>
      <c r="H368" t="s">
        <v>27</v>
      </c>
      <c r="I368">
        <f>VLOOKUP(Table4[[#This Row],[Visitor]],'NHL Model'!$A$6:$B$38,2,FALSE)</f>
        <v>5.7297532801941484E-2</v>
      </c>
      <c r="J368">
        <f>($B$1+Table4[[#This Row],[Home Differential]])-Table4[[#This Row],[Away Differential]]</f>
        <v>-0.20700219225519084</v>
      </c>
      <c r="K368" t="str">
        <f>IF(Table4[[#This Row],[HomeIce Differential]]&gt;0,Table4[[#This Row],[Home]],Table4[[#This Row],[Visitor]])</f>
        <v>Philadelphia Flyers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0.52512388330700077</v>
      </c>
      <c r="M368" t="str">
        <f>IF(OR((NHL2025_26Results[[#This Row],[Winning Team]]="")),"-",IF(Table4[[#This Row],[Predicted Winner]]=NHL2025_26Results[[#This Row],[Winning Team]],"YES","NO"))</f>
        <v>YES</v>
      </c>
      <c r="N368">
        <f>IF(Table4[[#This Row],[Adjusted Correct]]="-", "",IF(Table4[[#This Row],[Adjusted Correct]]="YES",(Table4[[#This Row],[Strength of Win]]-1)^2,(Table4[[#This Row],[Strength of Win]]-0)^2))</f>
        <v>0.22550732620542302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-3.0305407970040489E-4</v>
      </c>
      <c r="H369" t="s">
        <v>35</v>
      </c>
      <c r="I369">
        <f>VLOOKUP(Table4[[#This Row],[Visitor]],'NHL Model'!$A$6:$B$38,2,FALSE)</f>
        <v>-1.0071073873045386</v>
      </c>
      <c r="J369">
        <f>($B$1+Table4[[#This Row],[Home Differential]])-Table4[[#This Row],[Away Differential]]</f>
        <v>1.0902182560961784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0.70198857530605152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8.881080924811692E-2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0.42358825343066847</v>
      </c>
      <c r="H370" t="s">
        <v>21</v>
      </c>
      <c r="I370">
        <f>VLOOKUP(Table4[[#This Row],[Visitor]],'NHL Model'!$A$6:$B$38,2,FALSE)</f>
        <v>0.2169753953839102</v>
      </c>
      <c r="J370">
        <f>($B$1+Table4[[#This Row],[Home Differential]])-Table4[[#This Row],[Away Differential]]</f>
        <v>0.2900267809180983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0.57168028523479364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0.32681834852613501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0.26772485952910668</v>
      </c>
      <c r="H371" t="s">
        <v>23</v>
      </c>
      <c r="I371">
        <f>VLOOKUP(Table4[[#This Row],[Visitor]],'NHL Model'!$A$6:$B$38,2,FALSE)</f>
        <v>-0.32833039474346476</v>
      </c>
      <c r="J371">
        <f>($B$1+Table4[[#This Row],[Home Differential]])-Table4[[#This Row],[Away Differential]]</f>
        <v>0.67946917714391153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0.61421996434959714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0.1488262359064261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-0.51436416305402566</v>
      </c>
      <c r="H372" t="s">
        <v>39</v>
      </c>
      <c r="I372">
        <f>VLOOKUP(Table4[[#This Row],[Visitor]],'NHL Model'!$A$6:$B$38,2,FALSE)</f>
        <v>0.85927171572006034</v>
      </c>
      <c r="J372">
        <f>($B$1+Table4[[#This Row],[Home Differential]])-Table4[[#This Row],[Away Differential]]</f>
        <v>-1.2902219559027459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0.69342006798492817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9.3991254714366063E-2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0.67847982929669792</v>
      </c>
      <c r="H373" t="s">
        <v>16</v>
      </c>
      <c r="I373">
        <f>VLOOKUP(Table4[[#This Row],[Visitor]],'NHL Model'!$A$6:$B$38,2,FALSE)</f>
        <v>-0.64492670113602302</v>
      </c>
      <c r="J373">
        <f>($B$1+Table4[[#This Row],[Home Differential]])-Table4[[#This Row],[Away Differential]]</f>
        <v>1.4068204533040611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0.69367019933031704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9.3837946778327699E-2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0.16351124183791613</v>
      </c>
      <c r="H374" t="s">
        <v>18</v>
      </c>
      <c r="I374">
        <f>VLOOKUP(Table4[[#This Row],[Visitor]],'NHL Model'!$A$6:$B$38,2,FALSE)</f>
        <v>-0.23554590882174289</v>
      </c>
      <c r="J374">
        <f>($B$1+Table4[[#This Row],[Home Differential]])-Table4[[#This Row],[Away Differential]]</f>
        <v>0.48247107353099905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0.56108130149149427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0.31481222688338911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0.18369921819729701</v>
      </c>
      <c r="H375" t="s">
        <v>36</v>
      </c>
      <c r="I375">
        <f>VLOOKUP(Table4[[#This Row],[Visitor]],'NHL Model'!$A$6:$B$38,2,FALSE)</f>
        <v>-0.1785578406462007</v>
      </c>
      <c r="J375">
        <f>($B$1+Table4[[#This Row],[Home Differential]])-Table4[[#This Row],[Away Differential]]</f>
        <v>0.44567098171483777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0.58510549651535748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0.34234844205248299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0.95632113049608625</v>
      </c>
      <c r="H376" t="s">
        <v>40</v>
      </c>
      <c r="I376">
        <f>VLOOKUP(Table4[[#This Row],[Visitor]],'NHL Model'!$A$6:$B$38,2,FALSE)</f>
        <v>-7.6933210940904648E-2</v>
      </c>
      <c r="J376">
        <f>($B$1+Table4[[#This Row],[Home Differential]])-Table4[[#This Row],[Away Differential]]</f>
        <v>1.116668264308331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0.68801395133489451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9.7335294561665564E-2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0.25846513585567971</v>
      </c>
      <c r="H377" t="s">
        <v>13</v>
      </c>
      <c r="I377">
        <f>VLOOKUP(Table4[[#This Row],[Visitor]],'NHL Model'!$A$6:$B$38,2,FALSE)</f>
        <v>9.3318671190422225E-2</v>
      </c>
      <c r="J377">
        <f>($B$1+Table4[[#This Row],[Home Differential]])-Table4[[#This Row],[Away Differential]]</f>
        <v>0.24856038753659757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0.57062907759863801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0.18435938900379642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0.2169753953839102</v>
      </c>
      <c r="H378" t="s">
        <v>15</v>
      </c>
      <c r="I378">
        <f>VLOOKUP(Table4[[#This Row],[Visitor]],'NHL Model'!$A$6:$B$38,2,FALSE)</f>
        <v>0.21842521198061643</v>
      </c>
      <c r="J378">
        <f>($B$1+Table4[[#This Row],[Home Differential]])-Table4[[#This Row],[Away Differential]]</f>
        <v>8.1964106274633852E-2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0.50235681976886581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0.25236237436828873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-0.32833039474346476</v>
      </c>
      <c r="H379" t="s">
        <v>24</v>
      </c>
      <c r="I379">
        <f>VLOOKUP(Table4[[#This Row],[Visitor]],'NHL Model'!$A$6:$B$38,2,FALSE)</f>
        <v>-3.0305407970040489E-4</v>
      </c>
      <c r="J379">
        <f>($B$1+Table4[[#This Row],[Home Differential]])-Table4[[#This Row],[Away Differential]]</f>
        <v>-0.24461341779242426</v>
      </c>
      <c r="K379" t="str">
        <f>IF(Table4[[#This Row],[HomeIce Differential]]&gt;0,Table4[[#This Row],[Home]],Table4[[#This Row],[Visitor]])</f>
        <v>New Jersey Devils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0.48016097578915712</v>
      </c>
      <c r="M379" t="str">
        <f>IF(OR((NHL2025_26Results[[#This Row],[Winning Team]]="")),"-",IF(Table4[[#This Row],[Predicted Winner]]=NHL2025_26Results[[#This Row],[Winning Team]],"YES","NO"))</f>
        <v>YES</v>
      </c>
      <c r="N379">
        <f>IF(Table4[[#This Row],[Adjusted Correct]]="-", "",IF(Table4[[#This Row],[Adjusted Correct]]="YES",(Table4[[#This Row],[Strength of Win]]-1)^2,(Table4[[#This Row],[Strength of Win]]-0)^2))</f>
        <v>0.27023261109248126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0.63414563871719487</v>
      </c>
      <c r="H380" t="s">
        <v>40</v>
      </c>
      <c r="I380">
        <f>VLOOKUP(Table4[[#This Row],[Visitor]],'NHL Model'!$A$6:$B$38,2,FALSE)</f>
        <v>-7.6933210940904648E-2</v>
      </c>
      <c r="J380">
        <f>($B$1+Table4[[#This Row],[Home Differential]])-Table4[[#This Row],[Away Differential]]</f>
        <v>0.79449277252943962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0.66968580781356535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0.10910746555977689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-0.21858969522472316</v>
      </c>
      <c r="H381" t="s">
        <v>14</v>
      </c>
      <c r="I381">
        <f>VLOOKUP(Table4[[#This Row],[Visitor]],'NHL Model'!$A$6:$B$38,2,FALSE)</f>
        <v>0.26772485952910668</v>
      </c>
      <c r="J381">
        <f>($B$1+Table4[[#This Row],[Home Differential]])-Table4[[#This Row],[Away Differential]]</f>
        <v>-0.40290063188248976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0.55814857030047871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0.195232685927511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-8.0981007952892342E-2</v>
      </c>
      <c r="H382" t="s">
        <v>29</v>
      </c>
      <c r="I382">
        <f>VLOOKUP(Table4[[#This Row],[Visitor]],'NHL Model'!$A$6:$B$38,2,FALSE)</f>
        <v>-0.8717103858022891</v>
      </c>
      <c r="J382">
        <f>($B$1+Table4[[#This Row],[Home Differential]])-Table4[[#This Row],[Away Differential]]</f>
        <v>0.87414330072073687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0.63548466184830465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0.40384075544445414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0.85927171572006034</v>
      </c>
      <c r="H383" t="s">
        <v>55</v>
      </c>
      <c r="I383">
        <f>VLOOKUP(Table4[[#This Row],[Visitor]],'NHL Model'!$A$6:$B$38,2,FALSE)</f>
        <v>0.16351124183791613</v>
      </c>
      <c r="J383">
        <f>($B$1+Table4[[#This Row],[Home Differential]])-Table4[[#This Row],[Away Differential]]</f>
        <v>0.77917439675348432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0.66801254677063748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0.11021566910171816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-0.46779379272887778</v>
      </c>
      <c r="H384" t="s">
        <v>37</v>
      </c>
      <c r="I384">
        <f>VLOOKUP(Table4[[#This Row],[Visitor]],'NHL Model'!$A$6:$B$38,2,FALSE)</f>
        <v>0.67847982929669792</v>
      </c>
      <c r="J384">
        <f>($B$1+Table4[[#This Row],[Home Differential]])-Table4[[#This Row],[Away Differential]]</f>
        <v>-1.0628596991542356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0.63854756306465688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0.13064786416649821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-0.2331185823245894</v>
      </c>
      <c r="H385" t="s">
        <v>16</v>
      </c>
      <c r="I385">
        <f>VLOOKUP(Table4[[#This Row],[Visitor]],'NHL Model'!$A$6:$B$38,2,FALSE)</f>
        <v>-0.64492670113602302</v>
      </c>
      <c r="J385">
        <f>($B$1+Table4[[#This Row],[Home Differential]])-Table4[[#This Row],[Away Differential]]</f>
        <v>0.49522204168277367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0.59409423048934762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0.35294795470073009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5.5764706436567675E-2</v>
      </c>
      <c r="H386" t="s">
        <v>12</v>
      </c>
      <c r="I386">
        <f>VLOOKUP(Table4[[#This Row],[Visitor]],'NHL Model'!$A$6:$B$38,2,FALSE)</f>
        <v>1.7429147091761512</v>
      </c>
      <c r="J386">
        <f>($B$1+Table4[[#This Row],[Home Differential]])-Table4[[#This Row],[Away Differential]]</f>
        <v>-1.6037360798682434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0.7014955307745514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0.49209597969666957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0.42358825343066847</v>
      </c>
      <c r="H387" t="s">
        <v>27</v>
      </c>
      <c r="I387">
        <f>VLOOKUP(Table4[[#This Row],[Visitor]],'NHL Model'!$A$6:$B$38,2,FALSE)</f>
        <v>5.7297532801941484E-2</v>
      </c>
      <c r="J387">
        <f>($B$1+Table4[[#This Row],[Home Differential]])-Table4[[#This Row],[Away Differential]]</f>
        <v>0.449704643500067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0.54660969869707099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0.2987821627097027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-0.38457853131220177</v>
      </c>
      <c r="H388" t="s">
        <v>38</v>
      </c>
      <c r="I388">
        <f>VLOOKUP(Table4[[#This Row],[Visitor]],'NHL Model'!$A$6:$B$38,2,FALSE)</f>
        <v>-0.58187345243071342</v>
      </c>
      <c r="J388">
        <f>($B$1+Table4[[#This Row],[Home Differential]])-Table4[[#This Row],[Away Differential]]</f>
        <v>0.28070884398985174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0.57066246578118252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0.18433071828909428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-1.0071073873045386</v>
      </c>
      <c r="H389" t="s">
        <v>36</v>
      </c>
      <c r="I389">
        <f>VLOOKUP(Table4[[#This Row],[Visitor]],'NHL Model'!$A$6:$B$38,2,FALSE)</f>
        <v>-0.1785578406462007</v>
      </c>
      <c r="J389">
        <f>($B$1+Table4[[#This Row],[Home Differential]])-Table4[[#This Row],[Away Differential]]</f>
        <v>-0.74513562378699782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0.54496901868062997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0.29699123132172883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0.18369921819729701</v>
      </c>
      <c r="H390" t="s">
        <v>18</v>
      </c>
      <c r="I390">
        <f>VLOOKUP(Table4[[#This Row],[Visitor]],'NHL Model'!$A$6:$B$38,2,FALSE)</f>
        <v>-0.23554590882174289</v>
      </c>
      <c r="J390">
        <f>($B$1+Table4[[#This Row],[Home Differential]])-Table4[[#This Row],[Away Differential]]</f>
        <v>0.50265904989038002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0.52228342271089923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0.27277997363861184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0.95632113049608625</v>
      </c>
      <c r="H391" t="s">
        <v>19</v>
      </c>
      <c r="I391">
        <f>VLOOKUP(Table4[[#This Row],[Visitor]],'NHL Model'!$A$6:$B$38,2,FALSE)</f>
        <v>-3.2654449433805091E-2</v>
      </c>
      <c r="J391">
        <f>($B$1+Table4[[#This Row],[Home Differential]])-Table4[[#This Row],[Away Differential]]</f>
        <v>1.0723895028012314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0.68317728145927892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0.10037663498353297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0.2169753953839102</v>
      </c>
      <c r="H392" t="s">
        <v>26</v>
      </c>
      <c r="I392">
        <f>VLOOKUP(Table4[[#This Row],[Visitor]],'NHL Model'!$A$6:$B$38,2,FALSE)</f>
        <v>-0.46779379272887778</v>
      </c>
      <c r="J392">
        <f>($B$1+Table4[[#This Row],[Home Differential]])-Table4[[#This Row],[Away Differential]]</f>
        <v>0.76818311098412806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0.6822367490439023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0.10097348365818792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1.7429147091761512</v>
      </c>
      <c r="H393" t="s">
        <v>18</v>
      </c>
      <c r="I393">
        <f>VLOOKUP(Table4[[#This Row],[Visitor]],'NHL Model'!$A$6:$B$38,2,FALSE)</f>
        <v>-0.23554590882174289</v>
      </c>
      <c r="J393">
        <f>($B$1+Table4[[#This Row],[Home Differential]])-Table4[[#This Row],[Away Differential]]</f>
        <v>2.0618745408692343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0.80417061630981457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3.8349147516477868E-2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9.3318671190422225E-2</v>
      </c>
      <c r="H394" t="s">
        <v>38</v>
      </c>
      <c r="I394">
        <f>VLOOKUP(Table4[[#This Row],[Visitor]],'NHL Model'!$A$6:$B$38,2,FALSE)</f>
        <v>-0.58187345243071342</v>
      </c>
      <c r="J394">
        <f>($B$1+Table4[[#This Row],[Home Differential]])-Table4[[#This Row],[Away Differential]]</f>
        <v>0.75860604649247576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0.62286426466426037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0.14223136286722904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5.5764706436567675E-2</v>
      </c>
      <c r="H395" t="s">
        <v>23</v>
      </c>
      <c r="I395">
        <f>VLOOKUP(Table4[[#This Row],[Visitor]],'NHL Model'!$A$6:$B$38,2,FALSE)</f>
        <v>-0.32833039474346476</v>
      </c>
      <c r="J395">
        <f>($B$1+Table4[[#This Row],[Home Differential]])-Table4[[#This Row],[Away Differential]]</f>
        <v>0.46750902405137251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0.59106707451257745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0.34936028657285678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-3.0305407970040489E-4</v>
      </c>
      <c r="H396" t="s">
        <v>27</v>
      </c>
      <c r="I396">
        <f>VLOOKUP(Table4[[#This Row],[Visitor]],'NHL Model'!$A$6:$B$38,2,FALSE)</f>
        <v>5.7297532801941484E-2</v>
      </c>
      <c r="J396">
        <f>($B$1+Table4[[#This Row],[Home Differential]])-Table4[[#This Row],[Away Differential]]</f>
        <v>2.5813335989698177E-2</v>
      </c>
      <c r="K396" t="str">
        <f>IF(Table4[[#This Row],[HomeIce Differential]]&gt;0,Table4[[#This Row],[Home]],Table4[[#This Row],[Visitor]])</f>
        <v>New Jersey Devils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0.543803255985704</v>
      </c>
      <c r="M396" t="str">
        <f>IF(OR((NHL2025_26Results[[#This Row],[Winning Team]]="")),"-",IF(Table4[[#This Row],[Predicted Winner]]=NHL2025_26Results[[#This Row],[Winning Team]],"YES","NO"))</f>
        <v>NO</v>
      </c>
      <c r="N396">
        <f>IF(Table4[[#This Row],[Adjusted Correct]]="-", "",IF(Table4[[#This Row],[Adjusted Correct]]="YES",(Table4[[#This Row],[Strength of Win]]-1)^2,(Table4[[#This Row],[Strength of Win]]-0)^2))</f>
        <v>0.29572198122065313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-0.8717103858022891</v>
      </c>
      <c r="H397" t="s">
        <v>40</v>
      </c>
      <c r="I397">
        <f>VLOOKUP(Table4[[#This Row],[Visitor]],'NHL Model'!$A$6:$B$38,2,FALSE)</f>
        <v>-7.6933210940904648E-2</v>
      </c>
      <c r="J397">
        <f>($B$1+Table4[[#This Row],[Home Differential]])-Table4[[#This Row],[Away Differential]]</f>
        <v>-0.71136325199004435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0.53770382671991612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0.21371775182940933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0.21842521198061643</v>
      </c>
      <c r="H398" t="s">
        <v>37</v>
      </c>
      <c r="I398">
        <f>VLOOKUP(Table4[[#This Row],[Visitor]],'NHL Model'!$A$6:$B$38,2,FALSE)</f>
        <v>0.67847982929669792</v>
      </c>
      <c r="J398">
        <f>($B$1+Table4[[#This Row],[Home Differential]])-Table4[[#This Row],[Away Differential]]</f>
        <v>-0.37664069444474141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0.57376448920687739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0.18167671066107413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0.26772485952910668</v>
      </c>
      <c r="H399" t="s">
        <v>19</v>
      </c>
      <c r="I399">
        <f>VLOOKUP(Table4[[#This Row],[Visitor]],'NHL Model'!$A$6:$B$38,2,FALSE)</f>
        <v>-3.2654449433805091E-2</v>
      </c>
      <c r="J399">
        <f>($B$1+Table4[[#This Row],[Home Differential]])-Table4[[#This Row],[Away Differential]]</f>
        <v>0.38379323183425185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0.58192260803365581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0.33863392174069179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-0.51436416305402566</v>
      </c>
      <c r="H400" t="s">
        <v>17</v>
      </c>
      <c r="I400">
        <f>VLOOKUP(Table4[[#This Row],[Visitor]],'NHL Model'!$A$6:$B$38,2,FALSE)</f>
        <v>-0.17631503877657284</v>
      </c>
      <c r="J400">
        <f>($B$1+Table4[[#This Row],[Home Differential]])-Table4[[#This Row],[Away Differential]]</f>
        <v>-0.25463520140611273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0.48781438247126163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0.26233410680329505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-1.0071073873045386</v>
      </c>
      <c r="H401" t="s">
        <v>55</v>
      </c>
      <c r="I401">
        <f>VLOOKUP(Table4[[#This Row],[Visitor]],'NHL Model'!$A$6:$B$38,2,FALSE)</f>
        <v>0.16351124183791613</v>
      </c>
      <c r="J401">
        <f>($B$1+Table4[[#This Row],[Home Differential]])-Table4[[#This Row],[Away Differential]]</f>
        <v>-1.0872047062711148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0.57875784399719088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0.33496064198827674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0.18369921819729701</v>
      </c>
      <c r="H402" t="s">
        <v>33</v>
      </c>
      <c r="I402">
        <f>VLOOKUP(Table4[[#This Row],[Visitor]],'NHL Model'!$A$6:$B$38,2,FALSE)</f>
        <v>-0.38457853131220177</v>
      </c>
      <c r="J402">
        <f>($B$1+Table4[[#This Row],[Home Differential]])-Table4[[#This Row],[Away Differential]]</f>
        <v>0.6516916723808388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0.61118576429669402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0.15117650988554598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0.63414563871719487</v>
      </c>
      <c r="H403" t="s">
        <v>16</v>
      </c>
      <c r="I403">
        <f>VLOOKUP(Table4[[#This Row],[Visitor]],'NHL Model'!$A$6:$B$38,2,FALSE)</f>
        <v>-0.64492670113602302</v>
      </c>
      <c r="J403">
        <f>($B$1+Table4[[#This Row],[Home Differential]])-Table4[[#This Row],[Away Differential]]</f>
        <v>1.362486262724558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0.73172902921513916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7.1969313765851653E-2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-8.0981007952892342E-2</v>
      </c>
      <c r="H404" t="s">
        <v>31</v>
      </c>
      <c r="I404">
        <f>VLOOKUP(Table4[[#This Row],[Visitor]],'NHL Model'!$A$6:$B$38,2,FALSE)</f>
        <v>0.25846513585567971</v>
      </c>
      <c r="J404">
        <f>($B$1+Table4[[#This Row],[Home Differential]])-Table4[[#This Row],[Away Differential]]</f>
        <v>-0.25603222093723199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0.50873621286279036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0.25881253427797435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0.85927171572006034</v>
      </c>
      <c r="H405" t="s">
        <v>36</v>
      </c>
      <c r="I405">
        <f>VLOOKUP(Table4[[#This Row],[Visitor]],'NHL Model'!$A$6:$B$38,2,FALSE)</f>
        <v>-0.1785578406462007</v>
      </c>
      <c r="J405">
        <f>($B$1+Table4[[#This Row],[Home Differential]])-Table4[[#This Row],[Away Differential]]</f>
        <v>1.1212434792376011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0.70187511825435189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8.8878445115856672E-2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0.42358825343066847</v>
      </c>
      <c r="H406" t="s">
        <v>22</v>
      </c>
      <c r="I406">
        <f>VLOOKUP(Table4[[#This Row],[Visitor]],'NHL Model'!$A$6:$B$38,2,FALSE)</f>
        <v>0.95632113049608625</v>
      </c>
      <c r="J406">
        <f>($B$1+Table4[[#This Row],[Home Differential]])-Table4[[#This Row],[Away Differential]]</f>
        <v>-0.44931895419407775</v>
      </c>
      <c r="K406" t="str">
        <f>IF(Table4[[#This Row],[HomeIce Differential]]&gt;0,Table4[[#This Row],[Home]],Table4[[#This Row],[Visitor]])</f>
        <v>Washington Capitals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0.56321894927133298</v>
      </c>
      <c r="M406" t="str">
        <f>IF(OR((NHL2025_26Results[[#This Row],[Winning Team]]="")),"-",IF(Table4[[#This Row],[Predicted Winner]]=NHL2025_26Results[[#This Row],[Winning Team]],"YES","NO"))</f>
        <v>YES</v>
      </c>
      <c r="N406">
        <f>IF(Table4[[#This Row],[Adjusted Correct]]="-", "",IF(Table4[[#This Row],[Adjusted Correct]]="YES",(Table4[[#This Row],[Strength of Win]]-1)^2,(Table4[[#This Row],[Strength of Win]]-0)^2))</f>
        <v>0.1907776862756384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-0.32833039474346476</v>
      </c>
      <c r="H407" t="s">
        <v>40</v>
      </c>
      <c r="I407">
        <f>VLOOKUP(Table4[[#This Row],[Visitor]],'NHL Model'!$A$6:$B$38,2,FALSE)</f>
        <v>-7.6933210940904648E-2</v>
      </c>
      <c r="J407">
        <f>($B$1+Table4[[#This Row],[Home Differential]])-Table4[[#This Row],[Away Differential]]</f>
        <v>-0.16798326093122001</v>
      </c>
      <c r="K407" t="str">
        <f>IF(Table4[[#This Row],[HomeIce Differential]]&gt;0,Table4[[#This Row],[Home]],Table4[[#This Row],[Visitor]])</f>
        <v>Winnipeg Jets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0.46822694444819352</v>
      </c>
      <c r="M407" t="str">
        <f>IF(OR((NHL2025_26Results[[#This Row],[Winning Team]]="")),"-",IF(Table4[[#This Row],[Predicted Winner]]=NHL2025_26Results[[#This Row],[Winning Team]],"YES","NO"))</f>
        <v>NO</v>
      </c>
      <c r="N407">
        <f>IF(Table4[[#This Row],[Adjusted Correct]]="-", "",IF(Table4[[#This Row],[Adjusted Correct]]="YES",(Table4[[#This Row],[Strength of Win]]-1)^2,(Table4[[#This Row],[Strength of Win]]-0)^2))</f>
        <v>0.2192364715072917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-3.0305407970040489E-4</v>
      </c>
      <c r="H408" t="s">
        <v>28</v>
      </c>
      <c r="I408">
        <f>VLOOKUP(Table4[[#This Row],[Visitor]],'NHL Model'!$A$6:$B$38,2,FALSE)</f>
        <v>-0.21858969522472316</v>
      </c>
      <c r="J408">
        <f>($B$1+Table4[[#This Row],[Home Differential]])-Table4[[#This Row],[Away Differential]]</f>
        <v>0.3017005640163628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0.61585699353042211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0.37927983648033037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5.7297532801941484E-2</v>
      </c>
      <c r="H409" t="s">
        <v>14</v>
      </c>
      <c r="I409">
        <f>VLOOKUP(Table4[[#This Row],[Visitor]],'NHL Model'!$A$6:$B$38,2,FALSE)</f>
        <v>0.26772485952910668</v>
      </c>
      <c r="J409">
        <f>($B$1+Table4[[#This Row],[Home Differential]])-Table4[[#This Row],[Away Differential]]</f>
        <v>-0.12701340385582513</v>
      </c>
      <c r="K409" t="str">
        <f>IF(Table4[[#This Row],[HomeIce Differential]]&gt;0,Table4[[#This Row],[Home]],Table4[[#This Row],[Visitor]])</f>
        <v>Pittsburgh Penguins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0.50167884117058925</v>
      </c>
      <c r="M409" t="str">
        <f>IF(OR((NHL2025_26Results[[#This Row],[Winning Team]]="")),"-",IF(Table4[[#This Row],[Predicted Winner]]=NHL2025_26Results[[#This Row],[Winning Team]],"YES","NO"))</f>
        <v>YES</v>
      </c>
      <c r="N409">
        <f>IF(Table4[[#This Row],[Adjusted Correct]]="-", "",IF(Table4[[#This Row],[Adjusted Correct]]="YES",(Table4[[#This Row],[Strength of Win]]-1)^2,(Table4[[#This Row],[Strength of Win]]-0)^2))</f>
        <v>0.2483239773370868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-0.38457853131220177</v>
      </c>
      <c r="H410" t="s">
        <v>55</v>
      </c>
      <c r="I410">
        <f>VLOOKUP(Table4[[#This Row],[Visitor]],'NHL Model'!$A$6:$B$38,2,FALSE)</f>
        <v>0.16351124183791613</v>
      </c>
      <c r="J410">
        <f>($B$1+Table4[[#This Row],[Home Differential]])-Table4[[#This Row],[Away Differential]]</f>
        <v>-0.46467585027877778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0.51075760049451802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0.26087332646291767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-1.0071073873045386</v>
      </c>
      <c r="H411" t="s">
        <v>31</v>
      </c>
      <c r="I411">
        <f>VLOOKUP(Table4[[#This Row],[Visitor]],'NHL Model'!$A$6:$B$38,2,FALSE)</f>
        <v>0.25846513585567971</v>
      </c>
      <c r="J411">
        <f>($B$1+Table4[[#This Row],[Home Differential]])-Table4[[#This Row],[Away Differential]]</f>
        <v>-1.1821586002888782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0.60989910467729591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0.15217870853157534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1.7429147091761512</v>
      </c>
      <c r="H412" t="s">
        <v>38</v>
      </c>
      <c r="I412">
        <f>VLOOKUP(Table4[[#This Row],[Visitor]],'NHL Model'!$A$6:$B$38,2,FALSE)</f>
        <v>-0.58187345243071342</v>
      </c>
      <c r="J412">
        <f>($B$1+Table4[[#This Row],[Home Differential]])-Table4[[#This Row],[Away Differential]]</f>
        <v>2.4082020844782046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0.91087435938667116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7.9433798147362511E-3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-0.46779379272887778</v>
      </c>
      <c r="H413" t="s">
        <v>21</v>
      </c>
      <c r="I413">
        <f>VLOOKUP(Table4[[#This Row],[Visitor]],'NHL Model'!$A$6:$B$38,2,FALSE)</f>
        <v>0.2169753953839102</v>
      </c>
      <c r="J413">
        <f>($B$1+Table4[[#This Row],[Home Differential]])-Table4[[#This Row],[Away Differential]]</f>
        <v>-0.60135526524144789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0.51556515461575492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0.26580742865396728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-0.17631503877657284</v>
      </c>
      <c r="H414" t="s">
        <v>34</v>
      </c>
      <c r="I414">
        <f>VLOOKUP(Table4[[#This Row],[Visitor]],'NHL Model'!$A$6:$B$38,2,FALSE)</f>
        <v>5.5764706436567675E-2</v>
      </c>
      <c r="J414">
        <f>($B$1+Table4[[#This Row],[Home Differential]])-Table4[[#This Row],[Away Differential]]</f>
        <v>-0.14866582234180045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0.47777756760150947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0.27271626890019601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-0.2331185823245894</v>
      </c>
      <c r="H415" t="s">
        <v>19</v>
      </c>
      <c r="I415">
        <f>VLOOKUP(Table4[[#This Row],[Visitor]],'NHL Model'!$A$6:$B$38,2,FALSE)</f>
        <v>-3.2654449433805091E-2</v>
      </c>
      <c r="J415">
        <f>($B$1+Table4[[#This Row],[Home Differential]])-Table4[[#This Row],[Away Differential]]</f>
        <v>-0.11705021001944425</v>
      </c>
      <c r="K415" t="str">
        <f>IF(Table4[[#This Row],[HomeIce Differential]]&gt;0,Table4[[#This Row],[Home]],Table4[[#This Row],[Visitor]])</f>
        <v>Toronto Maple Leafs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0.47278566078784173</v>
      </c>
      <c r="M415" t="str">
        <f>IF(OR((NHL2025_26Results[[#This Row],[Winning Team]]="")),"-",IF(Table4[[#This Row],[Predicted Winner]]=NHL2025_26Results[[#This Row],[Winning Team]],"YES","NO"))</f>
        <v>YES</v>
      </c>
      <c r="N415">
        <f>IF(Table4[[#This Row],[Adjusted Correct]]="-", "",IF(Table4[[#This Row],[Adjusted Correct]]="YES",(Table4[[#This Row],[Strength of Win]]-1)^2,(Table4[[#This Row],[Strength of Win]]-0)^2))</f>
        <v>0.27795495947091264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9.3318671190422225E-2</v>
      </c>
      <c r="H416" t="s">
        <v>22</v>
      </c>
      <c r="I416">
        <f>VLOOKUP(Table4[[#This Row],[Visitor]],'NHL Model'!$A$6:$B$38,2,FALSE)</f>
        <v>0.95632113049608625</v>
      </c>
      <c r="J416">
        <f>($B$1+Table4[[#This Row],[Home Differential]])-Table4[[#This Row],[Away Differential]]</f>
        <v>-0.77958853643432402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0.59929504726692406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0.16056445914481662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-0.23554590882174289</v>
      </c>
      <c r="H417" t="s">
        <v>36</v>
      </c>
      <c r="I417">
        <f>VLOOKUP(Table4[[#This Row],[Visitor]],'NHL Model'!$A$6:$B$38,2,FALSE)</f>
        <v>-0.1785578406462007</v>
      </c>
      <c r="J417">
        <f>($B$1+Table4[[#This Row],[Home Differential]])-Table4[[#This Row],[Away Differential]]</f>
        <v>2.6425854695797862E-2</v>
      </c>
      <c r="K417" t="str">
        <f>IF(Table4[[#This Row],[HomeIce Differential]]&gt;0,Table4[[#This Row],[Home]],Table4[[#This Row],[Visitor]])</f>
        <v>Montreal Canadiens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0.53931039729998131</v>
      </c>
      <c r="M417" t="str">
        <f>IF(OR((NHL2025_26Results[[#This Row],[Winning Team]]="")),"-",IF(Table4[[#This Row],[Predicted Winner]]=NHL2025_26Results[[#This Row],[Winning Team]],"YES","NO"))</f>
        <v>NO</v>
      </c>
      <c r="N417">
        <f>IF(Table4[[#This Row],[Adjusted Correct]]="-", "",IF(Table4[[#This Row],[Adjusted Correct]]="YES",(Table4[[#This Row],[Strength of Win]]-1)^2,(Table4[[#This Row],[Strength of Win]]-0)^2))</f>
        <v>0.29085570463586369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-0.8717103858022891</v>
      </c>
      <c r="H418" t="s">
        <v>16</v>
      </c>
      <c r="I418">
        <f>VLOOKUP(Table4[[#This Row],[Visitor]],'NHL Model'!$A$6:$B$38,2,FALSE)</f>
        <v>-0.64492670113602302</v>
      </c>
      <c r="J418">
        <f>($B$1+Table4[[#This Row],[Home Differential]])-Table4[[#This Row],[Away Differential]]</f>
        <v>-0.143369761794926</v>
      </c>
      <c r="K418" t="str">
        <f>IF(Table4[[#This Row],[HomeIce Differential]]&gt;0,Table4[[#This Row],[Home]],Table4[[#This Row],[Visitor]])</f>
        <v>Calgary Flames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0.47566060531834237</v>
      </c>
      <c r="M418" t="str">
        <f>IF(OR((NHL2025_26Results[[#This Row],[Winning Team]]="")),"-",IF(Table4[[#This Row],[Predicted Winner]]=NHL2025_26Results[[#This Row],[Winning Team]],"YES","NO"))</f>
        <v>NO</v>
      </c>
      <c r="N418">
        <f>IF(Table4[[#This Row],[Adjusted Correct]]="-", "",IF(Table4[[#This Row],[Adjusted Correct]]="YES",(Table4[[#This Row],[Strength of Win]]-1)^2,(Table4[[#This Row],[Strength of Win]]-0)^2))</f>
        <v>0.22625301145181187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0.42358825343066847</v>
      </c>
      <c r="H419" t="s">
        <v>37</v>
      </c>
      <c r="I419">
        <f>VLOOKUP(Table4[[#This Row],[Visitor]],'NHL Model'!$A$6:$B$38,2,FALSE)</f>
        <v>0.67847982929669792</v>
      </c>
      <c r="J419">
        <f>($B$1+Table4[[#This Row],[Home Differential]])-Table4[[#This Row],[Away Differential]]</f>
        <v>-0.17147765299468942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0.55135406334137471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0.30399130316304462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0.21842521198061643</v>
      </c>
      <c r="H420" t="s">
        <v>39</v>
      </c>
      <c r="I420">
        <f>VLOOKUP(Table4[[#This Row],[Visitor]],'NHL Model'!$A$6:$B$38,2,FALSE)</f>
        <v>0.85927171572006034</v>
      </c>
      <c r="J420">
        <f>($B$1+Table4[[#This Row],[Home Differential]])-Table4[[#This Row],[Away Differential]]</f>
        <v>-0.55743258086810377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0.61337581708976896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0.37622989299054171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0.18369921819729701</v>
      </c>
      <c r="H421" t="s">
        <v>10</v>
      </c>
      <c r="I421">
        <f>VLOOKUP(Table4[[#This Row],[Visitor]],'NHL Model'!$A$6:$B$38,2,FALSE)</f>
        <v>-8.0981007952892342E-2</v>
      </c>
      <c r="J421">
        <f>($B$1+Table4[[#This Row],[Home Differential]])-Table4[[#This Row],[Away Differential]]</f>
        <v>0.34809414902152946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0.57802311598486134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0.17806449064312579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0.25846513585567971</v>
      </c>
      <c r="H422" t="s">
        <v>55</v>
      </c>
      <c r="I422">
        <f>VLOOKUP(Table4[[#This Row],[Visitor]],'NHL Model'!$A$6:$B$38,2,FALSE)</f>
        <v>0.16351124183791613</v>
      </c>
      <c r="J422">
        <f>($B$1+Table4[[#This Row],[Home Differential]])-Table4[[#This Row],[Away Differential]]</f>
        <v>0.17836781688910366</v>
      </c>
      <c r="K422" t="str">
        <f>IF(Table4[[#This Row],[HomeIce Differential]]&gt;0,Table4[[#This Row],[Home]],Table4[[#This Row],[Visitor]])</f>
        <v>Anaheim Ducks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0.62775602859697854</v>
      </c>
      <c r="M422" t="str">
        <f>IF(OR((NHL2025_26Results[[#This Row],[Winning Team]]="")),"-",IF(Table4[[#This Row],[Predicted Winner]]=NHL2025_26Results[[#This Row],[Winning Team]],"YES","NO"))</f>
        <v>NO</v>
      </c>
      <c r="N422">
        <f>IF(Table4[[#This Row],[Adjusted Correct]]="-", "",IF(Table4[[#This Row],[Adjusted Correct]]="YES",(Table4[[#This Row],[Strength of Win]]-1)^2,(Table4[[#This Row],[Strength of Win]]-0)^2))</f>
        <v>0.39407763143985053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-0.23554590882174289</v>
      </c>
      <c r="H423" t="s">
        <v>40</v>
      </c>
      <c r="I423">
        <f>VLOOKUP(Table4[[#This Row],[Visitor]],'NHL Model'!$A$6:$B$38,2,FALSE)</f>
        <v>-7.6933210940904648E-2</v>
      </c>
      <c r="J423">
        <f>($B$1+Table4[[#This Row],[Home Differential]])-Table4[[#This Row],[Away Differential]]</f>
        <v>-7.5198775009498189E-2</v>
      </c>
      <c r="K423" t="str">
        <f>IF(Table4[[#This Row],[HomeIce Differential]]&gt;0,Table4[[#This Row],[Home]],Table4[[#This Row],[Visitor]])</f>
        <v>Winnipeg Jets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0.46821413330888478</v>
      </c>
      <c r="M423" t="str">
        <f>IF(OR((NHL2025_26Results[[#This Row],[Winning Team]]="")),"-",IF(Table4[[#This Row],[Predicted Winner]]=NHL2025_26Results[[#This Row],[Winning Team]],"YES","NO"))</f>
        <v>NO</v>
      </c>
      <c r="N423">
        <f>IF(Table4[[#This Row],[Adjusted Correct]]="-", "",IF(Table4[[#This Row],[Adjusted Correct]]="YES",(Table4[[#This Row],[Strength of Win]]-1)^2,(Table4[[#This Row],[Strength of Win]]-0)^2))</f>
        <v>0.21922447463019012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-3.0305407970040489E-4</v>
      </c>
      <c r="H424" t="s">
        <v>39</v>
      </c>
      <c r="I424">
        <f>VLOOKUP(Table4[[#This Row],[Visitor]],'NHL Model'!$A$6:$B$38,2,FALSE)</f>
        <v>0.85927171572006034</v>
      </c>
      <c r="J424">
        <f>($B$1+Table4[[#This Row],[Home Differential]])-Table4[[#This Row],[Away Differential]]</f>
        <v>-0.77616084692842069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0.5938727245526858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0.1649393638622586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5.7297532801941484E-2</v>
      </c>
      <c r="H425" t="s">
        <v>23</v>
      </c>
      <c r="I425">
        <f>VLOOKUP(Table4[[#This Row],[Visitor]],'NHL Model'!$A$6:$B$38,2,FALSE)</f>
        <v>-0.32833039474346476</v>
      </c>
      <c r="J425">
        <f>($B$1+Table4[[#This Row],[Home Differential]])-Table4[[#This Row],[Away Differential]]</f>
        <v>0.46904185041674629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0.61727224447346574</v>
      </c>
      <c r="M425" t="str">
        <f>IF(OR((NHL2025_26Results[[#This Row],[Winning Team]]="")),"-",IF(Table4[[#This Row],[Predicted Winner]]=NHL2025_26Results[[#This Row],[Winning Team]],"YES","NO"))</f>
        <v>YES</v>
      </c>
      <c r="N425">
        <f>IF(Table4[[#This Row],[Adjusted Correct]]="-", "",IF(Table4[[#This Row],[Adjusted Correct]]="YES",(Table4[[#This Row],[Strength of Win]]-1)^2,(Table4[[#This Row],[Strength of Win]]-0)^2))</f>
        <v>0.14648053485037857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-0.38457853131220177</v>
      </c>
      <c r="H426" t="s">
        <v>22</v>
      </c>
      <c r="I426">
        <f>VLOOKUP(Table4[[#This Row],[Visitor]],'NHL Model'!$A$6:$B$38,2,FALSE)</f>
        <v>0.95632113049608625</v>
      </c>
      <c r="J426">
        <f>($B$1+Table4[[#This Row],[Home Differential]])-Table4[[#This Row],[Away Differential]]</f>
        <v>-1.257485738936948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0.65149684615000192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0.12145444824339544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0.2169753953839102</v>
      </c>
      <c r="H427" t="s">
        <v>35</v>
      </c>
      <c r="I427">
        <f>VLOOKUP(Table4[[#This Row],[Visitor]],'NHL Model'!$A$6:$B$38,2,FALSE)</f>
        <v>-1.0071073873045386</v>
      </c>
      <c r="J427">
        <f>($B$1+Table4[[#This Row],[Home Differential]])-Table4[[#This Row],[Away Differential]]</f>
        <v>1.3074967055597888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0.74194938065831739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6.6590122142625982E-2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0.63414563871719487</v>
      </c>
      <c r="H428" t="s">
        <v>19</v>
      </c>
      <c r="I428">
        <f>VLOOKUP(Table4[[#This Row],[Visitor]],'NHL Model'!$A$6:$B$38,2,FALSE)</f>
        <v>-3.2654449433805091E-2</v>
      </c>
      <c r="J428">
        <f>($B$1+Table4[[#This Row],[Home Differential]])-Table4[[#This Row],[Away Differential]]</f>
        <v>0.75021401102234009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0.66484913793794975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0.44202437621683494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-0.21858969522472316</v>
      </c>
      <c r="H429" t="s">
        <v>26</v>
      </c>
      <c r="I429">
        <f>VLOOKUP(Table4[[#This Row],[Visitor]],'NHL Model'!$A$6:$B$38,2,FALSE)</f>
        <v>-0.46779379272887778</v>
      </c>
      <c r="J429">
        <f>($B$1+Table4[[#This Row],[Home Differential]])-Table4[[#This Row],[Away Differential]]</f>
        <v>0.33261802037549471</v>
      </c>
      <c r="K429" t="str">
        <f>IF(Table4[[#This Row],[HomeIce Differential]]&gt;0,Table4[[#This Row],[Home]],Table4[[#This Row],[Visitor]])</f>
        <v>Columbus Blue Jackets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0.5755031301494109</v>
      </c>
      <c r="M429" t="str">
        <f>IF(OR((NHL2025_26Results[[#This Row],[Winning Team]]="")),"-",IF(Table4[[#This Row],[Predicted Winner]]=NHL2025_26Results[[#This Row],[Winning Team]],"YES","NO"))</f>
        <v>YES</v>
      </c>
      <c r="N429">
        <f>IF(Table4[[#This Row],[Adjusted Correct]]="-", "",IF(Table4[[#This Row],[Adjusted Correct]]="YES",(Table4[[#This Row],[Strength of Win]]-1)^2,(Table4[[#This Row],[Strength of Win]]-0)^2))</f>
        <v>0.18019759251294798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-0.64492670113602302</v>
      </c>
      <c r="H430" t="s">
        <v>34</v>
      </c>
      <c r="I430">
        <f>VLOOKUP(Table4[[#This Row],[Visitor]],'NHL Model'!$A$6:$B$38,2,FALSE)</f>
        <v>5.5764706436567675E-2</v>
      </c>
      <c r="J430">
        <f>($B$1+Table4[[#This Row],[Home Differential]])-Table4[[#This Row],[Away Differential]]</f>
        <v>-0.61727748470125066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0.54819585503629775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0.30051869547897758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-0.17631503877657284</v>
      </c>
      <c r="H431" t="s">
        <v>32</v>
      </c>
      <c r="I431">
        <f>VLOOKUP(Table4[[#This Row],[Visitor]],'NHL Model'!$A$6:$B$38,2,FALSE)</f>
        <v>-0.51436416305402566</v>
      </c>
      <c r="J431">
        <f>($B$1+Table4[[#This Row],[Home Differential]])-Table4[[#This Row],[Away Differential]]</f>
        <v>0.4214630471487929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0.60514279898792411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0.15591220919109089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-0.2331185823245894</v>
      </c>
      <c r="H432" t="s">
        <v>29</v>
      </c>
      <c r="I432">
        <f>VLOOKUP(Table4[[#This Row],[Visitor]],'NHL Model'!$A$6:$B$38,2,FALSE)</f>
        <v>-0.8717103858022891</v>
      </c>
      <c r="J432">
        <f>($B$1+Table4[[#This Row],[Home Differential]])-Table4[[#This Row],[Away Differential]]</f>
        <v>0.72200572634903981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0.61886632841106914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0.38299553244099727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9.3318671190422225E-2</v>
      </c>
      <c r="H433" t="s">
        <v>10</v>
      </c>
      <c r="I433">
        <f>VLOOKUP(Table4[[#This Row],[Visitor]],'NHL Model'!$A$6:$B$38,2,FALSE)</f>
        <v>-8.0981007952892342E-2</v>
      </c>
      <c r="J433">
        <f>($B$1+Table4[[#This Row],[Home Differential]])-Table4[[#This Row],[Away Differential]]</f>
        <v>0.25771360201465465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0.56815064317462438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0.32279515333973935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0.42358825343066847</v>
      </c>
      <c r="H434" t="s">
        <v>12</v>
      </c>
      <c r="I434">
        <f>VLOOKUP(Table4[[#This Row],[Visitor]],'NHL Model'!$A$6:$B$38,2,FALSE)</f>
        <v>1.7429147091761512</v>
      </c>
      <c r="J434">
        <f>($B$1+Table4[[#This Row],[Home Differential]])-Table4[[#This Row],[Away Differential]]</f>
        <v>-1.2359125328741427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0.66131732775495755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0.43734060798895796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-0.1785578406462007</v>
      </c>
      <c r="H435" t="s">
        <v>15</v>
      </c>
      <c r="I435">
        <f>VLOOKUP(Table4[[#This Row],[Visitor]],'NHL Model'!$A$6:$B$38,2,FALSE)</f>
        <v>0.21842521198061643</v>
      </c>
      <c r="J435">
        <f>($B$1+Table4[[#This Row],[Home Differential]])-Table4[[#This Row],[Away Differential]]</f>
        <v>-0.31356912975547707</v>
      </c>
      <c r="K435" t="str">
        <f>IF(Table4[[#This Row],[HomeIce Differential]]&gt;0,Table4[[#This Row],[Home]],Table4[[#This Row],[Visitor]])</f>
        <v>New York Rangers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0.6008241075291878</v>
      </c>
      <c r="M435" t="str">
        <f>IF(OR((NHL2025_26Results[[#This Row],[Winning Team]]="")),"-",IF(Table4[[#This Row],[Predicted Winner]]=NHL2025_26Results[[#This Row],[Winning Team]],"YES","NO"))</f>
        <v>YES</v>
      </c>
      <c r="N435">
        <f>IF(Table4[[#This Row],[Adjusted Correct]]="-", "",IF(Table4[[#This Row],[Adjusted Correct]]="YES",(Table4[[#This Row],[Strength of Win]]-1)^2,(Table4[[#This Row],[Strength of Win]]-0)^2))</f>
        <v>0.15934139312986942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0.67847982929669792</v>
      </c>
      <c r="H436" t="s">
        <v>14</v>
      </c>
      <c r="I436">
        <f>VLOOKUP(Table4[[#This Row],[Visitor]],'NHL Model'!$A$6:$B$38,2,FALSE)</f>
        <v>0.26772485952910668</v>
      </c>
      <c r="J436">
        <f>($B$1+Table4[[#This Row],[Home Differential]])-Table4[[#This Row],[Away Differential]]</f>
        <v>0.49416889263893132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0.53984037514213135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0.29142763063359711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0.25846513585567971</v>
      </c>
      <c r="H437" t="s">
        <v>22</v>
      </c>
      <c r="I437">
        <f>VLOOKUP(Table4[[#This Row],[Visitor]],'NHL Model'!$A$6:$B$38,2,FALSE)</f>
        <v>0.95632113049608625</v>
      </c>
      <c r="J437">
        <f>($B$1+Table4[[#This Row],[Home Differential]])-Table4[[#This Row],[Away Differential]]</f>
        <v>-0.6144420717690664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0.51156135010495507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0.26169501492120439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0.85927171572006034</v>
      </c>
      <c r="H438" t="s">
        <v>33</v>
      </c>
      <c r="I438">
        <f>VLOOKUP(Table4[[#This Row],[Visitor]],'NHL Model'!$A$6:$B$38,2,FALSE)</f>
        <v>-0.38457853131220177</v>
      </c>
      <c r="J438">
        <f>($B$1+Table4[[#This Row],[Home Differential]])-Table4[[#This Row],[Away Differential]]</f>
        <v>1.3272641699036023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0.72788163986853482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7.4048401920637774E-2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-3.0305407970040489E-4</v>
      </c>
      <c r="H439" t="s">
        <v>20</v>
      </c>
      <c r="I439">
        <f>VLOOKUP(Table4[[#This Row],[Visitor]],'NHL Model'!$A$6:$B$38,2,FALSE)</f>
        <v>0.18369921819729701</v>
      </c>
      <c r="J439">
        <f>($B$1+Table4[[#This Row],[Home Differential]])-Table4[[#This Row],[Away Differential]]</f>
        <v>-0.10058834940565735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0.44848749429408108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0.30416604395002123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-0.58187345243071342</v>
      </c>
      <c r="H440" t="s">
        <v>55</v>
      </c>
      <c r="I440">
        <f>VLOOKUP(Table4[[#This Row],[Visitor]],'NHL Model'!$A$6:$B$38,2,FALSE)</f>
        <v>0.16351124183791613</v>
      </c>
      <c r="J440">
        <f>($B$1+Table4[[#This Row],[Home Differential]])-Table4[[#This Row],[Away Differential]]</f>
        <v>-0.66197077139728944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0.53230857367232132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0.2187352702604185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-7.6933210940904648E-2</v>
      </c>
      <c r="H441" t="s">
        <v>23</v>
      </c>
      <c r="I441">
        <f>VLOOKUP(Table4[[#This Row],[Visitor]],'NHL Model'!$A$6:$B$38,2,FALSE)</f>
        <v>-0.32833039474346476</v>
      </c>
      <c r="J441">
        <f>($B$1+Table4[[#This Row],[Home Differential]])-Table4[[#This Row],[Away Differential]]</f>
        <v>0.33481110667390018</v>
      </c>
      <c r="K441" t="str">
        <f>IF(Table4[[#This Row],[HomeIce Differential]]&gt;0,Table4[[#This Row],[Home]],Table4[[#This Row],[Visitor]])</f>
        <v>Winnipeg Jets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0.595677610353609</v>
      </c>
      <c r="M441" t="str">
        <f>IF(OR((NHL2025_26Results[[#This Row],[Winning Team]]="")),"-",IF(Table4[[#This Row],[Predicted Winner]]=NHL2025_26Results[[#This Row],[Winning Team]],"YES","NO"))</f>
        <v>YES</v>
      </c>
      <c r="N441">
        <f>IF(Table4[[#This Row],[Adjusted Correct]]="-", "",IF(Table4[[#This Row],[Adjusted Correct]]="YES",(Table4[[#This Row],[Strength of Win]]-1)^2,(Table4[[#This Row],[Strength of Win]]-0)^2))</f>
        <v>0.16347659476936802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0.2169753953839102</v>
      </c>
      <c r="H442" t="s">
        <v>24</v>
      </c>
      <c r="I442">
        <f>VLOOKUP(Table4[[#This Row],[Visitor]],'NHL Model'!$A$6:$B$38,2,FALSE)</f>
        <v>-3.0305407970040489E-4</v>
      </c>
      <c r="J442">
        <f>($B$1+Table4[[#This Row],[Home Differential]])-Table4[[#This Row],[Away Differential]]</f>
        <v>0.30069237233495066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0.62851318209088014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0.13800245588024357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0.63414563871719487</v>
      </c>
      <c r="H443" t="s">
        <v>29</v>
      </c>
      <c r="I443">
        <f>VLOOKUP(Table4[[#This Row],[Visitor]],'NHL Model'!$A$6:$B$38,2,FALSE)</f>
        <v>-0.8717103858022891</v>
      </c>
      <c r="J443">
        <f>($B$1+Table4[[#This Row],[Home Differential]])-Table4[[#This Row],[Away Differential]]</f>
        <v>1.5892699473908241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0.75650112713686068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5.9291701085619285E-2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-0.64492670113602302</v>
      </c>
      <c r="H444" t="s">
        <v>55</v>
      </c>
      <c r="I444">
        <f>VLOOKUP(Table4[[#This Row],[Visitor]],'NHL Model'!$A$6:$B$38,2,FALSE)</f>
        <v>0.16351124183791613</v>
      </c>
      <c r="J444">
        <f>($B$1+Table4[[#This Row],[Home Differential]])-Table4[[#This Row],[Away Differential]]</f>
        <v>-0.72502402010259903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0.53919602350588924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0.29073235176456347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-0.17631503877657284</v>
      </c>
      <c r="H445" t="s">
        <v>40</v>
      </c>
      <c r="I445">
        <f>VLOOKUP(Table4[[#This Row],[Visitor]],'NHL Model'!$A$6:$B$38,2,FALSE)</f>
        <v>-7.6933210940904648E-2</v>
      </c>
      <c r="J445">
        <f>($B$1+Table4[[#This Row],[Home Differential]])-Table4[[#This Row],[Away Differential]]</f>
        <v>-1.5967904964328122E-2</v>
      </c>
      <c r="K445" t="str">
        <f>IF(Table4[[#This Row],[HomeIce Differential]]&gt;0,Table4[[#This Row],[Home]],Table4[[#This Row],[Visitor]])</f>
        <v>Winnipeg Jets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0.44263877928427142</v>
      </c>
      <c r="M445" t="str">
        <f>IF(OR((NHL2025_26Results[[#This Row],[Winning Team]]="")),"-",IF(Table4[[#This Row],[Predicted Winner]]=NHL2025_26Results[[#This Row],[Winning Team]],"YES","NO"))</f>
        <v>NO</v>
      </c>
      <c r="N445">
        <f>IF(Table4[[#This Row],[Adjusted Correct]]="-", "",IF(Table4[[#This Row],[Adjusted Correct]]="YES",(Table4[[#This Row],[Strength of Win]]-1)^2,(Table4[[#This Row],[Strength of Win]]-0)^2))</f>
        <v>0.19592908892626995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-0.2331185823245894</v>
      </c>
      <c r="H446" t="s">
        <v>28</v>
      </c>
      <c r="I446">
        <f>VLOOKUP(Table4[[#This Row],[Visitor]],'NHL Model'!$A$6:$B$38,2,FALSE)</f>
        <v>-0.21858969522472316</v>
      </c>
      <c r="J446">
        <f>($B$1+Table4[[#This Row],[Home Differential]])-Table4[[#This Row],[Away Differential]]</f>
        <v>6.8885035771473813E-2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0.54752446920501985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0.20473410596819902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9.3318671190422225E-2</v>
      </c>
      <c r="H447" t="s">
        <v>10</v>
      </c>
      <c r="I447">
        <f>VLOOKUP(Table4[[#This Row],[Visitor]],'NHL Model'!$A$6:$B$38,2,FALSE)</f>
        <v>-8.0981007952892342E-2</v>
      </c>
      <c r="J447">
        <f>($B$1+Table4[[#This Row],[Home Differential]])-Table4[[#This Row],[Away Differential]]</f>
        <v>0.25771360201465465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0.56815064317462438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0.18649386699049059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0.21842521198061643</v>
      </c>
      <c r="H448" t="s">
        <v>12</v>
      </c>
      <c r="I448">
        <f>VLOOKUP(Table4[[#This Row],[Visitor]],'NHL Model'!$A$6:$B$38,2,FALSE)</f>
        <v>1.7429147091761512</v>
      </c>
      <c r="J448">
        <f>($B$1+Table4[[#This Row],[Home Differential]])-Table4[[#This Row],[Away Differential]]</f>
        <v>-1.4410755743241948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0.68372775362046023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0.1000281338299603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-0.1785578406462007</v>
      </c>
      <c r="H449" t="s">
        <v>35</v>
      </c>
      <c r="I449">
        <f>VLOOKUP(Table4[[#This Row],[Visitor]],'NHL Model'!$A$6:$B$38,2,FALSE)</f>
        <v>-1.0071073873045386</v>
      </c>
      <c r="J449">
        <f>($B$1+Table4[[#This Row],[Home Differential]])-Table4[[#This Row],[Away Differential]]</f>
        <v>0.91196346952967799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0.63961584494699109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0.40910842910725337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-0.51436416305402566</v>
      </c>
      <c r="H450" t="s">
        <v>26</v>
      </c>
      <c r="I450">
        <f>VLOOKUP(Table4[[#This Row],[Visitor]],'NHL Model'!$A$6:$B$38,2,FALSE)</f>
        <v>-0.46779379272887778</v>
      </c>
      <c r="J450">
        <f>($B$1+Table4[[#This Row],[Home Differential]])-Table4[[#This Row],[Away Differential]]</f>
        <v>3.6843552546192204E-2</v>
      </c>
      <c r="K450" t="str">
        <f>IF(Table4[[#This Row],[HomeIce Differential]]&gt;0,Table4[[#This Row],[Home]],Table4[[#This Row],[Visitor]])</f>
        <v>Seattle Kraken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0.5431950119944613</v>
      </c>
      <c r="M450" t="str">
        <f>IF(OR((NHL2025_26Results[[#This Row],[Winning Team]]="")),"-",IF(Table4[[#This Row],[Predicted Winner]]=NHL2025_26Results[[#This Row],[Winning Team]],"YES","NO"))</f>
        <v>NO</v>
      </c>
      <c r="N450">
        <f>IF(Table4[[#This Row],[Adjusted Correct]]="-", "",IF(Table4[[#This Row],[Adjusted Correct]]="YES",(Table4[[#This Row],[Strength of Win]]-1)^2,(Table4[[#This Row],[Strength of Win]]-0)^2))</f>
        <v>0.29506082105566295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0.67847982929669792</v>
      </c>
      <c r="H451" t="s">
        <v>30</v>
      </c>
      <c r="I451">
        <f>VLOOKUP(Table4[[#This Row],[Visitor]],'NHL Model'!$A$6:$B$38,2,FALSE)</f>
        <v>0.42358825343066847</v>
      </c>
      <c r="J451">
        <f>($B$1+Table4[[#This Row],[Home Differential]])-Table4[[#This Row],[Away Differential]]</f>
        <v>0.33830549873736954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0.49347561857071165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0.24351818612374648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-3.2654449433805091E-2</v>
      </c>
      <c r="H452" t="s">
        <v>18</v>
      </c>
      <c r="I452">
        <f>VLOOKUP(Table4[[#This Row],[Visitor]],'NHL Model'!$A$6:$B$38,2,FALSE)</f>
        <v>-0.23554590882174289</v>
      </c>
      <c r="J452">
        <f>($B$1+Table4[[#This Row],[Home Differential]])-Table4[[#This Row],[Away Differential]]</f>
        <v>0.28630538225927787</v>
      </c>
      <c r="K452" t="str">
        <f>IF(Table4[[#This Row],[HomeIce Differential]]&gt;0,Table4[[#This Row],[Home]],Table4[[#This Row],[Visitor]])</f>
        <v>Toronto Maple Leafs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0.49865061928340254</v>
      </c>
      <c r="M452" t="str">
        <f>IF(OR((NHL2025_26Results[[#This Row],[Winning Team]]="")),"-",IF(Table4[[#This Row],[Predicted Winner]]=NHL2025_26Results[[#This Row],[Winning Team]],"YES","NO"))</f>
        <v>NO</v>
      </c>
      <c r="N452">
        <f>IF(Table4[[#This Row],[Adjusted Correct]]="-", "",IF(Table4[[#This Row],[Adjusted Correct]]="YES",(Table4[[#This Row],[Strength of Win]]-1)^2,(Table4[[#This Row],[Strength of Win]]-0)^2))</f>
        <v>0.24865244011172086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-0.58187345243071342</v>
      </c>
      <c r="H453" t="s">
        <v>34</v>
      </c>
      <c r="I453">
        <f>VLOOKUP(Table4[[#This Row],[Visitor]],'NHL Model'!$A$6:$B$38,2,FALSE)</f>
        <v>5.5764706436567675E-2</v>
      </c>
      <c r="J453">
        <f>($B$1+Table4[[#This Row],[Home Differential]])-Table4[[#This Row],[Away Differential]]</f>
        <v>-0.55422423599594106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0.54130840520272994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0.29301478954312288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0.25846513585567971</v>
      </c>
      <c r="H454" t="s">
        <v>10</v>
      </c>
      <c r="I454">
        <f>VLOOKUP(Table4[[#This Row],[Visitor]],'NHL Model'!$A$6:$B$38,2,FALSE)</f>
        <v>-8.0981007952892342E-2</v>
      </c>
      <c r="J454">
        <f>($B$1+Table4[[#This Row],[Home Differential]])-Table4[[#This Row],[Away Differential]]</f>
        <v>0.42286006667991216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0.65446247338304309</v>
      </c>
      <c r="M454" t="str">
        <f>IF(OR((NHL2025_26Results[[#This Row],[Winning Team]]="")),"-",IF(Table4[[#This Row],[Predicted Winner]]=NHL2025_26Results[[#This Row],[Winning Team]],"YES","NO"))</f>
        <v>-</v>
      </c>
      <c r="N454" t="str">
        <f>IF(Table4[[#This Row],[Adjusted Correct]]="-", "",IF(Table4[[#This Row],[Adjusted Correct]]="YES",(Table4[[#This Row],[Strength of Win]]-1)^2,(Table4[[#This Row],[Strength of Win]]-0)^2))</f>
        <v/>
      </c>
      <c r="O454">
        <v>0.42286006667991216</v>
      </c>
      <c r="P454" s="11">
        <v>0.65446247338304309</v>
      </c>
      <c r="Q454" t="s">
        <v>31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0.63414563871719487</v>
      </c>
      <c r="H455" t="s">
        <v>33</v>
      </c>
      <c r="I455">
        <f>VLOOKUP(Table4[[#This Row],[Visitor]],'NHL Model'!$A$6:$B$38,2,FALSE)</f>
        <v>-0.38457853131220177</v>
      </c>
      <c r="J455">
        <f>($B$1+Table4[[#This Row],[Home Differential]])-Table4[[#This Row],[Away Differential]]</f>
        <v>1.1021380929007367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0.70329060620376804</v>
      </c>
      <c r="M455" t="str">
        <f>IF(OR((NHL2025_26Results[[#This Row],[Winning Team]]="")),"-",IF(Table4[[#This Row],[Predicted Winner]]=NHL2025_26Results[[#This Row],[Winning Team]],"YES","NO"))</f>
        <v>-</v>
      </c>
      <c r="N455" t="str">
        <f>IF(Table4[[#This Row],[Adjusted Correct]]="-", "",IF(Table4[[#This Row],[Adjusted Correct]]="YES",(Table4[[#This Row],[Strength of Win]]-1)^2,(Table4[[#This Row],[Strength of Win]]-0)^2))</f>
        <v/>
      </c>
      <c r="O455">
        <v>1.1021380929007367</v>
      </c>
      <c r="P455" s="11">
        <v>0.70329060620376804</v>
      </c>
      <c r="Q455" t="s">
        <v>25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0.85927171572006034</v>
      </c>
      <c r="H456" t="s">
        <v>14</v>
      </c>
      <c r="I456">
        <f>VLOOKUP(Table4[[#This Row],[Visitor]],'NHL Model'!$A$6:$B$38,2,FALSE)</f>
        <v>0.26772485952910668</v>
      </c>
      <c r="J456">
        <f>($B$1+Table4[[#This Row],[Home Differential]])-Table4[[#This Row],[Away Differential]]</f>
        <v>0.67496077906229379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0.60313926647417737</v>
      </c>
      <c r="M456" t="str">
        <f>IF(OR((NHL2025_26Results[[#This Row],[Winning Team]]="")),"-",IF(Table4[[#This Row],[Predicted Winner]]=NHL2025_26Results[[#This Row],[Winning Team]],"YES","NO"))</f>
        <v>-</v>
      </c>
      <c r="N456" t="str">
        <f>IF(Table4[[#This Row],[Adjusted Correct]]="-", "",IF(Table4[[#This Row],[Adjusted Correct]]="YES",(Table4[[#This Row],[Strength of Win]]-1)^2,(Table4[[#This Row],[Strength of Win]]-0)^2))</f>
        <v/>
      </c>
      <c r="O456">
        <v>0.67496077906229379</v>
      </c>
      <c r="P456" s="11">
        <v>0.60313926647417737</v>
      </c>
      <c r="Q456" t="s">
        <v>39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-0.2331185823245894</v>
      </c>
      <c r="H457" t="s">
        <v>30</v>
      </c>
      <c r="I457">
        <f>VLOOKUP(Table4[[#This Row],[Visitor]],'NHL Model'!$A$6:$B$38,2,FALSE)</f>
        <v>0.42358825343066847</v>
      </c>
      <c r="J457">
        <f>($B$1+Table4[[#This Row],[Home Differential]])-Table4[[#This Row],[Away Differential]]</f>
        <v>-0.57329291288391782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0.60610035027025788</v>
      </c>
      <c r="M457" t="str">
        <f>IF(OR((NHL2025_26Results[[#This Row],[Winning Team]]="")),"-",IF(Table4[[#This Row],[Predicted Winner]]=NHL2025_26Results[[#This Row],[Winning Team]],"YES","NO"))</f>
        <v>-</v>
      </c>
      <c r="N457" t="str">
        <f>IF(Table4[[#This Row],[Adjusted Correct]]="-", "",IF(Table4[[#This Row],[Adjusted Correct]]="YES",(Table4[[#This Row],[Strength of Win]]-1)^2,(Table4[[#This Row],[Strength of Win]]-0)^2))</f>
        <v/>
      </c>
      <c r="O457">
        <v>-0.57329291288391782</v>
      </c>
      <c r="P457" s="11">
        <v>0.60610035027025788</v>
      </c>
      <c r="Q457" t="s">
        <v>30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-0.23554590882174289</v>
      </c>
      <c r="H458" t="s">
        <v>35</v>
      </c>
      <c r="I458">
        <f>VLOOKUP(Table4[[#This Row],[Visitor]],'NHL Model'!$A$6:$B$38,2,FALSE)</f>
        <v>-1.0071073873045386</v>
      </c>
      <c r="J458">
        <f>($B$1+Table4[[#This Row],[Home Differential]])-Table4[[#This Row],[Away Differential]]</f>
        <v>0.85497540135413574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0.63339090858399061</v>
      </c>
      <c r="M458" t="str">
        <f>IF(OR((NHL2025_26Results[[#This Row],[Winning Team]]="")),"-",IF(Table4[[#This Row],[Predicted Winner]]=NHL2025_26Results[[#This Row],[Winning Team]],"YES","NO"))</f>
        <v>-</v>
      </c>
      <c r="N458" t="str">
        <f>IF(Table4[[#This Row],[Adjusted Correct]]="-", "",IF(Table4[[#This Row],[Adjusted Correct]]="YES",(Table4[[#This Row],[Strength of Win]]-1)^2,(Table4[[#This Row],[Strength of Win]]-0)^2))</f>
        <v/>
      </c>
      <c r="O458">
        <v>0.85497540135413574</v>
      </c>
      <c r="P458" s="11">
        <v>0.63339090858399061</v>
      </c>
      <c r="Q458" t="s">
        <v>18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0.21842521198061643</v>
      </c>
      <c r="H459" t="s">
        <v>20</v>
      </c>
      <c r="I459">
        <f>VLOOKUP(Table4[[#This Row],[Visitor]],'NHL Model'!$A$6:$B$38,2,FALSE)</f>
        <v>0.18369921819729701</v>
      </c>
      <c r="J459">
        <f>($B$1+Table4[[#This Row],[Home Differential]])-Table4[[#This Row],[Away Differential]]</f>
        <v>0.1181399166546595</v>
      </c>
      <c r="K459" t="str">
        <f>IF(Table4[[#This Row],[HomeIce Differential]]&gt;0,Table4[[#This Row],[Home]],Table4[[#This Row],[Visitor]])</f>
        <v>New York Rangers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0.5321354611539999</v>
      </c>
      <c r="M459" t="str">
        <f>IF(OR((NHL2025_26Results[[#This Row],[Winning Team]]="")),"-",IF(Table4[[#This Row],[Predicted Winner]]=NHL2025_26Results[[#This Row],[Winning Team]],"YES","NO"))</f>
        <v>-</v>
      </c>
      <c r="N459" t="str">
        <f>IF(Table4[[#This Row],[Adjusted Correct]]="-", "",IF(Table4[[#This Row],[Adjusted Correct]]="YES",(Table4[[#This Row],[Strength of Win]]-1)^2,(Table4[[#This Row],[Strength of Win]]-0)^2))</f>
        <v/>
      </c>
      <c r="O459">
        <v>0.1181399166546595</v>
      </c>
      <c r="P459" s="11">
        <v>0.5321354611539999</v>
      </c>
      <c r="Q459" t="s">
        <v>15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5.7297532801941484E-2</v>
      </c>
      <c r="H460" t="s">
        <v>12</v>
      </c>
      <c r="I460">
        <f>VLOOKUP(Table4[[#This Row],[Visitor]],'NHL Model'!$A$6:$B$38,2,FALSE)</f>
        <v>1.7429147091761512</v>
      </c>
      <c r="J460">
        <f>($B$1+Table4[[#This Row],[Home Differential]])-Table4[[#This Row],[Away Differential]]</f>
        <v>-1.6022032535028696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0.67501230718903549</v>
      </c>
      <c r="M460" t="str">
        <f>IF(OR((NHL2025_26Results[[#This Row],[Winning Team]]="")),"-",IF(Table4[[#This Row],[Predicted Winner]]=NHL2025_26Results[[#This Row],[Winning Team]],"YES","NO"))</f>
        <v>-</v>
      </c>
      <c r="N460" t="str">
        <f>IF(Table4[[#This Row],[Adjusted Correct]]="-", "",IF(Table4[[#This Row],[Adjusted Correct]]="YES",(Table4[[#This Row],[Strength of Win]]-1)^2,(Table4[[#This Row],[Strength of Win]]-0)^2))</f>
        <v/>
      </c>
      <c r="O460">
        <v>-1.6022032535028696</v>
      </c>
      <c r="P460" s="11">
        <v>0.67501230718903549</v>
      </c>
      <c r="Q460" t="s">
        <v>12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0.95632113049608625</v>
      </c>
      <c r="H461" t="s">
        <v>28</v>
      </c>
      <c r="I461">
        <f>VLOOKUP(Table4[[#This Row],[Visitor]],'NHL Model'!$A$6:$B$38,2,FALSE)</f>
        <v>-0.21858969522472316</v>
      </c>
      <c r="J461">
        <f>($B$1+Table4[[#This Row],[Home Differential]])-Table4[[#This Row],[Away Differential]]</f>
        <v>1.2583247485921496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0.70348741145214055</v>
      </c>
      <c r="M461" t="str">
        <f>IF(OR((NHL2025_26Results[[#This Row],[Winning Team]]="")),"-",IF(Table4[[#This Row],[Predicted Winner]]=NHL2025_26Results[[#This Row],[Winning Team]],"YES","NO"))</f>
        <v>-</v>
      </c>
      <c r="N461" t="str">
        <f>IF(Table4[[#This Row],[Adjusted Correct]]="-", "",IF(Table4[[#This Row],[Adjusted Correct]]="YES",(Table4[[#This Row],[Strength of Win]]-1)^2,(Table4[[#This Row],[Strength of Win]]-0)^2))</f>
        <v/>
      </c>
      <c r="O461">
        <v>1.2583247485921496</v>
      </c>
      <c r="P461" s="11">
        <v>0.70348741145214055</v>
      </c>
      <c r="Q461" t="s">
        <v>22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-0.64492670113602302</v>
      </c>
      <c r="H462" t="s">
        <v>23</v>
      </c>
      <c r="I462">
        <f>VLOOKUP(Table4[[#This Row],[Visitor]],'NHL Model'!$A$6:$B$38,2,FALSE)</f>
        <v>-0.32833039474346476</v>
      </c>
      <c r="J462">
        <f>($B$1+Table4[[#This Row],[Home Differential]])-Table4[[#This Row],[Away Differential]]</f>
        <v>-0.23318238352121817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0.48547104235786886</v>
      </c>
      <c r="M462" t="str">
        <f>IF(OR((NHL2025_26Results[[#This Row],[Winning Team]]="")),"-",IF(Table4[[#This Row],[Predicted Winner]]=NHL2025_26Results[[#This Row],[Winning Team]],"YES","NO"))</f>
        <v>-</v>
      </c>
      <c r="N462" t="str">
        <f>IF(Table4[[#This Row],[Adjusted Correct]]="-", "",IF(Table4[[#This Row],[Adjusted Correct]]="YES",(Table4[[#This Row],[Strength of Win]]-1)^2,(Table4[[#This Row],[Strength of Win]]-0)^2))</f>
        <v/>
      </c>
      <c r="P462" s="11"/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-0.51436416305402566</v>
      </c>
      <c r="H463" t="s">
        <v>34</v>
      </c>
      <c r="I463">
        <f>VLOOKUP(Table4[[#This Row],[Visitor]],'NHL Model'!$A$6:$B$38,2,FALSE)</f>
        <v>5.5764706436567675E-2</v>
      </c>
      <c r="J463">
        <f>($B$1+Table4[[#This Row],[Home Differential]])-Table4[[#This Row],[Away Differential]]</f>
        <v>-0.48671494661925324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0.53393421190691959</v>
      </c>
      <c r="M463" t="str">
        <f>IF(OR((NHL2025_26Results[[#This Row],[Winning Team]]="")),"-",IF(Table4[[#This Row],[Predicted Winner]]=NHL2025_26Results[[#This Row],[Winning Team]],"YES","NO"))</f>
        <v>-</v>
      </c>
      <c r="N463" t="str">
        <f>IF(Table4[[#This Row],[Adjusted Correct]]="-", "",IF(Table4[[#This Row],[Adjusted Correct]]="YES",(Table4[[#This Row],[Strength of Win]]-1)^2,(Table4[[#This Row],[Strength of Win]]-0)^2))</f>
        <v/>
      </c>
      <c r="P463" s="11"/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-3.2654449433805091E-2</v>
      </c>
      <c r="H464" t="s">
        <v>37</v>
      </c>
      <c r="I464">
        <f>VLOOKUP(Table4[[#This Row],[Visitor]],'NHL Model'!$A$6:$B$38,2,FALSE)</f>
        <v>0.67847982929669792</v>
      </c>
      <c r="J464">
        <f>($B$1+Table4[[#This Row],[Home Differential]])-Table4[[#This Row],[Away Differential]]</f>
        <v>-0.62772035585916297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0.60119049195422547</v>
      </c>
      <c r="M464" t="str">
        <f>IF(OR((NHL2025_26Results[[#This Row],[Winning Team]]="")),"-",IF(Table4[[#This Row],[Predicted Winner]]=NHL2025_26Results[[#This Row],[Winning Team]],"YES","NO"))</f>
        <v>-</v>
      </c>
      <c r="N464" t="str">
        <f>IF(Table4[[#This Row],[Adjusted Correct]]="-", "",IF(Table4[[#This Row],[Adjusted Correct]]="YES",(Table4[[#This Row],[Strength of Win]]-1)^2,(Table4[[#This Row],[Strength of Win]]-0)^2))</f>
        <v/>
      </c>
      <c r="P464" s="11"/>
    </row>
    <row r="465" spans="4:16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0.16351124183791613</v>
      </c>
      <c r="H465" t="s">
        <v>13</v>
      </c>
      <c r="I465">
        <f>VLOOKUP(Table4[[#This Row],[Visitor]],'NHL Model'!$A$6:$B$38,2,FALSE)</f>
        <v>9.3318671190422225E-2</v>
      </c>
      <c r="J465">
        <f>($B$1+Table4[[#This Row],[Home Differential]])-Table4[[#This Row],[Away Differential]]</f>
        <v>0.15360649351883396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0.53148466917113979</v>
      </c>
      <c r="M465" t="str">
        <f>IF(OR((NHL2025_26Results[[#This Row],[Winning Team]]="")),"-",IF(Table4[[#This Row],[Predicted Winner]]=NHL2025_26Results[[#This Row],[Winning Team]],"YES","NO"))</f>
        <v>-</v>
      </c>
      <c r="N465" t="str">
        <f>IF(Table4[[#This Row],[Adjusted Correct]]="-", "",IF(Table4[[#This Row],[Adjusted Correct]]="YES",(Table4[[#This Row],[Strength of Win]]-1)^2,(Table4[[#This Row],[Strength of Win]]-0)^2))</f>
        <v/>
      </c>
      <c r="P465" s="11"/>
    </row>
    <row r="466" spans="4:16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-0.58187345243071342</v>
      </c>
      <c r="H466" t="s">
        <v>26</v>
      </c>
      <c r="I466">
        <f>VLOOKUP(Table4[[#This Row],[Visitor]],'NHL Model'!$A$6:$B$38,2,FALSE)</f>
        <v>-0.46779379272887778</v>
      </c>
      <c r="J466">
        <f>($B$1+Table4[[#This Row],[Home Differential]])-Table4[[#This Row],[Away Differential]]</f>
        <v>-3.066573683049556E-2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0.46417918130134894</v>
      </c>
      <c r="M466" t="str">
        <f>IF(OR((NHL2025_26Results[[#This Row],[Winning Team]]="")),"-",IF(Table4[[#This Row],[Predicted Winner]]=NHL2025_26Results[[#This Row],[Winning Team]],"YES","NO"))</f>
        <v>-</v>
      </c>
      <c r="N466" t="str">
        <f>IF(Table4[[#This Row],[Adjusted Correct]]="-", "",IF(Table4[[#This Row],[Adjusted Correct]]="YES",(Table4[[#This Row],[Strength of Win]]-1)^2,(Table4[[#This Row],[Strength of Win]]-0)^2))</f>
        <v/>
      </c>
      <c r="P466" s="11"/>
    </row>
    <row r="467" spans="4:16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0.63414563871719487</v>
      </c>
      <c r="H467" t="s">
        <v>28</v>
      </c>
      <c r="I467">
        <f>VLOOKUP(Table4[[#This Row],[Visitor]],'NHL Model'!$A$6:$B$38,2,FALSE)</f>
        <v>-0.21858969522472316</v>
      </c>
      <c r="J467">
        <f>($B$1+Table4[[#This Row],[Home Differential]])-Table4[[#This Row],[Away Differential]]</f>
        <v>0.93614925681325811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0.68515926793081139</v>
      </c>
      <c r="M467" t="str">
        <f>IF(OR((NHL2025_26Results[[#This Row],[Winning Team]]="")),"-",IF(Table4[[#This Row],[Predicted Winner]]=NHL2025_26Results[[#This Row],[Winning Team]],"YES","NO"))</f>
        <v>-</v>
      </c>
      <c r="N467" t="str">
        <f>IF(Table4[[#This Row],[Adjusted Correct]]="-", "",IF(Table4[[#This Row],[Adjusted Correct]]="YES",(Table4[[#This Row],[Strength of Win]]-1)^2,(Table4[[#This Row],[Strength of Win]]-0)^2))</f>
        <v/>
      </c>
      <c r="P467" s="11"/>
    </row>
    <row r="468" spans="4:16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-0.17631503877657284</v>
      </c>
      <c r="H468" t="s">
        <v>23</v>
      </c>
      <c r="I468">
        <f>VLOOKUP(Table4[[#This Row],[Visitor]],'NHL Model'!$A$6:$B$38,2,FALSE)</f>
        <v>-0.32833039474346476</v>
      </c>
      <c r="J468">
        <f>($B$1+Table4[[#This Row],[Home Differential]])-Table4[[#This Row],[Away Differential]]</f>
        <v>0.235429278838232</v>
      </c>
      <c r="K468" t="str">
        <f>IF(Table4[[#This Row],[HomeIce Differential]]&gt;0,Table4[[#This Row],[Home]],Table4[[#This Row],[Visitor]])</f>
        <v>Edmonton Oilers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0.5848219071560542</v>
      </c>
      <c r="M468" t="str">
        <f>IF(OR((NHL2025_26Results[[#This Row],[Winning Team]]="")),"-",IF(Table4[[#This Row],[Predicted Winner]]=NHL2025_26Results[[#This Row],[Winning Team]],"YES","NO"))</f>
        <v>-</v>
      </c>
      <c r="N468" t="str">
        <f>IF(Table4[[#This Row],[Adjusted Correct]]="-", "",IF(Table4[[#This Row],[Adjusted Correct]]="YES",(Table4[[#This Row],[Strength of Win]]-1)^2,(Table4[[#This Row],[Strength of Win]]-0)^2))</f>
        <v/>
      </c>
      <c r="P468" s="11"/>
    </row>
    <row r="469" spans="4:16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-0.23554590882174289</v>
      </c>
      <c r="H469" t="s">
        <v>37</v>
      </c>
      <c r="I469">
        <f>VLOOKUP(Table4[[#This Row],[Visitor]],'NHL Model'!$A$6:$B$38,2,FALSE)</f>
        <v>0.67847982929669792</v>
      </c>
      <c r="J469">
        <f>($B$1+Table4[[#This Row],[Home Differential]])-Table4[[#This Row],[Away Differential]]</f>
        <v>-0.8306118152471007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0.62335278774210501</v>
      </c>
      <c r="M469" t="str">
        <f>IF(OR((NHL2025_26Results[[#This Row],[Winning Team]]="")),"-",IF(Table4[[#This Row],[Predicted Winner]]=NHL2025_26Results[[#This Row],[Winning Team]],"YES","NO"))</f>
        <v>-</v>
      </c>
      <c r="N469" t="str">
        <f>IF(Table4[[#This Row],[Adjusted Correct]]="-", "",IF(Table4[[#This Row],[Adjusted Correct]]="YES",(Table4[[#This Row],[Strength of Win]]-1)^2,(Table4[[#This Row],[Strength of Win]]-0)^2))</f>
        <v/>
      </c>
      <c r="P469" s="11"/>
    </row>
    <row r="470" spans="4:16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-0.8717103858022891</v>
      </c>
      <c r="H470" t="s">
        <v>12</v>
      </c>
      <c r="I470">
        <f>VLOOKUP(Table4[[#This Row],[Visitor]],'NHL Model'!$A$6:$B$38,2,FALSE)</f>
        <v>1.7429147091761512</v>
      </c>
      <c r="J470">
        <f>($B$1+Table4[[#This Row],[Home Differential]])-Table4[[#This Row],[Away Differential]]</f>
        <v>-2.5312111721071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0.80280574556671913</v>
      </c>
      <c r="M470" t="str">
        <f>IF(OR((NHL2025_26Results[[#This Row],[Winning Team]]="")),"-",IF(Table4[[#This Row],[Predicted Winner]]=NHL2025_26Results[[#This Row],[Winning Team]],"YES","NO"))</f>
        <v>-</v>
      </c>
      <c r="N470" t="str">
        <f>IF(Table4[[#This Row],[Adjusted Correct]]="-", "",IF(Table4[[#This Row],[Adjusted Correct]]="YES",(Table4[[#This Row],[Strength of Win]]-1)^2,(Table4[[#This Row],[Strength of Win]]-0)^2))</f>
        <v/>
      </c>
      <c r="P470" s="11"/>
    </row>
    <row r="471" spans="4:16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0.42358825343066847</v>
      </c>
      <c r="H471" t="s">
        <v>20</v>
      </c>
      <c r="I471">
        <f>VLOOKUP(Table4[[#This Row],[Visitor]],'NHL Model'!$A$6:$B$38,2,FALSE)</f>
        <v>0.18369921819729701</v>
      </c>
      <c r="J471">
        <f>($B$1+Table4[[#This Row],[Home Differential]])-Table4[[#This Row],[Away Differential]]</f>
        <v>0.32330295810471149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0.55454588701950258</v>
      </c>
      <c r="M471" t="str">
        <f>IF(OR((NHL2025_26Results[[#This Row],[Winning Team]]="")),"-",IF(Table4[[#This Row],[Predicted Winner]]=NHL2025_26Results[[#This Row],[Winning Team]],"YES","NO"))</f>
        <v>-</v>
      </c>
      <c r="N471" t="str">
        <f>IF(Table4[[#This Row],[Adjusted Correct]]="-", "",IF(Table4[[#This Row],[Adjusted Correct]]="YES",(Table4[[#This Row],[Strength of Win]]-1)^2,(Table4[[#This Row],[Strength of Win]]-0)^2))</f>
        <v/>
      </c>
      <c r="P471" s="11"/>
    </row>
    <row r="472" spans="4:16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-0.1785578406462007</v>
      </c>
      <c r="H472" t="s">
        <v>24</v>
      </c>
      <c r="I472">
        <f>VLOOKUP(Table4[[#This Row],[Visitor]],'NHL Model'!$A$6:$B$38,2,FALSE)</f>
        <v>-3.0305407970040489E-4</v>
      </c>
      <c r="J472">
        <f>($B$1+Table4[[#This Row],[Home Differential]])-Table4[[#This Row],[Away Differential]]</f>
        <v>-9.4840863695160219E-2</v>
      </c>
      <c r="K472" t="str">
        <f>IF(Table4[[#This Row],[HomeIce Differential]]&gt;0,Table4[[#This Row],[Home]],Table4[[#This Row],[Visitor]])</f>
        <v>New Jersey Devils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0.47393584229193347</v>
      </c>
      <c r="M472" t="str">
        <f>IF(OR((NHL2025_26Results[[#This Row],[Winning Team]]="")),"-",IF(Table4[[#This Row],[Predicted Winner]]=NHL2025_26Results[[#This Row],[Winning Team]],"YES","NO"))</f>
        <v>-</v>
      </c>
      <c r="N472" t="str">
        <f>IF(Table4[[#This Row],[Adjusted Correct]]="-", "",IF(Table4[[#This Row],[Adjusted Correct]]="YES",(Table4[[#This Row],[Strength of Win]]-1)^2,(Table4[[#This Row],[Strength of Win]]-0)^2))</f>
        <v/>
      </c>
      <c r="P472" s="11"/>
    </row>
    <row r="473" spans="4:16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5.7297532801941484E-2</v>
      </c>
      <c r="H473" t="s">
        <v>33</v>
      </c>
      <c r="I473">
        <f>VLOOKUP(Table4[[#This Row],[Visitor]],'NHL Model'!$A$6:$B$38,2,FALSE)</f>
        <v>-0.38457853131220177</v>
      </c>
      <c r="J473">
        <f>($B$1+Table4[[#This Row],[Home Differential]])-Table4[[#This Row],[Away Differential]]</f>
        <v>0.52528998698548335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0.6234163564233427</v>
      </c>
      <c r="M473" t="str">
        <f>IF(OR((NHL2025_26Results[[#This Row],[Winning Team]]="")),"-",IF(Table4[[#This Row],[Predicted Winner]]=NHL2025_26Results[[#This Row],[Winning Team]],"YES","NO"))</f>
        <v>-</v>
      </c>
      <c r="N473" t="str">
        <f>IF(Table4[[#This Row],[Adjusted Correct]]="-", "",IF(Table4[[#This Row],[Adjusted Correct]]="YES",(Table4[[#This Row],[Strength of Win]]-1)^2,(Table4[[#This Row],[Strength of Win]]-0)^2))</f>
        <v/>
      </c>
      <c r="P473" s="11"/>
    </row>
    <row r="474" spans="4:16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0.26772485952910668</v>
      </c>
      <c r="H474" t="s">
        <v>31</v>
      </c>
      <c r="I474">
        <f>VLOOKUP(Table4[[#This Row],[Visitor]],'NHL Model'!$A$6:$B$38,2,FALSE)</f>
        <v>0.25846513585567971</v>
      </c>
      <c r="J474">
        <f>($B$1+Table4[[#This Row],[Home Differential]])-Table4[[#This Row],[Away Differential]]</f>
        <v>9.2673646544767063E-2</v>
      </c>
      <c r="K474" t="str">
        <f>IF(Table4[[#This Row],[HomeIce Differential]]&gt;0,Table4[[#This Row],[Home]],Table4[[#This Row],[Visitor]])</f>
        <v>Pittsburgh Penguins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0.52935372252147161</v>
      </c>
      <c r="M474" t="str">
        <f>IF(OR((NHL2025_26Results[[#This Row],[Winning Team]]="")),"-",IF(Table4[[#This Row],[Predicted Winner]]=NHL2025_26Results[[#This Row],[Winning Team]],"YES","NO"))</f>
        <v>-</v>
      </c>
      <c r="N474" t="str">
        <f>IF(Table4[[#This Row],[Adjusted Correct]]="-", "",IF(Table4[[#This Row],[Adjusted Correct]]="YES",(Table4[[#This Row],[Strength of Win]]-1)^2,(Table4[[#This Row],[Strength of Win]]-0)^2))</f>
        <v/>
      </c>
      <c r="P474" s="11"/>
    </row>
    <row r="475" spans="4:16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-1.0071073873045386</v>
      </c>
      <c r="H475" t="s">
        <v>21</v>
      </c>
      <c r="I475">
        <f>VLOOKUP(Table4[[#This Row],[Visitor]],'NHL Model'!$A$6:$B$38,2,FALSE)</f>
        <v>0.2169753953839102</v>
      </c>
      <c r="J475">
        <f>($B$1+Table4[[#This Row],[Home Differential]])-Table4[[#This Row],[Away Differential]]</f>
        <v>-1.1406688598171089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0.58459785514654816</v>
      </c>
      <c r="M475" t="str">
        <f>IF(OR((NHL2025_26Results[[#This Row],[Winning Team]]="")),"-",IF(Table4[[#This Row],[Predicted Winner]]=NHL2025_26Results[[#This Row],[Winning Team]],"YES","NO"))</f>
        <v>-</v>
      </c>
      <c r="N475" t="str">
        <f>IF(Table4[[#This Row],[Adjusted Correct]]="-", "",IF(Table4[[#This Row],[Adjusted Correct]]="YES",(Table4[[#This Row],[Strength of Win]]-1)^2,(Table4[[#This Row],[Strength of Win]]-0)^2))</f>
        <v/>
      </c>
      <c r="P475" s="11"/>
    </row>
    <row r="476" spans="4:16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-7.6933210940904648E-2</v>
      </c>
      <c r="H476" t="s">
        <v>39</v>
      </c>
      <c r="I476">
        <f>VLOOKUP(Table4[[#This Row],[Visitor]],'NHL Model'!$A$6:$B$38,2,FALSE)</f>
        <v>0.85927171572006034</v>
      </c>
      <c r="J476">
        <f>($B$1+Table4[[#This Row],[Home Differential]])-Table4[[#This Row],[Away Differential]]</f>
        <v>-0.85279100378962491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0.62648563520076206</v>
      </c>
      <c r="M476" t="str">
        <f>IF(OR((NHL2025_26Results[[#This Row],[Winning Team]]="")),"-",IF(Table4[[#This Row],[Predicted Winner]]=NHL2025_26Results[[#This Row],[Winning Team]],"YES","NO"))</f>
        <v>-</v>
      </c>
      <c r="N476" t="str">
        <f>IF(Table4[[#This Row],[Adjusted Correct]]="-", "",IF(Table4[[#This Row],[Adjusted Correct]]="YES",(Table4[[#This Row],[Strength of Win]]-1)^2,(Table4[[#This Row],[Strength of Win]]-0)^2))</f>
        <v/>
      </c>
      <c r="P476" s="11"/>
    </row>
    <row r="477" spans="4:16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-0.64492670113602302</v>
      </c>
      <c r="H477" t="s">
        <v>26</v>
      </c>
      <c r="I477">
        <f>VLOOKUP(Table4[[#This Row],[Visitor]],'NHL Model'!$A$6:$B$38,2,FALSE)</f>
        <v>-0.46779379272887778</v>
      </c>
      <c r="J477">
        <f>($B$1+Table4[[#This Row],[Home Differential]])-Table4[[#This Row],[Away Differential]]</f>
        <v>-9.3718985535805155E-2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0.47106663113491687</v>
      </c>
      <c r="M477" t="str">
        <f>IF(OR((NHL2025_26Results[[#This Row],[Winning Team]]="")),"-",IF(Table4[[#This Row],[Predicted Winner]]=NHL2025_26Results[[#This Row],[Winning Team]],"YES","NO"))</f>
        <v>-</v>
      </c>
      <c r="N477" t="str">
        <f>IF(Table4[[#This Row],[Adjusted Correct]]="-", "",IF(Table4[[#This Row],[Adjusted Correct]]="YES",(Table4[[#This Row],[Strength of Win]]-1)^2,(Table4[[#This Row],[Strength of Win]]-0)^2))</f>
        <v/>
      </c>
      <c r="P477" s="11"/>
    </row>
    <row r="478" spans="4:16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-8.0981007952892342E-2</v>
      </c>
      <c r="H478" t="s">
        <v>15</v>
      </c>
      <c r="I478">
        <f>VLOOKUP(Table4[[#This Row],[Visitor]],'NHL Model'!$A$6:$B$38,2,FALSE)</f>
        <v>0.21842521198061643</v>
      </c>
      <c r="J478">
        <f>($B$1+Table4[[#This Row],[Home Differential]])-Table4[[#This Row],[Away Differential]]</f>
        <v>-0.21599229706216871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0.59016556805829423</v>
      </c>
      <c r="M478" t="str">
        <f>IF(OR((NHL2025_26Results[[#This Row],[Winning Team]]="")),"-",IF(Table4[[#This Row],[Predicted Winner]]=NHL2025_26Results[[#This Row],[Winning Team]],"YES","NO"))</f>
        <v>-</v>
      </c>
      <c r="N478" t="str">
        <f>IF(Table4[[#This Row],[Adjusted Correct]]="-", "",IF(Table4[[#This Row],[Adjusted Correct]]="YES",(Table4[[#This Row],[Strength of Win]]-1)^2,(Table4[[#This Row],[Strength of Win]]-0)^2))</f>
        <v/>
      </c>
      <c r="P478" s="11"/>
    </row>
    <row r="479" spans="4:16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-0.51436416305402566</v>
      </c>
      <c r="H479" t="s">
        <v>13</v>
      </c>
      <c r="I479">
        <f>VLOOKUP(Table4[[#This Row],[Visitor]],'NHL Model'!$A$6:$B$38,2,FALSE)</f>
        <v>9.3318671190422225E-2</v>
      </c>
      <c r="J479">
        <f>($B$1+Table4[[#This Row],[Home Differential]])-Table4[[#This Row],[Away Differential]]</f>
        <v>-0.52426891137310783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0.58358287563537581</v>
      </c>
      <c r="M479" t="str">
        <f>IF(OR((NHL2025_26Results[[#This Row],[Winning Team]]="")),"-",IF(Table4[[#This Row],[Predicted Winner]]=NHL2025_26Results[[#This Row],[Winning Team]],"YES","NO"))</f>
        <v>-</v>
      </c>
      <c r="N479" t="str">
        <f>IF(Table4[[#This Row],[Adjusted Correct]]="-", "",IF(Table4[[#This Row],[Adjusted Correct]]="YES",(Table4[[#This Row],[Strength of Win]]-1)^2,(Table4[[#This Row],[Strength of Win]]-0)^2))</f>
        <v/>
      </c>
      <c r="P479" s="11"/>
    </row>
    <row r="480" spans="4:16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0.16351124183791613</v>
      </c>
      <c r="H480" t="s">
        <v>11</v>
      </c>
      <c r="I480">
        <f>VLOOKUP(Table4[[#This Row],[Visitor]],'NHL Model'!$A$6:$B$38,2,FALSE)</f>
        <v>-0.2331185823245894</v>
      </c>
      <c r="J480">
        <f>($B$1+Table4[[#This Row],[Home Differential]])-Table4[[#This Row],[Away Differential]]</f>
        <v>0.48004374703384556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0.63286744827278196</v>
      </c>
      <c r="M480" t="str">
        <f>IF(OR((NHL2025_26Results[[#This Row],[Winning Team]]="")),"-",IF(Table4[[#This Row],[Predicted Winner]]=NHL2025_26Results[[#This Row],[Winning Team]],"YES","NO"))</f>
        <v>-</v>
      </c>
      <c r="N480" t="str">
        <f>IF(Table4[[#This Row],[Adjusted Correct]]="-", "",IF(Table4[[#This Row],[Adjusted Correct]]="YES",(Table4[[#This Row],[Strength of Win]]-1)^2,(Table4[[#This Row],[Strength of Win]]-0)^2))</f>
        <v/>
      </c>
      <c r="P480" s="11"/>
    </row>
    <row r="481" spans="4:16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-0.21858969522472316</v>
      </c>
      <c r="H481" t="s">
        <v>36</v>
      </c>
      <c r="I481">
        <f>VLOOKUP(Table4[[#This Row],[Visitor]],'NHL Model'!$A$6:$B$38,2,FALSE)</f>
        <v>-0.1785578406462007</v>
      </c>
      <c r="J481">
        <f>($B$1+Table4[[#This Row],[Home Differential]])-Table4[[#This Row],[Away Differential]]</f>
        <v>4.3382068292817627E-2</v>
      </c>
      <c r="K481" t="str">
        <f>IF(Table4[[#This Row],[HomeIce Differential]]&gt;0,Table4[[#This Row],[Home]],Table4[[#This Row],[Visitor]])</f>
        <v>Columbus Blue Jackets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0.54116256309499933</v>
      </c>
      <c r="M481" t="str">
        <f>IF(OR((NHL2025_26Results[[#This Row],[Winning Team]]="")),"-",IF(Table4[[#This Row],[Predicted Winner]]=NHL2025_26Results[[#This Row],[Winning Team]],"YES","NO"))</f>
        <v>-</v>
      </c>
      <c r="N481" t="str">
        <f>IF(Table4[[#This Row],[Adjusted Correct]]="-", "",IF(Table4[[#This Row],[Adjusted Correct]]="YES",(Table4[[#This Row],[Strength of Win]]-1)^2,(Table4[[#This Row],[Strength of Win]]-0)^2))</f>
        <v/>
      </c>
      <c r="P481" s="11"/>
    </row>
    <row r="482" spans="4:16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1.7429147091761512</v>
      </c>
      <c r="H482" t="s">
        <v>11</v>
      </c>
      <c r="I482">
        <f>VLOOKUP(Table4[[#This Row],[Visitor]],'NHL Model'!$A$6:$B$38,2,FALSE)</f>
        <v>-0.2331185823245894</v>
      </c>
      <c r="J482">
        <f>($B$1+Table4[[#This Row],[Home Differential]])-Table4[[#This Row],[Away Differential]]</f>
        <v>2.0594472143720806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0.87277907133427057</v>
      </c>
      <c r="M482" t="str">
        <f>IF(OR((NHL2025_26Results[[#This Row],[Winning Team]]="")),"-",IF(Table4[[#This Row],[Predicted Winner]]=NHL2025_26Results[[#This Row],[Winning Team]],"YES","NO"))</f>
        <v>-</v>
      </c>
      <c r="N482" t="str">
        <f>IF(Table4[[#This Row],[Adjusted Correct]]="-", "",IF(Table4[[#This Row],[Adjusted Correct]]="YES",(Table4[[#This Row],[Strength of Win]]-1)^2,(Table4[[#This Row],[Strength of Win]]-0)^2))</f>
        <v/>
      </c>
      <c r="P482" s="11"/>
    </row>
    <row r="483" spans="4:16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-0.17631503877657284</v>
      </c>
      <c r="H483" t="s">
        <v>26</v>
      </c>
      <c r="I483">
        <f>VLOOKUP(Table4[[#This Row],[Visitor]],'NHL Model'!$A$6:$B$38,2,FALSE)</f>
        <v>-0.46779379272887778</v>
      </c>
      <c r="J483">
        <f>($B$1+Table4[[#This Row],[Home Differential]])-Table4[[#This Row],[Away Differential]]</f>
        <v>0.37489267682364502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0.5992325887456168</v>
      </c>
      <c r="M483" t="str">
        <f>IF(OR((NHL2025_26Results[[#This Row],[Winning Team]]="")),"-",IF(Table4[[#This Row],[Predicted Winner]]=NHL2025_26Results[[#This Row],[Winning Team]],"YES","NO"))</f>
        <v>-</v>
      </c>
      <c r="N483" t="str">
        <f>IF(Table4[[#This Row],[Adjusted Correct]]="-", "",IF(Table4[[#This Row],[Adjusted Correct]]="YES",(Table4[[#This Row],[Strength of Win]]-1)^2,(Table4[[#This Row],[Strength of Win]]-0)^2))</f>
        <v/>
      </c>
      <c r="P483" s="11"/>
    </row>
    <row r="484" spans="4:16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5.5764706436567675E-2</v>
      </c>
      <c r="H484" t="s">
        <v>39</v>
      </c>
      <c r="I484">
        <f>VLOOKUP(Table4[[#This Row],[Visitor]],'NHL Model'!$A$6:$B$38,2,FALSE)</f>
        <v>0.85927171572006034</v>
      </c>
      <c r="J484">
        <f>($B$1+Table4[[#This Row],[Home Differential]])-Table4[[#This Row],[Away Differential]]</f>
        <v>-0.72009308641215264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0.63114359424386013</v>
      </c>
      <c r="M484" t="str">
        <f>IF(OR((NHL2025_26Results[[#This Row],[Winning Team]]="")),"-",IF(Table4[[#This Row],[Predicted Winner]]=NHL2025_26Results[[#This Row],[Winning Team]],"YES","NO"))</f>
        <v>-</v>
      </c>
      <c r="N484" t="str">
        <f>IF(Table4[[#This Row],[Adjusted Correct]]="-", "",IF(Table4[[#This Row],[Adjusted Correct]]="YES",(Table4[[#This Row],[Strength of Win]]-1)^2,(Table4[[#This Row],[Strength of Win]]-0)^2))</f>
        <v/>
      </c>
      <c r="P484" s="11"/>
    </row>
    <row r="485" spans="4:16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-3.0305407970040489E-4</v>
      </c>
      <c r="H485" t="s">
        <v>37</v>
      </c>
      <c r="I485">
        <f>VLOOKUP(Table4[[#This Row],[Visitor]],'NHL Model'!$A$6:$B$38,2,FALSE)</f>
        <v>0.67847982929669792</v>
      </c>
      <c r="J485">
        <f>($B$1+Table4[[#This Row],[Home Differential]])-Table4[[#This Row],[Away Differential]]</f>
        <v>-0.59536896050505828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0.55411647574864731</v>
      </c>
      <c r="M485" t="str">
        <f>IF(OR((NHL2025_26Results[[#This Row],[Winning Team]]="")),"-",IF(Table4[[#This Row],[Predicted Winner]]=NHL2025_26Results[[#This Row],[Winning Team]],"YES","NO"))</f>
        <v>-</v>
      </c>
      <c r="N485" t="str">
        <f>IF(Table4[[#This Row],[Adjusted Correct]]="-", "",IF(Table4[[#This Row],[Adjusted Correct]]="YES",(Table4[[#This Row],[Strength of Win]]-1)^2,(Table4[[#This Row],[Strength of Win]]-0)^2))</f>
        <v/>
      </c>
      <c r="P485" s="11"/>
    </row>
    <row r="486" spans="4:16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-0.8717103858022891</v>
      </c>
      <c r="H486" t="s">
        <v>35</v>
      </c>
      <c r="I486">
        <f>VLOOKUP(Table4[[#This Row],[Visitor]],'NHL Model'!$A$6:$B$38,2,FALSE)</f>
        <v>-1.0071073873045386</v>
      </c>
      <c r="J486">
        <f>($B$1+Table4[[#This Row],[Home Differential]])-Table4[[#This Row],[Away Differential]]</f>
        <v>0.21881092437358962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0.56390121517295932</v>
      </c>
      <c r="M486" t="str">
        <f>IF(OR((NHL2025_26Results[[#This Row],[Winning Team]]="")),"-",IF(Table4[[#This Row],[Predicted Winner]]=NHL2025_26Results[[#This Row],[Winning Team]],"YES","NO"))</f>
        <v>-</v>
      </c>
      <c r="N486" t="str">
        <f>IF(Table4[[#This Row],[Adjusted Correct]]="-", "",IF(Table4[[#This Row],[Adjusted Correct]]="YES",(Table4[[#This Row],[Strength of Win]]-1)^2,(Table4[[#This Row],[Strength of Win]]-0)^2))</f>
        <v/>
      </c>
      <c r="P486" s="11"/>
    </row>
    <row r="487" spans="4:16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0.42358825343066847</v>
      </c>
      <c r="H487" t="s">
        <v>31</v>
      </c>
      <c r="I487">
        <f>VLOOKUP(Table4[[#This Row],[Visitor]],'NHL Model'!$A$6:$B$38,2,FALSE)</f>
        <v>0.25846513585567971</v>
      </c>
      <c r="J487">
        <f>($B$1+Table4[[#This Row],[Home Differential]])-Table4[[#This Row],[Away Differential]]</f>
        <v>0.24853704044632879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0.54637903570404589</v>
      </c>
      <c r="M487" t="str">
        <f>IF(OR((NHL2025_26Results[[#This Row],[Winning Team]]="")),"-",IF(Table4[[#This Row],[Predicted Winner]]=NHL2025_26Results[[#This Row],[Winning Team]],"YES","NO"))</f>
        <v>-</v>
      </c>
      <c r="N487" t="str">
        <f>IF(Table4[[#This Row],[Adjusted Correct]]="-", "",IF(Table4[[#This Row],[Adjusted Correct]]="YES",(Table4[[#This Row],[Strength of Win]]-1)^2,(Table4[[#This Row],[Strength of Win]]-0)^2))</f>
        <v/>
      </c>
      <c r="P487" s="11"/>
    </row>
    <row r="488" spans="4:16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5.7297532801941484E-2</v>
      </c>
      <c r="H488" t="s">
        <v>20</v>
      </c>
      <c r="I488">
        <f>VLOOKUP(Table4[[#This Row],[Visitor]],'NHL Model'!$A$6:$B$38,2,FALSE)</f>
        <v>0.18369921819729701</v>
      </c>
      <c r="J488">
        <f>($B$1+Table4[[#This Row],[Home Differential]])-Table4[[#This Row],[Away Differential]]</f>
        <v>-4.2987762524015455E-2</v>
      </c>
      <c r="K488" t="str">
        <f>IF(Table4[[#This Row],[HomeIce Differential]]&gt;0,Table4[[#This Row],[Home]],Table4[[#This Row],[Visitor]])</f>
        <v>Vegas Golden Knights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0.45924110566448328</v>
      </c>
      <c r="M488" t="str">
        <f>IF(OR((NHL2025_26Results[[#This Row],[Winning Team]]="")),"-",IF(Table4[[#This Row],[Predicted Winner]]=NHL2025_26Results[[#This Row],[Winning Team]],"YES","NO"))</f>
        <v>-</v>
      </c>
      <c r="N488" t="str">
        <f>IF(Table4[[#This Row],[Adjusted Correct]]="-", "",IF(Table4[[#This Row],[Adjusted Correct]]="YES",(Table4[[#This Row],[Strength of Win]]-1)^2,(Table4[[#This Row],[Strength of Win]]-0)^2))</f>
        <v/>
      </c>
      <c r="P488" s="11"/>
    </row>
    <row r="489" spans="4:16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0.26772485952910668</v>
      </c>
      <c r="H489" t="s">
        <v>18</v>
      </c>
      <c r="I489">
        <f>VLOOKUP(Table4[[#This Row],[Visitor]],'NHL Model'!$A$6:$B$38,2,FALSE)</f>
        <v>-0.23554590882174289</v>
      </c>
      <c r="J489">
        <f>($B$1+Table4[[#This Row],[Home Differential]])-Table4[[#This Row],[Away Differential]]</f>
        <v>0.58668469122218969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0.53146173471367908</v>
      </c>
      <c r="M489" t="str">
        <f>IF(OR((NHL2025_26Results[[#This Row],[Winning Team]]="")),"-",IF(Table4[[#This Row],[Predicted Winner]]=NHL2025_26Results[[#This Row],[Winning Team]],"YES","NO"))</f>
        <v>-</v>
      </c>
      <c r="N489" t="str">
        <f>IF(Table4[[#This Row],[Adjusted Correct]]="-", "",IF(Table4[[#This Row],[Adjusted Correct]]="YES",(Table4[[#This Row],[Strength of Win]]-1)^2,(Table4[[#This Row],[Strength of Win]]-0)^2))</f>
        <v/>
      </c>
      <c r="P489" s="11"/>
    </row>
    <row r="490" spans="4:16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-3.2654449433805091E-2</v>
      </c>
      <c r="H490" t="s">
        <v>33</v>
      </c>
      <c r="I490">
        <f>VLOOKUP(Table4[[#This Row],[Visitor]],'NHL Model'!$A$6:$B$38,2,FALSE)</f>
        <v>-0.38457853131220177</v>
      </c>
      <c r="J490">
        <f>($B$1+Table4[[#This Row],[Home Differential]])-Table4[[#This Row],[Away Differential]]</f>
        <v>0.43533800474973672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0.58755296086919739</v>
      </c>
      <c r="M490" t="str">
        <f>IF(OR((NHL2025_26Results[[#This Row],[Winning Team]]="")),"-",IF(Table4[[#This Row],[Predicted Winner]]=NHL2025_26Results[[#This Row],[Winning Team]],"YES","NO"))</f>
        <v>-</v>
      </c>
      <c r="N490" t="str">
        <f>IF(Table4[[#This Row],[Adjusted Correct]]="-", "",IF(Table4[[#This Row],[Adjusted Correct]]="YES",(Table4[[#This Row],[Strength of Win]]-1)^2,(Table4[[#This Row],[Strength of Win]]-0)^2))</f>
        <v/>
      </c>
      <c r="P490" s="11"/>
    </row>
    <row r="491" spans="4:16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-0.58187345243071342</v>
      </c>
      <c r="H491" t="s">
        <v>23</v>
      </c>
      <c r="I491">
        <f>VLOOKUP(Table4[[#This Row],[Visitor]],'NHL Model'!$A$6:$B$38,2,FALSE)</f>
        <v>-0.32833039474346476</v>
      </c>
      <c r="J491">
        <f>($B$1+Table4[[#This Row],[Home Differential]])-Table4[[#This Row],[Away Differential]]</f>
        <v>-0.17012913481590858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0.47858359252430099</v>
      </c>
      <c r="M491" t="str">
        <f>IF(OR((NHL2025_26Results[[#This Row],[Winning Team]]="")),"-",IF(Table4[[#This Row],[Predicted Winner]]=NHL2025_26Results[[#This Row],[Winning Team]],"YES","NO"))</f>
        <v>-</v>
      </c>
      <c r="N491" t="str">
        <f>IF(Table4[[#This Row],[Adjusted Correct]]="-", "",IF(Table4[[#This Row],[Adjusted Correct]]="YES",(Table4[[#This Row],[Strength of Win]]-1)^2,(Table4[[#This Row],[Strength of Win]]-0)^2))</f>
        <v/>
      </c>
      <c r="P491" s="11"/>
    </row>
    <row r="492" spans="4:16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-7.6933210940904648E-2</v>
      </c>
      <c r="H492" t="s">
        <v>21</v>
      </c>
      <c r="I492">
        <f>VLOOKUP(Table4[[#This Row],[Visitor]],'NHL Model'!$A$6:$B$38,2,FALSE)</f>
        <v>0.2169753953839102</v>
      </c>
      <c r="J492">
        <f>($B$1+Table4[[#This Row],[Home Differential]])-Table4[[#This Row],[Away Differential]]</f>
        <v>-0.21049468345347477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0.4638873819437685</v>
      </c>
      <c r="M492" t="str">
        <f>IF(OR((NHL2025_26Results[[#This Row],[Winning Team]]="")),"-",IF(Table4[[#This Row],[Predicted Winner]]=NHL2025_26Results[[#This Row],[Winning Team]],"YES","NO"))</f>
        <v>-</v>
      </c>
      <c r="N492" t="str">
        <f>IF(Table4[[#This Row],[Adjusted Correct]]="-", "",IF(Table4[[#This Row],[Adjusted Correct]]="YES",(Table4[[#This Row],[Strength of Win]]-1)^2,(Table4[[#This Row],[Strength of Win]]-0)^2))</f>
        <v/>
      </c>
      <c r="P492" s="11"/>
    </row>
    <row r="493" spans="4:16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0.95632113049608625</v>
      </c>
      <c r="H493" t="s">
        <v>25</v>
      </c>
      <c r="I493">
        <f>VLOOKUP(Table4[[#This Row],[Visitor]],'NHL Model'!$A$6:$B$38,2,FALSE)</f>
        <v>0.63414563871719487</v>
      </c>
      <c r="J493">
        <f>($B$1+Table4[[#This Row],[Home Differential]])-Table4[[#This Row],[Away Differential]]</f>
        <v>0.40558941465023146</v>
      </c>
      <c r="K493" t="str">
        <f>IF(Table4[[#This Row],[HomeIce Differential]]&gt;0,Table4[[#This Row],[Home]],Table4[[#This Row],[Visitor]])</f>
        <v>Washington Capitals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0.53797434075574613</v>
      </c>
      <c r="M493" t="str">
        <f>IF(OR((NHL2025_26Results[[#This Row],[Winning Team]]="")),"-",IF(Table4[[#This Row],[Predicted Winner]]=NHL2025_26Results[[#This Row],[Winning Team]],"YES","NO"))</f>
        <v>-</v>
      </c>
      <c r="N493" t="str">
        <f>IF(Table4[[#This Row],[Adjusted Correct]]="-", "",IF(Table4[[#This Row],[Adjusted Correct]]="YES",(Table4[[#This Row],[Strength of Win]]-1)^2,(Table4[[#This Row],[Strength of Win]]-0)^2))</f>
        <v/>
      </c>
      <c r="P493" s="11"/>
    </row>
    <row r="494" spans="4:16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-1.0071073873045386</v>
      </c>
      <c r="H494" t="s">
        <v>10</v>
      </c>
      <c r="I494">
        <f>VLOOKUP(Table4[[#This Row],[Visitor]],'NHL Model'!$A$6:$B$38,2,FALSE)</f>
        <v>-8.0981007952892342E-2</v>
      </c>
      <c r="J494">
        <f>($B$1+Table4[[#This Row],[Home Differential]])-Table4[[#This Row],[Away Differential]]</f>
        <v>-0.84271245648030624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0.55205139921112634</v>
      </c>
      <c r="M494" t="str">
        <f>IF(OR((NHL2025_26Results[[#This Row],[Winning Team]]="")),"-",IF(Table4[[#This Row],[Predicted Winner]]=NHL2025_26Results[[#This Row],[Winning Team]],"YES","NO"))</f>
        <v>-</v>
      </c>
      <c r="N494" t="str">
        <f>IF(Table4[[#This Row],[Adjusted Correct]]="-", "",IF(Table4[[#This Row],[Adjusted Correct]]="YES",(Table4[[#This Row],[Strength of Win]]-1)^2,(Table4[[#This Row],[Strength of Win]]-0)^2))</f>
        <v/>
      </c>
      <c r="P494" s="11"/>
    </row>
    <row r="495" spans="4:16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0.16351124183791613</v>
      </c>
      <c r="H495" t="s">
        <v>32</v>
      </c>
      <c r="I495">
        <f>VLOOKUP(Table4[[#This Row],[Visitor]],'NHL Model'!$A$6:$B$38,2,FALSE)</f>
        <v>-0.51436416305402566</v>
      </c>
      <c r="J495">
        <f>($B$1+Table4[[#This Row],[Home Differential]])-Table4[[#This Row],[Away Differential]]</f>
        <v>0.76128932776328184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0.66358854302937209</v>
      </c>
      <c r="M495" t="str">
        <f>IF(OR((NHL2025_26Results[[#This Row],[Winning Team]]="")),"-",IF(Table4[[#This Row],[Predicted Winner]]=NHL2025_26Results[[#This Row],[Winning Team]],"YES","NO"))</f>
        <v>-</v>
      </c>
      <c r="N495" t="str">
        <f>IF(Table4[[#This Row],[Adjusted Correct]]="-", "",IF(Table4[[#This Row],[Adjusted Correct]]="YES",(Table4[[#This Row],[Strength of Win]]-1)^2,(Table4[[#This Row],[Strength of Win]]-0)^2))</f>
        <v/>
      </c>
      <c r="P495" s="11"/>
    </row>
    <row r="496" spans="4:16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-0.21858969522472316</v>
      </c>
      <c r="H496" t="s">
        <v>20</v>
      </c>
      <c r="I496">
        <f>VLOOKUP(Table4[[#This Row],[Visitor]],'NHL Model'!$A$6:$B$38,2,FALSE)</f>
        <v>0.18369921819729701</v>
      </c>
      <c r="J496">
        <f>($B$1+Table4[[#This Row],[Home Differential]])-Table4[[#This Row],[Away Differential]]</f>
        <v>-0.31887499055068008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0.5156006715862097</v>
      </c>
      <c r="M496" t="str">
        <f>IF(OR((NHL2025_26Results[[#This Row],[Winning Team]]="")),"-",IF(Table4[[#This Row],[Predicted Winner]]=NHL2025_26Results[[#This Row],[Winning Team]],"YES","NO"))</f>
        <v>-</v>
      </c>
      <c r="N496" t="str">
        <f>IF(Table4[[#This Row],[Adjusted Correct]]="-", "",IF(Table4[[#This Row],[Adjusted Correct]]="YES",(Table4[[#This Row],[Strength of Win]]-1)^2,(Table4[[#This Row],[Strength of Win]]-0)^2))</f>
        <v/>
      </c>
      <c r="P496" s="11"/>
    </row>
    <row r="497" spans="4:16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-8.0981007952892342E-2</v>
      </c>
      <c r="H497" t="s">
        <v>26</v>
      </c>
      <c r="I497">
        <f>VLOOKUP(Table4[[#This Row],[Visitor]],'NHL Model'!$A$6:$B$38,2,FALSE)</f>
        <v>-0.46779379272887778</v>
      </c>
      <c r="J497">
        <f>($B$1+Table4[[#This Row],[Home Differential]])-Table4[[#This Row],[Away Differential]]</f>
        <v>0.47022670764732549</v>
      </c>
      <c r="K497" t="str">
        <f>IF(Table4[[#This Row],[HomeIce Differential]]&gt;0,Table4[[#This Row],[Home]],Table4[[#This Row],[Visitor]])</f>
        <v>Chicago Blackhawks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0.59053444018828694</v>
      </c>
      <c r="M497" t="str">
        <f>IF(OR((NHL2025_26Results[[#This Row],[Winning Team]]="")),"-",IF(Table4[[#This Row],[Predicted Winner]]=NHL2025_26Results[[#This Row],[Winning Team]],"YES","NO"))</f>
        <v>-</v>
      </c>
      <c r="N497" t="str">
        <f>IF(Table4[[#This Row],[Adjusted Correct]]="-", "",IF(Table4[[#This Row],[Adjusted Correct]]="YES",(Table4[[#This Row],[Strength of Win]]-1)^2,(Table4[[#This Row],[Strength of Win]]-0)^2))</f>
        <v/>
      </c>
      <c r="P497" s="11"/>
    </row>
    <row r="498" spans="4:16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1.7429147091761512</v>
      </c>
      <c r="H498" t="s">
        <v>29</v>
      </c>
      <c r="I498">
        <f>VLOOKUP(Table4[[#This Row],[Visitor]],'NHL Model'!$A$6:$B$38,2,FALSE)</f>
        <v>-0.8717103858022891</v>
      </c>
      <c r="J498">
        <f>($B$1+Table4[[#This Row],[Home Differential]])-Table4[[#This Row],[Away Differential]]</f>
        <v>2.6980390178497804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0.9425339071419605</v>
      </c>
      <c r="M498" t="str">
        <f>IF(OR((NHL2025_26Results[[#This Row],[Winning Team]]="")),"-",IF(Table4[[#This Row],[Predicted Winner]]=NHL2025_26Results[[#This Row],[Winning Team]],"YES","NO"))</f>
        <v>-</v>
      </c>
      <c r="N498" t="str">
        <f>IF(Table4[[#This Row],[Adjusted Correct]]="-", "",IF(Table4[[#This Row],[Adjusted Correct]]="YES",(Table4[[#This Row],[Strength of Win]]-1)^2,(Table4[[#This Row],[Strength of Win]]-0)^2))</f>
        <v/>
      </c>
      <c r="P498" s="11"/>
    </row>
    <row r="499" spans="4:16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0.85927171572006034</v>
      </c>
      <c r="H499" t="s">
        <v>11</v>
      </c>
      <c r="I499">
        <f>VLOOKUP(Table4[[#This Row],[Visitor]],'NHL Model'!$A$6:$B$38,2,FALSE)</f>
        <v>-0.2331185823245894</v>
      </c>
      <c r="J499">
        <f>($B$1+Table4[[#This Row],[Home Differential]])-Table4[[#This Row],[Away Differential]]</f>
        <v>1.1758042209159898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0.71133732499393754</v>
      </c>
      <c r="M499" t="str">
        <f>IF(OR((NHL2025_26Results[[#This Row],[Winning Team]]="")),"-",IF(Table4[[#This Row],[Predicted Winner]]=NHL2025_26Results[[#This Row],[Winning Team]],"YES","NO"))</f>
        <v>-</v>
      </c>
      <c r="N499" t="str">
        <f>IF(Table4[[#This Row],[Adjusted Correct]]="-", "",IF(Table4[[#This Row],[Adjusted Correct]]="YES",(Table4[[#This Row],[Strength of Win]]-1)^2,(Table4[[#This Row],[Strength of Win]]-0)^2))</f>
        <v/>
      </c>
      <c r="P499" s="11"/>
    </row>
    <row r="500" spans="4:16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9.3318671190422225E-2</v>
      </c>
      <c r="H500" t="s">
        <v>16</v>
      </c>
      <c r="I500">
        <f>VLOOKUP(Table4[[#This Row],[Visitor]],'NHL Model'!$A$6:$B$38,2,FALSE)</f>
        <v>-0.64492670113602302</v>
      </c>
      <c r="J500">
        <f>($B$1+Table4[[#This Row],[Home Differential]])-Table4[[#This Row],[Away Differential]]</f>
        <v>0.82165929519778524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0.6297517144978283</v>
      </c>
      <c r="M500" t="str">
        <f>IF(OR((NHL2025_26Results[[#This Row],[Winning Team]]="")),"-",IF(Table4[[#This Row],[Predicted Winner]]=NHL2025_26Results[[#This Row],[Winning Team]],"YES","NO"))</f>
        <v>-</v>
      </c>
      <c r="N500" t="str">
        <f>IF(Table4[[#This Row],[Adjusted Correct]]="-", "",IF(Table4[[#This Row],[Adjusted Correct]]="YES",(Table4[[#This Row],[Strength of Win]]-1)^2,(Table4[[#This Row],[Strength of Win]]-0)^2))</f>
        <v/>
      </c>
      <c r="P500" s="11"/>
    </row>
    <row r="501" spans="4:16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5.5764706436567675E-2</v>
      </c>
      <c r="H501" t="s">
        <v>36</v>
      </c>
      <c r="I501">
        <f>VLOOKUP(Table4[[#This Row],[Visitor]],'NHL Model'!$A$6:$B$38,2,FALSE)</f>
        <v>-0.1785578406462007</v>
      </c>
      <c r="J501">
        <f>($B$1+Table4[[#This Row],[Home Differential]])-Table4[[#This Row],[Away Differential]]</f>
        <v>0.31773646995410842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0.57113091868111776</v>
      </c>
      <c r="M501" t="str">
        <f>IF(OR((NHL2025_26Results[[#This Row],[Winning Team]]="")),"-",IF(Table4[[#This Row],[Predicted Winner]]=NHL2025_26Results[[#This Row],[Winning Team]],"YES","NO"))</f>
        <v>-</v>
      </c>
      <c r="N501" t="str">
        <f>IF(Table4[[#This Row],[Adjusted Correct]]="-", "",IF(Table4[[#This Row],[Adjusted Correct]]="YES",(Table4[[#This Row],[Strength of Win]]-1)^2,(Table4[[#This Row],[Strength of Win]]-0)^2))</f>
        <v/>
      </c>
      <c r="P501" s="11"/>
    </row>
    <row r="502" spans="4:16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-3.0305407970040489E-4</v>
      </c>
      <c r="H502" t="s">
        <v>31</v>
      </c>
      <c r="I502">
        <f>VLOOKUP(Table4[[#This Row],[Visitor]],'NHL Model'!$A$6:$B$38,2,FALSE)</f>
        <v>0.25846513585567971</v>
      </c>
      <c r="J502">
        <f>($B$1+Table4[[#This Row],[Home Differential]])-Table4[[#This Row],[Away Differential]]</f>
        <v>-0.17535426706404006</v>
      </c>
      <c r="K502" t="str">
        <f>IF(Table4[[#This Row],[HomeIce Differential]]&gt;0,Table4[[#This Row],[Home]],Table4[[#This Row],[Visitor]])</f>
        <v>Anaheim Ducks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0.45665434560953783</v>
      </c>
      <c r="M502" t="str">
        <f>IF(OR((NHL2025_26Results[[#This Row],[Winning Team]]="")),"-",IF(Table4[[#This Row],[Predicted Winner]]=NHL2025_26Results[[#This Row],[Winning Team]],"YES","NO"))</f>
        <v>-</v>
      </c>
      <c r="N502" t="str">
        <f>IF(Table4[[#This Row],[Adjusted Correct]]="-", "",IF(Table4[[#This Row],[Adjusted Correct]]="YES",(Table4[[#This Row],[Strength of Win]]-1)^2,(Table4[[#This Row],[Strength of Win]]-0)^2))</f>
        <v/>
      </c>
      <c r="P502" s="11"/>
    </row>
    <row r="503" spans="4:16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0.42358825343066847</v>
      </c>
      <c r="H503" t="s">
        <v>37</v>
      </c>
      <c r="I503">
        <f>VLOOKUP(Table4[[#This Row],[Visitor]],'NHL Model'!$A$6:$B$38,2,FALSE)</f>
        <v>0.67847982929669792</v>
      </c>
      <c r="J503">
        <f>($B$1+Table4[[#This Row],[Home Differential]])-Table4[[#This Row],[Away Differential]]</f>
        <v>-0.17147765299468942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0.55135406334137471</v>
      </c>
      <c r="M503" t="str">
        <f>IF(OR((NHL2025_26Results[[#This Row],[Winning Team]]="")),"-",IF(Table4[[#This Row],[Predicted Winner]]=NHL2025_26Results[[#This Row],[Winning Team]],"YES","NO"))</f>
        <v>-</v>
      </c>
      <c r="N503" t="str">
        <f>IF(Table4[[#This Row],[Adjusted Correct]]="-", "",IF(Table4[[#This Row],[Adjusted Correct]]="YES",(Table4[[#This Row],[Strength of Win]]-1)^2,(Table4[[#This Row],[Strength of Win]]-0)^2))</f>
        <v/>
      </c>
      <c r="P503" s="11"/>
    </row>
    <row r="504" spans="4:16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0.21842521198061643</v>
      </c>
      <c r="H504" t="s">
        <v>18</v>
      </c>
      <c r="I504">
        <f>VLOOKUP(Table4[[#This Row],[Visitor]],'NHL Model'!$A$6:$B$38,2,FALSE)</f>
        <v>-0.23554590882174289</v>
      </c>
      <c r="J504">
        <f>($B$1+Table4[[#This Row],[Home Differential]])-Table4[[#This Row],[Away Differential]]</f>
        <v>0.53738504367369944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0.52607662203075056</v>
      </c>
      <c r="M504" t="str">
        <f>IF(OR((NHL2025_26Results[[#This Row],[Winning Team]]="")),"-",IF(Table4[[#This Row],[Predicted Winner]]=NHL2025_26Results[[#This Row],[Winning Team]],"YES","NO"))</f>
        <v>-</v>
      </c>
      <c r="N504" t="str">
        <f>IF(Table4[[#This Row],[Adjusted Correct]]="-", "",IF(Table4[[#This Row],[Adjusted Correct]]="YES",(Table4[[#This Row],[Strength of Win]]-1)^2,(Table4[[#This Row],[Strength of Win]]-0)^2))</f>
        <v/>
      </c>
      <c r="P504" s="11"/>
    </row>
    <row r="505" spans="4:16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5.7297532801941484E-2</v>
      </c>
      <c r="H505" t="s">
        <v>25</v>
      </c>
      <c r="I505">
        <f>VLOOKUP(Table4[[#This Row],[Visitor]],'NHL Model'!$A$6:$B$38,2,FALSE)</f>
        <v>0.63414563871719487</v>
      </c>
      <c r="J505">
        <f>($B$1+Table4[[#This Row],[Home Differential]])-Table4[[#This Row],[Away Differential]]</f>
        <v>-0.49343418304391329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0.56022805254600827</v>
      </c>
      <c r="M505" t="str">
        <f>IF(OR((NHL2025_26Results[[#This Row],[Winning Team]]="")),"-",IF(Table4[[#This Row],[Predicted Winner]]=NHL2025_26Results[[#This Row],[Winning Team]],"YES","NO"))</f>
        <v>-</v>
      </c>
      <c r="N505" t="str">
        <f>IF(Table4[[#This Row],[Adjusted Correct]]="-", "",IF(Table4[[#This Row],[Adjusted Correct]]="YES",(Table4[[#This Row],[Strength of Win]]-1)^2,(Table4[[#This Row],[Strength of Win]]-0)^2))</f>
        <v/>
      </c>
      <c r="P505" s="11"/>
    </row>
    <row r="506" spans="4:16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0.26772485952910668</v>
      </c>
      <c r="H506" t="s">
        <v>33</v>
      </c>
      <c r="I506">
        <f>VLOOKUP(Table4[[#This Row],[Visitor]],'NHL Model'!$A$6:$B$38,2,FALSE)</f>
        <v>-0.38457853131220177</v>
      </c>
      <c r="J506">
        <f>($B$1+Table4[[#This Row],[Home Differential]])-Table4[[#This Row],[Away Differential]]</f>
        <v>0.73571731371264848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0.62036407629947399</v>
      </c>
      <c r="M506" t="str">
        <f>IF(OR((NHL2025_26Results[[#This Row],[Winning Team]]="")),"-",IF(Table4[[#This Row],[Predicted Winner]]=NHL2025_26Results[[#This Row],[Winning Team]],"YES","NO"))</f>
        <v>-</v>
      </c>
      <c r="N506" t="str">
        <f>IF(Table4[[#This Row],[Adjusted Correct]]="-", "",IF(Table4[[#This Row],[Adjusted Correct]]="YES",(Table4[[#This Row],[Strength of Win]]-1)^2,(Table4[[#This Row],[Strength of Win]]-0)^2))</f>
        <v/>
      </c>
      <c r="P506" s="11"/>
    </row>
    <row r="507" spans="4:16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-3.2654449433805091E-2</v>
      </c>
      <c r="H507" t="s">
        <v>17</v>
      </c>
      <c r="I507">
        <f>VLOOKUP(Table4[[#This Row],[Visitor]],'NHL Model'!$A$6:$B$38,2,FALSE)</f>
        <v>-0.17631503877657284</v>
      </c>
      <c r="J507">
        <f>($B$1+Table4[[#This Row],[Home Differential]])-Table4[[#This Row],[Away Differential]]</f>
        <v>0.22707451221410782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0.56480386567654961</v>
      </c>
      <c r="M507" t="str">
        <f>IF(OR((NHL2025_26Results[[#This Row],[Winning Team]]="")),"-",IF(Table4[[#This Row],[Predicted Winner]]=NHL2025_26Results[[#This Row],[Winning Team]],"YES","NO"))</f>
        <v>-</v>
      </c>
      <c r="N507" t="str">
        <f>IF(Table4[[#This Row],[Adjusted Correct]]="-", "",IF(Table4[[#This Row],[Adjusted Correct]]="YES",(Table4[[#This Row],[Strength of Win]]-1)^2,(Table4[[#This Row],[Strength of Win]]-0)^2))</f>
        <v/>
      </c>
      <c r="P507" s="11"/>
    </row>
    <row r="508" spans="4:16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-7.6933210940904648E-2</v>
      </c>
      <c r="H508" t="s">
        <v>22</v>
      </c>
      <c r="I508">
        <f>VLOOKUP(Table4[[#This Row],[Visitor]],'NHL Model'!$A$6:$B$38,2,FALSE)</f>
        <v>0.95632113049608625</v>
      </c>
      <c r="J508">
        <f>($B$1+Table4[[#This Row],[Home Differential]])-Table4[[#This Row],[Away Differential]]</f>
        <v>-0.94984041856565082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0.59859859110382185</v>
      </c>
      <c r="M508" t="str">
        <f>IF(OR((NHL2025_26Results[[#This Row],[Winning Team]]="")),"-",IF(Table4[[#This Row],[Predicted Winner]]=NHL2025_26Results[[#This Row],[Winning Team]],"YES","NO"))</f>
        <v>-</v>
      </c>
      <c r="N508" t="str">
        <f>IF(Table4[[#This Row],[Adjusted Correct]]="-", "",IF(Table4[[#This Row],[Adjusted Correct]]="YES",(Table4[[#This Row],[Strength of Win]]-1)^2,(Table4[[#This Row],[Strength of Win]]-0)^2))</f>
        <v/>
      </c>
      <c r="P508" s="11"/>
    </row>
    <row r="509" spans="4:16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0.63414563871719487</v>
      </c>
      <c r="H509" t="s">
        <v>27</v>
      </c>
      <c r="I509">
        <f>VLOOKUP(Table4[[#This Row],[Visitor]],'NHL Model'!$A$6:$B$38,2,FALSE)</f>
        <v>5.7297532801941484E-2</v>
      </c>
      <c r="J509">
        <f>($B$1+Table4[[#This Row],[Home Differential]])-Table4[[#This Row],[Away Differential]]</f>
        <v>0.66026202878659346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0.61310553038609317</v>
      </c>
      <c r="M509" t="str">
        <f>IF(OR((NHL2025_26Results[[#This Row],[Winning Team]]="")),"-",IF(Table4[[#This Row],[Predicted Winner]]=NHL2025_26Results[[#This Row],[Winning Team]],"YES","NO"))</f>
        <v>-</v>
      </c>
      <c r="N509" t="str">
        <f>IF(Table4[[#This Row],[Adjusted Correct]]="-", "",IF(Table4[[#This Row],[Adjusted Correct]]="YES",(Table4[[#This Row],[Strength of Win]]-1)^2,(Table4[[#This Row],[Strength of Win]]-0)^2))</f>
        <v/>
      </c>
      <c r="P509" s="11"/>
    </row>
    <row r="510" spans="4:16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5.5764706436567675E-2</v>
      </c>
      <c r="H510" t="s">
        <v>21</v>
      </c>
      <c r="I510">
        <f>VLOOKUP(Table4[[#This Row],[Visitor]],'NHL Model'!$A$6:$B$38,2,FALSE)</f>
        <v>0.2169753953839102</v>
      </c>
      <c r="J510">
        <f>($B$1+Table4[[#This Row],[Home Differential]])-Table4[[#This Row],[Away Differential]]</f>
        <v>-7.7796766076002444E-2</v>
      </c>
      <c r="K510" t="str">
        <f>IF(Table4[[#This Row],[HomeIce Differential]]&gt;0,Table4[[#This Row],[Home]],Table4[[#This Row],[Visitor]])</f>
        <v>Boston Bruins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0.46849791778480027</v>
      </c>
      <c r="M510" t="str">
        <f>IF(OR((NHL2025_26Results[[#This Row],[Winning Team]]="")),"-",IF(Table4[[#This Row],[Predicted Winner]]=NHL2025_26Results[[#This Row],[Winning Team]],"YES","NO"))</f>
        <v>-</v>
      </c>
      <c r="N510" t="str">
        <f>IF(Table4[[#This Row],[Adjusted Correct]]="-", "",IF(Table4[[#This Row],[Adjusted Correct]]="YES",(Table4[[#This Row],[Strength of Win]]-1)^2,(Table4[[#This Row],[Strength of Win]]-0)^2))</f>
        <v/>
      </c>
      <c r="P510" s="11"/>
    </row>
    <row r="511" spans="4:16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-0.23554590882174289</v>
      </c>
      <c r="H511" t="s">
        <v>17</v>
      </c>
      <c r="I511">
        <f>VLOOKUP(Table4[[#This Row],[Visitor]],'NHL Model'!$A$6:$B$38,2,FALSE)</f>
        <v>-0.17631503877657284</v>
      </c>
      <c r="J511">
        <f>($B$1+Table4[[#This Row],[Home Differential]])-Table4[[#This Row],[Away Differential]]</f>
        <v>2.4183052826170004E-2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0.54264156988867007</v>
      </c>
      <c r="M511" t="str">
        <f>IF(OR((NHL2025_26Results[[#This Row],[Winning Team]]="")),"-",IF(Table4[[#This Row],[Predicted Winner]]=NHL2025_26Results[[#This Row],[Winning Team]],"YES","NO"))</f>
        <v>-</v>
      </c>
      <c r="N511" t="str">
        <f>IF(Table4[[#This Row],[Adjusted Correct]]="-", "",IF(Table4[[#This Row],[Adjusted Correct]]="YES",(Table4[[#This Row],[Strength of Win]]-1)^2,(Table4[[#This Row],[Strength of Win]]-0)^2))</f>
        <v/>
      </c>
      <c r="P511" s="11"/>
    </row>
    <row r="512" spans="4:16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-3.0305407970040489E-4</v>
      </c>
      <c r="H512" t="s">
        <v>38</v>
      </c>
      <c r="I512">
        <f>VLOOKUP(Table4[[#This Row],[Visitor]],'NHL Model'!$A$6:$B$38,2,FALSE)</f>
        <v>-0.58187345243071342</v>
      </c>
      <c r="J512">
        <f>($B$1+Table4[[#This Row],[Home Differential]])-Table4[[#This Row],[Away Differential]]</f>
        <v>0.66498432122235307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0.65553930498118207</v>
      </c>
      <c r="M512" t="str">
        <f>IF(OR((NHL2025_26Results[[#This Row],[Winning Team]]="")),"-",IF(Table4[[#This Row],[Predicted Winner]]=NHL2025_26Results[[#This Row],[Winning Team]],"YES","NO"))</f>
        <v>-</v>
      </c>
      <c r="N512" t="str">
        <f>IF(Table4[[#This Row],[Adjusted Correct]]="-", "",IF(Table4[[#This Row],[Adjusted Correct]]="YES",(Table4[[#This Row],[Strength of Win]]-1)^2,(Table4[[#This Row],[Strength of Win]]-0)^2))</f>
        <v/>
      </c>
      <c r="P512" s="11"/>
    </row>
    <row r="513" spans="4:16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0.26772485952910668</v>
      </c>
      <c r="H513" t="s">
        <v>55</v>
      </c>
      <c r="I513">
        <f>VLOOKUP(Table4[[#This Row],[Visitor]],'NHL Model'!$A$6:$B$38,2,FALSE)</f>
        <v>0.16351124183791613</v>
      </c>
      <c r="J513">
        <f>($B$1+Table4[[#This Row],[Home Differential]])-Table4[[#This Row],[Away Differential]]</f>
        <v>0.18762754056253064</v>
      </c>
      <c r="K513" t="str">
        <f>IF(Table4[[#This Row],[HomeIce Differential]]&gt;0,Table4[[#This Row],[Home]],Table4[[#This Row],[Visitor]])</f>
        <v>Pittsburgh Penguins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0.56049498320157676</v>
      </c>
      <c r="M513" t="str">
        <f>IF(OR((NHL2025_26Results[[#This Row],[Winning Team]]="")),"-",IF(Table4[[#This Row],[Predicted Winner]]=NHL2025_26Results[[#This Row],[Winning Team]],"YES","NO"))</f>
        <v>-</v>
      </c>
      <c r="N513" t="str">
        <f>IF(Table4[[#This Row],[Adjusted Correct]]="-", "",IF(Table4[[#This Row],[Adjusted Correct]]="YES",(Table4[[#This Row],[Strength of Win]]-1)^2,(Table4[[#This Row],[Strength of Win]]-0)^2))</f>
        <v/>
      </c>
      <c r="P513" s="11"/>
    </row>
    <row r="514" spans="4:16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-0.51436416305402566</v>
      </c>
      <c r="H514" t="s">
        <v>23</v>
      </c>
      <c r="I514">
        <f>VLOOKUP(Table4[[#This Row],[Visitor]],'NHL Model'!$A$6:$B$38,2,FALSE)</f>
        <v>-0.32833039474346476</v>
      </c>
      <c r="J514">
        <f>($B$1+Table4[[#This Row],[Home Differential]])-Table4[[#This Row],[Away Differential]]</f>
        <v>-0.10261984543922081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0.47120939922849064</v>
      </c>
      <c r="M514" t="str">
        <f>IF(OR((NHL2025_26Results[[#This Row],[Winning Team]]="")),"-",IF(Table4[[#This Row],[Predicted Winner]]=NHL2025_26Results[[#This Row],[Winning Team]],"YES","NO"))</f>
        <v>-</v>
      </c>
      <c r="N514" t="str">
        <f>IF(Table4[[#This Row],[Adjusted Correct]]="-", "",IF(Table4[[#This Row],[Adjusted Correct]]="YES",(Table4[[#This Row],[Strength of Win]]-1)^2,(Table4[[#This Row],[Strength of Win]]-0)^2))</f>
        <v/>
      </c>
      <c r="P514" s="11"/>
    </row>
    <row r="515" spans="4:16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0.85927171572006034</v>
      </c>
      <c r="H515" t="s">
        <v>13</v>
      </c>
      <c r="I515">
        <f>VLOOKUP(Table4[[#This Row],[Visitor]],'NHL Model'!$A$6:$B$38,2,FALSE)</f>
        <v>9.3318671190422225E-2</v>
      </c>
      <c r="J515">
        <f>($B$1+Table4[[#This Row],[Home Differential]])-Table4[[#This Row],[Away Differential]]</f>
        <v>0.84936696740097817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0.61001966589165668</v>
      </c>
      <c r="M515" t="str">
        <f>IF(OR((NHL2025_26Results[[#This Row],[Winning Team]]="")),"-",IF(Table4[[#This Row],[Predicted Winner]]=NHL2025_26Results[[#This Row],[Winning Team]],"YES","NO"))</f>
        <v>-</v>
      </c>
      <c r="N515" t="str">
        <f>IF(Table4[[#This Row],[Adjusted Correct]]="-", "",IF(Table4[[#This Row],[Adjusted Correct]]="YES",(Table4[[#This Row],[Strength of Win]]-1)^2,(Table4[[#This Row],[Strength of Win]]-0)^2))</f>
        <v/>
      </c>
      <c r="P515" s="11"/>
    </row>
    <row r="516" spans="4:16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0.21842521198061643</v>
      </c>
      <c r="H516" t="s">
        <v>31</v>
      </c>
      <c r="I516">
        <f>VLOOKUP(Table4[[#This Row],[Visitor]],'NHL Model'!$A$6:$B$38,2,FALSE)</f>
        <v>0.25846513585567971</v>
      </c>
      <c r="J516">
        <f>($B$1+Table4[[#This Row],[Home Differential]])-Table4[[#This Row],[Away Differential]]</f>
        <v>4.3373998996276808E-2</v>
      </c>
      <c r="K516" t="str">
        <f>IF(Table4[[#This Row],[HomeIce Differential]]&gt;0,Table4[[#This Row],[Home]],Table4[[#This Row],[Visitor]])</f>
        <v>New York Rangers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0.5239686098385431</v>
      </c>
      <c r="M516" t="str">
        <f>IF(OR((NHL2025_26Results[[#This Row],[Winning Team]]="")),"-",IF(Table4[[#This Row],[Predicted Winner]]=NHL2025_26Results[[#This Row],[Winning Team]],"YES","NO"))</f>
        <v>-</v>
      </c>
      <c r="N516" t="str">
        <f>IF(Table4[[#This Row],[Adjusted Correct]]="-", "",IF(Table4[[#This Row],[Adjusted Correct]]="YES",(Table4[[#This Row],[Strength of Win]]-1)^2,(Table4[[#This Row],[Strength of Win]]-0)^2))</f>
        <v/>
      </c>
      <c r="P516" s="11"/>
    </row>
    <row r="517" spans="4:16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-1.0071073873045386</v>
      </c>
      <c r="H517" t="s">
        <v>29</v>
      </c>
      <c r="I517">
        <f>VLOOKUP(Table4[[#This Row],[Visitor]],'NHL Model'!$A$6:$B$38,2,FALSE)</f>
        <v>-0.8717103858022891</v>
      </c>
      <c r="J517">
        <f>($B$1+Table4[[#This Row],[Home Differential]])-Table4[[#This Row],[Away Differential]]</f>
        <v>-5.1983078630909452E-2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0.4656782299662009</v>
      </c>
      <c r="M517" t="str">
        <f>IF(OR((NHL2025_26Results[[#This Row],[Winning Team]]="")),"-",IF(Table4[[#This Row],[Predicted Winner]]=NHL2025_26Results[[#This Row],[Winning Team]],"YES","NO"))</f>
        <v>-</v>
      </c>
      <c r="N517" t="str">
        <f>IF(Table4[[#This Row],[Adjusted Correct]]="-", "",IF(Table4[[#This Row],[Adjusted Correct]]="YES",(Table4[[#This Row],[Strength of Win]]-1)^2,(Table4[[#This Row],[Strength of Win]]-0)^2))</f>
        <v/>
      </c>
      <c r="P517" s="11"/>
    </row>
    <row r="518" spans="4:16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0.67847982929669792</v>
      </c>
      <c r="H518" t="s">
        <v>11</v>
      </c>
      <c r="I518">
        <f>VLOOKUP(Table4[[#This Row],[Visitor]],'NHL Model'!$A$6:$B$38,2,FALSE)</f>
        <v>-0.2331185823245894</v>
      </c>
      <c r="J518">
        <f>($B$1+Table4[[#This Row],[Home Differential]])-Table4[[#This Row],[Away Differential]]</f>
        <v>0.99501233449262738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0.64868746144434863</v>
      </c>
      <c r="M518" t="str">
        <f>IF(OR((NHL2025_26Results[[#This Row],[Winning Team]]="")),"-",IF(Table4[[#This Row],[Predicted Winner]]=NHL2025_26Results[[#This Row],[Winning Team]],"YES","NO"))</f>
        <v>-</v>
      </c>
      <c r="N518" t="str">
        <f>IF(Table4[[#This Row],[Adjusted Correct]]="-", "",IF(Table4[[#This Row],[Adjusted Correct]]="YES",(Table4[[#This Row],[Strength of Win]]-1)^2,(Table4[[#This Row],[Strength of Win]]-0)^2))</f>
        <v/>
      </c>
      <c r="P518" s="11"/>
    </row>
    <row r="519" spans="4:16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-7.6933210940904648E-2</v>
      </c>
      <c r="H519" t="s">
        <v>36</v>
      </c>
      <c r="I519">
        <f>VLOOKUP(Table4[[#This Row],[Visitor]],'NHL Model'!$A$6:$B$38,2,FALSE)</f>
        <v>-0.1785578406462007</v>
      </c>
      <c r="J519">
        <f>($B$1+Table4[[#This Row],[Home Differential]])-Table4[[#This Row],[Away Differential]]</f>
        <v>0.18503855257663612</v>
      </c>
      <c r="K519" t="str">
        <f>IF(Table4[[#This Row],[HomeIce Differential]]&gt;0,Table4[[#This Row],[Home]],Table4[[#This Row],[Visitor]])</f>
        <v>Winnipeg Jets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0.57576773770819822</v>
      </c>
      <c r="M519" t="str">
        <f>IF(OR((NHL2025_26Results[[#This Row],[Winning Team]]="")),"-",IF(Table4[[#This Row],[Predicted Winner]]=NHL2025_26Results[[#This Row],[Winning Team]],"YES","NO"))</f>
        <v>-</v>
      </c>
      <c r="N519" t="str">
        <f>IF(Table4[[#This Row],[Adjusted Correct]]="-", "",IF(Table4[[#This Row],[Adjusted Correct]]="YES",(Table4[[#This Row],[Strength of Win]]-1)^2,(Table4[[#This Row],[Strength of Win]]-0)^2))</f>
        <v/>
      </c>
      <c r="P519" s="11"/>
    </row>
    <row r="520" spans="4:16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0.2169753953839102</v>
      </c>
      <c r="H520" t="s">
        <v>55</v>
      </c>
      <c r="I520">
        <f>VLOOKUP(Table4[[#This Row],[Visitor]],'NHL Model'!$A$6:$B$38,2,FALSE)</f>
        <v>0.16351124183791613</v>
      </c>
      <c r="J520">
        <f>($B$1+Table4[[#This Row],[Home Differential]])-Table4[[#This Row],[Away Differential]]</f>
        <v>0.13687807641733415</v>
      </c>
      <c r="K520" t="str">
        <f>IF(Table4[[#This Row],[HomeIce Differential]]&gt;0,Table4[[#This Row],[Home]],Table4[[#This Row],[Visitor]])</f>
        <v>Boston Bruins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0.61408004405774741</v>
      </c>
      <c r="M520" t="str">
        <f>IF(OR((NHL2025_26Results[[#This Row],[Winning Team]]="")),"-",IF(Table4[[#This Row],[Predicted Winner]]=NHL2025_26Results[[#This Row],[Winning Team]],"YES","NO"))</f>
        <v>-</v>
      </c>
      <c r="N520" t="str">
        <f>IF(Table4[[#This Row],[Adjusted Correct]]="-", "",IF(Table4[[#This Row],[Adjusted Correct]]="YES",(Table4[[#This Row],[Strength of Win]]-1)^2,(Table4[[#This Row],[Strength of Win]]-0)^2))</f>
        <v/>
      </c>
      <c r="P520" s="11"/>
    </row>
    <row r="521" spans="4:16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-0.21858969522472316</v>
      </c>
      <c r="H521" t="s">
        <v>31</v>
      </c>
      <c r="I521">
        <f>VLOOKUP(Table4[[#This Row],[Visitor]],'NHL Model'!$A$6:$B$38,2,FALSE)</f>
        <v>0.25846513585567971</v>
      </c>
      <c r="J521">
        <f>($B$1+Table4[[#This Row],[Home Differential]])-Table4[[#This Row],[Away Differential]]</f>
        <v>-0.39364090820906278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0.5237675229016665</v>
      </c>
      <c r="M521" t="str">
        <f>IF(OR((NHL2025_26Results[[#This Row],[Winning Team]]="")),"-",IF(Table4[[#This Row],[Predicted Winner]]=NHL2025_26Results[[#This Row],[Winning Team]],"YES","NO"))</f>
        <v>-</v>
      </c>
      <c r="N521" t="str">
        <f>IF(Table4[[#This Row],[Adjusted Correct]]="-", "",IF(Table4[[#This Row],[Adjusted Correct]]="YES",(Table4[[#This Row],[Strength of Win]]-1)^2,(Table4[[#This Row],[Strength of Win]]-0)^2))</f>
        <v/>
      </c>
      <c r="P521" s="11"/>
    </row>
    <row r="522" spans="4:16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-0.46779379272887778</v>
      </c>
      <c r="H522" t="s">
        <v>30</v>
      </c>
      <c r="I522">
        <f>VLOOKUP(Table4[[#This Row],[Visitor]],'NHL Model'!$A$6:$B$38,2,FALSE)</f>
        <v>0.42358825343066847</v>
      </c>
      <c r="J522">
        <f>($B$1+Table4[[#This Row],[Home Differential]])-Table4[[#This Row],[Away Differential]]</f>
        <v>-0.80796812328820611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0.62158952996925587</v>
      </c>
      <c r="M522" t="str">
        <f>IF(OR((NHL2025_26Results[[#This Row],[Winning Team]]="")),"-",IF(Table4[[#This Row],[Predicted Winner]]=NHL2025_26Results[[#This Row],[Winning Team]],"YES","NO"))</f>
        <v>-</v>
      </c>
      <c r="N522" t="str">
        <f>IF(Table4[[#This Row],[Adjusted Correct]]="-", "",IF(Table4[[#This Row],[Adjusted Correct]]="YES",(Table4[[#This Row],[Strength of Win]]-1)^2,(Table4[[#This Row],[Strength of Win]]-0)^2))</f>
        <v/>
      </c>
      <c r="P522" s="11"/>
    </row>
    <row r="523" spans="4:16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5.5764706436567675E-2</v>
      </c>
      <c r="H523" t="s">
        <v>22</v>
      </c>
      <c r="I523">
        <f>VLOOKUP(Table4[[#This Row],[Visitor]],'NHL Model'!$A$6:$B$38,2,FALSE)</f>
        <v>0.95632113049608625</v>
      </c>
      <c r="J523">
        <f>($B$1+Table4[[#This Row],[Home Differential]])-Table4[[#This Row],[Away Differential]]</f>
        <v>-0.81714250118817855</v>
      </c>
      <c r="K523" t="str">
        <f>IF(Table4[[#This Row],[HomeIce Differential]]&gt;0,Table4[[#This Row],[Home]],Table4[[#This Row],[Visitor]])</f>
        <v>Washington Capitals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0.60339715229092683</v>
      </c>
      <c r="M523" t="str">
        <f>IF(OR((NHL2025_26Results[[#This Row],[Winning Team]]="")),"-",IF(Table4[[#This Row],[Predicted Winner]]=NHL2025_26Results[[#This Row],[Winning Team]],"YES","NO"))</f>
        <v>-</v>
      </c>
      <c r="N523" t="str">
        <f>IF(Table4[[#This Row],[Adjusted Correct]]="-", "",IF(Table4[[#This Row],[Adjusted Correct]]="YES",(Table4[[#This Row],[Strength of Win]]-1)^2,(Table4[[#This Row],[Strength of Win]]-0)^2))</f>
        <v/>
      </c>
      <c r="P523" s="11"/>
    </row>
    <row r="524" spans="4:16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-0.23554590882174289</v>
      </c>
      <c r="H524" t="s">
        <v>27</v>
      </c>
      <c r="I524">
        <f>VLOOKUP(Table4[[#This Row],[Visitor]],'NHL Model'!$A$6:$B$38,2,FALSE)</f>
        <v>5.7297532801941484E-2</v>
      </c>
      <c r="J524">
        <f>($B$1+Table4[[#This Row],[Home Differential]])-Table4[[#This Row],[Away Differential]]</f>
        <v>-0.20942951875234433</v>
      </c>
      <c r="K524" t="str">
        <f>IF(Table4[[#This Row],[HomeIce Differential]]&gt;0,Table4[[#This Row],[Home]],Table4[[#This Row],[Visitor]])</f>
        <v>Philadelphia Flyers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0.52538902570365931</v>
      </c>
      <c r="M524" t="str">
        <f>IF(OR((NHL2025_26Results[[#This Row],[Winning Team]]="")),"-",IF(Table4[[#This Row],[Predicted Winner]]=NHL2025_26Results[[#This Row],[Winning Team]],"YES","NO"))</f>
        <v>-</v>
      </c>
      <c r="N524" t="str">
        <f>IF(Table4[[#This Row],[Adjusted Correct]]="-", "",IF(Table4[[#This Row],[Adjusted Correct]]="YES",(Table4[[#This Row],[Strength of Win]]-1)^2,(Table4[[#This Row],[Strength of Win]]-0)^2))</f>
        <v/>
      </c>
      <c r="P524" s="11"/>
    </row>
    <row r="525" spans="4:16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0.21842521198061643</v>
      </c>
      <c r="H525" t="s">
        <v>38</v>
      </c>
      <c r="I525">
        <f>VLOOKUP(Table4[[#This Row],[Visitor]],'NHL Model'!$A$6:$B$38,2,FALSE)</f>
        <v>-0.58187345243071342</v>
      </c>
      <c r="J525">
        <f>($B$1+Table4[[#This Row],[Home Differential]])-Table4[[#This Row],[Away Differential]]</f>
        <v>0.88371258728266988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0.63652993679434877</v>
      </c>
      <c r="M525" t="str">
        <f>IF(OR((NHL2025_26Results[[#This Row],[Winning Team]]="")),"-",IF(Table4[[#This Row],[Predicted Winner]]=NHL2025_26Results[[#This Row],[Winning Team]],"YES","NO"))</f>
        <v>-</v>
      </c>
      <c r="N525" t="str">
        <f>IF(Table4[[#This Row],[Adjusted Correct]]="-", "",IF(Table4[[#This Row],[Adjusted Correct]]="YES",(Table4[[#This Row],[Strength of Win]]-1)^2,(Table4[[#This Row],[Strength of Win]]-0)^2))</f>
        <v/>
      </c>
      <c r="P525" s="11"/>
    </row>
    <row r="526" spans="4:16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0.26772485952910668</v>
      </c>
      <c r="H526" t="s">
        <v>17</v>
      </c>
      <c r="I526">
        <f>VLOOKUP(Table4[[#This Row],[Visitor]],'NHL Model'!$A$6:$B$38,2,FALSE)</f>
        <v>-0.17631503877657284</v>
      </c>
      <c r="J526">
        <f>($B$1+Table4[[#This Row],[Home Differential]])-Table4[[#This Row],[Away Differential]]</f>
        <v>0.52745382117701967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0.59761498110682609</v>
      </c>
      <c r="M526" t="str">
        <f>IF(OR((NHL2025_26Results[[#This Row],[Winning Team]]="")),"-",IF(Table4[[#This Row],[Predicted Winner]]=NHL2025_26Results[[#This Row],[Winning Team]],"YES","NO"))</f>
        <v>-</v>
      </c>
      <c r="N526" t="str">
        <f>IF(Table4[[#This Row],[Adjusted Correct]]="-", "",IF(Table4[[#This Row],[Adjusted Correct]]="YES",(Table4[[#This Row],[Strength of Win]]-1)^2,(Table4[[#This Row],[Strength of Win]]-0)^2))</f>
        <v/>
      </c>
      <c r="P526" s="11"/>
    </row>
    <row r="527" spans="4:16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-0.51436416305402566</v>
      </c>
      <c r="H527" t="s">
        <v>12</v>
      </c>
      <c r="I527">
        <f>VLOOKUP(Table4[[#This Row],[Visitor]],'NHL Model'!$A$6:$B$38,2,FALSE)</f>
        <v>1.7429147091761512</v>
      </c>
      <c r="J527">
        <f>($B$1+Table4[[#This Row],[Home Differential]])-Table4[[#This Row],[Away Differential]]</f>
        <v>-2.1738649493588369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0.76377200451561944</v>
      </c>
      <c r="M527" t="str">
        <f>IF(OR((NHL2025_26Results[[#This Row],[Winning Team]]="")),"-",IF(Table4[[#This Row],[Predicted Winner]]=NHL2025_26Results[[#This Row],[Winning Team]],"YES","NO"))</f>
        <v>-</v>
      </c>
      <c r="N527" t="str">
        <f>IF(Table4[[#This Row],[Adjusted Correct]]="-", "",IF(Table4[[#This Row],[Adjusted Correct]]="YES",(Table4[[#This Row],[Strength of Win]]-1)^2,(Table4[[#This Row],[Strength of Win]]-0)^2))</f>
        <v/>
      </c>
      <c r="P527" s="11"/>
    </row>
    <row r="528" spans="4:16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-0.38457853131220177</v>
      </c>
      <c r="H528" t="s">
        <v>16</v>
      </c>
      <c r="I528">
        <f>VLOOKUP(Table4[[#This Row],[Visitor]],'NHL Model'!$A$6:$B$38,2,FALSE)</f>
        <v>-0.64492670113602302</v>
      </c>
      <c r="J528">
        <f>($B$1+Table4[[#This Row],[Home Differential]])-Table4[[#This Row],[Away Differential]]</f>
        <v>0.34376209269516134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0.57754991561475044</v>
      </c>
      <c r="M528" t="str">
        <f>IF(OR((NHL2025_26Results[[#This Row],[Winning Team]]="")),"-",IF(Table4[[#This Row],[Predicted Winner]]=NHL2025_26Results[[#This Row],[Winning Team]],"YES","NO"))</f>
        <v>-</v>
      </c>
      <c r="N528" t="str">
        <f>IF(Table4[[#This Row],[Adjusted Correct]]="-", "",IF(Table4[[#This Row],[Adjusted Correct]]="YES",(Table4[[#This Row],[Strength of Win]]-1)^2,(Table4[[#This Row],[Strength of Win]]-0)^2))</f>
        <v/>
      </c>
      <c r="P528" s="11"/>
    </row>
    <row r="529" spans="4:16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-3.2654449433805091E-2</v>
      </c>
      <c r="H529" t="s">
        <v>10</v>
      </c>
      <c r="I529">
        <f>VLOOKUP(Table4[[#This Row],[Visitor]],'NHL Model'!$A$6:$B$38,2,FALSE)</f>
        <v>-8.0981007952892342E-2</v>
      </c>
      <c r="J529">
        <f>($B$1+Table4[[#This Row],[Home Differential]])-Table4[[#This Row],[Away Differential]]</f>
        <v>0.13174048139042732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0.55439031255736471</v>
      </c>
      <c r="M529" t="str">
        <f>IF(OR((NHL2025_26Results[[#This Row],[Winning Team]]="")),"-",IF(Table4[[#This Row],[Predicted Winner]]=NHL2025_26Results[[#This Row],[Winning Team]],"YES","NO"))</f>
        <v>-</v>
      </c>
      <c r="N529" t="str">
        <f>IF(Table4[[#This Row],[Adjusted Correct]]="-", "",IF(Table4[[#This Row],[Adjusted Correct]]="YES",(Table4[[#This Row],[Strength of Win]]-1)^2,(Table4[[#This Row],[Strength of Win]]-0)^2))</f>
        <v/>
      </c>
      <c r="P529" s="11"/>
    </row>
    <row r="530" spans="4:16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-0.46779379272887778</v>
      </c>
      <c r="H530" t="s">
        <v>55</v>
      </c>
      <c r="I530">
        <f>VLOOKUP(Table4[[#This Row],[Visitor]],'NHL Model'!$A$6:$B$38,2,FALSE)</f>
        <v>0.16351124183791613</v>
      </c>
      <c r="J530">
        <f>($B$1+Table4[[#This Row],[Home Differential]])-Table4[[#This Row],[Away Differential]]</f>
        <v>-0.54789111169545379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0.50972514346639763</v>
      </c>
      <c r="M530" t="str">
        <f>IF(OR((NHL2025_26Results[[#This Row],[Winning Team]]="")),"-",IF(Table4[[#This Row],[Predicted Winner]]=NHL2025_26Results[[#This Row],[Winning Team]],"YES","NO"))</f>
        <v>-</v>
      </c>
      <c r="N530" t="str">
        <f>IF(Table4[[#This Row],[Adjusted Correct]]="-", "",IF(Table4[[#This Row],[Adjusted Correct]]="YES",(Table4[[#This Row],[Strength of Win]]-1)^2,(Table4[[#This Row],[Strength of Win]]-0)^2))</f>
        <v/>
      </c>
      <c r="P530" s="11"/>
    </row>
    <row r="531" spans="4:16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-0.2331185823245894</v>
      </c>
      <c r="H531" t="s">
        <v>13</v>
      </c>
      <c r="I531">
        <f>VLOOKUP(Table4[[#This Row],[Visitor]],'NHL Model'!$A$6:$B$38,2,FALSE)</f>
        <v>9.3318671190422225E-2</v>
      </c>
      <c r="J531">
        <f>($B$1+Table4[[#This Row],[Home Differential]])-Table4[[#This Row],[Away Differential]]</f>
        <v>-0.24302333064367157</v>
      </c>
      <c r="K531" t="str">
        <f>IF(Table4[[#This Row],[HomeIce Differential]]&gt;0,Table4[[#This Row],[Home]],Table4[[#This Row],[Visitor]])</f>
        <v>Los Angeles Kings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0.55286178087878568</v>
      </c>
      <c r="M531" t="str">
        <f>IF(OR((NHL2025_26Results[[#This Row],[Winning Team]]="")),"-",IF(Table4[[#This Row],[Predicted Winner]]=NHL2025_26Results[[#This Row],[Winning Team]],"YES","NO"))</f>
        <v>-</v>
      </c>
      <c r="N531" t="str">
        <f>IF(Table4[[#This Row],[Adjusted Correct]]="-", "",IF(Table4[[#This Row],[Adjusted Correct]]="YES",(Table4[[#This Row],[Strength of Win]]-1)^2,(Table4[[#This Row],[Strength of Win]]-0)^2))</f>
        <v/>
      </c>
      <c r="P531" s="11"/>
    </row>
    <row r="532" spans="4:16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-0.8717103858022891</v>
      </c>
      <c r="H532" t="s">
        <v>25</v>
      </c>
      <c r="I532">
        <f>VLOOKUP(Table4[[#This Row],[Visitor]],'NHL Model'!$A$6:$B$38,2,FALSE)</f>
        <v>0.63414563871719487</v>
      </c>
      <c r="J532">
        <f>($B$1+Table4[[#This Row],[Home Differential]])-Table4[[#This Row],[Away Differential]]</f>
        <v>-1.4224421016481439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0.68799975663381352</v>
      </c>
      <c r="M532" t="str">
        <f>IF(OR((NHL2025_26Results[[#This Row],[Winning Team]]="")),"-",IF(Table4[[#This Row],[Predicted Winner]]=NHL2025_26Results[[#This Row],[Winning Team]],"YES","NO"))</f>
        <v>-</v>
      </c>
      <c r="N532" t="str">
        <f>IF(Table4[[#This Row],[Adjusted Correct]]="-", "",IF(Table4[[#This Row],[Adjusted Correct]]="YES",(Table4[[#This Row],[Strength of Win]]-1)^2,(Table4[[#This Row],[Strength of Win]]-0)^2))</f>
        <v/>
      </c>
      <c r="P532" s="11"/>
    </row>
    <row r="533" spans="4:16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-1.0071073873045386</v>
      </c>
      <c r="H533" t="s">
        <v>40</v>
      </c>
      <c r="I533">
        <f>VLOOKUP(Table4[[#This Row],[Visitor]],'NHL Model'!$A$6:$B$38,2,FALSE)</f>
        <v>-7.6933210940904648E-2</v>
      </c>
      <c r="J533">
        <f>($B$1+Table4[[#This Row],[Home Differential]])-Table4[[#This Row],[Away Differential]]</f>
        <v>-0.84676025349229389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0.55249354928949623</v>
      </c>
      <c r="M533" t="str">
        <f>IF(OR((NHL2025_26Results[[#This Row],[Winning Team]]="")),"-",IF(Table4[[#This Row],[Predicted Winner]]=NHL2025_26Results[[#This Row],[Winning Team]],"YES","NO"))</f>
        <v>-</v>
      </c>
      <c r="N533" t="str">
        <f>IF(Table4[[#This Row],[Adjusted Correct]]="-", "",IF(Table4[[#This Row],[Adjusted Correct]]="YES",(Table4[[#This Row],[Strength of Win]]-1)^2,(Table4[[#This Row],[Strength of Win]]-0)^2))</f>
        <v/>
      </c>
      <c r="P533" s="11"/>
    </row>
    <row r="534" spans="4:16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0.18369921819729701</v>
      </c>
      <c r="H534" t="s">
        <v>24</v>
      </c>
      <c r="I534">
        <f>VLOOKUP(Table4[[#This Row],[Visitor]],'NHL Model'!$A$6:$B$38,2,FALSE)</f>
        <v>-3.0305407970040489E-4</v>
      </c>
      <c r="J534">
        <f>($B$1+Table4[[#This Row],[Home Differential]])-Table4[[#This Row],[Away Differential]]</f>
        <v>0.26741619514833748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0.56563432056044205</v>
      </c>
      <c r="M534" t="str">
        <f>IF(OR((NHL2025_26Results[[#This Row],[Winning Team]]="")),"-",IF(Table4[[#This Row],[Predicted Winner]]=NHL2025_26Results[[#This Row],[Winning Team]],"YES","NO"))</f>
        <v>-</v>
      </c>
      <c r="N534" t="str">
        <f>IF(Table4[[#This Row],[Adjusted Correct]]="-", "",IF(Table4[[#This Row],[Adjusted Correct]]="YES",(Table4[[#This Row],[Strength of Win]]-1)^2,(Table4[[#This Row],[Strength of Win]]-0)^2))</f>
        <v/>
      </c>
      <c r="P534" s="11"/>
    </row>
    <row r="535" spans="4:16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0.2169753953839102</v>
      </c>
      <c r="H535" t="s">
        <v>17</v>
      </c>
      <c r="I535">
        <f>VLOOKUP(Table4[[#This Row],[Visitor]],'NHL Model'!$A$6:$B$38,2,FALSE)</f>
        <v>-0.17631503877657284</v>
      </c>
      <c r="J535">
        <f>($B$1+Table4[[#This Row],[Home Differential]])-Table4[[#This Row],[Away Differential]]</f>
        <v>0.47670435703182312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0.65120004196299686</v>
      </c>
      <c r="M535" t="str">
        <f>IF(OR((NHL2025_26Results[[#This Row],[Winning Team]]="")),"-",IF(Table4[[#This Row],[Predicted Winner]]=NHL2025_26Results[[#This Row],[Winning Team]],"YES","NO"))</f>
        <v>-</v>
      </c>
      <c r="N535" t="str">
        <f>IF(Table4[[#This Row],[Adjusted Correct]]="-", "",IF(Table4[[#This Row],[Adjusted Correct]]="YES",(Table4[[#This Row],[Strength of Win]]-1)^2,(Table4[[#This Row],[Strength of Win]]-0)^2))</f>
        <v/>
      </c>
      <c r="P535" s="11"/>
    </row>
    <row r="536" spans="4:16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-0.32833039474346476</v>
      </c>
      <c r="H536" t="s">
        <v>27</v>
      </c>
      <c r="I536">
        <f>VLOOKUP(Table4[[#This Row],[Visitor]],'NHL Model'!$A$6:$B$38,2,FALSE)</f>
        <v>5.7297532801941484E-2</v>
      </c>
      <c r="J536">
        <f>($B$1+Table4[[#This Row],[Home Differential]])-Table4[[#This Row],[Away Differential]]</f>
        <v>-0.30221400467406617</v>
      </c>
      <c r="K536" t="str">
        <f>IF(Table4[[#This Row],[HomeIce Differential]]&gt;0,Table4[[#This Row],[Home]],Table4[[#This Row],[Visitor]])</f>
        <v>Philadelphia Flyers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0.52531921572534301</v>
      </c>
      <c r="M536" t="str">
        <f>IF(OR((NHL2025_26Results[[#This Row],[Winning Team]]="")),"-",IF(Table4[[#This Row],[Predicted Winner]]=NHL2025_26Results[[#This Row],[Winning Team]],"YES","NO"))</f>
        <v>-</v>
      </c>
      <c r="N536" t="str">
        <f>IF(Table4[[#This Row],[Adjusted Correct]]="-", "",IF(Table4[[#This Row],[Adjusted Correct]]="YES",(Table4[[#This Row],[Strength of Win]]-1)^2,(Table4[[#This Row],[Strength of Win]]-0)^2))</f>
        <v/>
      </c>
      <c r="P536" s="11"/>
    </row>
    <row r="537" spans="4:16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-0.21858969522472316</v>
      </c>
      <c r="H537" t="s">
        <v>34</v>
      </c>
      <c r="I537">
        <f>VLOOKUP(Table4[[#This Row],[Visitor]],'NHL Model'!$A$6:$B$38,2,FALSE)</f>
        <v>5.5764706436567675E-2</v>
      </c>
      <c r="J537">
        <f>($B$1+Table4[[#This Row],[Home Differential]])-Table4[[#This Row],[Away Differential]]</f>
        <v>-0.19094047878995074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0.50162609375196998</v>
      </c>
      <c r="M537" t="str">
        <f>IF(OR((NHL2025_26Results[[#This Row],[Winning Team]]="")),"-",IF(Table4[[#This Row],[Predicted Winner]]=NHL2025_26Results[[#This Row],[Winning Team]],"YES","NO"))</f>
        <v>-</v>
      </c>
      <c r="N537" t="str">
        <f>IF(Table4[[#This Row],[Adjusted Correct]]="-", "",IF(Table4[[#This Row],[Adjusted Correct]]="YES",(Table4[[#This Row],[Strength of Win]]-1)^2,(Table4[[#This Row],[Strength of Win]]-0)^2))</f>
        <v/>
      </c>
      <c r="P537" s="11"/>
    </row>
    <row r="538" spans="4:16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-0.64492670113602302</v>
      </c>
      <c r="H538" t="s">
        <v>32</v>
      </c>
      <c r="I538">
        <f>VLOOKUP(Table4[[#This Row],[Visitor]],'NHL Model'!$A$6:$B$38,2,FALSE)</f>
        <v>-0.51436416305402566</v>
      </c>
      <c r="J538">
        <f>($B$1+Table4[[#This Row],[Home Differential]])-Table4[[#This Row],[Away Differential]]</f>
        <v>-4.7148615210657274E-2</v>
      </c>
      <c r="K538" t="str">
        <f>IF(Table4[[#This Row],[HomeIce Differential]]&gt;0,Table4[[#This Row],[Home]],Table4[[#This Row],[Visitor]])</f>
        <v>Seattle Kraken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0.46515015052599906</v>
      </c>
      <c r="M538" t="str">
        <f>IF(OR((NHL2025_26Results[[#This Row],[Winning Team]]="")),"-",IF(Table4[[#This Row],[Predicted Winner]]=NHL2025_26Results[[#This Row],[Winning Team]],"YES","NO"))</f>
        <v>-</v>
      </c>
      <c r="N538" t="str">
        <f>IF(Table4[[#This Row],[Adjusted Correct]]="-", "",IF(Table4[[#This Row],[Adjusted Correct]]="YES",(Table4[[#This Row],[Strength of Win]]-1)^2,(Table4[[#This Row],[Strength of Win]]-0)^2))</f>
        <v/>
      </c>
      <c r="P538" s="11"/>
    </row>
    <row r="539" spans="4:16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-0.23554590882174289</v>
      </c>
      <c r="H539" t="s">
        <v>10</v>
      </c>
      <c r="I539">
        <f>VLOOKUP(Table4[[#This Row],[Visitor]],'NHL Model'!$A$6:$B$38,2,FALSE)</f>
        <v>-8.0981007952892342E-2</v>
      </c>
      <c r="J539">
        <f>($B$1+Table4[[#This Row],[Home Differential]])-Table4[[#This Row],[Away Differential]]</f>
        <v>-7.1150977997510495E-2</v>
      </c>
      <c r="K539" t="str">
        <f>IF(Table4[[#This Row],[HomeIce Differential]]&gt;0,Table4[[#This Row],[Home]],Table4[[#This Row],[Visitor]])</f>
        <v>Chicago Blackhawks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0.46777198323051483</v>
      </c>
      <c r="M539" t="str">
        <f>IF(OR((NHL2025_26Results[[#This Row],[Winning Team]]="")),"-",IF(Table4[[#This Row],[Predicted Winner]]=NHL2025_26Results[[#This Row],[Winning Team]],"YES","NO"))</f>
        <v>-</v>
      </c>
      <c r="N539" t="str">
        <f>IF(Table4[[#This Row],[Adjusted Correct]]="-", "",IF(Table4[[#This Row],[Adjusted Correct]]="YES",(Table4[[#This Row],[Strength of Win]]-1)^2,(Table4[[#This Row],[Strength of Win]]-0)^2))</f>
        <v/>
      </c>
      <c r="P539" s="11"/>
    </row>
    <row r="540" spans="4:16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-0.1785578406462007</v>
      </c>
      <c r="H540" t="s">
        <v>14</v>
      </c>
      <c r="I540">
        <f>VLOOKUP(Table4[[#This Row],[Visitor]],'NHL Model'!$A$6:$B$38,2,FALSE)</f>
        <v>0.26772485952910668</v>
      </c>
      <c r="J540">
        <f>($B$1+Table4[[#This Row],[Home Differential]])-Table4[[#This Row],[Away Differential]]</f>
        <v>-0.36286877730396733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0.55377579973249613</v>
      </c>
      <c r="M540" t="str">
        <f>IF(OR((NHL2025_26Results[[#This Row],[Winning Team]]="")),"-",IF(Table4[[#This Row],[Predicted Winner]]=NHL2025_26Results[[#This Row],[Winning Team]],"YES","NO"))</f>
        <v>-</v>
      </c>
      <c r="N540" t="str">
        <f>IF(Table4[[#This Row],[Adjusted Correct]]="-", "",IF(Table4[[#This Row],[Adjusted Correct]]="YES",(Table4[[#This Row],[Strength of Win]]-1)^2,(Table4[[#This Row],[Strength of Win]]-0)^2))</f>
        <v/>
      </c>
      <c r="P540" s="11"/>
    </row>
    <row r="541" spans="4:16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-0.38457853131220177</v>
      </c>
      <c r="H541" t="s">
        <v>39</v>
      </c>
      <c r="I541">
        <f>VLOOKUP(Table4[[#This Row],[Visitor]],'NHL Model'!$A$6:$B$38,2,FALSE)</f>
        <v>0.85927171572006034</v>
      </c>
      <c r="J541">
        <f>($B$1+Table4[[#This Row],[Home Differential]])-Table4[[#This Row],[Away Differential]]</f>
        <v>-1.1604363241609219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0.67924328810293522</v>
      </c>
      <c r="M541" t="str">
        <f>IF(OR((NHL2025_26Results[[#This Row],[Winning Team]]="")),"-",IF(Table4[[#This Row],[Predicted Winner]]=NHL2025_26Results[[#This Row],[Winning Team]],"YES","NO"))</f>
        <v>-</v>
      </c>
      <c r="N541" t="str">
        <f>IF(Table4[[#This Row],[Adjusted Correct]]="-", "",IF(Table4[[#This Row],[Adjusted Correct]]="YES",(Table4[[#This Row],[Strength of Win]]-1)^2,(Table4[[#This Row],[Strength of Win]]-0)^2))</f>
        <v/>
      </c>
      <c r="P541" s="11"/>
    </row>
    <row r="542" spans="4:16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-1.0071073873045386</v>
      </c>
      <c r="H542" t="s">
        <v>15</v>
      </c>
      <c r="I542">
        <f>VLOOKUP(Table4[[#This Row],[Visitor]],'NHL Model'!$A$6:$B$38,2,FALSE)</f>
        <v>0.21842521198061643</v>
      </c>
      <c r="J542">
        <f>($B$1+Table4[[#This Row],[Home Differential]])-Table4[[#This Row],[Away Differential]]</f>
        <v>-1.1421186764138149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0.69132845987279967</v>
      </c>
      <c r="M542" t="str">
        <f>IF(OR((NHL2025_26Results[[#This Row],[Winning Team]]="")),"-",IF(Table4[[#This Row],[Predicted Winner]]=NHL2025_26Results[[#This Row],[Winning Team]],"YES","NO"))</f>
        <v>-</v>
      </c>
      <c r="N542" t="str">
        <f>IF(Table4[[#This Row],[Adjusted Correct]]="-", "",IF(Table4[[#This Row],[Adjusted Correct]]="YES",(Table4[[#This Row],[Strength of Win]]-1)^2,(Table4[[#This Row],[Strength of Win]]-0)^2))</f>
        <v/>
      </c>
      <c r="P542" s="11"/>
    </row>
    <row r="543" spans="4:16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0.67847982929669792</v>
      </c>
      <c r="H543" t="s">
        <v>13</v>
      </c>
      <c r="I543">
        <f>VLOOKUP(Table4[[#This Row],[Visitor]],'NHL Model'!$A$6:$B$38,2,FALSE)</f>
        <v>9.3318671190422225E-2</v>
      </c>
      <c r="J543">
        <f>($B$1+Table4[[#This Row],[Home Differential]])-Table4[[#This Row],[Away Differential]]</f>
        <v>0.66857508097761575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0.54671418796218363</v>
      </c>
      <c r="M543" t="str">
        <f>IF(OR((NHL2025_26Results[[#This Row],[Winning Team]]="")),"-",IF(Table4[[#This Row],[Predicted Winner]]=NHL2025_26Results[[#This Row],[Winning Team]],"YES","NO"))</f>
        <v>-</v>
      </c>
      <c r="N543" t="str">
        <f>IF(Table4[[#This Row],[Adjusted Correct]]="-", "",IF(Table4[[#This Row],[Adjusted Correct]]="YES",(Table4[[#This Row],[Strength of Win]]-1)^2,(Table4[[#This Row],[Strength of Win]]-0)^2))</f>
        <v/>
      </c>
      <c r="P543" s="11"/>
    </row>
    <row r="544" spans="4:16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0.95632113049608625</v>
      </c>
      <c r="H544" t="s">
        <v>19</v>
      </c>
      <c r="I544">
        <f>VLOOKUP(Table4[[#This Row],[Visitor]],'NHL Model'!$A$6:$B$38,2,FALSE)</f>
        <v>-3.2654449433805091E-2</v>
      </c>
      <c r="J544">
        <f>($B$1+Table4[[#This Row],[Home Differential]])-Table4[[#This Row],[Away Differential]]</f>
        <v>1.0723895028012314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0.68317728145927892</v>
      </c>
      <c r="M544" t="str">
        <f>IF(OR((NHL2025_26Results[[#This Row],[Winning Team]]="")),"-",IF(Table4[[#This Row],[Predicted Winner]]=NHL2025_26Results[[#This Row],[Winning Team]],"YES","NO"))</f>
        <v>-</v>
      </c>
      <c r="N544" t="str">
        <f>IF(Table4[[#This Row],[Adjusted Correct]]="-", "",IF(Table4[[#This Row],[Adjusted Correct]]="YES",(Table4[[#This Row],[Strength of Win]]-1)^2,(Table4[[#This Row],[Strength of Win]]-0)^2))</f>
        <v/>
      </c>
      <c r="P544" s="11"/>
    </row>
    <row r="545" spans="4:16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0.25846513585567971</v>
      </c>
      <c r="H545" t="s">
        <v>39</v>
      </c>
      <c r="I545">
        <f>VLOOKUP(Table4[[#This Row],[Visitor]],'NHL Model'!$A$6:$B$38,2,FALSE)</f>
        <v>0.85927171572006034</v>
      </c>
      <c r="J545">
        <f>($B$1+Table4[[#This Row],[Home Differential]])-Table4[[#This Row],[Away Differential]]</f>
        <v>-0.51739265699304049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0.53927459793851484</v>
      </c>
      <c r="M545" t="str">
        <f>IF(OR((NHL2025_26Results[[#This Row],[Winning Team]]="")),"-",IF(Table4[[#This Row],[Predicted Winner]]=NHL2025_26Results[[#This Row],[Winning Team]],"YES","NO"))</f>
        <v>-</v>
      </c>
      <c r="N545" t="str">
        <f>IF(Table4[[#This Row],[Adjusted Correct]]="-", "",IF(Table4[[#This Row],[Adjusted Correct]]="YES",(Table4[[#This Row],[Strength of Win]]-1)^2,(Table4[[#This Row],[Strength of Win]]-0)^2))</f>
        <v/>
      </c>
      <c r="P545" s="11"/>
    </row>
    <row r="546" spans="4:16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1.7429147091761512</v>
      </c>
      <c r="H546" t="s">
        <v>40</v>
      </c>
      <c r="I546">
        <f>VLOOKUP(Table4[[#This Row],[Visitor]],'NHL Model'!$A$6:$B$38,2,FALSE)</f>
        <v>-7.6933210940904648E-2</v>
      </c>
      <c r="J546">
        <f>($B$1+Table4[[#This Row],[Home Differential]])-Table4[[#This Row],[Away Differential]]</f>
        <v>1.9032618429883958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0.85571858781866528</v>
      </c>
      <c r="M546" t="str">
        <f>IF(OR((NHL2025_26Results[[#This Row],[Winning Team]]="")),"-",IF(Table4[[#This Row],[Predicted Winner]]=NHL2025_26Results[[#This Row],[Winning Team]],"YES","NO"))</f>
        <v>-</v>
      </c>
      <c r="N546" t="str">
        <f>IF(Table4[[#This Row],[Adjusted Correct]]="-", "",IF(Table4[[#This Row],[Adjusted Correct]]="YES",(Table4[[#This Row],[Strength of Win]]-1)^2,(Table4[[#This Row],[Strength of Win]]-0)^2))</f>
        <v/>
      </c>
      <c r="P546" s="11"/>
    </row>
    <row r="547" spans="4:16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-0.2331185823245894</v>
      </c>
      <c r="H547" t="s">
        <v>25</v>
      </c>
      <c r="I547">
        <f>VLOOKUP(Table4[[#This Row],[Visitor]],'NHL Model'!$A$6:$B$38,2,FALSE)</f>
        <v>0.63414563871719487</v>
      </c>
      <c r="J547">
        <f>($B$1+Table4[[#This Row],[Home Differential]])-Table4[[#This Row],[Away Differential]]</f>
        <v>-0.78385029817044427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0.61824492082612359</v>
      </c>
      <c r="M547" t="str">
        <f>IF(OR((NHL2025_26Results[[#This Row],[Winning Team]]="")),"-",IF(Table4[[#This Row],[Predicted Winner]]=NHL2025_26Results[[#This Row],[Winning Team]],"YES","NO"))</f>
        <v>-</v>
      </c>
      <c r="N547" t="str">
        <f>IF(Table4[[#This Row],[Adjusted Correct]]="-", "",IF(Table4[[#This Row],[Adjusted Correct]]="YES",(Table4[[#This Row],[Strength of Win]]-1)^2,(Table4[[#This Row],[Strength of Win]]-0)^2))</f>
        <v/>
      </c>
      <c r="P547" s="11"/>
    </row>
    <row r="548" spans="4:16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0.42358825343066847</v>
      </c>
      <c r="H548" t="s">
        <v>38</v>
      </c>
      <c r="I548">
        <f>VLOOKUP(Table4[[#This Row],[Visitor]],'NHL Model'!$A$6:$B$38,2,FALSE)</f>
        <v>-0.58187345243071342</v>
      </c>
      <c r="J548">
        <f>($B$1+Table4[[#This Row],[Home Differential]])-Table4[[#This Row],[Away Differential]]</f>
        <v>1.0888756287327219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0.65894036265985145</v>
      </c>
      <c r="M548" t="str">
        <f>IF(OR((NHL2025_26Results[[#This Row],[Winning Team]]="")),"-",IF(Table4[[#This Row],[Predicted Winner]]=NHL2025_26Results[[#This Row],[Winning Team]],"YES","NO"))</f>
        <v>-</v>
      </c>
      <c r="N548" t="str">
        <f>IF(Table4[[#This Row],[Adjusted Correct]]="-", "",IF(Table4[[#This Row],[Adjusted Correct]]="YES",(Table4[[#This Row],[Strength of Win]]-1)^2,(Table4[[#This Row],[Strength of Win]]-0)^2))</f>
        <v/>
      </c>
      <c r="P548" s="11"/>
    </row>
    <row r="549" spans="4:16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0.16351124183791613</v>
      </c>
      <c r="H549" t="s">
        <v>24</v>
      </c>
      <c r="I549">
        <f>VLOOKUP(Table4[[#This Row],[Visitor]],'NHL Model'!$A$6:$B$38,2,FALSE)</f>
        <v>-3.0305407970040489E-4</v>
      </c>
      <c r="J549">
        <f>($B$1+Table4[[#This Row],[Home Differential]])-Table4[[#This Row],[Away Differential]]</f>
        <v>0.24722821878895659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0.60392837782849873</v>
      </c>
      <c r="M549" t="str">
        <f>IF(OR((NHL2025_26Results[[#This Row],[Winning Team]]="")),"-",IF(Table4[[#This Row],[Predicted Winner]]=NHL2025_26Results[[#This Row],[Winning Team]],"YES","NO"))</f>
        <v>-</v>
      </c>
      <c r="N549" t="str">
        <f>IF(Table4[[#This Row],[Adjusted Correct]]="-", "",IF(Table4[[#This Row],[Adjusted Correct]]="YES",(Table4[[#This Row],[Strength of Win]]-1)^2,(Table4[[#This Row],[Strength of Win]]-0)^2))</f>
        <v/>
      </c>
      <c r="P549" s="11"/>
    </row>
    <row r="550" spans="4:16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0.25846513585567971</v>
      </c>
      <c r="H550" t="s">
        <v>28</v>
      </c>
      <c r="I550">
        <f>VLOOKUP(Table4[[#This Row],[Visitor]],'NHL Model'!$A$6:$B$38,2,FALSE)</f>
        <v>-0.21858969522472316</v>
      </c>
      <c r="J550">
        <f>($B$1+Table4[[#This Row],[Home Differential]])-Table4[[#This Row],[Away Differential]]</f>
        <v>0.560468753951743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0.66949378342191912</v>
      </c>
      <c r="M550" t="str">
        <f>IF(OR((NHL2025_26Results[[#This Row],[Winning Team]]="")),"-",IF(Table4[[#This Row],[Predicted Winner]]=NHL2025_26Results[[#This Row],[Winning Team]],"YES","NO"))</f>
        <v>-</v>
      </c>
      <c r="N550" t="str">
        <f>IF(Table4[[#This Row],[Adjusted Correct]]="-", "",IF(Table4[[#This Row],[Adjusted Correct]]="YES",(Table4[[#This Row],[Strength of Win]]-1)^2,(Table4[[#This Row],[Strength of Win]]-0)^2))</f>
        <v/>
      </c>
      <c r="P550" s="11"/>
    </row>
    <row r="551" spans="4:16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0.2169753953839102</v>
      </c>
      <c r="H551" t="s">
        <v>38</v>
      </c>
      <c r="I551">
        <f>VLOOKUP(Table4[[#This Row],[Visitor]],'NHL Model'!$A$6:$B$38,2,FALSE)</f>
        <v>-0.58187345243071342</v>
      </c>
      <c r="J551">
        <f>($B$1+Table4[[#This Row],[Home Differential]])-Table4[[#This Row],[Away Differential]]</f>
        <v>0.8822627706859637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0.69550011033344794</v>
      </c>
      <c r="M551" t="str">
        <f>IF(OR((NHL2025_26Results[[#This Row],[Winning Team]]="")),"-",IF(Table4[[#This Row],[Predicted Winner]]=NHL2025_26Results[[#This Row],[Winning Team]],"YES","NO"))</f>
        <v>-</v>
      </c>
      <c r="N551" t="str">
        <f>IF(Table4[[#This Row],[Adjusted Correct]]="-", "",IF(Table4[[#This Row],[Adjusted Correct]]="YES",(Table4[[#This Row],[Strength of Win]]-1)^2,(Table4[[#This Row],[Strength of Win]]-0)^2))</f>
        <v/>
      </c>
      <c r="P551" s="11"/>
    </row>
    <row r="552" spans="4:16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-0.32833039474346476</v>
      </c>
      <c r="H552" t="s">
        <v>30</v>
      </c>
      <c r="I552">
        <f>VLOOKUP(Table4[[#This Row],[Visitor]],'NHL Model'!$A$6:$B$38,2,FALSE)</f>
        <v>0.42358825343066847</v>
      </c>
      <c r="J552">
        <f>($B$1+Table4[[#This Row],[Home Differential]])-Table4[[#This Row],[Away Differential]]</f>
        <v>-0.66850472530279315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0.60635562565874634</v>
      </c>
      <c r="M552" t="str">
        <f>IF(OR((NHL2025_26Results[[#This Row],[Winning Team]]="")),"-",IF(Table4[[#This Row],[Predicted Winner]]=NHL2025_26Results[[#This Row],[Winning Team]],"YES","NO"))</f>
        <v>-</v>
      </c>
      <c r="N552" t="str">
        <f>IF(Table4[[#This Row],[Adjusted Correct]]="-", "",IF(Table4[[#This Row],[Adjusted Correct]]="YES",(Table4[[#This Row],[Strength of Win]]-1)^2,(Table4[[#This Row],[Strength of Win]]-0)^2))</f>
        <v/>
      </c>
      <c r="P552" s="11"/>
    </row>
    <row r="553" spans="4:16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-0.64492670113602302</v>
      </c>
      <c r="H553" t="s">
        <v>20</v>
      </c>
      <c r="I553">
        <f>VLOOKUP(Table4[[#This Row],[Visitor]],'NHL Model'!$A$6:$B$38,2,FALSE)</f>
        <v>0.18369921819729701</v>
      </c>
      <c r="J553">
        <f>($B$1+Table4[[#This Row],[Home Differential]])-Table4[[#This Row],[Away Differential]]</f>
        <v>-0.74521199646197989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0.56217043287053758</v>
      </c>
      <c r="M553" t="str">
        <f>IF(OR((NHL2025_26Results[[#This Row],[Winning Team]]="")),"-",IF(Table4[[#This Row],[Predicted Winner]]=NHL2025_26Results[[#This Row],[Winning Team]],"YES","NO"))</f>
        <v>-</v>
      </c>
      <c r="N553" t="str">
        <f>IF(Table4[[#This Row],[Adjusted Correct]]="-", "",IF(Table4[[#This Row],[Adjusted Correct]]="YES",(Table4[[#This Row],[Strength of Win]]-1)^2,(Table4[[#This Row],[Strength of Win]]-0)^2))</f>
        <v/>
      </c>
      <c r="P553" s="11"/>
    </row>
    <row r="554" spans="4:16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-0.2331185823245894</v>
      </c>
      <c r="H554" t="s">
        <v>35</v>
      </c>
      <c r="I554">
        <f>VLOOKUP(Table4[[#This Row],[Visitor]],'NHL Model'!$A$6:$B$38,2,FALSE)</f>
        <v>-1.0071073873045386</v>
      </c>
      <c r="J554">
        <f>($B$1+Table4[[#This Row],[Home Differential]])-Table4[[#This Row],[Away Differential]]</f>
        <v>0.85740272785128924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0.63365605098064925</v>
      </c>
      <c r="M554" t="str">
        <f>IF(OR((NHL2025_26Results[[#This Row],[Winning Team]]="")),"-",IF(Table4[[#This Row],[Predicted Winner]]=NHL2025_26Results[[#This Row],[Winning Team]],"YES","NO"))</f>
        <v>-</v>
      </c>
      <c r="N554" t="str">
        <f>IF(Table4[[#This Row],[Adjusted Correct]]="-", "",IF(Table4[[#This Row],[Adjusted Correct]]="YES",(Table4[[#This Row],[Strength of Win]]-1)^2,(Table4[[#This Row],[Strength of Win]]-0)^2))</f>
        <v/>
      </c>
      <c r="P554" s="11"/>
    </row>
    <row r="555" spans="4:16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5.5764706436567675E-2</v>
      </c>
      <c r="H555" t="s">
        <v>17</v>
      </c>
      <c r="I555">
        <f>VLOOKUP(Table4[[#This Row],[Visitor]],'NHL Model'!$A$6:$B$38,2,FALSE)</f>
        <v>-0.17631503877657284</v>
      </c>
      <c r="J555">
        <f>($B$1+Table4[[#This Row],[Home Differential]])-Table4[[#This Row],[Away Differential]]</f>
        <v>0.31549366808448059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0.57446209126980641</v>
      </c>
      <c r="M555" t="str">
        <f>IF(OR((NHL2025_26Results[[#This Row],[Winning Team]]="")),"-",IF(Table4[[#This Row],[Predicted Winner]]=NHL2025_26Results[[#This Row],[Winning Team]],"YES","NO"))</f>
        <v>-</v>
      </c>
      <c r="N555" t="str">
        <f>IF(Table4[[#This Row],[Adjusted Correct]]="-", "",IF(Table4[[#This Row],[Adjusted Correct]]="YES",(Table4[[#This Row],[Strength of Win]]-1)^2,(Table4[[#This Row],[Strength of Win]]-0)^2))</f>
        <v/>
      </c>
      <c r="P555" s="11"/>
    </row>
    <row r="556" spans="4:16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-0.23554590882174289</v>
      </c>
      <c r="H556" t="s">
        <v>14</v>
      </c>
      <c r="I556">
        <f>VLOOKUP(Table4[[#This Row],[Visitor]],'NHL Model'!$A$6:$B$38,2,FALSE)</f>
        <v>0.26772485952910668</v>
      </c>
      <c r="J556">
        <f>($B$1+Table4[[#This Row],[Home Differential]])-Table4[[#This Row],[Away Differential]]</f>
        <v>-0.41985684547950952</v>
      </c>
      <c r="K556" t="str">
        <f>IF(Table4[[#This Row],[HomeIce Differential]]&gt;0,Table4[[#This Row],[Home]],Table4[[#This Row],[Visitor]])</f>
        <v>Pittsburgh Penguins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0.56000073609549661</v>
      </c>
      <c r="M556" t="str">
        <f>IF(OR((NHL2025_26Results[[#This Row],[Winning Team]]="")),"-",IF(Table4[[#This Row],[Predicted Winner]]=NHL2025_26Results[[#This Row],[Winning Team]],"YES","NO"))</f>
        <v>-</v>
      </c>
      <c r="N556" t="str">
        <f>IF(Table4[[#This Row],[Adjusted Correct]]="-", "",IF(Table4[[#This Row],[Adjusted Correct]]="YES",(Table4[[#This Row],[Strength of Win]]-1)^2,(Table4[[#This Row],[Strength of Win]]-0)^2))</f>
        <v/>
      </c>
      <c r="P556" s="11"/>
    </row>
    <row r="557" spans="4:16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-0.8717103858022891</v>
      </c>
      <c r="H557" t="s">
        <v>19</v>
      </c>
      <c r="I557">
        <f>VLOOKUP(Table4[[#This Row],[Visitor]],'NHL Model'!$A$6:$B$38,2,FALSE)</f>
        <v>-3.2654449433805091E-2</v>
      </c>
      <c r="J557">
        <f>($B$1+Table4[[#This Row],[Home Differential]])-Table4[[#This Row],[Away Differential]]</f>
        <v>-0.75564201349714388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0.54254049659553172</v>
      </c>
      <c r="M557" t="str">
        <f>IF(OR((NHL2025_26Results[[#This Row],[Winning Team]]="")),"-",IF(Table4[[#This Row],[Predicted Winner]]=NHL2025_26Results[[#This Row],[Winning Team]],"YES","NO"))</f>
        <v>-</v>
      </c>
      <c r="N557" t="str">
        <f>IF(Table4[[#This Row],[Adjusted Correct]]="-", "",IF(Table4[[#This Row],[Adjusted Correct]]="YES",(Table4[[#This Row],[Strength of Win]]-1)^2,(Table4[[#This Row],[Strength of Win]]-0)^2))</f>
        <v/>
      </c>
      <c r="P557" s="11"/>
    </row>
    <row r="558" spans="4:16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0.21842521198061643</v>
      </c>
      <c r="H558" t="s">
        <v>27</v>
      </c>
      <c r="I558">
        <f>VLOOKUP(Table4[[#This Row],[Visitor]],'NHL Model'!$A$6:$B$38,2,FALSE)</f>
        <v>5.7297532801941484E-2</v>
      </c>
      <c r="J558">
        <f>($B$1+Table4[[#This Row],[Home Differential]])-Table4[[#This Row],[Away Differential]]</f>
        <v>0.24454160205001502</v>
      </c>
      <c r="K558" t="str">
        <f>IF(Table4[[#This Row],[HomeIce Differential]]&gt;0,Table4[[#This Row],[Home]],Table4[[#This Row],[Visitor]])</f>
        <v>New York Rangers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0.52419927283156831</v>
      </c>
      <c r="M558" t="str">
        <f>IF(OR((NHL2025_26Results[[#This Row],[Winning Team]]="")),"-",IF(Table4[[#This Row],[Predicted Winner]]=NHL2025_26Results[[#This Row],[Winning Team]],"YES","NO"))</f>
        <v>-</v>
      </c>
      <c r="N558" t="str">
        <f>IF(Table4[[#This Row],[Adjusted Correct]]="-", "",IF(Table4[[#This Row],[Adjusted Correct]]="YES",(Table4[[#This Row],[Strength of Win]]-1)^2,(Table4[[#This Row],[Strength of Win]]-0)^2))</f>
        <v/>
      </c>
      <c r="P558" s="11"/>
    </row>
    <row r="559" spans="4:16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-0.1785578406462007</v>
      </c>
      <c r="H559" t="s">
        <v>10</v>
      </c>
      <c r="I559">
        <f>VLOOKUP(Table4[[#This Row],[Visitor]],'NHL Model'!$A$6:$B$38,2,FALSE)</f>
        <v>-8.0981007952892342E-2</v>
      </c>
      <c r="J559">
        <f>($B$1+Table4[[#This Row],[Home Differential]])-Table4[[#This Row],[Away Differential]]</f>
        <v>-1.4162909821968286E-2</v>
      </c>
      <c r="K559" t="str">
        <f>IF(Table4[[#This Row],[HomeIce Differential]]&gt;0,Table4[[#This Row],[Home]],Table4[[#This Row],[Visitor]])</f>
        <v>Chicago Blackhawks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0.46154704686751435</v>
      </c>
      <c r="M559" t="str">
        <f>IF(OR((NHL2025_26Results[[#This Row],[Winning Team]]="")),"-",IF(Table4[[#This Row],[Predicted Winner]]=NHL2025_26Results[[#This Row],[Winning Team]],"YES","NO"))</f>
        <v>-</v>
      </c>
      <c r="N559" t="str">
        <f>IF(Table4[[#This Row],[Adjusted Correct]]="-", "",IF(Table4[[#This Row],[Adjusted Correct]]="YES",(Table4[[#This Row],[Strength of Win]]-1)^2,(Table4[[#This Row],[Strength of Win]]-0)^2))</f>
        <v/>
      </c>
      <c r="P559" s="11"/>
    </row>
    <row r="560" spans="4:16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-0.38457853131220177</v>
      </c>
      <c r="H560" t="s">
        <v>32</v>
      </c>
      <c r="I560">
        <f>VLOOKUP(Table4[[#This Row],[Visitor]],'NHL Model'!$A$6:$B$38,2,FALSE)</f>
        <v>-0.51436416305402566</v>
      </c>
      <c r="J560">
        <f>($B$1+Table4[[#This Row],[Home Differential]])-Table4[[#This Row],[Away Differential]]</f>
        <v>0.21319955461316398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0.56328827248537217</v>
      </c>
      <c r="M560" t="str">
        <f>IF(OR((NHL2025_26Results[[#This Row],[Winning Team]]="")),"-",IF(Table4[[#This Row],[Predicted Winner]]=NHL2025_26Results[[#This Row],[Winning Team]],"YES","NO"))</f>
        <v>-</v>
      </c>
      <c r="N560" t="str">
        <f>IF(Table4[[#This Row],[Adjusted Correct]]="-", "",IF(Table4[[#This Row],[Adjusted Correct]]="YES",(Table4[[#This Row],[Strength of Win]]-1)^2,(Table4[[#This Row],[Strength of Win]]-0)^2))</f>
        <v/>
      </c>
      <c r="P560" s="11"/>
    </row>
    <row r="561" spans="4:16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0.67847982929669792</v>
      </c>
      <c r="H561" t="s">
        <v>25</v>
      </c>
      <c r="I561">
        <f>VLOOKUP(Table4[[#This Row],[Visitor]],'NHL Model'!$A$6:$B$38,2,FALSE)</f>
        <v>0.63414563871719487</v>
      </c>
      <c r="J561">
        <f>($B$1+Table4[[#This Row],[Home Differential]])-Table4[[#This Row],[Away Differential]]</f>
        <v>0.12774811345084314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0.48133104801484589</v>
      </c>
      <c r="M561" t="str">
        <f>IF(OR((NHL2025_26Results[[#This Row],[Winning Team]]="")),"-",IF(Table4[[#This Row],[Predicted Winner]]=NHL2025_26Results[[#This Row],[Winning Team]],"YES","NO"))</f>
        <v>-</v>
      </c>
      <c r="N561" t="str">
        <f>IF(Table4[[#This Row],[Adjusted Correct]]="-", "",IF(Table4[[#This Row],[Adjusted Correct]]="YES",(Table4[[#This Row],[Strength of Win]]-1)^2,(Table4[[#This Row],[Strength of Win]]-0)^2))</f>
        <v/>
      </c>
      <c r="P561" s="11"/>
    </row>
    <row r="562" spans="4:16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0.95632113049608625</v>
      </c>
      <c r="H562" t="s">
        <v>26</v>
      </c>
      <c r="I562">
        <f>VLOOKUP(Table4[[#This Row],[Visitor]],'NHL Model'!$A$6:$B$38,2,FALSE)</f>
        <v>-0.46779379272887778</v>
      </c>
      <c r="J562">
        <f>($B$1+Table4[[#This Row],[Home Differential]])-Table4[[#This Row],[Away Differential]]</f>
        <v>1.5075288460963041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0.72988819754102097</v>
      </c>
      <c r="M562" t="str">
        <f>IF(OR((NHL2025_26Results[[#This Row],[Winning Team]]="")),"-",IF(Table4[[#This Row],[Predicted Winner]]=NHL2025_26Results[[#This Row],[Winning Team]],"YES","NO"))</f>
        <v>-</v>
      </c>
      <c r="N562" t="str">
        <f>IF(Table4[[#This Row],[Adjusted Correct]]="-", "",IF(Table4[[#This Row],[Adjusted Correct]]="YES",(Table4[[#This Row],[Strength of Win]]-1)^2,(Table4[[#This Row],[Strength of Win]]-0)^2))</f>
        <v/>
      </c>
      <c r="P562" s="11"/>
    </row>
    <row r="563" spans="4:16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0.2169753953839102</v>
      </c>
      <c r="H563" t="s">
        <v>36</v>
      </c>
      <c r="I563">
        <f>VLOOKUP(Table4[[#This Row],[Visitor]],'NHL Model'!$A$6:$B$38,2,FALSE)</f>
        <v>-0.1785578406462007</v>
      </c>
      <c r="J563">
        <f>($B$1+Table4[[#This Row],[Home Differential]])-Table4[[#This Row],[Away Differential]]</f>
        <v>0.47894715890145101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0.64798435804579557</v>
      </c>
      <c r="M563" t="str">
        <f>IF(OR((NHL2025_26Results[[#This Row],[Winning Team]]="")),"-",IF(Table4[[#This Row],[Predicted Winner]]=NHL2025_26Results[[#This Row],[Winning Team]],"YES","NO"))</f>
        <v>-</v>
      </c>
      <c r="N563" t="str">
        <f>IF(Table4[[#This Row],[Adjusted Correct]]="-", "",IF(Table4[[#This Row],[Adjusted Correct]]="YES",(Table4[[#This Row],[Strength of Win]]-1)^2,(Table4[[#This Row],[Strength of Win]]-0)^2))</f>
        <v/>
      </c>
      <c r="P563" s="11"/>
    </row>
    <row r="564" spans="4:16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0.85927171572006034</v>
      </c>
      <c r="H564" t="s">
        <v>19</v>
      </c>
      <c r="I564">
        <f>VLOOKUP(Table4[[#This Row],[Visitor]],'NHL Model'!$A$6:$B$38,2,FALSE)</f>
        <v>-3.2654449433805091E-2</v>
      </c>
      <c r="J564">
        <f>($B$1+Table4[[#This Row],[Home Differential]])-Table4[[#This Row],[Away Differential]]</f>
        <v>0.97534008802520555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0.68944017160271653</v>
      </c>
      <c r="M564" t="str">
        <f>IF(OR((NHL2025_26Results[[#This Row],[Winning Team]]="")),"-",IF(Table4[[#This Row],[Predicted Winner]]=NHL2025_26Results[[#This Row],[Winning Team]],"YES","NO"))</f>
        <v>-</v>
      </c>
      <c r="N564" t="str">
        <f>IF(Table4[[#This Row],[Adjusted Correct]]="-", "",IF(Table4[[#This Row],[Adjusted Correct]]="YES",(Table4[[#This Row],[Strength of Win]]-1)^2,(Table4[[#This Row],[Strength of Win]]-0)^2))</f>
        <v/>
      </c>
      <c r="P564" s="11"/>
    </row>
    <row r="565" spans="4:16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-0.46779379272887778</v>
      </c>
      <c r="H565" t="s">
        <v>22</v>
      </c>
      <c r="I565">
        <f>VLOOKUP(Table4[[#This Row],[Visitor]],'NHL Model'!$A$6:$B$38,2,FALSE)</f>
        <v>0.95632113049608625</v>
      </c>
      <c r="J565">
        <f>($B$1+Table4[[#This Row],[Home Differential]])-Table4[[#This Row],[Away Differential]]</f>
        <v>-1.3407010003536239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0.65038482890393057</v>
      </c>
      <c r="M565" t="str">
        <f>IF(OR((NHL2025_26Results[[#This Row],[Winning Team]]="")),"-",IF(Table4[[#This Row],[Predicted Winner]]=NHL2025_26Results[[#This Row],[Winning Team]],"YES","NO"))</f>
        <v>-</v>
      </c>
      <c r="N565" t="str">
        <f>IF(Table4[[#This Row],[Adjusted Correct]]="-", "",IF(Table4[[#This Row],[Adjusted Correct]]="YES",(Table4[[#This Row],[Strength of Win]]-1)^2,(Table4[[#This Row],[Strength of Win]]-0)^2))</f>
        <v/>
      </c>
      <c r="P565" s="11"/>
    </row>
    <row r="566" spans="4:16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-0.17631503877657284</v>
      </c>
      <c r="H566" t="s">
        <v>20</v>
      </c>
      <c r="I566">
        <f>VLOOKUP(Table4[[#This Row],[Visitor]],'NHL Model'!$A$6:$B$38,2,FALSE)</f>
        <v>0.18369921819729701</v>
      </c>
      <c r="J566">
        <f>($B$1+Table4[[#This Row],[Home Differential]])-Table4[[#This Row],[Away Differential]]</f>
        <v>-0.27660033410252977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0.49175214543574924</v>
      </c>
      <c r="M566" t="str">
        <f>IF(OR((NHL2025_26Results[[#This Row],[Winning Team]]="")),"-",IF(Table4[[#This Row],[Predicted Winner]]=NHL2025_26Results[[#This Row],[Winning Team]],"YES","NO"))</f>
        <v>-</v>
      </c>
      <c r="N566" t="str">
        <f>IF(Table4[[#This Row],[Adjusted Correct]]="-", "",IF(Table4[[#This Row],[Adjusted Correct]]="YES",(Table4[[#This Row],[Strength of Win]]-1)^2,(Table4[[#This Row],[Strength of Win]]-0)^2))</f>
        <v/>
      </c>
      <c r="P566" s="11"/>
    </row>
    <row r="567" spans="4:16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5.5764706436567675E-2</v>
      </c>
      <c r="H567" t="s">
        <v>12</v>
      </c>
      <c r="I567">
        <f>VLOOKUP(Table4[[#This Row],[Visitor]],'NHL Model'!$A$6:$B$38,2,FALSE)</f>
        <v>1.7429147091761512</v>
      </c>
      <c r="J567">
        <f>($B$1+Table4[[#This Row],[Home Differential]])-Table4[[#This Row],[Away Differential]]</f>
        <v>-1.6037360798682434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0.7014955307745514</v>
      </c>
      <c r="M567" t="str">
        <f>IF(OR((NHL2025_26Results[[#This Row],[Winning Team]]="")),"-",IF(Table4[[#This Row],[Predicted Winner]]=NHL2025_26Results[[#This Row],[Winning Team]],"YES","NO"))</f>
        <v>-</v>
      </c>
      <c r="N567" t="str">
        <f>IF(Table4[[#This Row],[Adjusted Correct]]="-", "",IF(Table4[[#This Row],[Adjusted Correct]]="YES",(Table4[[#This Row],[Strength of Win]]-1)^2,(Table4[[#This Row],[Strength of Win]]-0)^2))</f>
        <v/>
      </c>
      <c r="P567" s="11"/>
    </row>
    <row r="568" spans="4:16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-3.0305407970040489E-4</v>
      </c>
      <c r="H568" t="s">
        <v>23</v>
      </c>
      <c r="I568">
        <f>VLOOKUP(Table4[[#This Row],[Visitor]],'NHL Model'!$A$6:$B$38,2,FALSE)</f>
        <v>-0.32833039474346476</v>
      </c>
      <c r="J568">
        <f>($B$1+Table4[[#This Row],[Home Differential]])-Table4[[#This Row],[Away Differential]]</f>
        <v>0.41144126353510441</v>
      </c>
      <c r="K568" t="str">
        <f>IF(Table4[[#This Row],[HomeIce Differential]]&gt;0,Table4[[#This Row],[Home]],Table4[[#This Row],[Visitor]])</f>
        <v>New Jersey Devils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0.62784421985350192</v>
      </c>
      <c r="M568" t="str">
        <f>IF(OR((NHL2025_26Results[[#This Row],[Winning Team]]="")),"-",IF(Table4[[#This Row],[Predicted Winner]]=NHL2025_26Results[[#This Row],[Winning Team]],"YES","NO"))</f>
        <v>-</v>
      </c>
      <c r="N568" t="str">
        <f>IF(Table4[[#This Row],[Adjusted Correct]]="-", "",IF(Table4[[#This Row],[Adjusted Correct]]="YES",(Table4[[#This Row],[Strength of Win]]-1)^2,(Table4[[#This Row],[Strength of Win]]-0)^2))</f>
        <v/>
      </c>
      <c r="P568" s="11"/>
    </row>
    <row r="569" spans="4:16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-0.8717103858022891</v>
      </c>
      <c r="H569" t="s">
        <v>15</v>
      </c>
      <c r="I569">
        <f>VLOOKUP(Table4[[#This Row],[Visitor]],'NHL Model'!$A$6:$B$38,2,FALSE)</f>
        <v>0.21842521198061643</v>
      </c>
      <c r="J569">
        <f>($B$1+Table4[[#This Row],[Home Differential]])-Table4[[#This Row],[Away Differential]]</f>
        <v>-1.0067216749115655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0.67653873730321967</v>
      </c>
      <c r="M569" t="str">
        <f>IF(OR((NHL2025_26Results[[#This Row],[Winning Team]]="")),"-",IF(Table4[[#This Row],[Predicted Winner]]=NHL2025_26Results[[#This Row],[Winning Team]],"YES","NO"))</f>
        <v>-</v>
      </c>
      <c r="N569" t="str">
        <f>IF(Table4[[#This Row],[Adjusted Correct]]="-", "",IF(Table4[[#This Row],[Adjusted Correct]]="YES",(Table4[[#This Row],[Strength of Win]]-1)^2,(Table4[[#This Row],[Strength of Win]]-0)^2))</f>
        <v/>
      </c>
      <c r="P569" s="11"/>
    </row>
    <row r="570" spans="4:16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0.26772485952910668</v>
      </c>
      <c r="H570" t="s">
        <v>18</v>
      </c>
      <c r="I570">
        <f>VLOOKUP(Table4[[#This Row],[Visitor]],'NHL Model'!$A$6:$B$38,2,FALSE)</f>
        <v>-0.23554590882174289</v>
      </c>
      <c r="J570">
        <f>($B$1+Table4[[#This Row],[Home Differential]])-Table4[[#This Row],[Away Differential]]</f>
        <v>0.58668469122218969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0.53146173471367908</v>
      </c>
      <c r="M570" t="str">
        <f>IF(OR((NHL2025_26Results[[#This Row],[Winning Team]]="")),"-",IF(Table4[[#This Row],[Predicted Winner]]=NHL2025_26Results[[#This Row],[Winning Team]],"YES","NO"))</f>
        <v>-</v>
      </c>
      <c r="N570" t="str">
        <f>IF(Table4[[#This Row],[Adjusted Correct]]="-", "",IF(Table4[[#This Row],[Adjusted Correct]]="YES",(Table4[[#This Row],[Strength of Win]]-1)^2,(Table4[[#This Row],[Strength of Win]]-0)^2))</f>
        <v/>
      </c>
      <c r="P570" s="11"/>
    </row>
    <row r="571" spans="4:16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0.16351124183791613</v>
      </c>
      <c r="H571" t="s">
        <v>40</v>
      </c>
      <c r="I571">
        <f>VLOOKUP(Table4[[#This Row],[Visitor]],'NHL Model'!$A$6:$B$38,2,FALSE)</f>
        <v>-7.6933210940904648E-2</v>
      </c>
      <c r="J571">
        <f>($B$1+Table4[[#This Row],[Home Differential]])-Table4[[#This Row],[Away Differential]]</f>
        <v>0.32385837565016085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0.61580696475717656</v>
      </c>
      <c r="M571" t="str">
        <f>IF(OR((NHL2025_26Results[[#This Row],[Winning Team]]="")),"-",IF(Table4[[#This Row],[Predicted Winner]]=NHL2025_26Results[[#This Row],[Winning Team]],"YES","NO"))</f>
        <v>-</v>
      </c>
      <c r="N571" t="str">
        <f>IF(Table4[[#This Row],[Adjusted Correct]]="-", "",IF(Table4[[#This Row],[Adjusted Correct]]="YES",(Table4[[#This Row],[Strength of Win]]-1)^2,(Table4[[#This Row],[Strength of Win]]-0)^2))</f>
        <v/>
      </c>
      <c r="P571" s="11"/>
    </row>
    <row r="572" spans="4:16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0.25846513585567971</v>
      </c>
      <c r="H572" t="s">
        <v>32</v>
      </c>
      <c r="I572">
        <f>VLOOKUP(Table4[[#This Row],[Visitor]],'NHL Model'!$A$6:$B$38,2,FALSE)</f>
        <v>-0.51436416305402566</v>
      </c>
      <c r="J572">
        <f>($B$1+Table4[[#This Row],[Home Differential]])-Table4[[#This Row],[Away Differential]]</f>
        <v>0.85624322178104539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0.70180190157686873</v>
      </c>
      <c r="M572" t="str">
        <f>IF(OR((NHL2025_26Results[[#This Row],[Winning Team]]="")),"-",IF(Table4[[#This Row],[Predicted Winner]]=NHL2025_26Results[[#This Row],[Winning Team]],"YES","NO"))</f>
        <v>-</v>
      </c>
      <c r="N572" t="str">
        <f>IF(Table4[[#This Row],[Adjusted Correct]]="-", "",IF(Table4[[#This Row],[Adjusted Correct]]="YES",(Table4[[#This Row],[Strength of Win]]-1)^2,(Table4[[#This Row],[Strength of Win]]-0)^2))</f>
        <v/>
      </c>
      <c r="P572" s="11"/>
    </row>
    <row r="573" spans="4:16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9.3318671190422225E-2</v>
      </c>
      <c r="H573" t="s">
        <v>28</v>
      </c>
      <c r="I573">
        <f>VLOOKUP(Table4[[#This Row],[Visitor]],'NHL Model'!$A$6:$B$38,2,FALSE)</f>
        <v>-0.21858969522472316</v>
      </c>
      <c r="J573">
        <f>($B$1+Table4[[#This Row],[Home Differential]])-Table4[[#This Row],[Away Differential]]</f>
        <v>0.39532228928648544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0.58318195321350053</v>
      </c>
      <c r="M573" t="str">
        <f>IF(OR((NHL2025_26Results[[#This Row],[Winning Team]]="")),"-",IF(Table4[[#This Row],[Predicted Winner]]=NHL2025_26Results[[#This Row],[Winning Team]],"YES","NO"))</f>
        <v>-</v>
      </c>
      <c r="N573" t="str">
        <f>IF(Table4[[#This Row],[Adjusted Correct]]="-", "",IF(Table4[[#This Row],[Adjusted Correct]]="YES",(Table4[[#This Row],[Strength of Win]]-1)^2,(Table4[[#This Row],[Strength of Win]]-0)^2))</f>
        <v/>
      </c>
      <c r="P573" s="11"/>
    </row>
    <row r="574" spans="4:16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5.7297532801941484E-2</v>
      </c>
      <c r="H574" t="s">
        <v>38</v>
      </c>
      <c r="I574">
        <f>VLOOKUP(Table4[[#This Row],[Visitor]],'NHL Model'!$A$6:$B$38,2,FALSE)</f>
        <v>-0.58187345243071342</v>
      </c>
      <c r="J574">
        <f>($B$1+Table4[[#This Row],[Home Differential]])-Table4[[#This Row],[Away Differential]]</f>
        <v>0.72258490810399501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0.64496732960114589</v>
      </c>
      <c r="M574" t="str">
        <f>IF(OR((NHL2025_26Results[[#This Row],[Winning Team]]="")),"-",IF(Table4[[#This Row],[Predicted Winner]]=NHL2025_26Results[[#This Row],[Winning Team]],"YES","NO"))</f>
        <v>-</v>
      </c>
      <c r="N574" t="str">
        <f>IF(Table4[[#This Row],[Adjusted Correct]]="-", "",IF(Table4[[#This Row],[Adjusted Correct]]="YES",(Table4[[#This Row],[Strength of Win]]-1)^2,(Table4[[#This Row],[Strength of Win]]-0)^2))</f>
        <v/>
      </c>
      <c r="P574" s="11"/>
    </row>
    <row r="575" spans="4:16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0.67847982929669792</v>
      </c>
      <c r="H575" t="s">
        <v>35</v>
      </c>
      <c r="I575">
        <f>VLOOKUP(Table4[[#This Row],[Visitor]],'NHL Model'!$A$6:$B$38,2,FALSE)</f>
        <v>-1.0071073873045386</v>
      </c>
      <c r="J575">
        <f>($B$1+Table4[[#This Row],[Home Differential]])-Table4[[#This Row],[Away Differential]]</f>
        <v>1.7690011394725766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0.73323201982161867</v>
      </c>
      <c r="M575" t="str">
        <f>IF(OR((NHL2025_26Results[[#This Row],[Winning Team]]="")),"-",IF(Table4[[#This Row],[Predicted Winner]]=NHL2025_26Results[[#This Row],[Winning Team]],"YES","NO"))</f>
        <v>-</v>
      </c>
      <c r="N575" t="str">
        <f>IF(Table4[[#This Row],[Adjusted Correct]]="-", "",IF(Table4[[#This Row],[Adjusted Correct]]="YES",(Table4[[#This Row],[Strength of Win]]-1)^2,(Table4[[#This Row],[Strength of Win]]-0)^2))</f>
        <v/>
      </c>
      <c r="P575" s="11"/>
    </row>
    <row r="576" spans="4:16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0.2169753953839102</v>
      </c>
      <c r="H576" t="s">
        <v>18</v>
      </c>
      <c r="I576">
        <f>VLOOKUP(Table4[[#This Row],[Visitor]],'NHL Model'!$A$6:$B$38,2,FALSE)</f>
        <v>-0.23554590882174289</v>
      </c>
      <c r="J576">
        <f>($B$1+Table4[[#This Row],[Home Differential]])-Table4[[#This Row],[Away Differential]]</f>
        <v>0.53593522707699315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0.58621670112546254</v>
      </c>
      <c r="M576" t="str">
        <f>IF(OR((NHL2025_26Results[[#This Row],[Winning Team]]="")),"-",IF(Table4[[#This Row],[Predicted Winner]]=NHL2025_26Results[[#This Row],[Winning Team]],"YES","NO"))</f>
        <v>-</v>
      </c>
      <c r="N576" t="str">
        <f>IF(Table4[[#This Row],[Adjusted Correct]]="-", "",IF(Table4[[#This Row],[Adjusted Correct]]="YES",(Table4[[#This Row],[Strength of Win]]-1)^2,(Table4[[#This Row],[Strength of Win]]-0)^2))</f>
        <v/>
      </c>
      <c r="P576" s="11"/>
    </row>
    <row r="577" spans="4:16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0.63414563871719487</v>
      </c>
      <c r="H577" t="s">
        <v>11</v>
      </c>
      <c r="I577">
        <f>VLOOKUP(Table4[[#This Row],[Visitor]],'NHL Model'!$A$6:$B$38,2,FALSE)</f>
        <v>-0.2331185823245894</v>
      </c>
      <c r="J577">
        <f>($B$1+Table4[[#This Row],[Home Differential]])-Table4[[#This Row],[Away Differential]]</f>
        <v>0.95067814391312433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0.68674629132917075</v>
      </c>
      <c r="M577" t="str">
        <f>IF(OR((NHL2025_26Results[[#This Row],[Winning Team]]="")),"-",IF(Table4[[#This Row],[Predicted Winner]]=NHL2025_26Results[[#This Row],[Winning Team]],"YES","NO"))</f>
        <v>-</v>
      </c>
      <c r="N577" t="str">
        <f>IF(Table4[[#This Row],[Adjusted Correct]]="-", "",IF(Table4[[#This Row],[Adjusted Correct]]="YES",(Table4[[#This Row],[Strength of Win]]-1)^2,(Table4[[#This Row],[Strength of Win]]-0)^2))</f>
        <v/>
      </c>
      <c r="P577" s="11"/>
    </row>
    <row r="578" spans="4:16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-8.0981007952892342E-2</v>
      </c>
      <c r="H578" t="s">
        <v>27</v>
      </c>
      <c r="I578">
        <f>VLOOKUP(Table4[[#This Row],[Visitor]],'NHL Model'!$A$6:$B$38,2,FALSE)</f>
        <v>5.7297532801941484E-2</v>
      </c>
      <c r="J578">
        <f>($B$1+Table4[[#This Row],[Home Differential]])-Table4[[#This Row],[Away Differential]]</f>
        <v>-5.4864617883493755E-2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0.50850554986976526</v>
      </c>
      <c r="M578" t="str">
        <f>IF(OR((NHL2025_26Results[[#This Row],[Winning Team]]="")),"-",IF(Table4[[#This Row],[Predicted Winner]]=NHL2025_26Results[[#This Row],[Winning Team]],"YES","NO"))</f>
        <v>-</v>
      </c>
      <c r="N578" t="str">
        <f>IF(Table4[[#This Row],[Adjusted Correct]]="-", "",IF(Table4[[#This Row],[Adjusted Correct]]="YES",(Table4[[#This Row],[Strength of Win]]-1)^2,(Table4[[#This Row],[Strength of Win]]-0)^2))</f>
        <v/>
      </c>
      <c r="P578" s="11"/>
    </row>
    <row r="579" spans="4:16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1.7429147091761512</v>
      </c>
      <c r="H579" t="s">
        <v>55</v>
      </c>
      <c r="I579">
        <f>VLOOKUP(Table4[[#This Row],[Visitor]],'NHL Model'!$A$6:$B$38,2,FALSE)</f>
        <v>0.16351124183791613</v>
      </c>
      <c r="J579">
        <f>($B$1+Table4[[#This Row],[Home Differential]])-Table4[[#This Row],[Away Differential]]</f>
        <v>1.6628173902095751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0.82945429311097063</v>
      </c>
      <c r="M579" t="str">
        <f>IF(OR((NHL2025_26Results[[#This Row],[Winning Team]]="")),"-",IF(Table4[[#This Row],[Predicted Winner]]=NHL2025_26Results[[#This Row],[Winning Team]],"YES","NO"))</f>
        <v>-</v>
      </c>
      <c r="N579" t="str">
        <f>IF(Table4[[#This Row],[Adjusted Correct]]="-", "",IF(Table4[[#This Row],[Adjusted Correct]]="YES",(Table4[[#This Row],[Strength of Win]]-1)^2,(Table4[[#This Row],[Strength of Win]]-0)^2))</f>
        <v/>
      </c>
      <c r="P579" s="11"/>
    </row>
    <row r="580" spans="4:16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-0.46779379272887778</v>
      </c>
      <c r="H580" t="s">
        <v>39</v>
      </c>
      <c r="I580">
        <f>VLOOKUP(Table4[[#This Row],[Visitor]],'NHL Model'!$A$6:$B$38,2,FALSE)</f>
        <v>0.85927171572006034</v>
      </c>
      <c r="J580">
        <f>($B$1+Table4[[#This Row],[Home Differential]])-Table4[[#This Row],[Away Differential]]</f>
        <v>-1.243651585577598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0.67821977397419619</v>
      </c>
      <c r="M580" t="str">
        <f>IF(OR((NHL2025_26Results[[#This Row],[Winning Team]]="")),"-",IF(Table4[[#This Row],[Predicted Winner]]=NHL2025_26Results[[#This Row],[Winning Team]],"YES","NO"))</f>
        <v>-</v>
      </c>
      <c r="N580" t="str">
        <f>IF(Table4[[#This Row],[Adjusted Correct]]="-", "",IF(Table4[[#This Row],[Adjusted Correct]]="YES",(Table4[[#This Row],[Strength of Win]]-1)^2,(Table4[[#This Row],[Strength of Win]]-0)^2))</f>
        <v/>
      </c>
      <c r="P580" s="11"/>
    </row>
    <row r="581" spans="4:16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-0.17631503877657284</v>
      </c>
      <c r="H581" t="s">
        <v>16</v>
      </c>
      <c r="I581">
        <f>VLOOKUP(Table4[[#This Row],[Visitor]],'NHL Model'!$A$6:$B$38,2,FALSE)</f>
        <v>-0.64492670113602302</v>
      </c>
      <c r="J581">
        <f>($B$1+Table4[[#This Row],[Home Differential]])-Table4[[#This Row],[Away Differential]]</f>
        <v>0.55202558523079026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0.61940444211730228</v>
      </c>
      <c r="M581" t="str">
        <f>IF(OR((NHL2025_26Results[[#This Row],[Winning Team]]="")),"-",IF(Table4[[#This Row],[Predicted Winner]]=NHL2025_26Results[[#This Row],[Winning Team]],"YES","NO"))</f>
        <v>-</v>
      </c>
      <c r="N581" t="str">
        <f>IF(Table4[[#This Row],[Adjusted Correct]]="-", "",IF(Table4[[#This Row],[Adjusted Correct]]="YES",(Table4[[#This Row],[Strength of Win]]-1)^2,(Table4[[#This Row],[Strength of Win]]-0)^2))</f>
        <v/>
      </c>
      <c r="P581" s="11"/>
    </row>
    <row r="582" spans="4:16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9.3318671190422225E-2</v>
      </c>
      <c r="H582" t="s">
        <v>32</v>
      </c>
      <c r="I582">
        <f>VLOOKUP(Table4[[#This Row],[Visitor]],'NHL Model'!$A$6:$B$38,2,FALSE)</f>
        <v>-0.51436416305402566</v>
      </c>
      <c r="J582">
        <f>($B$1+Table4[[#This Row],[Home Differential]])-Table4[[#This Row],[Away Differential]]</f>
        <v>0.691096757115788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0.61549007136845013</v>
      </c>
      <c r="M582" t="str">
        <f>IF(OR((NHL2025_26Results[[#This Row],[Winning Team]]="")),"-",IF(Table4[[#This Row],[Predicted Winner]]=NHL2025_26Results[[#This Row],[Winning Team]],"YES","NO"))</f>
        <v>-</v>
      </c>
      <c r="N582" t="str">
        <f>IF(Table4[[#This Row],[Adjusted Correct]]="-", "",IF(Table4[[#This Row],[Adjusted Correct]]="YES",(Table4[[#This Row],[Strength of Win]]-1)^2,(Table4[[#This Row],[Strength of Win]]-0)^2))</f>
        <v/>
      </c>
      <c r="P582" s="11"/>
    </row>
    <row r="583" spans="4:16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5.5764706436567675E-2</v>
      </c>
      <c r="H583" t="s">
        <v>29</v>
      </c>
      <c r="I583">
        <f>VLOOKUP(Table4[[#This Row],[Visitor]],'NHL Model'!$A$6:$B$38,2,FALSE)</f>
        <v>-0.8717103858022891</v>
      </c>
      <c r="J583">
        <f>($B$1+Table4[[#This Row],[Home Differential]])-Table4[[#This Row],[Away Differential]]</f>
        <v>1.0108890151101968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0.65042170739554694</v>
      </c>
      <c r="M583" t="str">
        <f>IF(OR((NHL2025_26Results[[#This Row],[Winning Team]]="")),"-",IF(Table4[[#This Row],[Predicted Winner]]=NHL2025_26Results[[#This Row],[Winning Team]],"YES","NO"))</f>
        <v>-</v>
      </c>
      <c r="N583" t="str">
        <f>IF(Table4[[#This Row],[Adjusted Correct]]="-", "",IF(Table4[[#This Row],[Adjusted Correct]]="YES",(Table4[[#This Row],[Strength of Win]]-1)^2,(Table4[[#This Row],[Strength of Win]]-0)^2))</f>
        <v/>
      </c>
      <c r="P583" s="11"/>
    </row>
    <row r="584" spans="4:16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0.42358825343066847</v>
      </c>
      <c r="H584" t="s">
        <v>24</v>
      </c>
      <c r="I584">
        <f>VLOOKUP(Table4[[#This Row],[Visitor]],'NHL Model'!$A$6:$B$38,2,FALSE)</f>
        <v>-3.0305407970040489E-4</v>
      </c>
      <c r="J584">
        <f>($B$1+Table4[[#This Row],[Home Differential]])-Table4[[#This Row],[Away Differential]]</f>
        <v>0.50730523038170894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0.59183794574579629</v>
      </c>
      <c r="M584" t="str">
        <f>IF(OR((NHL2025_26Results[[#This Row],[Winning Team]]="")),"-",IF(Table4[[#This Row],[Predicted Winner]]=NHL2025_26Results[[#This Row],[Winning Team]],"YES","NO"))</f>
        <v>-</v>
      </c>
      <c r="N584" t="str">
        <f>IF(Table4[[#This Row],[Adjusted Correct]]="-", "",IF(Table4[[#This Row],[Adjusted Correct]]="YES",(Table4[[#This Row],[Strength of Win]]-1)^2,(Table4[[#This Row],[Strength of Win]]-0)^2))</f>
        <v/>
      </c>
      <c r="P584" s="11"/>
    </row>
    <row r="585" spans="4:16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-0.1785578406462007</v>
      </c>
      <c r="H585" t="s">
        <v>23</v>
      </c>
      <c r="I585">
        <f>VLOOKUP(Table4[[#This Row],[Visitor]],'NHL Model'!$A$6:$B$38,2,FALSE)</f>
        <v>-0.32833039474346476</v>
      </c>
      <c r="J585">
        <f>($B$1+Table4[[#This Row],[Home Differential]])-Table4[[#This Row],[Away Differential]]</f>
        <v>0.23318647696860412</v>
      </c>
      <c r="K585" t="str">
        <f>IF(Table4[[#This Row],[HomeIce Differential]]&gt;0,Table4[[#This Row],[Home]],Table4[[#This Row],[Visitor]])</f>
        <v>Ottawa Senators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0.56547148949444148</v>
      </c>
      <c r="M585" t="str">
        <f>IF(OR((NHL2025_26Results[[#This Row],[Winning Team]]="")),"-",IF(Table4[[#This Row],[Predicted Winner]]=NHL2025_26Results[[#This Row],[Winning Team]],"YES","NO"))</f>
        <v>-</v>
      </c>
      <c r="N585" t="str">
        <f>IF(Table4[[#This Row],[Adjusted Correct]]="-", "",IF(Table4[[#This Row],[Adjusted Correct]]="YES",(Table4[[#This Row],[Strength of Win]]-1)^2,(Table4[[#This Row],[Strength of Win]]-0)^2))</f>
        <v/>
      </c>
      <c r="P585" s="11"/>
    </row>
    <row r="586" spans="4:16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-3.2654449433805091E-2</v>
      </c>
      <c r="H586" t="s">
        <v>14</v>
      </c>
      <c r="I586">
        <f>VLOOKUP(Table4[[#This Row],[Visitor]],'NHL Model'!$A$6:$B$38,2,FALSE)</f>
        <v>0.26772485952910668</v>
      </c>
      <c r="J586">
        <f>($B$1+Table4[[#This Row],[Home Differential]])-Table4[[#This Row],[Away Differential]]</f>
        <v>-0.2169653860915717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0.53783844030761707</v>
      </c>
      <c r="M586" t="str">
        <f>IF(OR((NHL2025_26Results[[#This Row],[Winning Team]]="")),"-",IF(Table4[[#This Row],[Predicted Winner]]=NHL2025_26Results[[#This Row],[Winning Team]],"YES","NO"))</f>
        <v>-</v>
      </c>
      <c r="N586" t="str">
        <f>IF(Table4[[#This Row],[Adjusted Correct]]="-", "",IF(Table4[[#This Row],[Adjusted Correct]]="YES",(Table4[[#This Row],[Strength of Win]]-1)^2,(Table4[[#This Row],[Strength of Win]]-0)^2))</f>
        <v/>
      </c>
      <c r="P586" s="11"/>
    </row>
    <row r="587" spans="4:16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0.18369921819729701</v>
      </c>
      <c r="H587" t="s">
        <v>33</v>
      </c>
      <c r="I587">
        <f>VLOOKUP(Table4[[#This Row],[Visitor]],'NHL Model'!$A$6:$B$38,2,FALSE)</f>
        <v>-0.38457853131220177</v>
      </c>
      <c r="J587">
        <f>($B$1+Table4[[#This Row],[Home Differential]])-Table4[[#This Row],[Away Differential]]</f>
        <v>0.6516916723808388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0.61118576429669402</v>
      </c>
      <c r="M587" t="str">
        <f>IF(OR((NHL2025_26Results[[#This Row],[Winning Team]]="")),"-",IF(Table4[[#This Row],[Predicted Winner]]=NHL2025_26Results[[#This Row],[Winning Team]],"YES","NO"))</f>
        <v>-</v>
      </c>
      <c r="N587" t="str">
        <f>IF(Table4[[#This Row],[Adjusted Correct]]="-", "",IF(Table4[[#This Row],[Adjusted Correct]]="YES",(Table4[[#This Row],[Strength of Win]]-1)^2,(Table4[[#This Row],[Strength of Win]]-0)^2))</f>
        <v/>
      </c>
      <c r="P587" s="11"/>
    </row>
    <row r="588" spans="4:16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0.95632113049608625</v>
      </c>
      <c r="H588" t="s">
        <v>15</v>
      </c>
      <c r="I588">
        <f>VLOOKUP(Table4[[#This Row],[Visitor]],'NHL Model'!$A$6:$B$38,2,FALSE)</f>
        <v>0.21842521198061643</v>
      </c>
      <c r="J588">
        <f>($B$1+Table4[[#This Row],[Home Differential]])-Table4[[#This Row],[Away Differential]]</f>
        <v>0.82130984138680985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0.54917300232233368</v>
      </c>
      <c r="M588" t="str">
        <f>IF(OR((NHL2025_26Results[[#This Row],[Winning Team]]="")),"-",IF(Table4[[#This Row],[Predicted Winner]]=NHL2025_26Results[[#This Row],[Winning Team]],"YES","NO"))</f>
        <v>-</v>
      </c>
      <c r="N588" t="str">
        <f>IF(Table4[[#This Row],[Adjusted Correct]]="-", "",IF(Table4[[#This Row],[Adjusted Correct]]="YES",(Table4[[#This Row],[Strength of Win]]-1)^2,(Table4[[#This Row],[Strength of Win]]-0)^2))</f>
        <v/>
      </c>
      <c r="P588" s="11"/>
    </row>
    <row r="589" spans="4:16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-0.32833039474346476</v>
      </c>
      <c r="H589" t="s">
        <v>21</v>
      </c>
      <c r="I589">
        <f>VLOOKUP(Table4[[#This Row],[Visitor]],'NHL Model'!$A$6:$B$38,2,FALSE)</f>
        <v>0.2169753953839102</v>
      </c>
      <c r="J589">
        <f>($B$1+Table4[[#This Row],[Home Differential]])-Table4[[#This Row],[Away Differential]]</f>
        <v>-0.46189186725603487</v>
      </c>
      <c r="K589" t="str">
        <f>IF(Table4[[#This Row],[HomeIce Differential]]&gt;0,Table4[[#This Row],[Home]],Table4[[#This Row],[Visitor]])</f>
        <v>Boston Bruins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0.50033125030524539</v>
      </c>
      <c r="M589" t="str">
        <f>IF(OR((NHL2025_26Results[[#This Row],[Winning Team]]="")),"-",IF(Table4[[#This Row],[Predicted Winner]]=NHL2025_26Results[[#This Row],[Winning Team]],"YES","NO"))</f>
        <v>-</v>
      </c>
      <c r="N589" t="str">
        <f>IF(Table4[[#This Row],[Adjusted Correct]]="-", "",IF(Table4[[#This Row],[Adjusted Correct]]="YES",(Table4[[#This Row],[Strength of Win]]-1)^2,(Table4[[#This Row],[Strength of Win]]-0)^2))</f>
        <v/>
      </c>
      <c r="P589" s="11"/>
    </row>
    <row r="590" spans="4:16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0.63414563871719487</v>
      </c>
      <c r="H590" t="s">
        <v>26</v>
      </c>
      <c r="I590">
        <f>VLOOKUP(Table4[[#This Row],[Visitor]],'NHL Model'!$A$6:$B$38,2,FALSE)</f>
        <v>-0.46779379272887778</v>
      </c>
      <c r="J590">
        <f>($B$1+Table4[[#This Row],[Home Differential]])-Table4[[#This Row],[Away Differential]]</f>
        <v>1.1853533543174128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0.71156839639906155</v>
      </c>
      <c r="M590" t="str">
        <f>IF(OR((NHL2025_26Results[[#This Row],[Winning Team]]="")),"-",IF(Table4[[#This Row],[Predicted Winner]]=NHL2025_26Results[[#This Row],[Winning Team]],"YES","NO"))</f>
        <v>-</v>
      </c>
      <c r="N590" t="str">
        <f>IF(Table4[[#This Row],[Adjusted Correct]]="-", "",IF(Table4[[#This Row],[Adjusted Correct]]="YES",(Table4[[#This Row],[Strength of Win]]-1)^2,(Table4[[#This Row],[Strength of Win]]-0)^2))</f>
        <v/>
      </c>
      <c r="P590" s="11"/>
    </row>
    <row r="591" spans="4:16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-0.64492670113602302</v>
      </c>
      <c r="H591" t="s">
        <v>17</v>
      </c>
      <c r="I591">
        <f>VLOOKUP(Table4[[#This Row],[Visitor]],'NHL Model'!$A$6:$B$38,2,FALSE)</f>
        <v>-0.17631503877657284</v>
      </c>
      <c r="J591">
        <f>($B$1+Table4[[#This Row],[Home Differential]])-Table4[[#This Row],[Away Differential]]</f>
        <v>-0.38519773948811009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0.5020760256006398</v>
      </c>
      <c r="M591" t="str">
        <f>IF(OR((NHL2025_26Results[[#This Row],[Winning Team]]="")),"-",IF(Table4[[#This Row],[Predicted Winner]]=NHL2025_26Results[[#This Row],[Winning Team]],"YES","NO"))</f>
        <v>-</v>
      </c>
      <c r="N591" t="str">
        <f>IF(Table4[[#This Row],[Adjusted Correct]]="-", "",IF(Table4[[#This Row],[Adjusted Correct]]="YES",(Table4[[#This Row],[Strength of Win]]-1)^2,(Table4[[#This Row],[Strength of Win]]-0)^2))</f>
        <v/>
      </c>
      <c r="P591" s="11"/>
    </row>
    <row r="592" spans="4:16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0.85927171572006034</v>
      </c>
      <c r="H592" t="s">
        <v>10</v>
      </c>
      <c r="I592">
        <f>VLOOKUP(Table4[[#This Row],[Visitor]],'NHL Model'!$A$6:$B$38,2,FALSE)</f>
        <v>-8.0981007952892342E-2</v>
      </c>
      <c r="J592">
        <f>($B$1+Table4[[#This Row],[Home Differential]])-Table4[[#This Row],[Away Differential]]</f>
        <v>1.0236666465442927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0.69471899155670203</v>
      </c>
      <c r="M592" t="str">
        <f>IF(OR((NHL2025_26Results[[#This Row],[Winning Team]]="")),"-",IF(Table4[[#This Row],[Predicted Winner]]=NHL2025_26Results[[#This Row],[Winning Team]],"YES","NO"))</f>
        <v>-</v>
      </c>
      <c r="N592" t="str">
        <f>IF(Table4[[#This Row],[Adjusted Correct]]="-", "",IF(Table4[[#This Row],[Adjusted Correct]]="YES",(Table4[[#This Row],[Strength of Win]]-1)^2,(Table4[[#This Row],[Strength of Win]]-0)^2))</f>
        <v/>
      </c>
      <c r="P592" s="11"/>
    </row>
    <row r="593" spans="4:16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-0.2331185823245894</v>
      </c>
      <c r="H593" t="s">
        <v>37</v>
      </c>
      <c r="I593">
        <f>VLOOKUP(Table4[[#This Row],[Visitor]],'NHL Model'!$A$6:$B$38,2,FALSE)</f>
        <v>0.67847982929669792</v>
      </c>
      <c r="J593">
        <f>($B$1+Table4[[#This Row],[Home Differential]])-Table4[[#This Row],[Away Differential]]</f>
        <v>-0.82818448874994721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0.62308764534544636</v>
      </c>
      <c r="M593" t="str">
        <f>IF(OR((NHL2025_26Results[[#This Row],[Winning Team]]="")),"-",IF(Table4[[#This Row],[Predicted Winner]]=NHL2025_26Results[[#This Row],[Winning Team]],"YES","NO"))</f>
        <v>-</v>
      </c>
      <c r="N593" t="str">
        <f>IF(Table4[[#This Row],[Adjusted Correct]]="-", "",IF(Table4[[#This Row],[Adjusted Correct]]="YES",(Table4[[#This Row],[Strength of Win]]-1)^2,(Table4[[#This Row],[Strength of Win]]-0)^2))</f>
        <v/>
      </c>
      <c r="P593" s="11"/>
    </row>
    <row r="594" spans="4:16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9.3318671190422225E-2</v>
      </c>
      <c r="H594" t="s">
        <v>31</v>
      </c>
      <c r="I594">
        <f>VLOOKUP(Table4[[#This Row],[Visitor]],'NHL Model'!$A$6:$B$38,2,FALSE)</f>
        <v>0.25846513585567971</v>
      </c>
      <c r="J594">
        <f>($B$1+Table4[[#This Row],[Home Differential]])-Table4[[#This Row],[Away Differential]]</f>
        <v>-8.1732541793917424E-2</v>
      </c>
      <c r="K594" t="str">
        <f>IF(Table4[[#This Row],[HomeIce Differential]]&gt;0,Table4[[#This Row],[Home]],Table4[[#This Row],[Visitor]])</f>
        <v>Anaheim Ducks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0.48969706229154519</v>
      </c>
      <c r="M594" t="str">
        <f>IF(OR((NHL2025_26Results[[#This Row],[Winning Team]]="")),"-",IF(Table4[[#This Row],[Predicted Winner]]=NHL2025_26Results[[#This Row],[Winning Team]],"YES","NO"))</f>
        <v>-</v>
      </c>
      <c r="N594" t="str">
        <f>IF(Table4[[#This Row],[Adjusted Correct]]="-", "",IF(Table4[[#This Row],[Adjusted Correct]]="YES",(Table4[[#This Row],[Strength of Win]]-1)^2,(Table4[[#This Row],[Strength of Win]]-0)^2))</f>
        <v/>
      </c>
      <c r="P594" s="11"/>
    </row>
    <row r="595" spans="4:16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-3.0305407970040489E-4</v>
      </c>
      <c r="H595" t="s">
        <v>22</v>
      </c>
      <c r="I595">
        <f>VLOOKUP(Table4[[#This Row],[Visitor]],'NHL Model'!$A$6:$B$38,2,FALSE)</f>
        <v>0.95632113049608625</v>
      </c>
      <c r="J595">
        <f>($B$1+Table4[[#This Row],[Home Differential]])-Table4[[#This Row],[Away Differential]]</f>
        <v>-0.8732102617044466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0.56597097916754524</v>
      </c>
      <c r="M595" t="str">
        <f>IF(OR((NHL2025_26Results[[#This Row],[Winning Team]]="")),"-",IF(Table4[[#This Row],[Predicted Winner]]=NHL2025_26Results[[#This Row],[Winning Team]],"YES","NO"))</f>
        <v>-</v>
      </c>
      <c r="N595" t="str">
        <f>IF(Table4[[#This Row],[Adjusted Correct]]="-", "",IF(Table4[[#This Row],[Adjusted Correct]]="YES",(Table4[[#This Row],[Strength of Win]]-1)^2,(Table4[[#This Row],[Strength of Win]]-0)^2))</f>
        <v/>
      </c>
      <c r="P595" s="11"/>
    </row>
    <row r="596" spans="4:16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0.42358825343066847</v>
      </c>
      <c r="H596" t="s">
        <v>15</v>
      </c>
      <c r="I596">
        <f>VLOOKUP(Table4[[#This Row],[Visitor]],'NHL Model'!$A$6:$B$38,2,FALSE)</f>
        <v>0.21842521198061643</v>
      </c>
      <c r="J596">
        <f>($B$1+Table4[[#This Row],[Home Differential]])-Table4[[#This Row],[Away Differential]]</f>
        <v>0.28857696432139207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0.46494968050854191</v>
      </c>
      <c r="M596" t="str">
        <f>IF(OR((NHL2025_26Results[[#This Row],[Winning Team]]="")),"-",IF(Table4[[#This Row],[Predicted Winner]]=NHL2025_26Results[[#This Row],[Winning Team]],"YES","NO"))</f>
        <v>-</v>
      </c>
      <c r="N596" t="str">
        <f>IF(Table4[[#This Row],[Adjusted Correct]]="-", "",IF(Table4[[#This Row],[Adjusted Correct]]="YES",(Table4[[#This Row],[Strength of Win]]-1)^2,(Table4[[#This Row],[Strength of Win]]-0)^2))</f>
        <v/>
      </c>
      <c r="P596" s="11"/>
    </row>
    <row r="597" spans="4:16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-1.0071073873045386</v>
      </c>
      <c r="H597" t="s">
        <v>29</v>
      </c>
      <c r="I597">
        <f>VLOOKUP(Table4[[#This Row],[Visitor]],'NHL Model'!$A$6:$B$38,2,FALSE)</f>
        <v>-0.8717103858022891</v>
      </c>
      <c r="J597">
        <f>($B$1+Table4[[#This Row],[Home Differential]])-Table4[[#This Row],[Away Differential]]</f>
        <v>-5.1983078630909452E-2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0.4656782299662009</v>
      </c>
      <c r="M597" t="str">
        <f>IF(OR((NHL2025_26Results[[#This Row],[Winning Team]]="")),"-",IF(Table4[[#This Row],[Predicted Winner]]=NHL2025_26Results[[#This Row],[Winning Team]],"YES","NO"))</f>
        <v>-</v>
      </c>
      <c r="N597" t="str">
        <f>IF(Table4[[#This Row],[Adjusted Correct]]="-", "",IF(Table4[[#This Row],[Adjusted Correct]]="YES",(Table4[[#This Row],[Strength of Win]]-1)^2,(Table4[[#This Row],[Strength of Win]]-0)^2))</f>
        <v/>
      </c>
      <c r="P597" s="11"/>
    </row>
    <row r="598" spans="4:16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-3.2654449433805091E-2</v>
      </c>
      <c r="H598" t="s">
        <v>36</v>
      </c>
      <c r="I598">
        <f>VLOOKUP(Table4[[#This Row],[Visitor]],'NHL Model'!$A$6:$B$38,2,FALSE)</f>
        <v>-0.1785578406462007</v>
      </c>
      <c r="J598">
        <f>($B$1+Table4[[#This Row],[Home Differential]])-Table4[[#This Row],[Away Differential]]</f>
        <v>0.22931731408373568</v>
      </c>
      <c r="K598" t="str">
        <f>IF(Table4[[#This Row],[HomeIce Differential]]&gt;0,Table4[[#This Row],[Home]],Table4[[#This Row],[Visitor]])</f>
        <v>Toronto Maple Leafs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0.56147269308786085</v>
      </c>
      <c r="M598" t="str">
        <f>IF(OR((NHL2025_26Results[[#This Row],[Winning Team]]="")),"-",IF(Table4[[#This Row],[Predicted Winner]]=NHL2025_26Results[[#This Row],[Winning Team]],"YES","NO"))</f>
        <v>-</v>
      </c>
      <c r="N598" t="str">
        <f>IF(Table4[[#This Row],[Adjusted Correct]]="-", "",IF(Table4[[#This Row],[Adjusted Correct]]="YES",(Table4[[#This Row],[Strength of Win]]-1)^2,(Table4[[#This Row],[Strength of Win]]-0)^2))</f>
        <v/>
      </c>
      <c r="P598" s="11"/>
    </row>
    <row r="599" spans="4:16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-0.58187345243071342</v>
      </c>
      <c r="H599" t="s">
        <v>33</v>
      </c>
      <c r="I599">
        <f>VLOOKUP(Table4[[#This Row],[Visitor]],'NHL Model'!$A$6:$B$38,2,FALSE)</f>
        <v>-0.38457853131220177</v>
      </c>
      <c r="J599">
        <f>($B$1+Table4[[#This Row],[Home Differential]])-Table4[[#This Row],[Away Differential]]</f>
        <v>-0.11388099824717157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0.47243948057442409</v>
      </c>
      <c r="M599" t="str">
        <f>IF(OR((NHL2025_26Results[[#This Row],[Winning Team]]="")),"-",IF(Table4[[#This Row],[Predicted Winner]]=NHL2025_26Results[[#This Row],[Winning Team]],"YES","NO"))</f>
        <v>-</v>
      </c>
      <c r="N599" t="str">
        <f>IF(Table4[[#This Row],[Adjusted Correct]]="-", "",IF(Table4[[#This Row],[Adjusted Correct]]="YES",(Table4[[#This Row],[Strength of Win]]-1)^2,(Table4[[#This Row],[Strength of Win]]-0)^2))</f>
        <v/>
      </c>
      <c r="P599" s="11"/>
    </row>
    <row r="600" spans="4:16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0.18369921819729701</v>
      </c>
      <c r="H600" t="s">
        <v>12</v>
      </c>
      <c r="I600">
        <f>VLOOKUP(Table4[[#This Row],[Visitor]],'NHL Model'!$A$6:$B$38,2,FALSE)</f>
        <v>1.7429147091761512</v>
      </c>
      <c r="J600">
        <f>($B$1+Table4[[#This Row],[Home Differential]])-Table4[[#This Row],[Away Differential]]</f>
        <v>-1.4758015681075141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0.68752095294031168</v>
      </c>
      <c r="M600" t="str">
        <f>IF(OR((NHL2025_26Results[[#This Row],[Winning Team]]="")),"-",IF(Table4[[#This Row],[Predicted Winner]]=NHL2025_26Results[[#This Row],[Winning Team]],"YES","NO"))</f>
        <v>-</v>
      </c>
      <c r="N600" t="str">
        <f>IF(Table4[[#This Row],[Adjusted Correct]]="-", "",IF(Table4[[#This Row],[Adjusted Correct]]="YES",(Table4[[#This Row],[Strength of Win]]-1)^2,(Table4[[#This Row],[Strength of Win]]-0)^2))</f>
        <v/>
      </c>
      <c r="P600" s="11"/>
    </row>
    <row r="601" spans="4:16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-7.6933210940904648E-2</v>
      </c>
      <c r="H601" t="s">
        <v>34</v>
      </c>
      <c r="I601">
        <f>VLOOKUP(Table4[[#This Row],[Visitor]],'NHL Model'!$A$6:$B$38,2,FALSE)</f>
        <v>5.5764706436567675E-2</v>
      </c>
      <c r="J601">
        <f>($B$1+Table4[[#This Row],[Home Differential]])-Table4[[#This Row],[Away Differential]]</f>
        <v>-4.9283994506132252E-2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0.46692186440395472</v>
      </c>
      <c r="M601" t="str">
        <f>IF(OR((NHL2025_26Results[[#This Row],[Winning Team]]="")),"-",IF(Table4[[#This Row],[Predicted Winner]]=NHL2025_26Results[[#This Row],[Winning Team]],"YES","NO"))</f>
        <v>-</v>
      </c>
      <c r="N601" t="str">
        <f>IF(Table4[[#This Row],[Adjusted Correct]]="-", "",IF(Table4[[#This Row],[Adjusted Correct]]="YES",(Table4[[#This Row],[Strength of Win]]-1)^2,(Table4[[#This Row],[Strength of Win]]-0)^2))</f>
        <v/>
      </c>
      <c r="P601" s="11"/>
    </row>
    <row r="602" spans="4:16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-0.21858969522472316</v>
      </c>
      <c r="H602" t="s">
        <v>30</v>
      </c>
      <c r="I602">
        <f>VLOOKUP(Table4[[#This Row],[Visitor]],'NHL Model'!$A$6:$B$38,2,FALSE)</f>
        <v>0.42358825343066847</v>
      </c>
      <c r="J602">
        <f>($B$1+Table4[[#This Row],[Home Differential]])-Table4[[#This Row],[Away Differential]]</f>
        <v>-0.5587640257840516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0.6045133268718984</v>
      </c>
      <c r="M602" t="str">
        <f>IF(OR((NHL2025_26Results[[#This Row],[Winning Team]]="")),"-",IF(Table4[[#This Row],[Predicted Winner]]=NHL2025_26Results[[#This Row],[Winning Team]],"YES","NO"))</f>
        <v>-</v>
      </c>
      <c r="N602" t="str">
        <f>IF(Table4[[#This Row],[Adjusted Correct]]="-", "",IF(Table4[[#This Row],[Adjusted Correct]]="YES",(Table4[[#This Row],[Strength of Win]]-1)^2,(Table4[[#This Row],[Strength of Win]]-0)^2))</f>
        <v/>
      </c>
      <c r="P602" s="11"/>
    </row>
    <row r="603" spans="4:16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-8.0981007952892342E-2</v>
      </c>
      <c r="H603" t="s">
        <v>14</v>
      </c>
      <c r="I603">
        <f>VLOOKUP(Table4[[#This Row],[Visitor]],'NHL Model'!$A$6:$B$38,2,FALSE)</f>
        <v>0.26772485952910668</v>
      </c>
      <c r="J603">
        <f>($B$1+Table4[[#This Row],[Home Differential]])-Table4[[#This Row],[Away Differential]]</f>
        <v>-0.26529194461065897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0.54311726026160256</v>
      </c>
      <c r="M603" t="str">
        <f>IF(OR((NHL2025_26Results[[#This Row],[Winning Team]]="")),"-",IF(Table4[[#This Row],[Predicted Winner]]=NHL2025_26Results[[#This Row],[Winning Team]],"YES","NO"))</f>
        <v>-</v>
      </c>
      <c r="N603" t="str">
        <f>IF(Table4[[#This Row],[Adjusted Correct]]="-", "",IF(Table4[[#This Row],[Adjusted Correct]]="YES",(Table4[[#This Row],[Strength of Win]]-1)^2,(Table4[[#This Row],[Strength of Win]]-0)^2))</f>
        <v/>
      </c>
      <c r="P603" s="11"/>
    </row>
    <row r="604" spans="4:16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-0.46779379272887778</v>
      </c>
      <c r="H604" t="s">
        <v>19</v>
      </c>
      <c r="I604">
        <f>VLOOKUP(Table4[[#This Row],[Visitor]],'NHL Model'!$A$6:$B$38,2,FALSE)</f>
        <v>-3.2654449433805091E-2</v>
      </c>
      <c r="J604">
        <f>($B$1+Table4[[#This Row],[Home Differential]])-Table4[[#This Row],[Away Differential]]</f>
        <v>-0.35172542042373262</v>
      </c>
      <c r="K604" t="str">
        <f>IF(Table4[[#This Row],[HomeIce Differential]]&gt;0,Table4[[#This Row],[Home]],Table4[[#This Row],[Visitor]])</f>
        <v>Toronto Maple Leafs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0.48829751863431864</v>
      </c>
      <c r="M604" t="str">
        <f>IF(OR((NHL2025_26Results[[#This Row],[Winning Team]]="")),"-",IF(Table4[[#This Row],[Predicted Winner]]=NHL2025_26Results[[#This Row],[Winning Team]],"YES","NO"))</f>
        <v>-</v>
      </c>
      <c r="N604" t="str">
        <f>IF(Table4[[#This Row],[Adjusted Correct]]="-", "",IF(Table4[[#This Row],[Adjusted Correct]]="YES",(Table4[[#This Row],[Strength of Win]]-1)^2,(Table4[[#This Row],[Strength of Win]]-0)^2))</f>
        <v/>
      </c>
      <c r="P604" s="11"/>
    </row>
    <row r="605" spans="4:16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-0.51436416305402566</v>
      </c>
      <c r="H605" t="s">
        <v>27</v>
      </c>
      <c r="I605">
        <f>VLOOKUP(Table4[[#This Row],[Visitor]],'NHL Model'!$A$6:$B$38,2,FALSE)</f>
        <v>5.7297532801941484E-2</v>
      </c>
      <c r="J605">
        <f>($B$1+Table4[[#This Row],[Home Differential]])-Table4[[#This Row],[Away Differential]]</f>
        <v>-0.48824777298462707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0.5558449780635909</v>
      </c>
      <c r="M605" t="str">
        <f>IF(OR((NHL2025_26Results[[#This Row],[Winning Team]]="")),"-",IF(Table4[[#This Row],[Predicted Winner]]=NHL2025_26Results[[#This Row],[Winning Team]],"YES","NO"))</f>
        <v>-</v>
      </c>
      <c r="N605" t="str">
        <f>IF(Table4[[#This Row],[Adjusted Correct]]="-", "",IF(Table4[[#This Row],[Adjusted Correct]]="YES",(Table4[[#This Row],[Strength of Win]]-1)^2,(Table4[[#This Row],[Strength of Win]]-0)^2))</f>
        <v/>
      </c>
      <c r="P605" s="11"/>
    </row>
    <row r="606" spans="4:16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0.67847982929669792</v>
      </c>
      <c r="H606" t="s">
        <v>18</v>
      </c>
      <c r="I606">
        <f>VLOOKUP(Table4[[#This Row],[Visitor]],'NHL Model'!$A$6:$B$38,2,FALSE)</f>
        <v>-0.23554590882174289</v>
      </c>
      <c r="J606">
        <f>($B$1+Table4[[#This Row],[Home Differential]])-Table4[[#This Row],[Away Differential]]</f>
        <v>0.99743966098978087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0.5763294347331509</v>
      </c>
      <c r="M606" t="str">
        <f>IF(OR((NHL2025_26Results[[#This Row],[Winning Team]]="")),"-",IF(Table4[[#This Row],[Predicted Winner]]=NHL2025_26Results[[#This Row],[Winning Team]],"YES","NO"))</f>
        <v>-</v>
      </c>
      <c r="N606" t="str">
        <f>IF(Table4[[#This Row],[Adjusted Correct]]="-", "",IF(Table4[[#This Row],[Adjusted Correct]]="YES",(Table4[[#This Row],[Strength of Win]]-1)^2,(Table4[[#This Row],[Strength of Win]]-0)^2))</f>
        <v/>
      </c>
      <c r="P606" s="11"/>
    </row>
    <row r="607" spans="4:16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0.25846513585567971</v>
      </c>
      <c r="H607" t="s">
        <v>33</v>
      </c>
      <c r="I607">
        <f>VLOOKUP(Table4[[#This Row],[Visitor]],'NHL Model'!$A$6:$B$38,2,FALSE)</f>
        <v>-0.38457853131220177</v>
      </c>
      <c r="J607">
        <f>($B$1+Table4[[#This Row],[Home Differential]])-Table4[[#This Row],[Away Differential]]</f>
        <v>0.72645759003922161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0.68762512169487577</v>
      </c>
      <c r="M607" t="str">
        <f>IF(OR((NHL2025_26Results[[#This Row],[Winning Team]]="")),"-",IF(Table4[[#This Row],[Predicted Winner]]=NHL2025_26Results[[#This Row],[Winning Team]],"YES","NO"))</f>
        <v>-</v>
      </c>
      <c r="N607" t="str">
        <f>IF(Table4[[#This Row],[Adjusted Correct]]="-", "",IF(Table4[[#This Row],[Adjusted Correct]]="YES",(Table4[[#This Row],[Strength of Win]]-1)^2,(Table4[[#This Row],[Strength of Win]]-0)^2))</f>
        <v/>
      </c>
      <c r="P607" s="11"/>
    </row>
    <row r="608" spans="4:16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0.63414563871719487</v>
      </c>
      <c r="H608" t="s">
        <v>15</v>
      </c>
      <c r="I608">
        <f>VLOOKUP(Table4[[#This Row],[Visitor]],'NHL Model'!$A$6:$B$38,2,FALSE)</f>
        <v>0.21842521198061643</v>
      </c>
      <c r="J608">
        <f>($B$1+Table4[[#This Row],[Home Differential]])-Table4[[#This Row],[Away Differential]]</f>
        <v>0.49913434960791853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0.53115709480514828</v>
      </c>
      <c r="M608" t="str">
        <f>IF(OR((NHL2025_26Results[[#This Row],[Winning Team]]="")),"-",IF(Table4[[#This Row],[Predicted Winner]]=NHL2025_26Results[[#This Row],[Winning Team]],"YES","NO"))</f>
        <v>-</v>
      </c>
      <c r="N608" t="str">
        <f>IF(Table4[[#This Row],[Adjusted Correct]]="-", "",IF(Table4[[#This Row],[Adjusted Correct]]="YES",(Table4[[#This Row],[Strength of Win]]-1)^2,(Table4[[#This Row],[Strength of Win]]-0)^2))</f>
        <v/>
      </c>
      <c r="P608" s="11"/>
    </row>
    <row r="609" spans="4:16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-0.64492670113602302</v>
      </c>
      <c r="H609" t="s">
        <v>21</v>
      </c>
      <c r="I609">
        <f>VLOOKUP(Table4[[#This Row],[Visitor]],'NHL Model'!$A$6:$B$38,2,FALSE)</f>
        <v>0.2169753953839102</v>
      </c>
      <c r="J609">
        <f>($B$1+Table4[[#This Row],[Home Differential]])-Table4[[#This Row],[Away Differential]]</f>
        <v>-0.77848817364859313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0.54503603465524653</v>
      </c>
      <c r="M609" t="str">
        <f>IF(OR((NHL2025_26Results[[#This Row],[Winning Team]]="")),"-",IF(Table4[[#This Row],[Predicted Winner]]=NHL2025_26Results[[#This Row],[Winning Team]],"YES","NO"))</f>
        <v>-</v>
      </c>
      <c r="N609" t="str">
        <f>IF(Table4[[#This Row],[Adjusted Correct]]="-", "",IF(Table4[[#This Row],[Adjusted Correct]]="YES",(Table4[[#This Row],[Strength of Win]]-1)^2,(Table4[[#This Row],[Strength of Win]]-0)^2))</f>
        <v/>
      </c>
      <c r="P609" s="11"/>
    </row>
    <row r="610" spans="4:16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1.7429147091761512</v>
      </c>
      <c r="H610" t="s">
        <v>13</v>
      </c>
      <c r="I610">
        <f>VLOOKUP(Table4[[#This Row],[Visitor]],'NHL Model'!$A$6:$B$38,2,FALSE)</f>
        <v>9.3318671190422225E-2</v>
      </c>
      <c r="J610">
        <f>($B$1+Table4[[#This Row],[Home Differential]])-Table4[[#This Row],[Away Differential]]</f>
        <v>1.733009960857069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0.77440700446234623</v>
      </c>
      <c r="M610" t="str">
        <f>IF(OR((NHL2025_26Results[[#This Row],[Winning Team]]="")),"-",IF(Table4[[#This Row],[Predicted Winner]]=NHL2025_26Results[[#This Row],[Winning Team]],"YES","NO"))</f>
        <v>-</v>
      </c>
      <c r="N610" t="str">
        <f>IF(Table4[[#This Row],[Adjusted Correct]]="-", "",IF(Table4[[#This Row],[Adjusted Correct]]="YES",(Table4[[#This Row],[Strength of Win]]-1)^2,(Table4[[#This Row],[Strength of Win]]-0)^2))</f>
        <v/>
      </c>
      <c r="P610" s="11"/>
    </row>
    <row r="611" spans="4:16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-0.2331185823245894</v>
      </c>
      <c r="H611" t="s">
        <v>22</v>
      </c>
      <c r="I611">
        <f>VLOOKUP(Table4[[#This Row],[Visitor]],'NHL Model'!$A$6:$B$38,2,FALSE)</f>
        <v>0.95632113049608625</v>
      </c>
      <c r="J611">
        <f>($B$1+Table4[[#This Row],[Home Differential]])-Table4[[#This Row],[Away Differential]]</f>
        <v>-1.1060257899493355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0.63495253127540463</v>
      </c>
      <c r="M611" t="str">
        <f>IF(OR((NHL2025_26Results[[#This Row],[Winning Team]]="")),"-",IF(Table4[[#This Row],[Predicted Winner]]=NHL2025_26Results[[#This Row],[Winning Team]],"YES","NO"))</f>
        <v>-</v>
      </c>
      <c r="N611" t="str">
        <f>IF(Table4[[#This Row],[Adjusted Correct]]="-", "",IF(Table4[[#This Row],[Adjusted Correct]]="YES",(Table4[[#This Row],[Strength of Win]]-1)^2,(Table4[[#This Row],[Strength of Win]]-0)^2))</f>
        <v/>
      </c>
      <c r="P611" s="11"/>
    </row>
    <row r="612" spans="4:16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-0.1785578406462007</v>
      </c>
      <c r="H612" t="s">
        <v>28</v>
      </c>
      <c r="I612">
        <f>VLOOKUP(Table4[[#This Row],[Visitor]],'NHL Model'!$A$6:$B$38,2,FALSE)</f>
        <v>-0.21858969522472316</v>
      </c>
      <c r="J612">
        <f>($B$1+Table4[[#This Row],[Home Differential]])-Table4[[#This Row],[Away Differential]]</f>
        <v>0.12344577744986253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0.55348426317136179</v>
      </c>
      <c r="M612" t="str">
        <f>IF(OR((NHL2025_26Results[[#This Row],[Winning Team]]="")),"-",IF(Table4[[#This Row],[Predicted Winner]]=NHL2025_26Results[[#This Row],[Winning Team]],"YES","NO"))</f>
        <v>-</v>
      </c>
      <c r="N612" t="str">
        <f>IF(Table4[[#This Row],[Adjusted Correct]]="-", "",IF(Table4[[#This Row],[Adjusted Correct]]="YES",(Table4[[#This Row],[Strength of Win]]-1)^2,(Table4[[#This Row],[Strength of Win]]-0)^2))</f>
        <v/>
      </c>
      <c r="P612" s="11"/>
    </row>
    <row r="613" spans="4:16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-0.51436416305402566</v>
      </c>
      <c r="H613" t="s">
        <v>38</v>
      </c>
      <c r="I613">
        <f>VLOOKUP(Table4[[#This Row],[Visitor]],'NHL Model'!$A$6:$B$38,2,FALSE)</f>
        <v>-0.58187345243071342</v>
      </c>
      <c r="J613">
        <f>($B$1+Table4[[#This Row],[Home Differential]])-Table4[[#This Row],[Away Differential]]</f>
        <v>0.15092321224802785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0.55648568589918956</v>
      </c>
      <c r="M613" t="str">
        <f>IF(OR((NHL2025_26Results[[#This Row],[Winning Team]]="")),"-",IF(Table4[[#This Row],[Predicted Winner]]=NHL2025_26Results[[#This Row],[Winning Team]],"YES","NO"))</f>
        <v>-</v>
      </c>
      <c r="N613" t="str">
        <f>IF(Table4[[#This Row],[Adjusted Correct]]="-", "",IF(Table4[[#This Row],[Adjusted Correct]]="YES",(Table4[[#This Row],[Strength of Win]]-1)^2,(Table4[[#This Row],[Strength of Win]]-0)^2))</f>
        <v/>
      </c>
      <c r="P613" s="11"/>
    </row>
    <row r="614" spans="4:16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-1.0071073873045386</v>
      </c>
      <c r="H614" t="s">
        <v>23</v>
      </c>
      <c r="I614">
        <f>VLOOKUP(Table4[[#This Row],[Visitor]],'NHL Model'!$A$6:$B$38,2,FALSE)</f>
        <v>-0.32833039474346476</v>
      </c>
      <c r="J614">
        <f>($B$1+Table4[[#This Row],[Home Differential]])-Table4[[#This Row],[Away Differential]]</f>
        <v>-0.59536306968973385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0.5250328628491705</v>
      </c>
      <c r="M614" t="str">
        <f>IF(OR((NHL2025_26Results[[#This Row],[Winning Team]]="")),"-",IF(Table4[[#This Row],[Predicted Winner]]=NHL2025_26Results[[#This Row],[Winning Team]],"YES","NO"))</f>
        <v>-</v>
      </c>
      <c r="N614" t="str">
        <f>IF(Table4[[#This Row],[Adjusted Correct]]="-", "",IF(Table4[[#This Row],[Adjusted Correct]]="YES",(Table4[[#This Row],[Strength of Win]]-1)^2,(Table4[[#This Row],[Strength of Win]]-0)^2))</f>
        <v/>
      </c>
      <c r="P614" s="11"/>
    </row>
    <row r="615" spans="4:16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0.16351124183791613</v>
      </c>
      <c r="H615" t="s">
        <v>29</v>
      </c>
      <c r="I615">
        <f>VLOOKUP(Table4[[#This Row],[Visitor]],'NHL Model'!$A$6:$B$38,2,FALSE)</f>
        <v>-0.8717103858022891</v>
      </c>
      <c r="J615">
        <f>($B$1+Table4[[#This Row],[Home Differential]])-Table4[[#This Row],[Away Differential]]</f>
        <v>1.1186355505115453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0.70262228408047189</v>
      </c>
      <c r="M615" t="str">
        <f>IF(OR((NHL2025_26Results[[#This Row],[Winning Team]]="")),"-",IF(Table4[[#This Row],[Predicted Winner]]=NHL2025_26Results[[#This Row],[Winning Team]],"YES","NO"))</f>
        <v>-</v>
      </c>
      <c r="N615" t="str">
        <f>IF(Table4[[#This Row],[Adjusted Correct]]="-", "",IF(Table4[[#This Row],[Adjusted Correct]]="YES",(Table4[[#This Row],[Strength of Win]]-1)^2,(Table4[[#This Row],[Strength of Win]]-0)^2))</f>
        <v/>
      </c>
      <c r="P615" s="11"/>
    </row>
    <row r="616" spans="4:16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0.18369921819729701</v>
      </c>
      <c r="H616" t="s">
        <v>34</v>
      </c>
      <c r="I616">
        <f>VLOOKUP(Table4[[#This Row],[Visitor]],'NHL Model'!$A$6:$B$38,2,FALSE)</f>
        <v>5.5764706436567675E-2</v>
      </c>
      <c r="J616">
        <f>($B$1+Table4[[#This Row],[Home Differential]])-Table4[[#This Row],[Away Differential]]</f>
        <v>0.21134843463206943</v>
      </c>
      <c r="K616" t="str">
        <f>IF(Table4[[#This Row],[HomeIce Differential]]&gt;0,Table4[[#This Row],[Home]],Table4[[#This Row],[Visitor]])</f>
        <v>Vegas Golden Knights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0.54231683966838817</v>
      </c>
      <c r="M616" t="str">
        <f>IF(OR((NHL2025_26Results[[#This Row],[Winning Team]]="")),"-",IF(Table4[[#This Row],[Predicted Winner]]=NHL2025_26Results[[#This Row],[Winning Team]],"YES","NO"))</f>
        <v>-</v>
      </c>
      <c r="N616" t="str">
        <f>IF(Table4[[#This Row],[Adjusted Correct]]="-", "",IF(Table4[[#This Row],[Adjusted Correct]]="YES",(Table4[[#This Row],[Strength of Win]]-1)^2,(Table4[[#This Row],[Strength of Win]]-0)^2))</f>
        <v/>
      </c>
      <c r="P616" s="11"/>
    </row>
    <row r="617" spans="4:16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-7.6933210940904648E-2</v>
      </c>
      <c r="H617" t="s">
        <v>17</v>
      </c>
      <c r="I617">
        <f>VLOOKUP(Table4[[#This Row],[Visitor]],'NHL Model'!$A$6:$B$38,2,FALSE)</f>
        <v>-0.17631503877657284</v>
      </c>
      <c r="J617">
        <f>($B$1+Table4[[#This Row],[Home Differential]])-Table4[[#This Row],[Away Differential]]</f>
        <v>0.18279575070700826</v>
      </c>
      <c r="K617" t="str">
        <f>IF(Table4[[#This Row],[HomeIce Differential]]&gt;0,Table4[[#This Row],[Home]],Table4[[#This Row],[Visitor]])</f>
        <v>Winnipeg Jets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0.57907262711083807</v>
      </c>
      <c r="M617" t="str">
        <f>IF(OR((NHL2025_26Results[[#This Row],[Winning Team]]="")),"-",IF(Table4[[#This Row],[Predicted Winner]]=NHL2025_26Results[[#This Row],[Winning Team]],"YES","NO"))</f>
        <v>-</v>
      </c>
      <c r="N617" t="str">
        <f>IF(Table4[[#This Row],[Adjusted Correct]]="-", "",IF(Table4[[#This Row],[Adjusted Correct]]="YES",(Table4[[#This Row],[Strength of Win]]-1)^2,(Table4[[#This Row],[Strength of Win]]-0)^2))</f>
        <v/>
      </c>
      <c r="P617" s="11"/>
    </row>
    <row r="618" spans="4:16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-8.0981007952892342E-2</v>
      </c>
      <c r="H618" t="s">
        <v>30</v>
      </c>
      <c r="I618">
        <f>VLOOKUP(Table4[[#This Row],[Visitor]],'NHL Model'!$A$6:$B$38,2,FALSE)</f>
        <v>0.42358825343066847</v>
      </c>
      <c r="J618">
        <f>($B$1+Table4[[#This Row],[Home Differential]])-Table4[[#This Row],[Away Differential]]</f>
        <v>-0.42115533851222076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0.58948201683302237</v>
      </c>
      <c r="M618" t="str">
        <f>IF(OR((NHL2025_26Results[[#This Row],[Winning Team]]="")),"-",IF(Table4[[#This Row],[Predicted Winner]]=NHL2025_26Results[[#This Row],[Winning Team]],"YES","NO"))</f>
        <v>-</v>
      </c>
      <c r="N618" t="str">
        <f>IF(Table4[[#This Row],[Adjusted Correct]]="-", "",IF(Table4[[#This Row],[Adjusted Correct]]="YES",(Table4[[#This Row],[Strength of Win]]-1)^2,(Table4[[#This Row],[Strength of Win]]-0)^2))</f>
        <v/>
      </c>
      <c r="P618" s="11"/>
    </row>
    <row r="619" spans="4:16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-0.2331185823245894</v>
      </c>
      <c r="H619" t="s">
        <v>18</v>
      </c>
      <c r="I619">
        <f>VLOOKUP(Table4[[#This Row],[Visitor]],'NHL Model'!$A$6:$B$38,2,FALSE)</f>
        <v>-0.23554590882174289</v>
      </c>
      <c r="J619">
        <f>($B$1+Table4[[#This Row],[Home Differential]])-Table4[[#This Row],[Away Differential]]</f>
        <v>8.584124936849355E-2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0.47675346589218159</v>
      </c>
      <c r="M619" t="str">
        <f>IF(OR((NHL2025_26Results[[#This Row],[Winning Team]]="")),"-",IF(Table4[[#This Row],[Predicted Winner]]=NHL2025_26Results[[#This Row],[Winning Team]],"YES","NO"))</f>
        <v>-</v>
      </c>
      <c r="N619" t="str">
        <f>IF(Table4[[#This Row],[Adjusted Correct]]="-", "",IF(Table4[[#This Row],[Adjusted Correct]]="YES",(Table4[[#This Row],[Strength of Win]]-1)^2,(Table4[[#This Row],[Strength of Win]]-0)^2))</f>
        <v/>
      </c>
      <c r="P619" s="11"/>
    </row>
    <row r="620" spans="4:16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0.26772485952910668</v>
      </c>
      <c r="H620" t="s">
        <v>25</v>
      </c>
      <c r="I620">
        <f>VLOOKUP(Table4[[#This Row],[Visitor]],'NHL Model'!$A$6:$B$38,2,FALSE)</f>
        <v>0.63414563871719487</v>
      </c>
      <c r="J620">
        <f>($B$1+Table4[[#This Row],[Home Differential]])-Table4[[#This Row],[Away Differential]]</f>
        <v>-0.2830068563167481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0.5635366520046261</v>
      </c>
      <c r="M620" t="str">
        <f>IF(OR((NHL2025_26Results[[#This Row],[Winning Team]]="")),"-",IF(Table4[[#This Row],[Predicted Winner]]=NHL2025_26Results[[#This Row],[Winning Team]],"YES","NO"))</f>
        <v>-</v>
      </c>
      <c r="N620" t="str">
        <f>IF(Table4[[#This Row],[Adjusted Correct]]="-", "",IF(Table4[[#This Row],[Adjusted Correct]]="YES",(Table4[[#This Row],[Strength of Win]]-1)^2,(Table4[[#This Row],[Strength of Win]]-0)^2))</f>
        <v/>
      </c>
      <c r="P620" s="11"/>
    </row>
    <row r="621" spans="4:16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-3.2654449433805091E-2</v>
      </c>
      <c r="H621" t="s">
        <v>24</v>
      </c>
      <c r="I621">
        <f>VLOOKUP(Table4[[#This Row],[Visitor]],'NHL Model'!$A$6:$B$38,2,FALSE)</f>
        <v>-3.0305407970040489E-4</v>
      </c>
      <c r="J621">
        <f>($B$1+Table4[[#This Row],[Home Differential]])-Table4[[#This Row],[Away Differential]]</f>
        <v>5.1062527517235383E-2</v>
      </c>
      <c r="K621" t="str">
        <f>IF(Table4[[#This Row],[HomeIce Differential]]&gt;0,Table4[[#This Row],[Home]],Table4[[#This Row],[Visitor]])</f>
        <v>Toronto Maple Leafs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0.54200151713294542</v>
      </c>
      <c r="M621" t="str">
        <f>IF(OR((NHL2025_26Results[[#This Row],[Winning Team]]="")),"-",IF(Table4[[#This Row],[Predicted Winner]]=NHL2025_26Results[[#This Row],[Winning Team]],"YES","NO"))</f>
        <v>-</v>
      </c>
      <c r="N621" t="str">
        <f>IF(Table4[[#This Row],[Adjusted Correct]]="-", "",IF(Table4[[#This Row],[Adjusted Correct]]="YES",(Table4[[#This Row],[Strength of Win]]-1)^2,(Table4[[#This Row],[Strength of Win]]-0)^2))</f>
        <v/>
      </c>
      <c r="P621" s="11"/>
    </row>
    <row r="622" spans="4:16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-0.58187345243071342</v>
      </c>
      <c r="H622" t="s">
        <v>27</v>
      </c>
      <c r="I622">
        <f>VLOOKUP(Table4[[#This Row],[Visitor]],'NHL Model'!$A$6:$B$38,2,FALSE)</f>
        <v>5.7297532801941484E-2</v>
      </c>
      <c r="J622">
        <f>($B$1+Table4[[#This Row],[Home Differential]])-Table4[[#This Row],[Away Differential]]</f>
        <v>-0.55575706236131484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0.56321917135940125</v>
      </c>
      <c r="M622" t="str">
        <f>IF(OR((NHL2025_26Results[[#This Row],[Winning Team]]="")),"-",IF(Table4[[#This Row],[Predicted Winner]]=NHL2025_26Results[[#This Row],[Winning Team]],"YES","NO"))</f>
        <v>-</v>
      </c>
      <c r="N622" t="str">
        <f>IF(Table4[[#This Row],[Adjusted Correct]]="-", "",IF(Table4[[#This Row],[Adjusted Correct]]="YES",(Table4[[#This Row],[Strength of Win]]-1)^2,(Table4[[#This Row],[Strength of Win]]-0)^2))</f>
        <v/>
      </c>
      <c r="P622" s="11"/>
    </row>
    <row r="623" spans="4:16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0.25846513585567971</v>
      </c>
      <c r="H623" t="s">
        <v>37</v>
      </c>
      <c r="I623">
        <f>VLOOKUP(Table4[[#This Row],[Visitor]],'NHL Model'!$A$6:$B$38,2,FALSE)</f>
        <v>0.67847982929669792</v>
      </c>
      <c r="J623">
        <f>($B$1+Table4[[#This Row],[Home Differential]])-Table4[[#This Row],[Away Differential]]</f>
        <v>-0.33660077056967813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0.49957758545878772</v>
      </c>
      <c r="M623" t="str">
        <f>IF(OR((NHL2025_26Results[[#This Row],[Winning Team]]="")),"-",IF(Table4[[#This Row],[Predicted Winner]]=NHL2025_26Results[[#This Row],[Winning Team]],"YES","NO"))</f>
        <v>-</v>
      </c>
      <c r="N623" t="str">
        <f>IF(Table4[[#This Row],[Adjusted Correct]]="-", "",IF(Table4[[#This Row],[Adjusted Correct]]="YES",(Table4[[#This Row],[Strength of Win]]-1)^2,(Table4[[#This Row],[Strength of Win]]-0)^2))</f>
        <v/>
      </c>
      <c r="P623" s="11"/>
    </row>
    <row r="624" spans="4:16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-0.21858969522472316</v>
      </c>
      <c r="H624" t="s">
        <v>24</v>
      </c>
      <c r="I624">
        <f>VLOOKUP(Table4[[#This Row],[Visitor]],'NHL Model'!$A$6:$B$38,2,FALSE)</f>
        <v>-3.0305407970040489E-4</v>
      </c>
      <c r="J624">
        <f>($B$1+Table4[[#This Row],[Home Differential]])-Table4[[#This Row],[Away Differential]]</f>
        <v>-0.13487271827368266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0.47830861285991599</v>
      </c>
      <c r="M624" t="str">
        <f>IF(OR((NHL2025_26Results[[#This Row],[Winning Team]]="")),"-",IF(Table4[[#This Row],[Predicted Winner]]=NHL2025_26Results[[#This Row],[Winning Team]],"YES","NO"))</f>
        <v>-</v>
      </c>
      <c r="N624" t="str">
        <f>IF(Table4[[#This Row],[Adjusted Correct]]="-", "",IF(Table4[[#This Row],[Adjusted Correct]]="YES",(Table4[[#This Row],[Strength of Win]]-1)^2,(Table4[[#This Row],[Strength of Win]]-0)^2))</f>
        <v/>
      </c>
      <c r="P624" s="11"/>
    </row>
    <row r="625" spans="4:16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-0.64492670113602302</v>
      </c>
      <c r="H625" t="s">
        <v>27</v>
      </c>
      <c r="I625">
        <f>VLOOKUP(Table4[[#This Row],[Visitor]],'NHL Model'!$A$6:$B$38,2,FALSE)</f>
        <v>5.7297532801941484E-2</v>
      </c>
      <c r="J625">
        <f>($B$1+Table4[[#This Row],[Home Differential]])-Table4[[#This Row],[Away Differential]]</f>
        <v>-0.61881031106662443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0.57010662119296918</v>
      </c>
      <c r="M625" t="str">
        <f>IF(OR((NHL2025_26Results[[#This Row],[Winning Team]]="")),"-",IF(Table4[[#This Row],[Predicted Winner]]=NHL2025_26Results[[#This Row],[Winning Team]],"YES","NO"))</f>
        <v>-</v>
      </c>
      <c r="N625" t="str">
        <f>IF(Table4[[#This Row],[Adjusted Correct]]="-", "",IF(Table4[[#This Row],[Adjusted Correct]]="YES",(Table4[[#This Row],[Strength of Win]]-1)^2,(Table4[[#This Row],[Strength of Win]]-0)^2))</f>
        <v/>
      </c>
      <c r="P625" s="11"/>
    </row>
    <row r="626" spans="4:16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1.7429147091761512</v>
      </c>
      <c r="H626" t="s">
        <v>35</v>
      </c>
      <c r="I626">
        <f>VLOOKUP(Table4[[#This Row],[Visitor]],'NHL Model'!$A$6:$B$38,2,FALSE)</f>
        <v>-1.0071073873045386</v>
      </c>
      <c r="J626">
        <f>($B$1+Table4[[#This Row],[Home Differential]])-Table4[[#This Row],[Away Differential]]</f>
        <v>2.83343601935203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0.95732362971154061</v>
      </c>
      <c r="M626" t="str">
        <f>IF(OR((NHL2025_26Results[[#This Row],[Winning Team]]="")),"-",IF(Table4[[#This Row],[Predicted Winner]]=NHL2025_26Results[[#This Row],[Winning Team]],"YES","NO"))</f>
        <v>-</v>
      </c>
      <c r="N626" t="str">
        <f>IF(Table4[[#This Row],[Adjusted Correct]]="-", "",IF(Table4[[#This Row],[Adjusted Correct]]="YES",(Table4[[#This Row],[Strength of Win]]-1)^2,(Table4[[#This Row],[Strength of Win]]-0)^2))</f>
        <v/>
      </c>
      <c r="P626" s="11"/>
    </row>
    <row r="627" spans="4:16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0.85927171572006034</v>
      </c>
      <c r="H627" t="s">
        <v>23</v>
      </c>
      <c r="I627">
        <f>VLOOKUP(Table4[[#This Row],[Visitor]],'NHL Model'!$A$6:$B$38,2,FALSE)</f>
        <v>-0.32833039474346476</v>
      </c>
      <c r="J627">
        <f>($B$1+Table4[[#This Row],[Home Differential]])-Table4[[#This Row],[Away Differential]]</f>
        <v>1.2710160333348652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0.72173752791865786</v>
      </c>
      <c r="M627" t="str">
        <f>IF(OR((NHL2025_26Results[[#This Row],[Winning Team]]="")),"-",IF(Table4[[#This Row],[Predicted Winner]]=NHL2025_26Results[[#This Row],[Winning Team]],"YES","NO"))</f>
        <v>-</v>
      </c>
      <c r="N627" t="str">
        <f>IF(Table4[[#This Row],[Adjusted Correct]]="-", "",IF(Table4[[#This Row],[Adjusted Correct]]="YES",(Table4[[#This Row],[Strength of Win]]-1)^2,(Table4[[#This Row],[Strength of Win]]-0)^2))</f>
        <v/>
      </c>
      <c r="P627" s="11"/>
    </row>
    <row r="628" spans="4:16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-0.46779379272887778</v>
      </c>
      <c r="H628" t="s">
        <v>40</v>
      </c>
      <c r="I628">
        <f>VLOOKUP(Table4[[#This Row],[Visitor]],'NHL Model'!$A$6:$B$38,2,FALSE)</f>
        <v>-7.6933210940904648E-2</v>
      </c>
      <c r="J628">
        <f>($B$1+Table4[[#This Row],[Home Differential]])-Table4[[#This Row],[Away Differential]]</f>
        <v>-0.30744665891663303</v>
      </c>
      <c r="K628" t="str">
        <f>IF(Table4[[#This Row],[HomeIce Differential]]&gt;0,Table4[[#This Row],[Home]],Table4[[#This Row],[Visitor]])</f>
        <v>Winnipeg Jets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0.4834608487587031</v>
      </c>
      <c r="M628" t="str">
        <f>IF(OR((NHL2025_26Results[[#This Row],[Winning Team]]="")),"-",IF(Table4[[#This Row],[Predicted Winner]]=NHL2025_26Results[[#This Row],[Winning Team]],"YES","NO"))</f>
        <v>-</v>
      </c>
      <c r="N628" t="str">
        <f>IF(Table4[[#This Row],[Adjusted Correct]]="-", "",IF(Table4[[#This Row],[Adjusted Correct]]="YES",(Table4[[#This Row],[Strength of Win]]-1)^2,(Table4[[#This Row],[Strength of Win]]-0)^2))</f>
        <v/>
      </c>
      <c r="P628" s="11"/>
    </row>
    <row r="629" spans="4:16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-0.17631503877657284</v>
      </c>
      <c r="H629" t="s">
        <v>21</v>
      </c>
      <c r="I629">
        <f>VLOOKUP(Table4[[#This Row],[Visitor]],'NHL Model'!$A$6:$B$38,2,FALSE)</f>
        <v>0.2169753953839102</v>
      </c>
      <c r="J629">
        <f>($B$1+Table4[[#This Row],[Home Differential]])-Table4[[#This Row],[Away Differential]]</f>
        <v>-0.30987651128914295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0.4747430851413233</v>
      </c>
      <c r="M629" t="str">
        <f>IF(OR((NHL2025_26Results[[#This Row],[Winning Team]]="")),"-",IF(Table4[[#This Row],[Predicted Winner]]=NHL2025_26Results[[#This Row],[Winning Team]],"YES","NO"))</f>
        <v>-</v>
      </c>
      <c r="N629" t="str">
        <f>IF(Table4[[#This Row],[Adjusted Correct]]="-", "",IF(Table4[[#This Row],[Adjusted Correct]]="YES",(Table4[[#This Row],[Strength of Win]]-1)^2,(Table4[[#This Row],[Strength of Win]]-0)^2))</f>
        <v/>
      </c>
      <c r="P629" s="11"/>
    </row>
    <row r="630" spans="4:16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-0.38457853131220177</v>
      </c>
      <c r="H630" t="s">
        <v>34</v>
      </c>
      <c r="I630">
        <f>VLOOKUP(Table4[[#This Row],[Visitor]],'NHL Model'!$A$6:$B$38,2,FALSE)</f>
        <v>5.5764706436567675E-2</v>
      </c>
      <c r="J630">
        <f>($B$1+Table4[[#This Row],[Home Differential]])-Table4[[#This Row],[Away Differential]]</f>
        <v>-0.35692931487742935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0.51975743202492664</v>
      </c>
      <c r="M630" t="str">
        <f>IF(OR((NHL2025_26Results[[#This Row],[Winning Team]]="")),"-",IF(Table4[[#This Row],[Predicted Winner]]=NHL2025_26Results[[#This Row],[Winning Team]],"YES","NO"))</f>
        <v>-</v>
      </c>
      <c r="N630" t="str">
        <f>IF(Table4[[#This Row],[Adjusted Correct]]="-", "",IF(Table4[[#This Row],[Adjusted Correct]]="YES",(Table4[[#This Row],[Strength of Win]]-1)^2,(Table4[[#This Row],[Strength of Win]]-0)^2))</f>
        <v/>
      </c>
      <c r="P630" s="11"/>
    </row>
    <row r="631" spans="4:16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0.18369921819729701</v>
      </c>
      <c r="H631" t="s">
        <v>29</v>
      </c>
      <c r="I631">
        <f>VLOOKUP(Table4[[#This Row],[Visitor]],'NHL Model'!$A$6:$B$38,2,FALSE)</f>
        <v>-0.8717103858022891</v>
      </c>
      <c r="J631">
        <f>($B$1+Table4[[#This Row],[Home Differential]])-Table4[[#This Row],[Away Differential]]</f>
        <v>1.1388235268709261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0.66439628522978678</v>
      </c>
      <c r="M631" t="str">
        <f>IF(OR((NHL2025_26Results[[#This Row],[Winning Team]]="")),"-",IF(Table4[[#This Row],[Predicted Winner]]=NHL2025_26Results[[#This Row],[Winning Team]],"YES","NO"))</f>
        <v>-</v>
      </c>
      <c r="N631" t="str">
        <f>IF(Table4[[#This Row],[Adjusted Correct]]="-", "",IF(Table4[[#This Row],[Adjusted Correct]]="YES",(Table4[[#This Row],[Strength of Win]]-1)^2,(Table4[[#This Row],[Strength of Win]]-0)^2))</f>
        <v/>
      </c>
      <c r="P631" s="11"/>
    </row>
    <row r="632" spans="4:16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0.95632113049608625</v>
      </c>
      <c r="H632" t="s">
        <v>15</v>
      </c>
      <c r="I632">
        <f>VLOOKUP(Table4[[#This Row],[Visitor]],'NHL Model'!$A$6:$B$38,2,FALSE)</f>
        <v>0.21842521198061643</v>
      </c>
      <c r="J632">
        <f>($B$1+Table4[[#This Row],[Home Differential]])-Table4[[#This Row],[Away Differential]]</f>
        <v>0.82130984138680985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0.54917300232233368</v>
      </c>
      <c r="M632" t="str">
        <f>IF(OR((NHL2025_26Results[[#This Row],[Winning Team]]="")),"-",IF(Table4[[#This Row],[Predicted Winner]]=NHL2025_26Results[[#This Row],[Winning Team]],"YES","NO"))</f>
        <v>-</v>
      </c>
      <c r="N632" t="str">
        <f>IF(Table4[[#This Row],[Adjusted Correct]]="-", "",IF(Table4[[#This Row],[Adjusted Correct]]="YES",(Table4[[#This Row],[Strength of Win]]-1)^2,(Table4[[#This Row],[Strength of Win]]-0)^2))</f>
        <v/>
      </c>
      <c r="P632" s="11"/>
    </row>
    <row r="633" spans="4:16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0.63414563871719487</v>
      </c>
      <c r="H633" t="s">
        <v>18</v>
      </c>
      <c r="I633">
        <f>VLOOKUP(Table4[[#This Row],[Visitor]],'NHL Model'!$A$6:$B$38,2,FALSE)</f>
        <v>-0.23554590882174289</v>
      </c>
      <c r="J633">
        <f>($B$1+Table4[[#This Row],[Home Differential]])-Table4[[#This Row],[Away Differential]]</f>
        <v>0.95310547041027782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0.61502690988936992</v>
      </c>
      <c r="M633" t="str">
        <f>IF(OR((NHL2025_26Results[[#This Row],[Winning Team]]="")),"-",IF(Table4[[#This Row],[Predicted Winner]]=NHL2025_26Results[[#This Row],[Winning Team]],"YES","NO"))</f>
        <v>-</v>
      </c>
      <c r="N633" t="str">
        <f>IF(Table4[[#This Row],[Adjusted Correct]]="-", "",IF(Table4[[#This Row],[Adjusted Correct]]="YES",(Table4[[#This Row],[Strength of Win]]-1)^2,(Table4[[#This Row],[Strength of Win]]-0)^2))</f>
        <v/>
      </c>
      <c r="P633" s="11"/>
    </row>
    <row r="634" spans="4:16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-8.0981007952892342E-2</v>
      </c>
      <c r="H634" t="s">
        <v>39</v>
      </c>
      <c r="I634">
        <f>VLOOKUP(Table4[[#This Row],[Visitor]],'NHL Model'!$A$6:$B$38,2,FALSE)</f>
        <v>0.85927171572006034</v>
      </c>
      <c r="J634">
        <f>($B$1+Table4[[#This Row],[Home Differential]])-Table4[[#This Row],[Away Differential]]</f>
        <v>-0.85683880080161257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0.64608063979110253</v>
      </c>
      <c r="M634" t="str">
        <f>IF(OR((NHL2025_26Results[[#This Row],[Winning Team]]="")),"-",IF(Table4[[#This Row],[Predicted Winner]]=NHL2025_26Results[[#This Row],[Winning Team]],"YES","NO"))</f>
        <v>-</v>
      </c>
      <c r="N634" t="str">
        <f>IF(Table4[[#This Row],[Adjusted Correct]]="-", "",IF(Table4[[#This Row],[Adjusted Correct]]="YES",(Table4[[#This Row],[Strength of Win]]-1)^2,(Table4[[#This Row],[Strength of Win]]-0)^2))</f>
        <v/>
      </c>
      <c r="P634" s="11"/>
    </row>
    <row r="635" spans="4:16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9.3318671190422225E-2</v>
      </c>
      <c r="H635" t="s">
        <v>37</v>
      </c>
      <c r="I635">
        <f>VLOOKUP(Table4[[#This Row],[Visitor]],'NHL Model'!$A$6:$B$38,2,FALSE)</f>
        <v>0.67847982929669792</v>
      </c>
      <c r="J635">
        <f>($B$1+Table4[[#This Row],[Home Differential]])-Table4[[#This Row],[Away Differential]]</f>
        <v>-0.5017472352349357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0.58743016133696579</v>
      </c>
      <c r="M635" t="str">
        <f>IF(OR((NHL2025_26Results[[#This Row],[Winning Team]]="")),"-",IF(Table4[[#This Row],[Predicted Winner]]=NHL2025_26Results[[#This Row],[Winning Team]],"YES","NO"))</f>
        <v>-</v>
      </c>
      <c r="N635" t="str">
        <f>IF(Table4[[#This Row],[Adjusted Correct]]="-", "",IF(Table4[[#This Row],[Adjusted Correct]]="YES",(Table4[[#This Row],[Strength of Win]]-1)^2,(Table4[[#This Row],[Strength of Win]]-0)^2))</f>
        <v/>
      </c>
      <c r="P635" s="11"/>
    </row>
    <row r="636" spans="4:16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0.42358825343066847</v>
      </c>
      <c r="H636" t="s">
        <v>55</v>
      </c>
      <c r="I636">
        <f>VLOOKUP(Table4[[#This Row],[Visitor]],'NHL Model'!$A$6:$B$38,2,FALSE)</f>
        <v>0.16351124183791613</v>
      </c>
      <c r="J636">
        <f>($B$1+Table4[[#This Row],[Home Differential]])-Table4[[#This Row],[Away Differential]]</f>
        <v>0.3434909344640924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0.57752029638415092</v>
      </c>
      <c r="M636" t="str">
        <f>IF(OR((NHL2025_26Results[[#This Row],[Winning Team]]="")),"-",IF(Table4[[#This Row],[Predicted Winner]]=NHL2025_26Results[[#This Row],[Winning Team]],"YES","NO"))</f>
        <v>-</v>
      </c>
      <c r="N636" t="str">
        <f>IF(Table4[[#This Row],[Adjusted Correct]]="-", "",IF(Table4[[#This Row],[Adjusted Correct]]="YES",(Table4[[#This Row],[Strength of Win]]-1)^2,(Table4[[#This Row],[Strength of Win]]-0)^2))</f>
        <v/>
      </c>
      <c r="P636" s="11"/>
    </row>
    <row r="637" spans="4:16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-0.1785578406462007</v>
      </c>
      <c r="H637" t="s">
        <v>22</v>
      </c>
      <c r="I637">
        <f>VLOOKUP(Table4[[#This Row],[Visitor]],'NHL Model'!$A$6:$B$38,2,FALSE)</f>
        <v>0.95632113049608625</v>
      </c>
      <c r="J637">
        <f>($B$1+Table4[[#This Row],[Home Differential]])-Table4[[#This Row],[Away Differential]]</f>
        <v>-1.0514650482709469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0.6289927373090628</v>
      </c>
      <c r="M637" t="str">
        <f>IF(OR((NHL2025_26Results[[#This Row],[Winning Team]]="")),"-",IF(Table4[[#This Row],[Predicted Winner]]=NHL2025_26Results[[#This Row],[Winning Team]],"YES","NO"))</f>
        <v>-</v>
      </c>
      <c r="N637" t="str">
        <f>IF(Table4[[#This Row],[Adjusted Correct]]="-", "",IF(Table4[[#This Row],[Adjusted Correct]]="YES",(Table4[[#This Row],[Strength of Win]]-1)^2,(Table4[[#This Row],[Strength of Win]]-0)^2))</f>
        <v/>
      </c>
      <c r="P637" s="11"/>
    </row>
    <row r="638" spans="4:16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0.26772485952910668</v>
      </c>
      <c r="H638" t="s">
        <v>26</v>
      </c>
      <c r="I638">
        <f>VLOOKUP(Table4[[#This Row],[Visitor]],'NHL Model'!$A$6:$B$38,2,FALSE)</f>
        <v>-0.46779379272887778</v>
      </c>
      <c r="J638">
        <f>($B$1+Table4[[#This Row],[Home Differential]])-Table4[[#This Row],[Away Differential]]</f>
        <v>0.8189325751293246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0.62862437557254902</v>
      </c>
      <c r="M638" t="str">
        <f>IF(OR((NHL2025_26Results[[#This Row],[Winning Team]]="")),"-",IF(Table4[[#This Row],[Predicted Winner]]=NHL2025_26Results[[#This Row],[Winning Team]],"YES","NO"))</f>
        <v>-</v>
      </c>
      <c r="N638" t="str">
        <f>IF(Table4[[#This Row],[Adjusted Correct]]="-", "",IF(Table4[[#This Row],[Adjusted Correct]]="YES",(Table4[[#This Row],[Strength of Win]]-1)^2,(Table4[[#This Row],[Strength of Win]]-0)^2))</f>
        <v/>
      </c>
      <c r="P638" s="11"/>
    </row>
    <row r="639" spans="4:16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-0.51436416305402566</v>
      </c>
      <c r="H639" t="s">
        <v>29</v>
      </c>
      <c r="I639">
        <f>VLOOKUP(Table4[[#This Row],[Visitor]],'NHL Model'!$A$6:$B$38,2,FALSE)</f>
        <v>-0.8717103858022891</v>
      </c>
      <c r="J639">
        <f>($B$1+Table4[[#This Row],[Home Differential]])-Table4[[#This Row],[Away Differential]]</f>
        <v>0.44076014561960353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0.58814523365447902</v>
      </c>
      <c r="M639" t="str">
        <f>IF(OR((NHL2025_26Results[[#This Row],[Winning Team]]="")),"-",IF(Table4[[#This Row],[Predicted Winner]]=NHL2025_26Results[[#This Row],[Winning Team]],"YES","NO"))</f>
        <v>-</v>
      </c>
      <c r="N639" t="str">
        <f>IF(Table4[[#This Row],[Adjusted Correct]]="-", "",IF(Table4[[#This Row],[Adjusted Correct]]="YES",(Table4[[#This Row],[Strength of Win]]-1)^2,(Table4[[#This Row],[Strength of Win]]-0)^2))</f>
        <v/>
      </c>
      <c r="P639" s="11"/>
    </row>
    <row r="640" spans="4:16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-3.2654449433805091E-2</v>
      </c>
      <c r="H640" t="s">
        <v>40</v>
      </c>
      <c r="I640">
        <f>VLOOKUP(Table4[[#This Row],[Visitor]],'NHL Model'!$A$6:$B$38,2,FALSE)</f>
        <v>-7.6933210940904648E-2</v>
      </c>
      <c r="J640">
        <f>($B$1+Table4[[#This Row],[Home Differential]])-Table4[[#This Row],[Away Differential]]</f>
        <v>0.12769268437843961</v>
      </c>
      <c r="K640" t="str">
        <f>IF(Table4[[#This Row],[HomeIce Differential]]&gt;0,Table4[[#This Row],[Home]],Table4[[#This Row],[Visitor]])</f>
        <v>Toronto Maple Leafs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0.55394816247899481</v>
      </c>
      <c r="M640" t="str">
        <f>IF(OR((NHL2025_26Results[[#This Row],[Winning Team]]="")),"-",IF(Table4[[#This Row],[Predicted Winner]]=NHL2025_26Results[[#This Row],[Winning Team]],"YES","NO"))</f>
        <v>-</v>
      </c>
      <c r="N640" t="str">
        <f>IF(Table4[[#This Row],[Adjusted Correct]]="-", "",IF(Table4[[#This Row],[Adjusted Correct]]="YES",(Table4[[#This Row],[Strength of Win]]-1)^2,(Table4[[#This Row],[Strength of Win]]-0)^2))</f>
        <v/>
      </c>
      <c r="P640" s="11"/>
    </row>
    <row r="641" spans="4:16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0.25846513585567971</v>
      </c>
      <c r="H641" t="s">
        <v>34</v>
      </c>
      <c r="I641">
        <f>VLOOKUP(Table4[[#This Row],[Visitor]],'NHL Model'!$A$6:$B$38,2,FALSE)</f>
        <v>5.5764706436567675E-2</v>
      </c>
      <c r="J641">
        <f>($B$1+Table4[[#This Row],[Home Differential]])-Table4[[#This Row],[Away Differential]]</f>
        <v>0.28611435229045212</v>
      </c>
      <c r="K641" t="str">
        <f>IF(Table4[[#This Row],[HomeIce Differential]]&gt;0,Table4[[#This Row],[Home]],Table4[[#This Row],[Visitor]])</f>
        <v>Anaheim Ducks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0.61948821587072267</v>
      </c>
      <c r="M641" t="str">
        <f>IF(OR((NHL2025_26Results[[#This Row],[Winning Team]]="")),"-",IF(Table4[[#This Row],[Predicted Winner]]=NHL2025_26Results[[#This Row],[Winning Team]],"YES","NO"))</f>
        <v>-</v>
      </c>
      <c r="N641" t="str">
        <f>IF(Table4[[#This Row],[Adjusted Correct]]="-", "",IF(Table4[[#This Row],[Adjusted Correct]]="YES",(Table4[[#This Row],[Strength of Win]]-1)^2,(Table4[[#This Row],[Strength of Win]]-0)^2))</f>
        <v/>
      </c>
      <c r="P641" s="11"/>
    </row>
    <row r="642" spans="4:16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-0.2331185823245894</v>
      </c>
      <c r="H642" t="s">
        <v>15</v>
      </c>
      <c r="I642">
        <f>VLOOKUP(Table4[[#This Row],[Visitor]],'NHL Model'!$A$6:$B$38,2,FALSE)</f>
        <v>0.21842521198061643</v>
      </c>
      <c r="J642">
        <f>($B$1+Table4[[#This Row],[Home Differential]])-Table4[[#This Row],[Away Differential]]</f>
        <v>-0.36812987143386577</v>
      </c>
      <c r="K642" t="str">
        <f>IF(Table4[[#This Row],[HomeIce Differential]]&gt;0,Table4[[#This Row],[Home]],Table4[[#This Row],[Visitor]])</f>
        <v>New York Rangers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0.60678390149552963</v>
      </c>
      <c r="M642" t="str">
        <f>IF(OR((NHL2025_26Results[[#This Row],[Winning Team]]="")),"-",IF(Table4[[#This Row],[Predicted Winner]]=NHL2025_26Results[[#This Row],[Winning Team]],"YES","NO"))</f>
        <v>-</v>
      </c>
      <c r="N642" t="str">
        <f>IF(Table4[[#This Row],[Adjusted Correct]]="-", "",IF(Table4[[#This Row],[Adjusted Correct]]="YES",(Table4[[#This Row],[Strength of Win]]-1)^2,(Table4[[#This Row],[Strength of Win]]-0)^2))</f>
        <v/>
      </c>
      <c r="P642" s="11"/>
    </row>
    <row r="643" spans="4:16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-1.0071073873045386</v>
      </c>
      <c r="H643" t="s">
        <v>20</v>
      </c>
      <c r="I643">
        <f>VLOOKUP(Table4[[#This Row],[Visitor]],'NHL Model'!$A$6:$B$38,2,FALSE)</f>
        <v>0.18369921819729701</v>
      </c>
      <c r="J643">
        <f>($B$1+Table4[[#This Row],[Home Differential]])-Table4[[#This Row],[Away Differential]]</f>
        <v>-1.1073926826304956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0.60173225336183911</v>
      </c>
      <c r="M643" t="str">
        <f>IF(OR((NHL2025_26Results[[#This Row],[Winning Team]]="")),"-",IF(Table4[[#This Row],[Predicted Winner]]=NHL2025_26Results[[#This Row],[Winning Team]],"YES","NO"))</f>
        <v>-</v>
      </c>
      <c r="N643" t="str">
        <f>IF(Table4[[#This Row],[Adjusted Correct]]="-", "",IF(Table4[[#This Row],[Adjusted Correct]]="YES",(Table4[[#This Row],[Strength of Win]]-1)^2,(Table4[[#This Row],[Strength of Win]]-0)^2))</f>
        <v/>
      </c>
      <c r="P643" s="11"/>
    </row>
    <row r="644" spans="4:16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-0.58187345243071342</v>
      </c>
      <c r="H644" t="s">
        <v>32</v>
      </c>
      <c r="I644">
        <f>VLOOKUP(Table4[[#This Row],[Visitor]],'NHL Model'!$A$6:$B$38,2,FALSE)</f>
        <v>-0.51436416305402566</v>
      </c>
      <c r="J644">
        <f>($B$1+Table4[[#This Row],[Home Differential]])-Table4[[#This Row],[Away Differential]]</f>
        <v>1.590463349465232E-2</v>
      </c>
      <c r="K644" t="str">
        <f>IF(Table4[[#This Row],[HomeIce Differential]]&gt;0,Table4[[#This Row],[Home]],Table4[[#This Row],[Visitor]])</f>
        <v>Vancouver Canucks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0.54173729930756886</v>
      </c>
      <c r="M644" t="str">
        <f>IF(OR((NHL2025_26Results[[#This Row],[Winning Team]]="")),"-",IF(Table4[[#This Row],[Predicted Winner]]=NHL2025_26Results[[#This Row],[Winning Team]],"YES","NO"))</f>
        <v>-</v>
      </c>
      <c r="N644" t="str">
        <f>IF(Table4[[#This Row],[Adjusted Correct]]="-", "",IF(Table4[[#This Row],[Adjusted Correct]]="YES",(Table4[[#This Row],[Strength of Win]]-1)^2,(Table4[[#This Row],[Strength of Win]]-0)^2))</f>
        <v/>
      </c>
      <c r="P644" s="11"/>
    </row>
    <row r="645" spans="4:16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0.63414563871719487</v>
      </c>
      <c r="H645" t="s">
        <v>12</v>
      </c>
      <c r="I645">
        <f>VLOOKUP(Table4[[#This Row],[Visitor]],'NHL Model'!$A$6:$B$38,2,FALSE)</f>
        <v>1.7429147091761512</v>
      </c>
      <c r="J645">
        <f>($B$1+Table4[[#This Row],[Home Differential]])-Table4[[#This Row],[Away Differential]]</f>
        <v>-1.0253551475876161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0.59476049665335362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6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-0.21858969522472316</v>
      </c>
      <c r="H646" t="s">
        <v>23</v>
      </c>
      <c r="I646">
        <f>VLOOKUP(Table4[[#This Row],[Visitor]],'NHL Model'!$A$6:$B$38,2,FALSE)</f>
        <v>-0.32833039474346476</v>
      </c>
      <c r="J646">
        <f>($B$1+Table4[[#This Row],[Home Differential]])-Table4[[#This Row],[Away Differential]]</f>
        <v>0.19315462239008169</v>
      </c>
      <c r="K646" t="str">
        <f>IF(Table4[[#This Row],[HomeIce Differential]]&gt;0,Table4[[#This Row],[Home]],Table4[[#This Row],[Visitor]])</f>
        <v>Columbus Blue Jackets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0.56109871892645902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6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-0.64492670113602302</v>
      </c>
      <c r="H647" t="s">
        <v>29</v>
      </c>
      <c r="I647">
        <f>VLOOKUP(Table4[[#This Row],[Visitor]],'NHL Model'!$A$6:$B$38,2,FALSE)</f>
        <v>-0.8717103858022891</v>
      </c>
      <c r="J647">
        <f>($B$1+Table4[[#This Row],[Home Differential]])-Table4[[#This Row],[Away Differential]]</f>
        <v>0.31019760753760617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0.57388359052510074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6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-0.46779379272887778</v>
      </c>
      <c r="H648" t="s">
        <v>14</v>
      </c>
      <c r="I648">
        <f>VLOOKUP(Table4[[#This Row],[Visitor]],'NHL Model'!$A$6:$B$38,2,FALSE)</f>
        <v>0.26772485952910668</v>
      </c>
      <c r="J648">
        <f>($B$1+Table4[[#This Row],[Home Differential]])-Table4[[#This Row],[Away Differential]]</f>
        <v>-0.65210472938664443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0.5751678913273639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6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-0.17631503877657284</v>
      </c>
      <c r="H649" t="s">
        <v>27</v>
      </c>
      <c r="I649">
        <f>VLOOKUP(Table4[[#This Row],[Visitor]],'NHL Model'!$A$6:$B$38,2,FALSE)</f>
        <v>5.7297532801941484E-2</v>
      </c>
      <c r="J649">
        <f>($B$1+Table4[[#This Row],[Home Differential]])-Table4[[#This Row],[Away Differential]]</f>
        <v>-0.15019864870717425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0.49962801668494683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6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9.3318671190422225E-2</v>
      </c>
      <c r="H650" t="s">
        <v>34</v>
      </c>
      <c r="I650">
        <f>VLOOKUP(Table4[[#This Row],[Visitor]],'NHL Model'!$A$6:$B$38,2,FALSE)</f>
        <v>5.5764706436567675E-2</v>
      </c>
      <c r="J650">
        <f>($B$1+Table4[[#This Row],[Home Differential]])-Table4[[#This Row],[Away Differential]]</f>
        <v>0.12096788762519461</v>
      </c>
      <c r="K650" t="str">
        <f>IF(Table4[[#This Row],[HomeIce Differential]]&gt;0,Table4[[#This Row],[Home]],Table4[[#This Row],[Visitor]])</f>
        <v>Los Angeles Kings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0.53244436685815133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6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-3.0305407970040489E-4</v>
      </c>
      <c r="H651" t="s">
        <v>55</v>
      </c>
      <c r="I651">
        <f>VLOOKUP(Table4[[#This Row],[Visitor]],'NHL Model'!$A$6:$B$38,2,FALSE)</f>
        <v>0.16351124183791613</v>
      </c>
      <c r="J651">
        <f>($B$1+Table4[[#This Row],[Home Differential]])-Table4[[#This Row],[Away Differential]]</f>
        <v>-8.0400373046276466E-2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0.42588076129451841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6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0.42358825343066847</v>
      </c>
      <c r="H652" t="s">
        <v>19</v>
      </c>
      <c r="I652">
        <f>VLOOKUP(Table4[[#This Row],[Visitor]],'NHL Model'!$A$6:$B$38,2,FALSE)</f>
        <v>-3.2654449433805091E-2</v>
      </c>
      <c r="J652">
        <f>($B$1+Table4[[#This Row],[Home Differential]])-Table4[[#This Row],[Away Differential]]</f>
        <v>0.53965662573581363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0.59894792121623008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6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-0.1785578406462007</v>
      </c>
      <c r="H653" t="s">
        <v>40</v>
      </c>
      <c r="I653">
        <f>VLOOKUP(Table4[[#This Row],[Visitor]],'NHL Model'!$A$6:$B$38,2,FALSE)</f>
        <v>-7.6933210940904648E-2</v>
      </c>
      <c r="J653">
        <f>($B$1+Table4[[#This Row],[Home Differential]])-Table4[[#This Row],[Away Differential]]</f>
        <v>-1.8210706833955981E-2</v>
      </c>
      <c r="K653" t="str">
        <f>IF(Table4[[#This Row],[HomeIce Differential]]&gt;0,Table4[[#This Row],[Home]],Table4[[#This Row],[Visitor]])</f>
        <v>Winnipeg Jets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0.46198919694588431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6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-0.38457853131220177</v>
      </c>
      <c r="H654" t="s">
        <v>37</v>
      </c>
      <c r="I654">
        <f>VLOOKUP(Table4[[#This Row],[Visitor]],'NHL Model'!$A$6:$B$38,2,FALSE)</f>
        <v>0.67847982929669792</v>
      </c>
      <c r="J654">
        <f>($B$1+Table4[[#This Row],[Home Differential]])-Table4[[#This Row],[Away Differential]]</f>
        <v>-0.9796444377375596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0.63963196022004365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6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-1.0071073873045386</v>
      </c>
      <c r="H655" t="s">
        <v>18</v>
      </c>
      <c r="I655">
        <f>VLOOKUP(Table4[[#This Row],[Visitor]],'NHL Model'!$A$6:$B$38,2,FALSE)</f>
        <v>-0.23554590882174289</v>
      </c>
      <c r="J655">
        <f>($B$1+Table4[[#This Row],[Home Differential]])-Table4[[#This Row],[Away Differential]]</f>
        <v>-0.68814755561145569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0.60779109248508845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6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-0.58187345243071342</v>
      </c>
      <c r="H656" t="s">
        <v>21</v>
      </c>
      <c r="I656">
        <f>VLOOKUP(Table4[[#This Row],[Visitor]],'NHL Model'!$A$6:$B$38,2,FALSE)</f>
        <v>0.2169753953839102</v>
      </c>
      <c r="J656">
        <f>($B$1+Table4[[#This Row],[Home Differential]])-Table4[[#This Row],[Away Differential]]</f>
        <v>-0.71543492494328353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0.5381485848216786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0.95632113049608625</v>
      </c>
      <c r="H657" t="s">
        <v>10</v>
      </c>
      <c r="I657">
        <f>VLOOKUP(Table4[[#This Row],[Visitor]],'NHL Model'!$A$6:$B$38,2,FALSE)</f>
        <v>-8.0981007952892342E-2</v>
      </c>
      <c r="J657">
        <f>($B$1+Table4[[#This Row],[Home Differential]])-Table4[[#This Row],[Away Differential]]</f>
        <v>1.1207160613203186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0.68845610141326441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-0.21858969522472316</v>
      </c>
      <c r="H658" t="s">
        <v>14</v>
      </c>
      <c r="I658">
        <f>VLOOKUP(Table4[[#This Row],[Visitor]],'NHL Model'!$A$6:$B$38,2,FALSE)</f>
        <v>0.26772485952910668</v>
      </c>
      <c r="J658">
        <f>($B$1+Table4[[#This Row],[Home Differential]])-Table4[[#This Row],[Away Differential]]</f>
        <v>-0.40290063188248976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0.55814857030047871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-8.0981007952892342E-2</v>
      </c>
      <c r="H659" t="s">
        <v>20</v>
      </c>
      <c r="I659">
        <f>VLOOKUP(Table4[[#This Row],[Visitor]],'NHL Model'!$A$6:$B$38,2,FALSE)</f>
        <v>0.18369921819729701</v>
      </c>
      <c r="J659">
        <f>($B$1+Table4[[#This Row],[Home Differential]])-Table4[[#This Row],[Away Differential]]</f>
        <v>-0.18126630327884929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0.50056936154733367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0.85927171572006034</v>
      </c>
      <c r="H660" t="s">
        <v>18</v>
      </c>
      <c r="I660">
        <f>VLOOKUP(Table4[[#This Row],[Visitor]],'NHL Model'!$A$6:$B$38,2,FALSE)</f>
        <v>-0.23554590882174289</v>
      </c>
      <c r="J660">
        <f>($B$1+Table4[[#This Row],[Home Differential]])-Table4[[#This Row],[Away Differential]]</f>
        <v>1.1782315474131433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0.6396179435541367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-0.2331185823245894</v>
      </c>
      <c r="H661" t="s">
        <v>12</v>
      </c>
      <c r="I661">
        <f>VLOOKUP(Table4[[#This Row],[Visitor]],'NHL Model'!$A$6:$B$38,2,FALSE)</f>
        <v>1.7429147091761512</v>
      </c>
      <c r="J661">
        <f>($B$1+Table4[[#This Row],[Home Differential]])-Table4[[#This Row],[Away Differential]]</f>
        <v>-1.8926193686294006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0.7330509097590292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-3.0305407970040489E-4</v>
      </c>
      <c r="H662" t="s">
        <v>25</v>
      </c>
      <c r="I662">
        <f>VLOOKUP(Table4[[#This Row],[Visitor]],'NHL Model'!$A$6:$B$38,2,FALSE)</f>
        <v>0.63414563871719487</v>
      </c>
      <c r="J662">
        <f>($B$1+Table4[[#This Row],[Home Differential]])-Table4[[#This Row],[Away Differential]]</f>
        <v>-0.55103476992555522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0.54927375122932443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-0.64492670113602302</v>
      </c>
      <c r="H663" t="s">
        <v>32</v>
      </c>
      <c r="I663">
        <f>VLOOKUP(Table4[[#This Row],[Visitor]],'NHL Model'!$A$6:$B$38,2,FALSE)</f>
        <v>-0.51436416305402566</v>
      </c>
      <c r="J663">
        <f>($B$1+Table4[[#This Row],[Home Differential]])-Table4[[#This Row],[Away Differential]]</f>
        <v>-4.7148615210657274E-2</v>
      </c>
      <c r="K663" t="str">
        <f>IF(Table4[[#This Row],[HomeIce Differential]]&gt;0,Table4[[#This Row],[Home]],Table4[[#This Row],[Visitor]])</f>
        <v>Seattle Kraken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0.46515015052599906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9.3318671190422225E-2</v>
      </c>
      <c r="H664" t="s">
        <v>34</v>
      </c>
      <c r="I664">
        <f>VLOOKUP(Table4[[#This Row],[Visitor]],'NHL Model'!$A$6:$B$38,2,FALSE)</f>
        <v>5.5764706436567675E-2</v>
      </c>
      <c r="J664">
        <f>($B$1+Table4[[#This Row],[Home Differential]])-Table4[[#This Row],[Away Differential]]</f>
        <v>0.12096788762519461</v>
      </c>
      <c r="K664" t="str">
        <f>IF(Table4[[#This Row],[HomeIce Differential]]&gt;0,Table4[[#This Row],[Home]],Table4[[#This Row],[Visitor]])</f>
        <v>Los Angeles Kings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0.53244436685815133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0.21842521198061643</v>
      </c>
      <c r="H665" t="s">
        <v>55</v>
      </c>
      <c r="I665">
        <f>VLOOKUP(Table4[[#This Row],[Visitor]],'NHL Model'!$A$6:$B$38,2,FALSE)</f>
        <v>0.16351124183791613</v>
      </c>
      <c r="J665">
        <f>($B$1+Table4[[#This Row],[Home Differential]])-Table4[[#This Row],[Away Differential]]</f>
        <v>0.13832789301404039</v>
      </c>
      <c r="K665" t="str">
        <f>IF(Table4[[#This Row],[HomeIce Differential]]&gt;0,Table4[[#This Row],[Home]],Table4[[#This Row],[Visitor]])</f>
        <v>New York Rangers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0.55510987051864824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-0.1785578406462007</v>
      </c>
      <c r="H666" t="s">
        <v>26</v>
      </c>
      <c r="I666">
        <f>VLOOKUP(Table4[[#This Row],[Visitor]],'NHL Model'!$A$6:$B$38,2,FALSE)</f>
        <v>-0.46779379272887778</v>
      </c>
      <c r="J666">
        <f>($B$1+Table4[[#This Row],[Home Differential]])-Table4[[#This Row],[Away Differential]]</f>
        <v>0.37264987495401714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0.57987590071739337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0.95632113049608625</v>
      </c>
      <c r="H667" t="s">
        <v>31</v>
      </c>
      <c r="I667">
        <f>VLOOKUP(Table4[[#This Row],[Visitor]],'NHL Model'!$A$6:$B$38,2,FALSE)</f>
        <v>0.25846513585567971</v>
      </c>
      <c r="J667">
        <f>($B$1+Table4[[#This Row],[Home Differential]])-Table4[[#This Row],[Away Differential]]</f>
        <v>0.78126991751174657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0.63079443632181431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-0.32833039474346476</v>
      </c>
      <c r="H668" t="s">
        <v>38</v>
      </c>
      <c r="I668">
        <f>VLOOKUP(Table4[[#This Row],[Visitor]],'NHL Model'!$A$6:$B$38,2,FALSE)</f>
        <v>-0.58187345243071342</v>
      </c>
      <c r="J668">
        <f>($B$1+Table4[[#This Row],[Home Differential]])-Table4[[#This Row],[Away Differential]]</f>
        <v>0.33695698055858875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0.58692882711981242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0.63414563871719487</v>
      </c>
      <c r="H669" t="s">
        <v>39</v>
      </c>
      <c r="I669">
        <f>VLOOKUP(Table4[[#This Row],[Visitor]],'NHL Model'!$A$6:$B$38,2,FALSE)</f>
        <v>0.85927171572006034</v>
      </c>
      <c r="J669">
        <f>($B$1+Table4[[#This Row],[Home Differential]])-Table4[[#This Row],[Away Differential]]</f>
        <v>-0.14171215413152538</v>
      </c>
      <c r="K669" t="str">
        <f>IF(Table4[[#This Row],[HomeIce Differential]]&gt;0,Table4[[#This Row],[Home]],Table4[[#This Row],[Visitor]])</f>
        <v>Dallas Stars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0.52457045015229664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-0.17631503877657284</v>
      </c>
      <c r="H670" t="s">
        <v>29</v>
      </c>
      <c r="I670">
        <f>VLOOKUP(Table4[[#This Row],[Visitor]],'NHL Model'!$A$6:$B$38,2,FALSE)</f>
        <v>-0.8717103858022891</v>
      </c>
      <c r="J670">
        <f>($B$1+Table4[[#This Row],[Home Differential]])-Table4[[#This Row],[Away Differential]]</f>
        <v>0.77880926989705634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0.6441765400390238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0.42358825343066847</v>
      </c>
      <c r="H671" t="s">
        <v>24</v>
      </c>
      <c r="I671">
        <f>VLOOKUP(Table4[[#This Row],[Visitor]],'NHL Model'!$A$6:$B$38,2,FALSE)</f>
        <v>-3.0305407970040489E-4</v>
      </c>
      <c r="J671">
        <f>($B$1+Table4[[#This Row],[Home Differential]])-Table4[[#This Row],[Away Differential]]</f>
        <v>0.50730523038170894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0.59183794574579629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5.7297532801941484E-2</v>
      </c>
      <c r="H672" t="s">
        <v>31</v>
      </c>
      <c r="I672">
        <f>VLOOKUP(Table4[[#This Row],[Visitor]],'NHL Model'!$A$6:$B$38,2,FALSE)</f>
        <v>0.25846513585567971</v>
      </c>
      <c r="J672">
        <f>($B$1+Table4[[#This Row],[Home Differential]])-Table4[[#This Row],[Away Differential]]</f>
        <v>-0.11775368018239815</v>
      </c>
      <c r="K672" t="str">
        <f>IF(Table4[[#This Row],[HomeIce Differential]]&gt;0,Table4[[#This Row],[Home]],Table4[[#This Row],[Visitor]])</f>
        <v>Anaheim Ducks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0.46740795697994009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-0.51436416305402566</v>
      </c>
      <c r="H673" t="s">
        <v>21</v>
      </c>
      <c r="I673">
        <f>VLOOKUP(Table4[[#This Row],[Visitor]],'NHL Model'!$A$6:$B$38,2,FALSE)</f>
        <v>0.2169753953839102</v>
      </c>
      <c r="J673">
        <f>($B$1+Table4[[#This Row],[Home Differential]])-Table4[[#This Row],[Away Differential]]</f>
        <v>-0.64792563556659577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0.53077439152586825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-0.38457853131220177</v>
      </c>
      <c r="H674" t="s">
        <v>28</v>
      </c>
      <c r="I674">
        <f>VLOOKUP(Table4[[#This Row],[Visitor]],'NHL Model'!$A$6:$B$38,2,FALSE)</f>
        <v>-0.21858969522472316</v>
      </c>
      <c r="J674">
        <f>($B$1+Table4[[#This Row],[Home Differential]])-Table4[[#This Row],[Away Differential]]</f>
        <v>-8.2574913216138524E-2</v>
      </c>
      <c r="K674" t="str">
        <f>IF(Table4[[#This Row],[HomeIce Differential]]&gt;0,Table4[[#This Row],[Home]],Table4[[#This Row],[Visitor]])</f>
        <v>Columbus Blue Jackets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0.4690198456695775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0.67847982929669792</v>
      </c>
      <c r="H675" t="s">
        <v>12</v>
      </c>
      <c r="I675">
        <f>VLOOKUP(Table4[[#This Row],[Visitor]],'NHL Model'!$A$6:$B$38,2,FALSE)</f>
        <v>1.7429147091761512</v>
      </c>
      <c r="J675">
        <f>($B$1+Table4[[#This Row],[Home Differential]])-Table4[[#This Row],[Away Differential]]</f>
        <v>-0.9810209570081132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0.63347494091805989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-3.2654449433805091E-2</v>
      </c>
      <c r="H676" t="s">
        <v>11</v>
      </c>
      <c r="I676">
        <f>VLOOKUP(Table4[[#This Row],[Visitor]],'NHL Model'!$A$6:$B$38,2,FALSE)</f>
        <v>-0.2331185823245894</v>
      </c>
      <c r="J676">
        <f>($B$1+Table4[[#This Row],[Home Differential]])-Table4[[#This Row],[Away Differential]]</f>
        <v>0.28387805576212438</v>
      </c>
      <c r="K676" t="str">
        <f>IF(Table4[[#This Row],[HomeIce Differential]]&gt;0,Table4[[#This Row],[Home]],Table4[[#This Row],[Visitor]])</f>
        <v>Toronto Maple Leafs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0.57100864599460011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-7.6933210940904648E-2</v>
      </c>
      <c r="H677" t="s">
        <v>20</v>
      </c>
      <c r="I677">
        <f>VLOOKUP(Table4[[#This Row],[Visitor]],'NHL Model'!$A$6:$B$38,2,FALSE)</f>
        <v>0.18369921819729701</v>
      </c>
      <c r="J677">
        <f>($B$1+Table4[[#This Row],[Home Differential]])-Table4[[#This Row],[Away Differential]]</f>
        <v>-0.17721850626686159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0.48089644223819444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-8.0981007952892342E-2</v>
      </c>
      <c r="H678" t="s">
        <v>35</v>
      </c>
      <c r="I678">
        <f>VLOOKUP(Table4[[#This Row],[Visitor]],'NHL Model'!$A$6:$B$38,2,FALSE)</f>
        <v>-1.0071073873045386</v>
      </c>
      <c r="J678">
        <f>($B$1+Table4[[#This Row],[Home Differential]])-Table4[[#This Row],[Away Differential]]</f>
        <v>1.0095403022229863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0.65027438441788465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9.3318671190422225E-2</v>
      </c>
      <c r="H679" t="s">
        <v>33</v>
      </c>
      <c r="I679">
        <f>VLOOKUP(Table4[[#This Row],[Visitor]],'NHL Model'!$A$6:$B$38,2,FALSE)</f>
        <v>-0.38457853131220177</v>
      </c>
      <c r="J679">
        <f>($B$1+Table4[[#This Row],[Home Differential]])-Table4[[#This Row],[Away Differential]]</f>
        <v>0.56131112537396399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0.60131329148645718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-0.23554590882174289</v>
      </c>
      <c r="H680" t="s">
        <v>16</v>
      </c>
      <c r="I680">
        <f>VLOOKUP(Table4[[#This Row],[Visitor]],'NHL Model'!$A$6:$B$38,2,FALSE)</f>
        <v>-0.64492670113602302</v>
      </c>
      <c r="J680">
        <f>($B$1+Table4[[#This Row],[Home Differential]])-Table4[[#This Row],[Away Differential]]</f>
        <v>0.49279471518562018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0.59382908809268908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0.16351124183791613</v>
      </c>
      <c r="H681" t="s">
        <v>36</v>
      </c>
      <c r="I681">
        <f>VLOOKUP(Table4[[#This Row],[Visitor]],'NHL Model'!$A$6:$B$38,2,FALSE)</f>
        <v>-0.1785578406462007</v>
      </c>
      <c r="J681">
        <f>($B$1+Table4[[#This Row],[Home Differential]])-Table4[[#This Row],[Away Differential]]</f>
        <v>0.42548300535545691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0.62339955378341416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0.95632113049608625</v>
      </c>
      <c r="H682" t="s">
        <v>39</v>
      </c>
      <c r="I682">
        <f>VLOOKUP(Table4[[#This Row],[Visitor]],'NHL Model'!$A$6:$B$38,2,FALSE)</f>
        <v>0.85927171572006034</v>
      </c>
      <c r="J682">
        <f>($B$1+Table4[[#This Row],[Home Differential]])-Table4[[#This Row],[Away Differential]]</f>
        <v>0.180463337647366</v>
      </c>
      <c r="K682" t="str">
        <f>IF(Table4[[#This Row],[HomeIce Differential]]&gt;0,Table4[[#This Row],[Home]],Table4[[#This Row],[Visitor]])</f>
        <v>Washington Capitals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0.49339663154134583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0.2169753953839102</v>
      </c>
      <c r="H683" t="s">
        <v>16</v>
      </c>
      <c r="I683">
        <f>VLOOKUP(Table4[[#This Row],[Visitor]],'NHL Model'!$A$6:$B$38,2,FALSE)</f>
        <v>-0.64492670113602302</v>
      </c>
      <c r="J683">
        <f>($B$1+Table4[[#This Row],[Home Differential]])-Table4[[#This Row],[Away Differential]]</f>
        <v>0.9453160193912733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0.70238756016701587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0.63414563871719487</v>
      </c>
      <c r="H684" t="s">
        <v>31</v>
      </c>
      <c r="I684">
        <f>VLOOKUP(Table4[[#This Row],[Visitor]],'NHL Model'!$A$6:$B$38,2,FALSE)</f>
        <v>0.25846513585567971</v>
      </c>
      <c r="J684">
        <f>($B$1+Table4[[#This Row],[Home Differential]])-Table4[[#This Row],[Away Differential]]</f>
        <v>0.45909442573285525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0.6126479287908515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1.7429147091761512</v>
      </c>
      <c r="H685" t="s">
        <v>36</v>
      </c>
      <c r="I685">
        <f>VLOOKUP(Table4[[#This Row],[Visitor]],'NHL Model'!$A$6:$B$38,2,FALSE)</f>
        <v>-0.1785578406462007</v>
      </c>
      <c r="J685">
        <f>($B$1+Table4[[#This Row],[Home Differential]])-Table4[[#This Row],[Away Differential]]</f>
        <v>2.0048864726936917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0.86352956152576144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-0.46779379272887778</v>
      </c>
      <c r="H686" t="s">
        <v>38</v>
      </c>
      <c r="I686">
        <f>VLOOKUP(Table4[[#This Row],[Visitor]],'NHL Model'!$A$6:$B$38,2,FALSE)</f>
        <v>-0.58187345243071342</v>
      </c>
      <c r="J686">
        <f>($B$1+Table4[[#This Row],[Home Differential]])-Table4[[#This Row],[Away Differential]]</f>
        <v>0.19749358257317573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0.5716949228093029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-0.23554590882174289</v>
      </c>
      <c r="H687" t="s">
        <v>11</v>
      </c>
      <c r="I687">
        <f>VLOOKUP(Table4[[#This Row],[Visitor]],'NHL Model'!$A$6:$B$38,2,FALSE)</f>
        <v>-0.2331185823245894</v>
      </c>
      <c r="J687">
        <f>($B$1+Table4[[#This Row],[Home Differential]])-Table4[[#This Row],[Away Differential]]</f>
        <v>8.0986596374186565E-2</v>
      </c>
      <c r="K687" t="str">
        <f>IF(Table4[[#This Row],[HomeIce Differential]]&gt;0,Table4[[#This Row],[Home]],Table4[[#This Row],[Visitor]])</f>
        <v>Montreal Canadiens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0.54884635020672068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-0.8717103858022891</v>
      </c>
      <c r="H688" t="s">
        <v>30</v>
      </c>
      <c r="I688">
        <f>VLOOKUP(Table4[[#This Row],[Visitor]],'NHL Model'!$A$6:$B$38,2,FALSE)</f>
        <v>0.42358825343066847</v>
      </c>
      <c r="J688">
        <f>($B$1+Table4[[#This Row],[Home Differential]])-Table4[[#This Row],[Away Differential]]</f>
        <v>-1.2118847163616175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0.67585518607794781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0.21842521198061643</v>
      </c>
      <c r="H689" t="s">
        <v>23</v>
      </c>
      <c r="I689">
        <f>VLOOKUP(Table4[[#This Row],[Visitor]],'NHL Model'!$A$6:$B$38,2,FALSE)</f>
        <v>-0.32833039474346476</v>
      </c>
      <c r="J689">
        <f>($B$1+Table4[[#This Row],[Home Differential]])-Table4[[#This Row],[Away Differential]]</f>
        <v>0.63016952959542127</v>
      </c>
      <c r="K689" t="str">
        <f>IF(Table4[[#This Row],[HomeIce Differential]]&gt;0,Table4[[#This Row],[Home]],Table4[[#This Row],[Visitor]])</f>
        <v>New York Rangers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0.60883485166666862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5.7297532801941484E-2</v>
      </c>
      <c r="H690" t="s">
        <v>19</v>
      </c>
      <c r="I690">
        <f>VLOOKUP(Table4[[#This Row],[Visitor]],'NHL Model'!$A$6:$B$38,2,FALSE)</f>
        <v>-3.2654449433805091E-2</v>
      </c>
      <c r="J690">
        <f>($B$1+Table4[[#This Row],[Home Differential]])-Table4[[#This Row],[Away Differential]]</f>
        <v>0.17336590510708666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0.58497488815752452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0.26772485952910668</v>
      </c>
      <c r="H691" t="s">
        <v>24</v>
      </c>
      <c r="I691">
        <f>VLOOKUP(Table4[[#This Row],[Visitor]],'NHL Model'!$A$6:$B$38,2,FALSE)</f>
        <v>-3.0305407970040489E-4</v>
      </c>
      <c r="J691">
        <f>($B$1+Table4[[#This Row],[Home Differential]])-Table4[[#This Row],[Away Differential]]</f>
        <v>0.35144183648014715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0.57481263256322201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-0.51436416305402566</v>
      </c>
      <c r="H692" t="s">
        <v>34</v>
      </c>
      <c r="I692">
        <f>VLOOKUP(Table4[[#This Row],[Visitor]],'NHL Model'!$A$6:$B$38,2,FALSE)</f>
        <v>5.5764706436567675E-2</v>
      </c>
      <c r="J692">
        <f>($B$1+Table4[[#This Row],[Home Differential]])-Table4[[#This Row],[Away Differential]]</f>
        <v>-0.48671494661925324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0.53393421190691959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0.18369921819729701</v>
      </c>
      <c r="H693" t="s">
        <v>28</v>
      </c>
      <c r="I693">
        <f>VLOOKUP(Table4[[#This Row],[Visitor]],'NHL Model'!$A$6:$B$38,2,FALSE)</f>
        <v>-0.21858969522472316</v>
      </c>
      <c r="J693">
        <f>($B$1+Table4[[#This Row],[Home Differential]])-Table4[[#This Row],[Away Differential]]</f>
        <v>0.48570283629336025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0.59305442602373737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-7.6933210940904648E-2</v>
      </c>
      <c r="H694" t="s">
        <v>17</v>
      </c>
      <c r="I694">
        <f>VLOOKUP(Table4[[#This Row],[Visitor]],'NHL Model'!$A$6:$B$38,2,FALSE)</f>
        <v>-0.17631503877657284</v>
      </c>
      <c r="J694">
        <f>($B$1+Table4[[#This Row],[Home Differential]])-Table4[[#This Row],[Away Differential]]</f>
        <v>0.18279575070700826</v>
      </c>
      <c r="K694" t="str">
        <f>IF(Table4[[#This Row],[HomeIce Differential]]&gt;0,Table4[[#This Row],[Home]],Table4[[#This Row],[Visitor]])</f>
        <v>Winnipeg Jets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0.57907262711083807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-8.0981007952892342E-2</v>
      </c>
      <c r="H695" t="s">
        <v>22</v>
      </c>
      <c r="I695">
        <f>VLOOKUP(Table4[[#This Row],[Visitor]],'NHL Model'!$A$6:$B$38,2,FALSE)</f>
        <v>0.95632113049608625</v>
      </c>
      <c r="J695">
        <f>($B$1+Table4[[#This Row],[Home Differential]])-Table4[[#This Row],[Away Differential]]</f>
        <v>-0.95388821557763848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0.61833419783816923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0.16351124183791613</v>
      </c>
      <c r="H696" t="s">
        <v>35</v>
      </c>
      <c r="I696">
        <f>VLOOKUP(Table4[[#This Row],[Visitor]],'NHL Model'!$A$6:$B$38,2,FALSE)</f>
        <v>-1.0071073873045386</v>
      </c>
      <c r="J696">
        <f>($B$1+Table4[[#This Row],[Home Differential]])-Table4[[#This Row],[Away Differential]]</f>
        <v>1.2540325520137947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0.71741200665005189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-7.6933210940904648E-2</v>
      </c>
      <c r="H697" t="s">
        <v>13</v>
      </c>
      <c r="I697">
        <f>VLOOKUP(Table4[[#This Row],[Visitor]],'NHL Model'!$A$6:$B$38,2,FALSE)</f>
        <v>9.3318671190422225E-2</v>
      </c>
      <c r="J697">
        <f>($B$1+Table4[[#This Row],[Home Differential]])-Table4[[#This Row],[Away Differential]]</f>
        <v>-8.6837959259986802E-2</v>
      </c>
      <c r="K697" t="str">
        <f>IF(Table4[[#This Row],[HomeIce Differential]]&gt;0,Table4[[#This Row],[Home]],Table4[[#This Row],[Visitor]])</f>
        <v>Los Angeles Kings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0.51652776141062284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0.2169753953839102</v>
      </c>
      <c r="H698" t="s">
        <v>15</v>
      </c>
      <c r="I698">
        <f>VLOOKUP(Table4[[#This Row],[Visitor]],'NHL Model'!$A$6:$B$38,2,FALSE)</f>
        <v>0.21842521198061643</v>
      </c>
      <c r="J698">
        <f>($B$1+Table4[[#This Row],[Home Differential]])-Table4[[#This Row],[Away Differential]]</f>
        <v>8.1964106274633852E-2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0.50235681976886581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-0.32833039474346476</v>
      </c>
      <c r="H699" t="s">
        <v>31</v>
      </c>
      <c r="I699">
        <f>VLOOKUP(Table4[[#This Row],[Visitor]],'NHL Model'!$A$6:$B$38,2,FALSE)</f>
        <v>0.25846513585567971</v>
      </c>
      <c r="J699">
        <f>($B$1+Table4[[#This Row],[Home Differential]])-Table4[[#This Row],[Away Differential]]</f>
        <v>-0.50338160772780438</v>
      </c>
      <c r="K699" t="str">
        <f>IF(Table4[[#This Row],[HomeIce Differential]]&gt;0,Table4[[#This Row],[Home]],Table4[[#This Row],[Visitor]])</f>
        <v>Anaheim Ducks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0.52557375374963311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0.63414563871719487</v>
      </c>
      <c r="H700" t="s">
        <v>32</v>
      </c>
      <c r="I700">
        <f>VLOOKUP(Table4[[#This Row],[Visitor]],'NHL Model'!$A$6:$B$38,2,FALSE)</f>
        <v>-0.51436416305402566</v>
      </c>
      <c r="J700">
        <f>($B$1+Table4[[#This Row],[Home Differential]])-Table4[[#This Row],[Away Differential]]</f>
        <v>1.2319237246425607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0.71746738608576099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1.7429147091761512</v>
      </c>
      <c r="H701" t="s">
        <v>28</v>
      </c>
      <c r="I701">
        <f>VLOOKUP(Table4[[#This Row],[Visitor]],'NHL Model'!$A$6:$B$38,2,FALSE)</f>
        <v>-0.21858969522472316</v>
      </c>
      <c r="J701">
        <f>($B$1+Table4[[#This Row],[Home Differential]])-Table4[[#This Row],[Away Differential]]</f>
        <v>2.0449183272722142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0.87119204793591121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-0.17631503877657284</v>
      </c>
      <c r="H702" t="s">
        <v>13</v>
      </c>
      <c r="I702">
        <f>VLOOKUP(Table4[[#This Row],[Visitor]],'NHL Model'!$A$6:$B$38,2,FALSE)</f>
        <v>9.3318671190422225E-2</v>
      </c>
      <c r="J702">
        <f>($B$1+Table4[[#This Row],[Home Differential]])-Table4[[#This Row],[Away Differential]]</f>
        <v>-0.18621978709565501</v>
      </c>
      <c r="K702" t="str">
        <f>IF(Table4[[#This Row],[HomeIce Differential]]&gt;0,Table4[[#This Row],[Home]],Table4[[#This Row],[Visitor]])</f>
        <v>Los Angeles Kings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0.52738346460817764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5.5764706436567675E-2</v>
      </c>
      <c r="H703" t="s">
        <v>30</v>
      </c>
      <c r="I703">
        <f>VLOOKUP(Table4[[#This Row],[Visitor]],'NHL Model'!$A$6:$B$38,2,FALSE)</f>
        <v>0.42358825343066847</v>
      </c>
      <c r="J703">
        <f>($B$1+Table4[[#This Row],[Home Differential]])-Table4[[#This Row],[Away Differential]]</f>
        <v>-0.28440962412276072</v>
      </c>
      <c r="K703" t="str">
        <f>IF(Table4[[#This Row],[HomeIce Differential]]&gt;0,Table4[[#This Row],[Home]],Table4[[#This Row],[Visitor]])</f>
        <v>New York Islanders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0.57454497128577997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-0.23554590882174289</v>
      </c>
      <c r="H704" t="s">
        <v>26</v>
      </c>
      <c r="I704">
        <f>VLOOKUP(Table4[[#This Row],[Visitor]],'NHL Model'!$A$6:$B$38,2,FALSE)</f>
        <v>-0.46779379272887778</v>
      </c>
      <c r="J704">
        <f>($B$1+Table4[[#This Row],[Home Differential]])-Table4[[#This Row],[Away Differential]]</f>
        <v>0.31566180677847494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0.57365096435439289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-0.8717103858022891</v>
      </c>
      <c r="H705" t="s">
        <v>10</v>
      </c>
      <c r="I705">
        <f>VLOOKUP(Table4[[#This Row],[Visitor]],'NHL Model'!$A$6:$B$38,2,FALSE)</f>
        <v>-8.0981007952892342E-2</v>
      </c>
      <c r="J705">
        <f>($B$1+Table4[[#This Row],[Home Differential]])-Table4[[#This Row],[Away Differential]]</f>
        <v>-0.7073154549780567</v>
      </c>
      <c r="K705" t="str">
        <f>IF(Table4[[#This Row],[HomeIce Differential]]&gt;0,Table4[[#This Row],[Home]],Table4[[#This Row],[Visitor]])</f>
        <v>Chicago Blackhawks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0.53726167664154623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-0.1785578406462007</v>
      </c>
      <c r="H706" t="s">
        <v>11</v>
      </c>
      <c r="I706">
        <f>VLOOKUP(Table4[[#This Row],[Visitor]],'NHL Model'!$A$6:$B$38,2,FALSE)</f>
        <v>-0.2331185823245894</v>
      </c>
      <c r="J706">
        <f>($B$1+Table4[[#This Row],[Home Differential]])-Table4[[#This Row],[Away Differential]]</f>
        <v>0.13797466454972879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0.55507128656972116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5.7297532801941484E-2</v>
      </c>
      <c r="H707" t="s">
        <v>37</v>
      </c>
      <c r="I707">
        <f>VLOOKUP(Table4[[#This Row],[Visitor]],'NHL Model'!$A$6:$B$38,2,FALSE)</f>
        <v>0.67847982929669792</v>
      </c>
      <c r="J707">
        <f>($B$1+Table4[[#This Row],[Home Differential]])-Table4[[#This Row],[Away Differential]]</f>
        <v>-0.53776837362341634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0.56507077706533115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0.26772485952910668</v>
      </c>
      <c r="H708" t="s">
        <v>16</v>
      </c>
      <c r="I708">
        <f>VLOOKUP(Table4[[#This Row],[Visitor]],'NHL Model'!$A$6:$B$38,2,FALSE)</f>
        <v>-0.64492670113602302</v>
      </c>
      <c r="J708">
        <f>($B$1+Table4[[#This Row],[Home Differential]])-Table4[[#This Row],[Away Differential]]</f>
        <v>0.99606548353646973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0.6488024993108451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-0.38457853131220177</v>
      </c>
      <c r="H709" t="s">
        <v>39</v>
      </c>
      <c r="I709">
        <f>VLOOKUP(Table4[[#This Row],[Visitor]],'NHL Model'!$A$6:$B$38,2,FALSE)</f>
        <v>0.85927171572006034</v>
      </c>
      <c r="J709">
        <f>($B$1+Table4[[#This Row],[Home Differential]])-Table4[[#This Row],[Away Differential]]</f>
        <v>-1.1604363241609219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0.67924328810293522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-3.2654449433805091E-2</v>
      </c>
      <c r="H710" t="s">
        <v>38</v>
      </c>
      <c r="I710">
        <f>VLOOKUP(Table4[[#This Row],[Visitor]],'NHL Model'!$A$6:$B$38,2,FALSE)</f>
        <v>-0.58187345243071342</v>
      </c>
      <c r="J710">
        <f>($B$1+Table4[[#This Row],[Home Differential]])-Table4[[#This Row],[Away Differential]]</f>
        <v>0.63263292586824837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0.60910393404700069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0.18369921819729701</v>
      </c>
      <c r="H711" t="s">
        <v>35</v>
      </c>
      <c r="I711">
        <f>VLOOKUP(Table4[[#This Row],[Visitor]],'NHL Model'!$A$6:$B$38,2,FALSE)</f>
        <v>-1.0071073873045386</v>
      </c>
      <c r="J711">
        <f>($B$1+Table4[[#This Row],[Home Differential]])-Table4[[#This Row],[Away Differential]]</f>
        <v>1.2742205283731758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0.67918600779936678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0.2169753953839102</v>
      </c>
      <c r="H712" t="s">
        <v>14</v>
      </c>
      <c r="I712">
        <f>VLOOKUP(Table4[[#This Row],[Visitor]],'NHL Model'!$A$6:$B$38,2,FALSE)</f>
        <v>0.26772485952910668</v>
      </c>
      <c r="J712">
        <f>($B$1+Table4[[#This Row],[Home Differential]])-Table4[[#This Row],[Away Differential]]</f>
        <v>3.2664458726143597E-2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0.54966730393468088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-0.8717103858022891</v>
      </c>
      <c r="H713" t="s">
        <v>22</v>
      </c>
      <c r="I713">
        <f>VLOOKUP(Table4[[#This Row],[Visitor]],'NHL Model'!$A$6:$B$38,2,FALSE)</f>
        <v>0.95632113049608625</v>
      </c>
      <c r="J713">
        <f>($B$1+Table4[[#This Row],[Home Differential]])-Table4[[#This Row],[Away Differential]]</f>
        <v>-1.7446175934270354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0.70470736708309467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-0.38457853131220177</v>
      </c>
      <c r="H714" t="s">
        <v>20</v>
      </c>
      <c r="I714">
        <f>VLOOKUP(Table4[[#This Row],[Visitor]],'NHL Model'!$A$6:$B$38,2,FALSE)</f>
        <v>0.18369921819729701</v>
      </c>
      <c r="J714">
        <f>($B$1+Table4[[#This Row],[Home Differential]])-Table4[[#This Row],[Away Differential]]</f>
        <v>-0.48486382663815869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0.53373200985916636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0.16351124183791613</v>
      </c>
      <c r="H715" t="s">
        <v>28</v>
      </c>
      <c r="I715">
        <f>VLOOKUP(Table4[[#This Row],[Visitor]],'NHL Model'!$A$6:$B$38,2,FALSE)</f>
        <v>-0.21858969522472316</v>
      </c>
      <c r="J715">
        <f>($B$1+Table4[[#This Row],[Home Differential]])-Table4[[#This Row],[Away Differential]]</f>
        <v>0.46551485993397934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0.63128042487442249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-7.6933210940904648E-2</v>
      </c>
      <c r="H716" t="s">
        <v>24</v>
      </c>
      <c r="I716">
        <f>VLOOKUP(Table4[[#This Row],[Visitor]],'NHL Model'!$A$6:$B$38,2,FALSE)</f>
        <v>-3.0305407970040489E-4</v>
      </c>
      <c r="J716">
        <f>($B$1+Table4[[#This Row],[Home Differential]])-Table4[[#This Row],[Away Differential]]</f>
        <v>6.783766010135828E-3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0.5562965617532829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-0.32833039474346476</v>
      </c>
      <c r="H717" t="s">
        <v>11</v>
      </c>
      <c r="I717">
        <f>VLOOKUP(Table4[[#This Row],[Visitor]],'NHL Model'!$A$6:$B$38,2,FALSE)</f>
        <v>-0.2331185823245894</v>
      </c>
      <c r="J717">
        <f>($B$1+Table4[[#This Row],[Home Differential]])-Table4[[#This Row],[Away Differential]]</f>
        <v>-1.1797889547535273E-2</v>
      </c>
      <c r="K717" t="str">
        <f>IF(Table4[[#This Row],[HomeIce Differential]]&gt;0,Table4[[#This Row],[Home]],Table4[[#This Row],[Visitor]])</f>
        <v>Florida Panthers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0.45116646093258811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-8.0981007952892342E-2</v>
      </c>
      <c r="H718" t="s">
        <v>17</v>
      </c>
      <c r="I718">
        <f>VLOOKUP(Table4[[#This Row],[Visitor]],'NHL Model'!$A$6:$B$38,2,FALSE)</f>
        <v>-0.17631503877657284</v>
      </c>
      <c r="J718">
        <f>($B$1+Table4[[#This Row],[Home Differential]])-Table4[[#This Row],[Away Differential]]</f>
        <v>0.17874795369502056</v>
      </c>
      <c r="K718" t="str">
        <f>IF(Table4[[#This Row],[HomeIce Differential]]&gt;0,Table4[[#This Row],[Home]],Table4[[#This Row],[Visitor]])</f>
        <v>Chicago Blackhawks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0.55952504572256412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1.7429147091761512</v>
      </c>
      <c r="H719" t="s">
        <v>19</v>
      </c>
      <c r="I719">
        <f>VLOOKUP(Table4[[#This Row],[Visitor]],'NHL Model'!$A$6:$B$38,2,FALSE)</f>
        <v>-3.2654449433805091E-2</v>
      </c>
      <c r="J719">
        <f>($B$1+Table4[[#This Row],[Home Differential]])-Table4[[#This Row],[Away Differential]]</f>
        <v>1.8589830814812962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0.85088191794304968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-0.46779379272887778</v>
      </c>
      <c r="H720" t="s">
        <v>25</v>
      </c>
      <c r="I720">
        <f>VLOOKUP(Table4[[#This Row],[Visitor]],'NHL Model'!$A$6:$B$38,2,FALSE)</f>
        <v>0.63414563871719487</v>
      </c>
      <c r="J720">
        <f>($B$1+Table4[[#This Row],[Home Differential]])-Table4[[#This Row],[Away Differential]]</f>
        <v>-1.0185255085747325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0.63370483854533399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9.3318671190422225E-2</v>
      </c>
      <c r="H721" t="s">
        <v>39</v>
      </c>
      <c r="I721">
        <f>VLOOKUP(Table4[[#This Row],[Visitor]],'NHL Model'!$A$6:$B$38,2,FALSE)</f>
        <v>0.85927171572006034</v>
      </c>
      <c r="J721">
        <f>($B$1+Table4[[#This Row],[Home Differential]])-Table4[[#This Row],[Away Differential]]</f>
        <v>-0.68253912165829811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0.62704148921985736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5.5764706436567675E-2</v>
      </c>
      <c r="H722" t="s">
        <v>24</v>
      </c>
      <c r="I722">
        <f>VLOOKUP(Table4[[#This Row],[Visitor]],'NHL Model'!$A$6:$B$38,2,FALSE)</f>
        <v>-3.0305407970040489E-4</v>
      </c>
      <c r="J722">
        <f>($B$1+Table4[[#This Row],[Home Differential]])-Table4[[#This Row],[Away Differential]]</f>
        <v>0.13948168338760816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0.55165974272620233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-0.23554590882174289</v>
      </c>
      <c r="H723" t="s">
        <v>38</v>
      </c>
      <c r="I723">
        <f>VLOOKUP(Table4[[#This Row],[Visitor]],'NHL Model'!$A$6:$B$38,2,FALSE)</f>
        <v>-0.58187345243071342</v>
      </c>
      <c r="J723">
        <f>($B$1+Table4[[#This Row],[Home Differential]])-Table4[[#This Row],[Away Differential]]</f>
        <v>0.42974146648031059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0.58694163825912116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0.21842521198061643</v>
      </c>
      <c r="H724" t="s">
        <v>32</v>
      </c>
      <c r="I724">
        <f>VLOOKUP(Table4[[#This Row],[Visitor]],'NHL Model'!$A$6:$B$38,2,FALSE)</f>
        <v>-0.51436416305402566</v>
      </c>
      <c r="J724">
        <f>($B$1+Table4[[#This Row],[Home Differential]])-Table4[[#This Row],[Away Differential]]</f>
        <v>0.81620329790598212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0.62915574349853842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5.7297532801941484E-2</v>
      </c>
      <c r="H725" t="s">
        <v>37</v>
      </c>
      <c r="I725">
        <f>VLOOKUP(Table4[[#This Row],[Visitor]],'NHL Model'!$A$6:$B$38,2,FALSE)</f>
        <v>0.67847982929669792</v>
      </c>
      <c r="J725">
        <f>($B$1+Table4[[#This Row],[Home Differential]])-Table4[[#This Row],[Away Differential]]</f>
        <v>-0.53776837362341634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0.56507077706533115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0.25846513585567971</v>
      </c>
      <c r="H726" t="s">
        <v>39</v>
      </c>
      <c r="I726">
        <f>VLOOKUP(Table4[[#This Row],[Visitor]],'NHL Model'!$A$6:$B$38,2,FALSE)</f>
        <v>0.85927171572006034</v>
      </c>
      <c r="J726">
        <f>($B$1+Table4[[#This Row],[Home Differential]])-Table4[[#This Row],[Away Differential]]</f>
        <v>-0.51739265699304049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0.53927459793851484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0.2169753953839102</v>
      </c>
      <c r="H727" t="s">
        <v>26</v>
      </c>
      <c r="I727">
        <f>VLOOKUP(Table4[[#This Row],[Visitor]],'NHL Model'!$A$6:$B$38,2,FALSE)</f>
        <v>-0.46779379272887778</v>
      </c>
      <c r="J727">
        <f>($B$1+Table4[[#This Row],[Home Differential]])-Table4[[#This Row],[Away Differential]]</f>
        <v>0.76818311098412806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0.6822367490439023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-0.21858969522472316</v>
      </c>
      <c r="H728" t="s">
        <v>16</v>
      </c>
      <c r="I728">
        <f>VLOOKUP(Table4[[#This Row],[Visitor]],'NHL Model'!$A$6:$B$38,2,FALSE)</f>
        <v>-0.64492670113602302</v>
      </c>
      <c r="J728">
        <f>($B$1+Table4[[#This Row],[Home Differential]])-Table4[[#This Row],[Away Differential]]</f>
        <v>0.50975092878263994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0.5956812538877071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-0.8717103858022891</v>
      </c>
      <c r="H729" t="s">
        <v>17</v>
      </c>
      <c r="I729">
        <f>VLOOKUP(Table4[[#This Row],[Visitor]],'NHL Model'!$A$6:$B$38,2,FALSE)</f>
        <v>-0.17631503877657284</v>
      </c>
      <c r="J729">
        <f>($B$1+Table4[[#This Row],[Home Differential]])-Table4[[#This Row],[Away Differential]]</f>
        <v>-0.61198142415437617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0.52684812352236143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-0.1785578406462007</v>
      </c>
      <c r="H730" t="s">
        <v>38</v>
      </c>
      <c r="I730">
        <f>VLOOKUP(Table4[[#This Row],[Visitor]],'NHL Model'!$A$6:$B$38,2,FALSE)</f>
        <v>-0.58187345243071342</v>
      </c>
      <c r="J730">
        <f>($B$1+Table4[[#This Row],[Home Differential]])-Table4[[#This Row],[Away Differential]]</f>
        <v>0.48672953465585278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0.59316657462212163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0.26772485952910668</v>
      </c>
      <c r="H731" t="s">
        <v>37</v>
      </c>
      <c r="I731">
        <f>VLOOKUP(Table4[[#This Row],[Visitor]],'NHL Model'!$A$6:$B$38,2,FALSE)</f>
        <v>0.67847982929669792</v>
      </c>
      <c r="J731">
        <f>($B$1+Table4[[#This Row],[Home Differential]])-Table4[[#This Row],[Away Differential]]</f>
        <v>-0.32734104689625115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0.56837937652394888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-1.0071073873045386</v>
      </c>
      <c r="H732" t="s">
        <v>25</v>
      </c>
      <c r="I732">
        <f>VLOOKUP(Table4[[#This Row],[Visitor]],'NHL Model'!$A$6:$B$38,2,FALSE)</f>
        <v>0.63414563871719487</v>
      </c>
      <c r="J732">
        <f>($B$1+Table4[[#This Row],[Home Differential]])-Table4[[#This Row],[Away Differential]]</f>
        <v>-1.5578391031503935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0.70278947920339352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0.16351124183791613</v>
      </c>
      <c r="H733" t="s">
        <v>19</v>
      </c>
      <c r="I733">
        <f>VLOOKUP(Table4[[#This Row],[Visitor]],'NHL Model'!$A$6:$B$38,2,FALSE)</f>
        <v>-3.2654449433805091E-2</v>
      </c>
      <c r="J733">
        <f>($B$1+Table4[[#This Row],[Home Differential]])-Table4[[#This Row],[Away Differential]]</f>
        <v>0.27957961414306126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0.61097029488156096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-7.6933210940904648E-2</v>
      </c>
      <c r="H734" t="s">
        <v>30</v>
      </c>
      <c r="I734">
        <f>VLOOKUP(Table4[[#This Row],[Visitor]],'NHL Model'!$A$6:$B$38,2,FALSE)</f>
        <v>0.42358825343066847</v>
      </c>
      <c r="J734">
        <f>($B$1+Table4[[#This Row],[Home Differential]])-Table4[[#This Row],[Away Differential]]</f>
        <v>-0.41710754150023305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0.56983345054528134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0.95632113049608625</v>
      </c>
      <c r="H735" t="s">
        <v>18</v>
      </c>
      <c r="I735">
        <f>VLOOKUP(Table4[[#This Row],[Visitor]],'NHL Model'!$A$6:$B$38,2,FALSE)</f>
        <v>-0.23554590882174289</v>
      </c>
      <c r="J735">
        <f>($B$1+Table4[[#This Row],[Home Differential]])-Table4[[#This Row],[Away Differential]]</f>
        <v>1.2752809621891692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0.63297272747405109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-0.32833039474346476</v>
      </c>
      <c r="H736" t="s">
        <v>27</v>
      </c>
      <c r="I736">
        <f>VLOOKUP(Table4[[#This Row],[Visitor]],'NHL Model'!$A$6:$B$38,2,FALSE)</f>
        <v>5.7297532801941484E-2</v>
      </c>
      <c r="J736">
        <f>($B$1+Table4[[#This Row],[Home Differential]])-Table4[[#This Row],[Away Differential]]</f>
        <v>-0.30221400467406617</v>
      </c>
      <c r="K736" t="str">
        <f>IF(Table4[[#This Row],[HomeIce Differential]]&gt;0,Table4[[#This Row],[Home]],Table4[[#This Row],[Visitor]])</f>
        <v>Philadelphia Flyers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0.52531921572534301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9.3318671190422225E-2</v>
      </c>
      <c r="H737" t="s">
        <v>20</v>
      </c>
      <c r="I737">
        <f>VLOOKUP(Table4[[#This Row],[Visitor]],'NHL Model'!$A$6:$B$38,2,FALSE)</f>
        <v>0.18369921819729701</v>
      </c>
      <c r="J737">
        <f>($B$1+Table4[[#This Row],[Home Differential]])-Table4[[#This Row],[Away Differential]]</f>
        <v>-6.9666241355347269E-3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0.48153021097608845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-3.0305407970040489E-4</v>
      </c>
      <c r="H738" t="s">
        <v>32</v>
      </c>
      <c r="I738">
        <f>VLOOKUP(Table4[[#This Row],[Visitor]],'NHL Model'!$A$6:$B$38,2,FALSE)</f>
        <v>-0.51436416305402566</v>
      </c>
      <c r="J738">
        <f>($B$1+Table4[[#This Row],[Home Differential]])-Table4[[#This Row],[Away Differential]]</f>
        <v>0.59747503184566531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0.64816511168537172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0.21842521198061643</v>
      </c>
      <c r="H739" t="s">
        <v>36</v>
      </c>
      <c r="I739">
        <f>VLOOKUP(Table4[[#This Row],[Visitor]],'NHL Model'!$A$6:$B$38,2,FALSE)</f>
        <v>-0.1785578406462007</v>
      </c>
      <c r="J739">
        <f>($B$1+Table4[[#This Row],[Home Differential]])-Table4[[#This Row],[Away Differential]]</f>
        <v>0.48039697549815719</v>
      </c>
      <c r="K739" t="str">
        <f>IF(Table4[[#This Row],[HomeIce Differential]]&gt;0,Table4[[#This Row],[Home]],Table4[[#This Row],[Visitor]])</f>
        <v>New York Rangers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0.58889869583520893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0.2169753953839102</v>
      </c>
      <c r="H740" t="s">
        <v>32</v>
      </c>
      <c r="I740">
        <f>VLOOKUP(Table4[[#This Row],[Visitor]],'NHL Model'!$A$6:$B$38,2,FALSE)</f>
        <v>-0.51436416305402566</v>
      </c>
      <c r="J740">
        <f>($B$1+Table4[[#This Row],[Home Differential]])-Table4[[#This Row],[Away Differential]]</f>
        <v>0.81475348130927594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0.68812591703763759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-0.32833039474346476</v>
      </c>
      <c r="H741" t="s">
        <v>18</v>
      </c>
      <c r="I741">
        <f>VLOOKUP(Table4[[#This Row],[Visitor]],'NHL Model'!$A$6:$B$38,2,FALSE)</f>
        <v>-0.23554590882174289</v>
      </c>
      <c r="J741">
        <f>($B$1+Table4[[#This Row],[Home Differential]])-Table4[[#This Row],[Away Differential]]</f>
        <v>-9.3705630503817805E-3</v>
      </c>
      <c r="K741" t="str">
        <f>IF(Table4[[#This Row],[HomeIce Differential]]&gt;0,Table4[[#This Row],[Home]],Table4[[#This Row],[Visitor]])</f>
        <v>Montreal Canadiens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0.52347254751651939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-0.21858969522472316</v>
      </c>
      <c r="H742" t="s">
        <v>38</v>
      </c>
      <c r="I742">
        <f>VLOOKUP(Table4[[#This Row],[Visitor]],'NHL Model'!$A$6:$B$38,2,FALSE)</f>
        <v>-0.58187345243071342</v>
      </c>
      <c r="J742">
        <f>($B$1+Table4[[#This Row],[Home Differential]])-Table4[[#This Row],[Away Differential]]</f>
        <v>0.44669768007733035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0.58879380405413917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-8.0981007952892342E-2</v>
      </c>
      <c r="H743" t="s">
        <v>16</v>
      </c>
      <c r="I743">
        <f>VLOOKUP(Table4[[#This Row],[Visitor]],'NHL Model'!$A$6:$B$38,2,FALSE)</f>
        <v>-0.64492670113602302</v>
      </c>
      <c r="J743">
        <f>($B$1+Table4[[#This Row],[Home Differential]])-Table4[[#This Row],[Away Differential]]</f>
        <v>0.64735961605447079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0.61071256392658313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-0.17631503877657284</v>
      </c>
      <c r="H744" t="s">
        <v>30</v>
      </c>
      <c r="I744">
        <f>VLOOKUP(Table4[[#This Row],[Visitor]],'NHL Model'!$A$6:$B$38,2,FALSE)</f>
        <v>0.42358825343066847</v>
      </c>
      <c r="J744">
        <f>($B$1+Table4[[#This Row],[Home Differential]])-Table4[[#This Row],[Away Differential]]</f>
        <v>-0.51648936933590128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0.58068915374283614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5.5764706436567675E-2</v>
      </c>
      <c r="H745" t="s">
        <v>40</v>
      </c>
      <c r="I745">
        <f>VLOOKUP(Table4[[#This Row],[Visitor]],'NHL Model'!$A$6:$B$38,2,FALSE)</f>
        <v>-7.6933210940904648E-2</v>
      </c>
      <c r="J745">
        <f>($B$1+Table4[[#This Row],[Home Differential]])-Table4[[#This Row],[Away Differential]]</f>
        <v>0.21611184024881241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0.56360638807225172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0.26772485952910668</v>
      </c>
      <c r="H746" t="s">
        <v>27</v>
      </c>
      <c r="I746">
        <f>VLOOKUP(Table4[[#This Row],[Visitor]],'NHL Model'!$A$6:$B$38,2,FALSE)</f>
        <v>5.7297532801941484E-2</v>
      </c>
      <c r="J746">
        <f>($B$1+Table4[[#This Row],[Home Differential]])-Table4[[#This Row],[Away Differential]]</f>
        <v>0.29384124959850527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0.52958438551449671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0.16351124183791613</v>
      </c>
      <c r="H747" t="s">
        <v>39</v>
      </c>
      <c r="I747">
        <f>VLOOKUP(Table4[[#This Row],[Visitor]],'NHL Model'!$A$6:$B$38,2,FALSE)</f>
        <v>0.85927171572006034</v>
      </c>
      <c r="J747">
        <f>($B$1+Table4[[#This Row],[Home Differential]])-Table4[[#This Row],[Away Differential]]</f>
        <v>-0.61234655101080415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0.57851591413647829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0.18369921819729701</v>
      </c>
      <c r="H748" t="s">
        <v>19</v>
      </c>
      <c r="I748">
        <f>VLOOKUP(Table4[[#This Row],[Visitor]],'NHL Model'!$A$6:$B$38,2,FALSE)</f>
        <v>-3.2654449433805091E-2</v>
      </c>
      <c r="J748">
        <f>($B$1+Table4[[#This Row],[Home Differential]])-Table4[[#This Row],[Away Differential]]</f>
        <v>0.29976759050244217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0.57274429603087584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0.95632113049608625</v>
      </c>
      <c r="H749" t="s">
        <v>33</v>
      </c>
      <c r="I749">
        <f>VLOOKUP(Table4[[#This Row],[Visitor]],'NHL Model'!$A$6:$B$38,2,FALSE)</f>
        <v>-0.38457853131220177</v>
      </c>
      <c r="J749">
        <f>($B$1+Table4[[#This Row],[Home Differential]])-Table4[[#This Row],[Away Differential]]</f>
        <v>1.424313584679628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0.7216187497250971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0.63414563871719487</v>
      </c>
      <c r="H750" t="s">
        <v>11</v>
      </c>
      <c r="I750">
        <f>VLOOKUP(Table4[[#This Row],[Visitor]],'NHL Model'!$A$6:$B$38,2,FALSE)</f>
        <v>-0.2331185823245894</v>
      </c>
      <c r="J750">
        <f>($B$1+Table4[[#This Row],[Home Differential]])-Table4[[#This Row],[Away Differential]]</f>
        <v>0.95067814391312433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0.68674629132917075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1.7429147091761512</v>
      </c>
      <c r="H751" t="s">
        <v>29</v>
      </c>
      <c r="I751">
        <f>VLOOKUP(Table4[[#This Row],[Visitor]],'NHL Model'!$A$6:$B$38,2,FALSE)</f>
        <v>-0.8717103858022891</v>
      </c>
      <c r="J751">
        <f>($B$1+Table4[[#This Row],[Home Differential]])-Table4[[#This Row],[Away Differential]]</f>
        <v>2.6980390178497804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0.9425339071419605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-0.46779379272887778</v>
      </c>
      <c r="H752" t="s">
        <v>33</v>
      </c>
      <c r="I752">
        <f>VLOOKUP(Table4[[#This Row],[Visitor]],'NHL Model'!$A$6:$B$38,2,FALSE)</f>
        <v>-0.38457853131220177</v>
      </c>
      <c r="J752">
        <f>($B$1+Table4[[#This Row],[Home Differential]])-Table4[[#This Row],[Away Differential]]</f>
        <v>1.9866145466407303E-4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0.5501439496314996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9.3318671190422225E-2</v>
      </c>
      <c r="H753" t="s">
        <v>31</v>
      </c>
      <c r="I753">
        <f>VLOOKUP(Table4[[#This Row],[Visitor]],'NHL Model'!$A$6:$B$38,2,FALSE)</f>
        <v>0.25846513585567971</v>
      </c>
      <c r="J753">
        <f>($B$1+Table4[[#This Row],[Home Differential]])-Table4[[#This Row],[Away Differential]]</f>
        <v>-8.1732541793917424E-2</v>
      </c>
      <c r="K753" t="str">
        <f>IF(Table4[[#This Row],[HomeIce Differential]]&gt;0,Table4[[#This Row],[Home]],Table4[[#This Row],[Visitor]])</f>
        <v>Anaheim Ducks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0.48969706229154519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-1.0071073873045386</v>
      </c>
      <c r="H754" t="s">
        <v>37</v>
      </c>
      <c r="I754">
        <f>VLOOKUP(Table4[[#This Row],[Visitor]],'NHL Model'!$A$6:$B$38,2,FALSE)</f>
        <v>0.67847982929669792</v>
      </c>
      <c r="J754">
        <f>($B$1+Table4[[#This Row],[Home Differential]])-Table4[[#This Row],[Away Differential]]</f>
        <v>-1.6021732937298965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0.7076322037227164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0.25846513585567971</v>
      </c>
      <c r="H755" t="s">
        <v>13</v>
      </c>
      <c r="I755">
        <f>VLOOKUP(Table4[[#This Row],[Visitor]],'NHL Model'!$A$6:$B$38,2,FALSE)</f>
        <v>9.3318671190422225E-2</v>
      </c>
      <c r="J755">
        <f>($B$1+Table4[[#This Row],[Home Differential]])-Table4[[#This Row],[Away Differential]]</f>
        <v>0.24856038753659757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0.57062907759863801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-0.32833039474346476</v>
      </c>
      <c r="H756" t="s">
        <v>34</v>
      </c>
      <c r="I756">
        <f>VLOOKUP(Table4[[#This Row],[Visitor]],'NHL Model'!$A$6:$B$38,2,FALSE)</f>
        <v>5.5764706436567675E-2</v>
      </c>
      <c r="J756">
        <f>($B$1+Table4[[#This Row],[Home Differential]])-Table4[[#This Row],[Away Differential]]</f>
        <v>-0.30068117830869234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0.50343232459993659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-0.64492670113602302</v>
      </c>
      <c r="H757" t="s">
        <v>30</v>
      </c>
      <c r="I757">
        <f>VLOOKUP(Table4[[#This Row],[Visitor]],'NHL Model'!$A$6:$B$38,2,FALSE)</f>
        <v>0.42358825343066847</v>
      </c>
      <c r="J757">
        <f>($B$1+Table4[[#This Row],[Home Differential]])-Table4[[#This Row],[Away Differential]]</f>
        <v>-0.98510103169535146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0.65108308815622629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-8.0981007952892342E-2</v>
      </c>
      <c r="H758" t="s">
        <v>21</v>
      </c>
      <c r="I758">
        <f>VLOOKUP(Table4[[#This Row],[Visitor]],'NHL Model'!$A$6:$B$38,2,FALSE)</f>
        <v>0.2169753953839102</v>
      </c>
      <c r="J758">
        <f>($B$1+Table4[[#This Row],[Home Differential]])-Table4[[#This Row],[Away Differential]]</f>
        <v>-0.21454248046546248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0.48343496333204267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-3.0305407970040489E-4</v>
      </c>
      <c r="H759" t="s">
        <v>25</v>
      </c>
      <c r="I759">
        <f>VLOOKUP(Table4[[#This Row],[Visitor]],'NHL Model'!$A$6:$B$38,2,FALSE)</f>
        <v>0.63414563871719487</v>
      </c>
      <c r="J759">
        <f>($B$1+Table4[[#This Row],[Home Differential]])-Table4[[#This Row],[Away Differential]]</f>
        <v>-0.55103476992555522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0.54927375122932443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-0.1785578406462007</v>
      </c>
      <c r="H760" t="s">
        <v>18</v>
      </c>
      <c r="I760">
        <f>VLOOKUP(Table4[[#This Row],[Visitor]],'NHL Model'!$A$6:$B$38,2,FALSE)</f>
        <v>-0.23554590882174289</v>
      </c>
      <c r="J760">
        <f>($B$1+Table4[[#This Row],[Home Differential]])-Table4[[#This Row],[Away Differential]]</f>
        <v>0.14040199104688228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0.48271325985852348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5.7297532801941484E-2</v>
      </c>
      <c r="H761" t="s">
        <v>15</v>
      </c>
      <c r="I761">
        <f>VLOOKUP(Table4[[#This Row],[Visitor]],'NHL Model'!$A$6:$B$38,2,FALSE)</f>
        <v>0.21842521198061643</v>
      </c>
      <c r="J761">
        <f>($B$1+Table4[[#This Row],[Home Differential]])-Table4[[#This Row],[Away Differential]]</f>
        <v>-7.7713756307334875E-2</v>
      </c>
      <c r="K761" t="str">
        <f>IF(Table4[[#This Row],[HomeIce Differential]]&gt;0,Table4[[#This Row],[Home]],Table4[[#This Row],[Visitor]])</f>
        <v>New York Rangers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0.54902939097942083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0.26772485952910668</v>
      </c>
      <c r="H762" t="s">
        <v>28</v>
      </c>
      <c r="I762">
        <f>VLOOKUP(Table4[[#This Row],[Visitor]],'NHL Model'!$A$6:$B$38,2,FALSE)</f>
        <v>-0.21858969522472316</v>
      </c>
      <c r="J762">
        <f>($B$1+Table4[[#This Row],[Home Differential]])-Table4[[#This Row],[Away Differential]]</f>
        <v>0.56972847762516987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0.60223273802651733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0.16351124183791613</v>
      </c>
      <c r="H763" t="s">
        <v>32</v>
      </c>
      <c r="I763">
        <f>VLOOKUP(Table4[[#This Row],[Visitor]],'NHL Model'!$A$6:$B$38,2,FALSE)</f>
        <v>-0.51436416305402566</v>
      </c>
      <c r="J763">
        <f>($B$1+Table4[[#This Row],[Home Differential]])-Table4[[#This Row],[Away Differential]]</f>
        <v>0.76128932776328184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0.66358854302937209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-0.58187345243071342</v>
      </c>
      <c r="H764" t="s">
        <v>17</v>
      </c>
      <c r="I764">
        <f>VLOOKUP(Table4[[#This Row],[Visitor]],'NHL Model'!$A$6:$B$38,2,FALSE)</f>
        <v>-0.17631503877657284</v>
      </c>
      <c r="J764">
        <f>($B$1+Table4[[#This Row],[Home Differential]])-Table4[[#This Row],[Away Differential]]</f>
        <v>-0.3221444907828005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0.49518857576707193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0.18369921819729701</v>
      </c>
      <c r="H765" t="s">
        <v>29</v>
      </c>
      <c r="I765">
        <f>VLOOKUP(Table4[[#This Row],[Visitor]],'NHL Model'!$A$6:$B$38,2,FALSE)</f>
        <v>-0.8717103858022891</v>
      </c>
      <c r="J765">
        <f>($B$1+Table4[[#This Row],[Home Differential]])-Table4[[#This Row],[Away Differential]]</f>
        <v>1.1388235268709261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0.66439628522978678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-7.6933210940904648E-2</v>
      </c>
      <c r="H766" t="s">
        <v>19</v>
      </c>
      <c r="I766">
        <f>VLOOKUP(Table4[[#This Row],[Visitor]],'NHL Model'!$A$6:$B$38,2,FALSE)</f>
        <v>-3.2654449433805091E-2</v>
      </c>
      <c r="J766">
        <f>($B$1+Table4[[#This Row],[Home Differential]])-Table4[[#This Row],[Away Differential]]</f>
        <v>3.9135161364240514E-2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0.56338025403766778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0.95632113049608625</v>
      </c>
      <c r="H767" t="s">
        <v>11</v>
      </c>
      <c r="I767">
        <f>VLOOKUP(Table4[[#This Row],[Visitor]],'NHL Model'!$A$6:$B$38,2,FALSE)</f>
        <v>-0.2331185823245894</v>
      </c>
      <c r="J767">
        <f>($B$1+Table4[[#This Row],[Home Differential]])-Table4[[#This Row],[Away Differential]]</f>
        <v>1.2728536356920157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0.70507443485049992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0.85927171572006034</v>
      </c>
      <c r="H768" t="s">
        <v>37</v>
      </c>
      <c r="I768">
        <f>VLOOKUP(Table4[[#This Row],[Visitor]],'NHL Model'!$A$6:$B$38,2,FALSE)</f>
        <v>0.67847982929669792</v>
      </c>
      <c r="J768">
        <f>($B$1+Table4[[#This Row],[Home Differential]])-Table4[[#This Row],[Away Differential]]</f>
        <v>0.2642058092947025</v>
      </c>
      <c r="K768" t="str">
        <f>IF(Table4[[#This Row],[HomeIce Differential]]&gt;0,Table4[[#This Row],[Home]],Table4[[#This Row],[Visitor]])</f>
        <v>Dallas Stars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0.53977683231650875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-0.46779379272887778</v>
      </c>
      <c r="H769" t="s">
        <v>36</v>
      </c>
      <c r="I769">
        <f>VLOOKUP(Table4[[#This Row],[Visitor]],'NHL Model'!$A$6:$B$38,2,FALSE)</f>
        <v>-0.1785578406462007</v>
      </c>
      <c r="J769">
        <f>($B$1+Table4[[#This Row],[Home Differential]])-Table4[[#This Row],[Away Differential]]</f>
        <v>-0.20582202921133699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0.47592370414475127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-0.17631503877657284</v>
      </c>
      <c r="H770" t="s">
        <v>35</v>
      </c>
      <c r="I770">
        <f>VLOOKUP(Table4[[#This Row],[Visitor]],'NHL Model'!$A$6:$B$38,2,FALSE)</f>
        <v>-1.0071073873045386</v>
      </c>
      <c r="J770">
        <f>($B$1+Table4[[#This Row],[Home Differential]])-Table4[[#This Row],[Away Differential]]</f>
        <v>0.91420627139930588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0.65896626260860391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0.25846513585567971</v>
      </c>
      <c r="H771" t="s">
        <v>15</v>
      </c>
      <c r="I771">
        <f>VLOOKUP(Table4[[#This Row],[Visitor]],'NHL Model'!$A$6:$B$38,2,FALSE)</f>
        <v>0.21842521198061643</v>
      </c>
      <c r="J771">
        <f>($B$1+Table4[[#This Row],[Home Differential]])-Table4[[#This Row],[Away Differential]]</f>
        <v>0.12345384674640336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0.51644372448064135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0.63414563871719487</v>
      </c>
      <c r="H772" t="s">
        <v>23</v>
      </c>
      <c r="I772">
        <f>VLOOKUP(Table4[[#This Row],[Visitor]],'NHL Model'!$A$6:$B$38,2,FALSE)</f>
        <v>-0.32833039474346476</v>
      </c>
      <c r="J772">
        <f>($B$1+Table4[[#This Row],[Home Differential]])-Table4[[#This Row],[Away Differential]]</f>
        <v>1.0458899563319997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0.69714649425389108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-0.64492670113602302</v>
      </c>
      <c r="H773" t="s">
        <v>24</v>
      </c>
      <c r="I773">
        <f>VLOOKUP(Table4[[#This Row],[Visitor]],'NHL Model'!$A$6:$B$38,2,FALSE)</f>
        <v>-3.0305407970040489E-4</v>
      </c>
      <c r="J773">
        <f>($B$1+Table4[[#This Row],[Home Differential]])-Table4[[#This Row],[Away Differential]]</f>
        <v>-0.56120972418498249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0.52487837414424376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-8.0981007952892342E-2</v>
      </c>
      <c r="H774" t="s">
        <v>40</v>
      </c>
      <c r="I774">
        <f>VLOOKUP(Table4[[#This Row],[Visitor]],'NHL Model'!$A$6:$B$38,2,FALSE)</f>
        <v>-7.6933210940904648E-2</v>
      </c>
      <c r="J774">
        <f>($B$1+Table4[[#This Row],[Home Differential]])-Table4[[#This Row],[Away Differential]]</f>
        <v>7.9366125859352377E-2</v>
      </c>
      <c r="K774" t="str">
        <f>IF(Table4[[#This Row],[HomeIce Differential]]&gt;0,Table4[[#This Row],[Home]],Table4[[#This Row],[Visitor]])</f>
        <v>Chicago Blackhawks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0.54866934252500932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1.7429147091761512</v>
      </c>
      <c r="H775" t="s">
        <v>22</v>
      </c>
      <c r="I775">
        <f>VLOOKUP(Table4[[#This Row],[Visitor]],'NHL Model'!$A$6:$B$38,2,FALSE)</f>
        <v>0.95632113049608625</v>
      </c>
      <c r="J775">
        <f>($B$1+Table4[[#This Row],[Home Differential]])-Table4[[#This Row],[Away Differential]]</f>
        <v>0.87000750155140494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0.69193212390024095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-0.2331185823245894</v>
      </c>
      <c r="H776" t="s">
        <v>33</v>
      </c>
      <c r="I776">
        <f>VLOOKUP(Table4[[#This Row],[Visitor]],'NHL Model'!$A$6:$B$38,2,FALSE)</f>
        <v>-0.38457853131220177</v>
      </c>
      <c r="J776">
        <f>($B$1+Table4[[#This Row],[Home Differential]])-Table4[[#This Row],[Away Differential]]</f>
        <v>0.23487387185895242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0.5656558074779765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-0.51436416305402566</v>
      </c>
      <c r="H777" t="s">
        <v>14</v>
      </c>
      <c r="I777">
        <f>VLOOKUP(Table4[[#This Row],[Visitor]],'NHL Model'!$A$6:$B$38,2,FALSE)</f>
        <v>0.26772485952910668</v>
      </c>
      <c r="J777">
        <f>($B$1+Table4[[#This Row],[Home Differential]])-Table4[[#This Row],[Away Differential]]</f>
        <v>-0.69867509971179231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0.5904566884554282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-3.2654449433805091E-2</v>
      </c>
      <c r="H778" t="s">
        <v>34</v>
      </c>
      <c r="I778">
        <f>VLOOKUP(Table4[[#This Row],[Visitor]],'NHL Model'!$A$6:$B$38,2,FALSE)</f>
        <v>5.5764706436567675E-2</v>
      </c>
      <c r="J778">
        <f>($B$1+Table4[[#This Row],[Home Differential]])-Table4[[#This Row],[Away Differential]]</f>
        <v>-5.0052329990326952E-3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0.48131596375910846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-0.58187345243071342</v>
      </c>
      <c r="H779" t="s">
        <v>30</v>
      </c>
      <c r="I779">
        <f>VLOOKUP(Table4[[#This Row],[Visitor]],'NHL Model'!$A$6:$B$38,2,FALSE)</f>
        <v>0.42358825343066847</v>
      </c>
      <c r="J779">
        <f>($B$1+Table4[[#This Row],[Home Differential]])-Table4[[#This Row],[Away Differential]]</f>
        <v>-0.92204778299004175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0.64419563832265836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0.18369921819729701</v>
      </c>
      <c r="H780" t="s">
        <v>27</v>
      </c>
      <c r="I780">
        <f>VLOOKUP(Table4[[#This Row],[Visitor]],'NHL Model'!$A$6:$B$38,2,FALSE)</f>
        <v>5.7297532801941484E-2</v>
      </c>
      <c r="J780">
        <f>($B$1+Table4[[#This Row],[Home Differential]])-Table4[[#This Row],[Away Differential]]</f>
        <v>0.2098156082666956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0.52040607351171686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-0.21858969522472316</v>
      </c>
      <c r="H781" t="s">
        <v>36</v>
      </c>
      <c r="I781">
        <f>VLOOKUP(Table4[[#This Row],[Visitor]],'NHL Model'!$A$6:$B$38,2,FALSE)</f>
        <v>-0.1785578406462007</v>
      </c>
      <c r="J781">
        <f>($B$1+Table4[[#This Row],[Home Differential]])-Table4[[#This Row],[Away Differential]]</f>
        <v>4.3382068292817627E-2</v>
      </c>
      <c r="K781" t="str">
        <f>IF(Table4[[#This Row],[HomeIce Differential]]&gt;0,Table4[[#This Row],[Home]],Table4[[#This Row],[Visitor]])</f>
        <v>Columbus Blue Jackets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0.54116256309499933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0.85927171572006034</v>
      </c>
      <c r="H782" t="s">
        <v>21</v>
      </c>
      <c r="I782">
        <f>VLOOKUP(Table4[[#This Row],[Visitor]],'NHL Model'!$A$6:$B$38,2,FALSE)</f>
        <v>0.2169753953839102</v>
      </c>
      <c r="J782">
        <f>($B$1+Table4[[#This Row],[Home Differential]])-Table4[[#This Row],[Away Differential]]</f>
        <v>0.72571024320749022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0.6621725356212802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-0.17631503877657284</v>
      </c>
      <c r="H783" t="s">
        <v>24</v>
      </c>
      <c r="I783">
        <f>VLOOKUP(Table4[[#This Row],[Visitor]],'NHL Model'!$A$6:$B$38,2,FALSE)</f>
        <v>-3.0305407970040489E-4</v>
      </c>
      <c r="J783">
        <f>($B$1+Table4[[#This Row],[Home Differential]])-Table4[[#This Row],[Away Differential]]</f>
        <v>-9.259806182553236E-2</v>
      </c>
      <c r="K783" t="str">
        <f>IF(Table4[[#This Row],[HomeIce Differential]]&gt;0,Table4[[#This Row],[Home]],Table4[[#This Row],[Visitor]])</f>
        <v>New Jersey Devils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0.45455914144427195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9.3318671190422225E-2</v>
      </c>
      <c r="H784" t="s">
        <v>15</v>
      </c>
      <c r="I784">
        <f>VLOOKUP(Table4[[#This Row],[Visitor]],'NHL Model'!$A$6:$B$38,2,FALSE)</f>
        <v>0.21842521198061643</v>
      </c>
      <c r="J784">
        <f>($B$1+Table4[[#This Row],[Home Differential]])-Table4[[#This Row],[Away Differential]]</f>
        <v>-4.1692617918854147E-2</v>
      </c>
      <c r="K784" t="str">
        <f>IF(Table4[[#This Row],[HomeIce Differential]]&gt;0,Table4[[#This Row],[Home]],Table4[[#This Row],[Visitor]])</f>
        <v>New York Rangers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0.57112641748704895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-0.23554590882174289</v>
      </c>
      <c r="H785" t="s">
        <v>34</v>
      </c>
      <c r="I785">
        <f>VLOOKUP(Table4[[#This Row],[Visitor]],'NHL Model'!$A$6:$B$38,2,FALSE)</f>
        <v>5.5764706436567675E-2</v>
      </c>
      <c r="J785">
        <f>($B$1+Table4[[#This Row],[Home Differential]])-Table4[[#This Row],[Away Differential]]</f>
        <v>-0.20789669238697051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0.50347825954698788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-0.8717103858022891</v>
      </c>
      <c r="H786" t="s">
        <v>23</v>
      </c>
      <c r="I786">
        <f>VLOOKUP(Table4[[#This Row],[Visitor]],'NHL Model'!$A$6:$B$38,2,FALSE)</f>
        <v>-0.32833039474346476</v>
      </c>
      <c r="J786">
        <f>($B$1+Table4[[#This Row],[Home Differential]])-Table4[[#This Row],[Away Differential]]</f>
        <v>-0.45996606818748426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0.51024314027959039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0.67847982929669792</v>
      </c>
      <c r="H787" t="s">
        <v>33</v>
      </c>
      <c r="I787">
        <f>VLOOKUP(Table4[[#This Row],[Visitor]],'NHL Model'!$A$6:$B$38,2,FALSE)</f>
        <v>-0.38457853131220177</v>
      </c>
      <c r="J787">
        <f>($B$1+Table4[[#This Row],[Home Differential]])-Table4[[#This Row],[Away Differential]]</f>
        <v>1.1464722834802399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0.66523177631894592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-7.6933210940904648E-2</v>
      </c>
      <c r="H788" t="s">
        <v>35</v>
      </c>
      <c r="I788">
        <f>VLOOKUP(Table4[[#This Row],[Visitor]],'NHL Model'!$A$6:$B$38,2,FALSE)</f>
        <v>-1.0071073873045386</v>
      </c>
      <c r="J788">
        <f>($B$1+Table4[[#This Row],[Home Differential]])-Table4[[#This Row],[Away Differential]]</f>
        <v>1.0135880992349739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0.6698219658061586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-0.64492670113602302</v>
      </c>
      <c r="H789" t="s">
        <v>14</v>
      </c>
      <c r="I789">
        <f>VLOOKUP(Table4[[#This Row],[Visitor]],'NHL Model'!$A$6:$B$38,2,FALSE)</f>
        <v>0.26772485952910668</v>
      </c>
      <c r="J789">
        <f>($B$1+Table4[[#This Row],[Home Differential]])-Table4[[#This Row],[Away Differential]]</f>
        <v>-0.82923763779378956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0.60471833158480648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1.7429147091761512</v>
      </c>
      <c r="H790" t="s">
        <v>31</v>
      </c>
      <c r="I790">
        <f>VLOOKUP(Table4[[#This Row],[Visitor]],'NHL Model'!$A$6:$B$38,2,FALSE)</f>
        <v>0.25846513585567971</v>
      </c>
      <c r="J790">
        <f>($B$1+Table4[[#This Row],[Home Differential]])-Table4[[#This Row],[Away Differential]]</f>
        <v>1.5678634961918114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0.79983272592935761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-0.51436416305402566</v>
      </c>
      <c r="H791" t="s">
        <v>30</v>
      </c>
      <c r="I791">
        <f>VLOOKUP(Table4[[#This Row],[Visitor]],'NHL Model'!$A$6:$B$38,2,FALSE)</f>
        <v>0.42358825343066847</v>
      </c>
      <c r="J791">
        <f>($B$1+Table4[[#This Row],[Home Differential]])-Table4[[#This Row],[Away Differential]]</f>
        <v>-0.85453849361335399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0.63682144502684801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-3.2654449433805091E-2</v>
      </c>
      <c r="H792" t="s">
        <v>26</v>
      </c>
      <c r="I792">
        <f>VLOOKUP(Table4[[#This Row],[Visitor]],'NHL Model'!$A$6:$B$38,2,FALSE)</f>
        <v>-0.46779379272887778</v>
      </c>
      <c r="J792">
        <f>($B$1+Table4[[#This Row],[Home Differential]])-Table4[[#This Row],[Away Differential]]</f>
        <v>0.51855326616641273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0.59581326014227243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0.16351124183791613</v>
      </c>
      <c r="H793" t="s">
        <v>27</v>
      </c>
      <c r="I793">
        <f>VLOOKUP(Table4[[#This Row],[Visitor]],'NHL Model'!$A$6:$B$38,2,FALSE)</f>
        <v>5.7297532801941484E-2</v>
      </c>
      <c r="J793">
        <f>($B$1+Table4[[#This Row],[Home Differential]])-Table4[[#This Row],[Away Differential]]</f>
        <v>0.18962763190731469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0.55917499619190814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-0.58187345243071342</v>
      </c>
      <c r="H794" t="s">
        <v>22</v>
      </c>
      <c r="I794">
        <f>VLOOKUP(Table4[[#This Row],[Visitor]],'NHL Model'!$A$6:$B$38,2,FALSE)</f>
        <v>0.95632113049608625</v>
      </c>
      <c r="J794">
        <f>($B$1+Table4[[#This Row],[Home Differential]])-Table4[[#This Row],[Away Differential]]</f>
        <v>-1.4547806600554596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0.67304781932780522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0.2169753953839102</v>
      </c>
      <c r="H795" t="s">
        <v>20</v>
      </c>
      <c r="I795">
        <f>VLOOKUP(Table4[[#This Row],[Visitor]],'NHL Model'!$A$6:$B$38,2,FALSE)</f>
        <v>0.18369921819729701</v>
      </c>
      <c r="J795">
        <f>($B$1+Table4[[#This Row],[Home Differential]])-Table4[[#This Row],[Away Differential]]</f>
        <v>0.11669010005795327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0.59169369357837154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0.63414563871719487</v>
      </c>
      <c r="H796" t="s">
        <v>10</v>
      </c>
      <c r="I796">
        <f>VLOOKUP(Table4[[#This Row],[Visitor]],'NHL Model'!$A$6:$B$38,2,FALSE)</f>
        <v>-8.0981007952892342E-2</v>
      </c>
      <c r="J796">
        <f>($B$1+Table4[[#This Row],[Home Differential]])-Table4[[#This Row],[Away Differential]]</f>
        <v>0.79854056954142727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0.67012795789193524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-0.21858969522472316</v>
      </c>
      <c r="H797" t="s">
        <v>39</v>
      </c>
      <c r="I797">
        <f>VLOOKUP(Table4[[#This Row],[Visitor]],'NHL Model'!$A$6:$B$38,2,FALSE)</f>
        <v>0.85927171572006034</v>
      </c>
      <c r="J797">
        <f>($B$1+Table4[[#This Row],[Home Differential]])-Table4[[#This Row],[Away Differential]]</f>
        <v>-0.99444748807344341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0.66111194982997856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-0.17631503877657284</v>
      </c>
      <c r="H798" t="s">
        <v>14</v>
      </c>
      <c r="I798">
        <f>VLOOKUP(Table4[[#This Row],[Visitor]],'NHL Model'!$A$6:$B$38,2,FALSE)</f>
        <v>0.26772485952910668</v>
      </c>
      <c r="J798">
        <f>($B$1+Table4[[#This Row],[Home Differential]])-Table4[[#This Row],[Away Differential]]</f>
        <v>-0.36062597543433944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0.53423735672480999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5.5764706436567675E-2</v>
      </c>
      <c r="H799" t="s">
        <v>26</v>
      </c>
      <c r="I799">
        <f>VLOOKUP(Table4[[#This Row],[Visitor]],'NHL Model'!$A$6:$B$38,2,FALSE)</f>
        <v>-0.46779379272887778</v>
      </c>
      <c r="J799">
        <f>($B$1+Table4[[#This Row],[Home Differential]])-Table4[[#This Row],[Away Differential]]</f>
        <v>0.60697242203678559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0.60547148573552934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-0.23554590882174289</v>
      </c>
      <c r="H800" t="s">
        <v>23</v>
      </c>
      <c r="I800">
        <f>VLOOKUP(Table4[[#This Row],[Visitor]],'NHL Model'!$A$6:$B$38,2,FALSE)</f>
        <v>-0.32833039474346476</v>
      </c>
      <c r="J800">
        <f>($B$1+Table4[[#This Row],[Home Differential]])-Table4[[#This Row],[Away Differential]]</f>
        <v>0.17619840879306192</v>
      </c>
      <c r="K800" t="str">
        <f>IF(Table4[[#This Row],[HomeIce Differential]]&gt;0,Table4[[#This Row],[Home]],Table4[[#This Row],[Visitor]])</f>
        <v>Montreal Canadiens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0.559246553131441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-0.8717103858022891</v>
      </c>
      <c r="H801" t="s">
        <v>36</v>
      </c>
      <c r="I801">
        <f>VLOOKUP(Table4[[#This Row],[Visitor]],'NHL Model'!$A$6:$B$38,2,FALSE)</f>
        <v>-0.1785578406462007</v>
      </c>
      <c r="J801">
        <f>($B$1+Table4[[#This Row],[Home Differential]])-Table4[[#This Row],[Away Differential]]</f>
        <v>-0.60973862228474829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0.53017929611104997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-7.6933210940904648E-2</v>
      </c>
      <c r="H802" t="s">
        <v>11</v>
      </c>
      <c r="I802">
        <f>VLOOKUP(Table4[[#This Row],[Visitor]],'NHL Model'!$A$6:$B$38,2,FALSE)</f>
        <v>-0.2331185823245894</v>
      </c>
      <c r="J802">
        <f>($B$1+Table4[[#This Row],[Home Differential]])-Table4[[#This Row],[Away Differential]]</f>
        <v>0.23959929425502483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0.58527740742888867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-0.64492670113602302</v>
      </c>
      <c r="H803" t="s">
        <v>22</v>
      </c>
      <c r="I803">
        <f>VLOOKUP(Table4[[#This Row],[Visitor]],'NHL Model'!$A$6:$B$38,2,FALSE)</f>
        <v>0.95632113049608625</v>
      </c>
      <c r="J803">
        <f>($B$1+Table4[[#This Row],[Home Differential]])-Table4[[#This Row],[Away Differential]]</f>
        <v>-1.5178339087607693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0.67993526916137315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-8.0981007952892342E-2</v>
      </c>
      <c r="H804" t="s">
        <v>37</v>
      </c>
      <c r="I804">
        <f>VLOOKUP(Table4[[#This Row],[Visitor]],'NHL Model'!$A$6:$B$38,2,FALSE)</f>
        <v>0.67847982929669792</v>
      </c>
      <c r="J804">
        <f>($B$1+Table4[[#This Row],[Home Differential]])-Table4[[#This Row],[Away Differential]]</f>
        <v>-0.67604691437825015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0.60646931190821096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1.7429147091761512</v>
      </c>
      <c r="H805" t="s">
        <v>27</v>
      </c>
      <c r="I805">
        <f>VLOOKUP(Table4[[#This Row],[Visitor]],'NHL Model'!$A$6:$B$38,2,FALSE)</f>
        <v>5.7297532801941484E-2</v>
      </c>
      <c r="J805">
        <f>($B$1+Table4[[#This Row],[Home Differential]])-Table4[[#This Row],[Away Differential]]</f>
        <v>1.7690310992455498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0.80127549340081894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0.85927171572006034</v>
      </c>
      <c r="H806" t="s">
        <v>35</v>
      </c>
      <c r="I806">
        <f>VLOOKUP(Table4[[#This Row],[Visitor]],'NHL Model'!$A$6:$B$38,2,FALSE)</f>
        <v>-1.0071073873045386</v>
      </c>
      <c r="J806">
        <f>($B$1+Table4[[#This Row],[Home Differential]])-Table4[[#This Row],[Away Differential]]</f>
        <v>1.9497930258959391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0.79588188337120758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-0.51436416305402566</v>
      </c>
      <c r="H807" t="s">
        <v>31</v>
      </c>
      <c r="I807">
        <f>VLOOKUP(Table4[[#This Row],[Visitor]],'NHL Model'!$A$6:$B$38,2,FALSE)</f>
        <v>0.25846513585567971</v>
      </c>
      <c r="J807">
        <f>($B$1+Table4[[#This Row],[Home Differential]])-Table4[[#This Row],[Away Differential]]</f>
        <v>-0.68941537603836522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0.55607564105661611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-0.38457853131220177</v>
      </c>
      <c r="H808" t="s">
        <v>15</v>
      </c>
      <c r="I808">
        <f>VLOOKUP(Table4[[#This Row],[Visitor]],'NHL Model'!$A$6:$B$38,2,FALSE)</f>
        <v>0.21842521198061643</v>
      </c>
      <c r="J808">
        <f>($B$1+Table4[[#This Row],[Home Differential]])-Table4[[#This Row],[Away Differential]]</f>
        <v>-0.51958982042147817</v>
      </c>
      <c r="K808" t="str">
        <f>IF(Table4[[#This Row],[HomeIce Differential]]&gt;0,Table4[[#This Row],[Home]],Table4[[#This Row],[Visitor]])</f>
        <v>New York Rangers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0.62332821637012692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-3.2654449433805091E-2</v>
      </c>
      <c r="H809" t="s">
        <v>20</v>
      </c>
      <c r="I809">
        <f>VLOOKUP(Table4[[#This Row],[Visitor]],'NHL Model'!$A$6:$B$38,2,FALSE)</f>
        <v>0.18369921819729701</v>
      </c>
      <c r="J809">
        <f>($B$1+Table4[[#This Row],[Home Differential]])-Table4[[#This Row],[Away Differential]]</f>
        <v>-0.13293974475976203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0.49529054159334818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-0.58187345243071342</v>
      </c>
      <c r="H810" t="s">
        <v>24</v>
      </c>
      <c r="I810">
        <f>VLOOKUP(Table4[[#This Row],[Visitor]],'NHL Model'!$A$6:$B$38,2,FALSE)</f>
        <v>-3.0305407970040489E-4</v>
      </c>
      <c r="J810">
        <f>($B$1+Table4[[#This Row],[Home Differential]])-Table4[[#This Row],[Away Differential]]</f>
        <v>-0.49815647547967296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0.51799092431067595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0.2169753953839102</v>
      </c>
      <c r="H811" t="s">
        <v>18</v>
      </c>
      <c r="I811">
        <f>VLOOKUP(Table4[[#This Row],[Visitor]],'NHL Model'!$A$6:$B$38,2,FALSE)</f>
        <v>-0.23554590882174289</v>
      </c>
      <c r="J811">
        <f>($B$1+Table4[[#This Row],[Home Differential]])-Table4[[#This Row],[Away Differential]]</f>
        <v>0.53593522707699315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0.58621670112546254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-0.21858969522472316</v>
      </c>
      <c r="H812" t="s">
        <v>37</v>
      </c>
      <c r="I812">
        <f>VLOOKUP(Table4[[#This Row],[Visitor]],'NHL Model'!$A$6:$B$38,2,FALSE)</f>
        <v>0.67847982929669792</v>
      </c>
      <c r="J812">
        <f>($B$1+Table4[[#This Row],[Home Differential]])-Table4[[#This Row],[Away Differential]]</f>
        <v>-0.813655601650081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0.621500621947087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-0.17631503877657284</v>
      </c>
      <c r="H813" t="s">
        <v>22</v>
      </c>
      <c r="I813">
        <f>VLOOKUP(Table4[[#This Row],[Visitor]],'NHL Model'!$A$6:$B$38,2,FALSE)</f>
        <v>0.95632113049608625</v>
      </c>
      <c r="J813">
        <f>($B$1+Table4[[#This Row],[Home Differential]])-Table4[[#This Row],[Away Differential]]</f>
        <v>-1.049222246401319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0.60945429430137665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5.5764706436567675E-2</v>
      </c>
      <c r="H814" t="s">
        <v>11</v>
      </c>
      <c r="I814">
        <f>VLOOKUP(Table4[[#This Row],[Visitor]],'NHL Model'!$A$6:$B$38,2,FALSE)</f>
        <v>-0.2331185823245894</v>
      </c>
      <c r="J814">
        <f>($B$1+Table4[[#This Row],[Home Differential]])-Table4[[#This Row],[Away Differential]]</f>
        <v>0.37229721163249718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0.58066687158785701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-0.8717103858022891</v>
      </c>
      <c r="H815" t="s">
        <v>55</v>
      </c>
      <c r="I815">
        <f>VLOOKUP(Table4[[#This Row],[Visitor]],'NHL Model'!$A$6:$B$38,2,FALSE)</f>
        <v>0.16351124183791613</v>
      </c>
      <c r="J815">
        <f>($B$1+Table4[[#This Row],[Home Differential]])-Table4[[#This Row],[Away Differential]]</f>
        <v>-0.95180770476886511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0.56396812142761077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0.42358825343066847</v>
      </c>
      <c r="H816" t="s">
        <v>23</v>
      </c>
      <c r="I816">
        <f>VLOOKUP(Table4[[#This Row],[Visitor]],'NHL Model'!$A$6:$B$38,2,FALSE)</f>
        <v>-0.32833039474346476</v>
      </c>
      <c r="J816">
        <f>($B$1+Table4[[#This Row],[Home Differential]])-Table4[[#This Row],[Away Differential]]</f>
        <v>0.83533257104547332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0.6312452775321713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-0.1785578406462007</v>
      </c>
      <c r="H817" t="s">
        <v>25</v>
      </c>
      <c r="I817">
        <f>VLOOKUP(Table4[[#This Row],[Visitor]],'NHL Model'!$A$6:$B$38,2,FALSE)</f>
        <v>0.63414563871719487</v>
      </c>
      <c r="J817">
        <f>($B$1+Table4[[#This Row],[Home Differential]])-Table4[[#This Row],[Away Differential]]</f>
        <v>-0.72928955649205551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0.61228512685978165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-1.0071073873045386</v>
      </c>
      <c r="H818" t="s">
        <v>13</v>
      </c>
      <c r="I818">
        <f>VLOOKUP(Table4[[#This Row],[Visitor]],'NHL Model'!$A$6:$B$38,2,FALSE)</f>
        <v>9.3318671190422225E-2</v>
      </c>
      <c r="J818">
        <f>($B$1+Table4[[#This Row],[Home Differential]])-Table4[[#This Row],[Away Differential]]</f>
        <v>-1.0170121356236208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0.63740633925605561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-7.6933210940904648E-2</v>
      </c>
      <c r="H819" t="s">
        <v>26</v>
      </c>
      <c r="I819">
        <f>VLOOKUP(Table4[[#This Row],[Visitor]],'NHL Model'!$A$6:$B$38,2,FALSE)</f>
        <v>-0.46779379272887778</v>
      </c>
      <c r="J819">
        <f>($B$1+Table4[[#This Row],[Home Differential]])-Table4[[#This Row],[Away Differential]]</f>
        <v>0.4742745046593132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0.6100882919431716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-0.64492670113602302</v>
      </c>
      <c r="H820" t="s">
        <v>31</v>
      </c>
      <c r="I820">
        <f>VLOOKUP(Table4[[#This Row],[Visitor]],'NHL Model'!$A$6:$B$38,2,FALSE)</f>
        <v>0.25846513585567971</v>
      </c>
      <c r="J820">
        <f>($B$1+Table4[[#This Row],[Home Differential]])-Table4[[#This Row],[Away Differential]]</f>
        <v>-0.81997791412036269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0.57033728418599428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-8.0981007952892342E-2</v>
      </c>
      <c r="H821" t="s">
        <v>11</v>
      </c>
      <c r="I821">
        <f>VLOOKUP(Table4[[#This Row],[Visitor]],'NHL Model'!$A$6:$B$38,2,FALSE)</f>
        <v>-0.2331185823245894</v>
      </c>
      <c r="J821">
        <f>($B$1+Table4[[#This Row],[Home Differential]])-Table4[[#This Row],[Away Differential]]</f>
        <v>0.23555149724303714</v>
      </c>
      <c r="K821" t="str">
        <f>IF(Table4[[#This Row],[HomeIce Differential]]&gt;0,Table4[[#This Row],[Home]],Table4[[#This Row],[Visitor]])</f>
        <v>Chicago Blackhawks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0.56572982604061473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-0.1785578406462007</v>
      </c>
      <c r="H822" t="s">
        <v>20</v>
      </c>
      <c r="I822">
        <f>VLOOKUP(Table4[[#This Row],[Visitor]],'NHL Model'!$A$6:$B$38,2,FALSE)</f>
        <v>0.18369921819729701</v>
      </c>
      <c r="J822">
        <f>($B$1+Table4[[#This Row],[Home Differential]])-Table4[[#This Row],[Away Differential]]</f>
        <v>-0.27884313597215765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0.51122790101822724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-0.51436416305402566</v>
      </c>
      <c r="H823" t="s">
        <v>24</v>
      </c>
      <c r="I823">
        <f>VLOOKUP(Table4[[#This Row],[Visitor]],'NHL Model'!$A$6:$B$38,2,FALSE)</f>
        <v>-3.0305407970040489E-4</v>
      </c>
      <c r="J823">
        <f>($B$1+Table4[[#This Row],[Home Differential]])-Table4[[#This Row],[Away Differential]]</f>
        <v>-0.43064718610298519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0.5106167310148656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-3.2654449433805091E-2</v>
      </c>
      <c r="H824" t="s">
        <v>12</v>
      </c>
      <c r="I824">
        <f>VLOOKUP(Table4[[#This Row],[Visitor]],'NHL Model'!$A$6:$B$38,2,FALSE)</f>
        <v>1.7429147091761512</v>
      </c>
      <c r="J824">
        <f>($B$1+Table4[[#This Row],[Home Differential]])-Table4[[#This Row],[Away Differential]]</f>
        <v>-1.6921552357386163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0.71115375636780831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-0.58187345243071342</v>
      </c>
      <c r="H825" t="s">
        <v>14</v>
      </c>
      <c r="I825">
        <f>VLOOKUP(Table4[[#This Row],[Visitor]],'NHL Model'!$A$6:$B$38,2,FALSE)</f>
        <v>0.26772485952910668</v>
      </c>
      <c r="J825">
        <f>($B$1+Table4[[#This Row],[Home Differential]])-Table4[[#This Row],[Away Differential]]</f>
        <v>-0.76618438908848008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0.59783088175123855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-0.21858969522472316</v>
      </c>
      <c r="H826" t="s">
        <v>13</v>
      </c>
      <c r="I826">
        <f>VLOOKUP(Table4[[#This Row],[Visitor]],'NHL Model'!$A$6:$B$38,2,FALSE)</f>
        <v>9.3318671190422225E-2</v>
      </c>
      <c r="J826">
        <f>($B$1+Table4[[#This Row],[Home Differential]])-Table4[[#This Row],[Away Differential]]</f>
        <v>-0.2284944435438053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0.5512747574804262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-0.17631503877657284</v>
      </c>
      <c r="H827" t="s">
        <v>31</v>
      </c>
      <c r="I827">
        <f>VLOOKUP(Table4[[#This Row],[Visitor]],'NHL Model'!$A$6:$B$38,2,FALSE)</f>
        <v>0.25846513585567971</v>
      </c>
      <c r="J827">
        <f>($B$1+Table4[[#This Row],[Home Differential]])-Table4[[#This Row],[Away Differential]]</f>
        <v>-0.35136625176091246</v>
      </c>
      <c r="K827" t="str">
        <f>IF(Table4[[#This Row],[HomeIce Differential]]&gt;0,Table4[[#This Row],[Home]],Table4[[#This Row],[Visitor]])</f>
        <v>Anaheim Ducks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0.49991899675120599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0.21842521198061643</v>
      </c>
      <c r="H828" t="s">
        <v>21</v>
      </c>
      <c r="I828">
        <f>VLOOKUP(Table4[[#This Row],[Visitor]],'NHL Model'!$A$6:$B$38,2,FALSE)</f>
        <v>0.2169753953839102</v>
      </c>
      <c r="J828">
        <f>($B$1+Table4[[#This Row],[Home Differential]])-Table4[[#This Row],[Away Differential]]</f>
        <v>8.4863739468046318E-2</v>
      </c>
      <c r="K828" t="str">
        <f>IF(Table4[[#This Row],[HomeIce Differential]]&gt;0,Table4[[#This Row],[Home]],Table4[[#This Row],[Visitor]])</f>
        <v>New York Rangers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0.54926985936929096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5.7297532801941484E-2</v>
      </c>
      <c r="H829" t="s">
        <v>30</v>
      </c>
      <c r="I829">
        <f>VLOOKUP(Table4[[#This Row],[Visitor]],'NHL Model'!$A$6:$B$38,2,FALSE)</f>
        <v>0.42358825343066847</v>
      </c>
      <c r="J829">
        <f>($B$1+Table4[[#This Row],[Home Differential]])-Table4[[#This Row],[Away Differential]]</f>
        <v>-0.28287679775738694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0.5481406556147278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0.67847982929669792</v>
      </c>
      <c r="H830" t="s">
        <v>55</v>
      </c>
      <c r="I830">
        <f>VLOOKUP(Table4[[#This Row],[Visitor]],'NHL Model'!$A$6:$B$38,2,FALSE)</f>
        <v>0.16351124183791613</v>
      </c>
      <c r="J830">
        <f>($B$1+Table4[[#This Row],[Home Differential]])-Table4[[#This Row],[Away Differential]]</f>
        <v>0.59838251033012191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0.60536268322104858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0.2169753953839102</v>
      </c>
      <c r="H831" t="s">
        <v>29</v>
      </c>
      <c r="I831">
        <f>VLOOKUP(Table4[[#This Row],[Visitor]],'NHL Model'!$A$6:$B$38,2,FALSE)</f>
        <v>-0.8717103858022891</v>
      </c>
      <c r="J831">
        <f>($B$1+Table4[[#This Row],[Home Differential]])-Table4[[#This Row],[Away Differential]]</f>
        <v>1.1720997040575394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0.72715965808873739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-0.46779379272887778</v>
      </c>
      <c r="H832" t="s">
        <v>13</v>
      </c>
      <c r="I832">
        <f>VLOOKUP(Table4[[#This Row],[Visitor]],'NHL Model'!$A$6:$B$38,2,FALSE)</f>
        <v>9.3318671190422225E-2</v>
      </c>
      <c r="J832">
        <f>($B$1+Table4[[#This Row],[Home Differential]])-Table4[[#This Row],[Away Differential]]</f>
        <v>-0.47769854104795995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0.56830913089839585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-0.2331185823245894</v>
      </c>
      <c r="H833" t="s">
        <v>55</v>
      </c>
      <c r="I833">
        <f>VLOOKUP(Table4[[#This Row],[Visitor]],'NHL Model'!$A$6:$B$38,2,FALSE)</f>
        <v>0.16351124183791613</v>
      </c>
      <c r="J833">
        <f>($B$1+Table4[[#This Row],[Home Differential]])-Table4[[#This Row],[Away Differential]]</f>
        <v>-0.3132159012911655</v>
      </c>
      <c r="K833" t="str">
        <f>IF(Table4[[#This Row],[HomeIce Differential]]&gt;0,Table4[[#This Row],[Home]],Table4[[#This Row],[Visitor]])</f>
        <v>Utah Mammoth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0.49421328561992084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5.5764706436567675E-2</v>
      </c>
      <c r="H834" t="s">
        <v>10</v>
      </c>
      <c r="I834">
        <f>VLOOKUP(Table4[[#This Row],[Visitor]],'NHL Model'!$A$6:$B$38,2,FALSE)</f>
        <v>-8.0981007952892342E-2</v>
      </c>
      <c r="J834">
        <f>($B$1+Table4[[#This Row],[Home Differential]])-Table4[[#This Row],[Away Differential]]</f>
        <v>0.2201596372608001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0.56404853815062161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-0.23554590882174289</v>
      </c>
      <c r="H835" t="s">
        <v>20</v>
      </c>
      <c r="I835">
        <f>VLOOKUP(Table4[[#This Row],[Visitor]],'NHL Model'!$A$6:$B$38,2,FALSE)</f>
        <v>0.18369921819729701</v>
      </c>
      <c r="J835">
        <f>($B$1+Table4[[#This Row],[Home Differential]])-Table4[[#This Row],[Away Differential]]</f>
        <v>-0.33583120414769985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0.51745283738122771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-3.0305407970040489E-4</v>
      </c>
      <c r="H836" t="s">
        <v>40</v>
      </c>
      <c r="I836">
        <f>VLOOKUP(Table4[[#This Row],[Visitor]],'NHL Model'!$A$6:$B$38,2,FALSE)</f>
        <v>-7.6933210940904648E-2</v>
      </c>
      <c r="J836">
        <f>($B$1+Table4[[#This Row],[Home Differential]])-Table4[[#This Row],[Away Differential]]</f>
        <v>0.16004407973254431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0.60038353341317618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-0.51436416305402566</v>
      </c>
      <c r="H837" t="s">
        <v>22</v>
      </c>
      <c r="I837">
        <f>VLOOKUP(Table4[[#This Row],[Visitor]],'NHL Model'!$A$6:$B$38,2,FALSE)</f>
        <v>0.95632113049608625</v>
      </c>
      <c r="J837">
        <f>($B$1+Table4[[#This Row],[Home Differential]])-Table4[[#This Row],[Away Differential]]</f>
        <v>-1.3872713706787718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0.66567362603199487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-1.0071073873045386</v>
      </c>
      <c r="H838" t="s">
        <v>39</v>
      </c>
      <c r="I838">
        <f>VLOOKUP(Table4[[#This Row],[Visitor]],'NHL Model'!$A$6:$B$38,2,FALSE)</f>
        <v>0.85927171572006034</v>
      </c>
      <c r="J838">
        <f>($B$1+Table4[[#This Row],[Home Differential]])-Table4[[#This Row],[Away Differential]]</f>
        <v>-1.7829651801532589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0.74724353160560797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-3.2654449433805091E-2</v>
      </c>
      <c r="H839" t="s">
        <v>23</v>
      </c>
      <c r="I839">
        <f>VLOOKUP(Table4[[#This Row],[Visitor]],'NHL Model'!$A$6:$B$38,2,FALSE)</f>
        <v>-0.32833039474346476</v>
      </c>
      <c r="J839">
        <f>($B$1+Table4[[#This Row],[Home Differential]])-Table4[[#This Row],[Away Differential]]</f>
        <v>0.37908986818099977</v>
      </c>
      <c r="K839" t="str">
        <f>IF(Table4[[#This Row],[HomeIce Differential]]&gt;0,Table4[[#This Row],[Home]],Table4[[#This Row],[Visitor]])</f>
        <v>Toronto Maple Leafs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0.58140884891932054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-0.58187345243071342</v>
      </c>
      <c r="H840" t="s">
        <v>33</v>
      </c>
      <c r="I840">
        <f>VLOOKUP(Table4[[#This Row],[Visitor]],'NHL Model'!$A$6:$B$38,2,FALSE)</f>
        <v>-0.38457853131220177</v>
      </c>
      <c r="J840">
        <f>($B$1+Table4[[#This Row],[Home Differential]])-Table4[[#This Row],[Away Differential]]</f>
        <v>-0.11388099824717157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0.47243948057442409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-0.21858969522472316</v>
      </c>
      <c r="H841" t="s">
        <v>27</v>
      </c>
      <c r="I841">
        <f>VLOOKUP(Table4[[#This Row],[Visitor]],'NHL Model'!$A$6:$B$38,2,FALSE)</f>
        <v>5.7297532801941484E-2</v>
      </c>
      <c r="J841">
        <f>($B$1+Table4[[#This Row],[Home Differential]])-Table4[[#This Row],[Away Differential]]</f>
        <v>-0.19247330515532457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0.52353685990864129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0.42358825343066847</v>
      </c>
      <c r="H842" t="s">
        <v>15</v>
      </c>
      <c r="I842">
        <f>VLOOKUP(Table4[[#This Row],[Visitor]],'NHL Model'!$A$6:$B$38,2,FALSE)</f>
        <v>0.21842521198061643</v>
      </c>
      <c r="J842">
        <f>($B$1+Table4[[#This Row],[Home Differential]])-Table4[[#This Row],[Away Differential]]</f>
        <v>0.28857696432139207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0.46494968050854191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-0.1785578406462007</v>
      </c>
      <c r="H843" t="s">
        <v>12</v>
      </c>
      <c r="I843">
        <f>VLOOKUP(Table4[[#This Row],[Visitor]],'NHL Model'!$A$6:$B$38,2,FALSE)</f>
        <v>1.7429147091761512</v>
      </c>
      <c r="J843">
        <f>($B$1+Table4[[#This Row],[Home Differential]])-Table4[[#This Row],[Away Differential]]</f>
        <v>-1.8380586269510117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0.72709111579268737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0.2169753953839102</v>
      </c>
      <c r="H844" t="s">
        <v>27</v>
      </c>
      <c r="I844">
        <f>VLOOKUP(Table4[[#This Row],[Visitor]],'NHL Model'!$A$6:$B$38,2,FALSE)</f>
        <v>5.7297532801941484E-2</v>
      </c>
      <c r="J844">
        <f>($B$1+Table4[[#This Row],[Home Differential]])-Table4[[#This Row],[Away Differential]]</f>
        <v>0.24309178545330878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0.5841571555156716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-0.32833039474346476</v>
      </c>
      <c r="H845" t="s">
        <v>13</v>
      </c>
      <c r="I845">
        <f>VLOOKUP(Table4[[#This Row],[Visitor]],'NHL Model'!$A$6:$B$38,2,FALSE)</f>
        <v>9.3318671190422225E-2</v>
      </c>
      <c r="J845">
        <f>($B$1+Table4[[#This Row],[Home Differential]])-Table4[[#This Row],[Away Differential]]</f>
        <v>-0.33823514306254687</v>
      </c>
      <c r="K845" t="str">
        <f>IF(Table4[[#This Row],[HomeIce Differential]]&gt;0,Table4[[#This Row],[Home]],Table4[[#This Row],[Visitor]])</f>
        <v>Los Angeles Kings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0.55307522658788633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0.63414563871719487</v>
      </c>
      <c r="H846" t="s">
        <v>55</v>
      </c>
      <c r="I846">
        <f>VLOOKUP(Table4[[#This Row],[Visitor]],'NHL Model'!$A$6:$B$38,2,FALSE)</f>
        <v>0.16351124183791613</v>
      </c>
      <c r="J846">
        <f>($B$1+Table4[[#This Row],[Home Differential]])-Table4[[#This Row],[Away Differential]]</f>
        <v>0.55404831975061886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0.6434215131058707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-0.46779379272887778</v>
      </c>
      <c r="H847" t="s">
        <v>22</v>
      </c>
      <c r="I847">
        <f>VLOOKUP(Table4[[#This Row],[Visitor]],'NHL Model'!$A$6:$B$38,2,FALSE)</f>
        <v>0.95632113049608625</v>
      </c>
      <c r="J847">
        <f>($B$1+Table4[[#This Row],[Home Differential]])-Table4[[#This Row],[Away Differential]]</f>
        <v>-1.3407010003536239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0.65038482890393057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-0.17631503877657284</v>
      </c>
      <c r="H848" t="s">
        <v>33</v>
      </c>
      <c r="I848">
        <f>VLOOKUP(Table4[[#This Row],[Visitor]],'NHL Model'!$A$6:$B$38,2,FALSE)</f>
        <v>-0.38457853131220177</v>
      </c>
      <c r="J848">
        <f>($B$1+Table4[[#This Row],[Home Differential]])-Table4[[#This Row],[Away Differential]]</f>
        <v>0.29167741540696901</v>
      </c>
      <c r="K848" t="str">
        <f>IF(Table4[[#This Row],[HomeIce Differential]]&gt;0,Table4[[#This Row],[Home]],Table4[[#This Row],[Visitor]])</f>
        <v>Edmonton Oilers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0.59096601910593116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5.5764706436567675E-2</v>
      </c>
      <c r="H849" t="s">
        <v>16</v>
      </c>
      <c r="I849">
        <f>VLOOKUP(Table4[[#This Row],[Visitor]],'NHL Model'!$A$6:$B$38,2,FALSE)</f>
        <v>-0.64492670113602302</v>
      </c>
      <c r="J849">
        <f>($B$1+Table4[[#This Row],[Home Differential]])-Table4[[#This Row],[Away Differential]]</f>
        <v>0.78410533044393071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0.62564960947382553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-0.23554590882174289</v>
      </c>
      <c r="H850" t="s">
        <v>12</v>
      </c>
      <c r="I850">
        <f>VLOOKUP(Table4[[#This Row],[Visitor]],'NHL Model'!$A$6:$B$38,2,FALSE)</f>
        <v>1.7429147091761512</v>
      </c>
      <c r="J850">
        <f>($B$1+Table4[[#This Row],[Home Differential]])-Table4[[#This Row],[Away Differential]]</f>
        <v>-1.8950466951265541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0.73331605215568785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-3.0305407970040489E-4</v>
      </c>
      <c r="H851" t="s">
        <v>29</v>
      </c>
      <c r="I851">
        <f>VLOOKUP(Table4[[#This Row],[Visitor]],'NHL Model'!$A$6:$B$38,2,FALSE)</f>
        <v>-0.8717103858022891</v>
      </c>
      <c r="J851">
        <f>($B$1+Table4[[#This Row],[Home Differential]])-Table4[[#This Row],[Away Differential]]</f>
        <v>0.95482125459392875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0.68719885273647152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0.21842521198061643</v>
      </c>
      <c r="H852" t="s">
        <v>30</v>
      </c>
      <c r="I852">
        <f>VLOOKUP(Table4[[#This Row],[Visitor]],'NHL Model'!$A$6:$B$38,2,FALSE)</f>
        <v>0.42358825343066847</v>
      </c>
      <c r="J852">
        <f>($B$1+Table4[[#This Row],[Home Differential]])-Table4[[#This Row],[Away Differential]]</f>
        <v>-0.12174911857871196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0.5567771941316888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0.26772485952910668</v>
      </c>
      <c r="H853" t="s">
        <v>10</v>
      </c>
      <c r="I853">
        <f>VLOOKUP(Table4[[#This Row],[Visitor]],'NHL Model'!$A$6:$B$38,2,FALSE)</f>
        <v>-8.0981007952892342E-2</v>
      </c>
      <c r="J853">
        <f>($B$1+Table4[[#This Row],[Home Differential]])-Table4[[#This Row],[Away Differential]]</f>
        <v>0.43211979035333914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0.5872014279876413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-0.51436416305402566</v>
      </c>
      <c r="H854" t="s">
        <v>19</v>
      </c>
      <c r="I854">
        <f>VLOOKUP(Table4[[#This Row],[Visitor]],'NHL Model'!$A$6:$B$38,2,FALSE)</f>
        <v>-3.2654449433805091E-2</v>
      </c>
      <c r="J854">
        <f>($B$1+Table4[[#This Row],[Home Differential]])-Table4[[#This Row],[Away Differential]]</f>
        <v>-0.3982957907488805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0.50350675554443192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-1.0071073873045386</v>
      </c>
      <c r="H855" t="s">
        <v>11</v>
      </c>
      <c r="I855">
        <f>VLOOKUP(Table4[[#This Row],[Visitor]],'NHL Model'!$A$6:$B$38,2,FALSE)</f>
        <v>-0.2331185823245894</v>
      </c>
      <c r="J855">
        <f>($B$1+Table4[[#This Row],[Home Differential]])-Table4[[#This Row],[Away Differential]]</f>
        <v>-0.69057488210860918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0.53543306577389083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0.67847982929669792</v>
      </c>
      <c r="H856" t="s">
        <v>40</v>
      </c>
      <c r="I856">
        <f>VLOOKUP(Table4[[#This Row],[Visitor]],'NHL Model'!$A$6:$B$38,2,FALSE)</f>
        <v>-7.6933210940904648E-2</v>
      </c>
      <c r="J856">
        <f>($B$1+Table4[[#This Row],[Home Differential]])-Table4[[#This Row],[Away Differential]]</f>
        <v>0.83882696310894267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0.63162697792874323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-0.58187345243071342</v>
      </c>
      <c r="H857" t="s">
        <v>31</v>
      </c>
      <c r="I857">
        <f>VLOOKUP(Table4[[#This Row],[Visitor]],'NHL Model'!$A$6:$B$38,2,FALSE)</f>
        <v>0.25846513585567971</v>
      </c>
      <c r="J857">
        <f>($B$1+Table4[[#This Row],[Home Differential]])-Table4[[#This Row],[Away Differential]]</f>
        <v>-0.75692466541505299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0.56344983435242635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0.18369921819729701</v>
      </c>
      <c r="H858" t="s">
        <v>39</v>
      </c>
      <c r="I858">
        <f>VLOOKUP(Table4[[#This Row],[Visitor]],'NHL Model'!$A$6:$B$38,2,FALSE)</f>
        <v>0.85927171572006034</v>
      </c>
      <c r="J858">
        <f>($B$1+Table4[[#This Row],[Home Differential]])-Table4[[#This Row],[Away Differential]]</f>
        <v>-0.5921585746514233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0.61716901640962041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-8.0981007952892342E-2</v>
      </c>
      <c r="H859" t="s">
        <v>28</v>
      </c>
      <c r="I859">
        <f>VLOOKUP(Table4[[#This Row],[Visitor]],'NHL Model'!$A$6:$B$38,2,FALSE)</f>
        <v>-0.21858969522472316</v>
      </c>
      <c r="J859">
        <f>($B$1+Table4[[#This Row],[Home Differential]])-Table4[[#This Row],[Away Differential]]</f>
        <v>0.22102261014317087</v>
      </c>
      <c r="K859" t="str">
        <f>IF(Table4[[#This Row],[HomeIce Differential]]&gt;0,Table4[[#This Row],[Home]],Table4[[#This Row],[Visitor]])</f>
        <v>Chicago Blackhawks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0.56414280264225525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-0.32833039474346476</v>
      </c>
      <c r="H860" t="s">
        <v>18</v>
      </c>
      <c r="I860">
        <f>VLOOKUP(Table4[[#This Row],[Visitor]],'NHL Model'!$A$6:$B$38,2,FALSE)</f>
        <v>-0.23554590882174289</v>
      </c>
      <c r="J860">
        <f>($B$1+Table4[[#This Row],[Home Differential]])-Table4[[#This Row],[Away Differential]]</f>
        <v>-9.3705630503817805E-3</v>
      </c>
      <c r="K860" t="str">
        <f>IF(Table4[[#This Row],[HomeIce Differential]]&gt;0,Table4[[#This Row],[Home]],Table4[[#This Row],[Visitor]])</f>
        <v>Montreal Canadiens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0.52347254751651939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-0.64492670113602302</v>
      </c>
      <c r="H861" t="s">
        <v>33</v>
      </c>
      <c r="I861">
        <f>VLOOKUP(Table4[[#This Row],[Visitor]],'NHL Model'!$A$6:$B$38,2,FALSE)</f>
        <v>-0.38457853131220177</v>
      </c>
      <c r="J861">
        <f>($B$1+Table4[[#This Row],[Home Differential]])-Table4[[#This Row],[Away Differential]]</f>
        <v>-0.17693424695248117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0.47932693040799201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-0.46779379272887778</v>
      </c>
      <c r="H862" t="s">
        <v>12</v>
      </c>
      <c r="I862">
        <f>VLOOKUP(Table4[[#This Row],[Visitor]],'NHL Model'!$A$6:$B$38,2,FALSE)</f>
        <v>1.7429147091761512</v>
      </c>
      <c r="J862">
        <f>($B$1+Table4[[#This Row],[Home Differential]])-Table4[[#This Row],[Away Differential]]</f>
        <v>-2.127294579033689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0.74849825977863949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-0.17631503877657284</v>
      </c>
      <c r="H863" t="s">
        <v>34</v>
      </c>
      <c r="I863">
        <f>VLOOKUP(Table4[[#This Row],[Visitor]],'NHL Model'!$A$6:$B$38,2,FALSE)</f>
        <v>5.5764706436567675E-2</v>
      </c>
      <c r="J863">
        <f>($B$1+Table4[[#This Row],[Home Differential]])-Table4[[#This Row],[Away Differential]]</f>
        <v>-0.14866582234180045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0.47777756760150947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-0.2331185823245894</v>
      </c>
      <c r="H864" t="s">
        <v>40</v>
      </c>
      <c r="I864">
        <f>VLOOKUP(Table4[[#This Row],[Visitor]],'NHL Model'!$A$6:$B$38,2,FALSE)</f>
        <v>-7.6933210940904648E-2</v>
      </c>
      <c r="J864">
        <f>($B$1+Table4[[#This Row],[Home Differential]])-Table4[[#This Row],[Away Differential]]</f>
        <v>-7.2771448512344697E-2</v>
      </c>
      <c r="K864" t="str">
        <f>IF(Table4[[#This Row],[HomeIce Differential]]&gt;0,Table4[[#This Row],[Home]],Table4[[#This Row],[Visitor]])</f>
        <v>Winnipeg Jets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0.46794899091222619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0.42358825343066847</v>
      </c>
      <c r="H865" t="s">
        <v>29</v>
      </c>
      <c r="I865">
        <f>VLOOKUP(Table4[[#This Row],[Visitor]],'NHL Model'!$A$6:$B$38,2,FALSE)</f>
        <v>-0.8717103858022891</v>
      </c>
      <c r="J865">
        <f>($B$1+Table4[[#This Row],[Home Differential]])-Table4[[#This Row],[Away Differential]]</f>
        <v>1.3787125621042975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0.69059991041514091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-0.1785578406462007</v>
      </c>
      <c r="H866" t="s">
        <v>24</v>
      </c>
      <c r="I866">
        <f>VLOOKUP(Table4[[#This Row],[Visitor]],'NHL Model'!$A$6:$B$38,2,FALSE)</f>
        <v>-3.0305407970040489E-4</v>
      </c>
      <c r="J866">
        <f>($B$1+Table4[[#This Row],[Home Differential]])-Table4[[#This Row],[Away Differential]]</f>
        <v>-9.4840863695160219E-2</v>
      </c>
      <c r="K866" t="str">
        <f>IF(Table4[[#This Row],[HomeIce Differential]]&gt;0,Table4[[#This Row],[Home]],Table4[[#This Row],[Visitor]])</f>
        <v>New Jersey Devils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0.47393584229193347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5.7297532801941484E-2</v>
      </c>
      <c r="H867" t="s">
        <v>13</v>
      </c>
      <c r="I867">
        <f>VLOOKUP(Table4[[#This Row],[Visitor]],'NHL Model'!$A$6:$B$38,2,FALSE)</f>
        <v>9.3318671190422225E-2</v>
      </c>
      <c r="J867">
        <f>($B$1+Table4[[#This Row],[Home Differential]])-Table4[[#This Row],[Away Differential]]</f>
        <v>4.7392784482859329E-2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0.50517682169120814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0.26772485952910668</v>
      </c>
      <c r="H868" t="s">
        <v>15</v>
      </c>
      <c r="I868">
        <f>VLOOKUP(Table4[[#This Row],[Visitor]],'NHL Model'!$A$6:$B$38,2,FALSE)</f>
        <v>0.21842521198061643</v>
      </c>
      <c r="J868">
        <f>($B$1+Table4[[#This Row],[Home Differential]])-Table4[[#This Row],[Away Differential]]</f>
        <v>0.13271357041983034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0.44792436732596763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-1.0071073873045386</v>
      </c>
      <c r="H869" t="s">
        <v>28</v>
      </c>
      <c r="I869">
        <f>VLOOKUP(Table4[[#This Row],[Visitor]],'NHL Model'!$A$6:$B$38,2,FALSE)</f>
        <v>-0.21858969522472316</v>
      </c>
      <c r="J869">
        <f>($B$1+Table4[[#This Row],[Home Differential]])-Table4[[#This Row],[Away Differential]]</f>
        <v>-0.70510376920847539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0.53702008917225019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0.16351124183791613</v>
      </c>
      <c r="H870" t="s">
        <v>39</v>
      </c>
      <c r="I870">
        <f>VLOOKUP(Table4[[#This Row],[Visitor]],'NHL Model'!$A$6:$B$38,2,FALSE)</f>
        <v>0.85927171572006034</v>
      </c>
      <c r="J870">
        <f>($B$1+Table4[[#This Row],[Home Differential]])-Table4[[#This Row],[Away Differential]]</f>
        <v>-0.61234655101080415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0.57851591413647829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-0.58187345243071342</v>
      </c>
      <c r="H871" t="s">
        <v>19</v>
      </c>
      <c r="I871">
        <f>VLOOKUP(Table4[[#This Row],[Visitor]],'NHL Model'!$A$6:$B$38,2,FALSE)</f>
        <v>-3.2654449433805091E-2</v>
      </c>
      <c r="J871">
        <f>($B$1+Table4[[#This Row],[Home Differential]])-Table4[[#This Row],[Away Differential]]</f>
        <v>-0.46580508012556826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0.51088094884024227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0.18369921819729701</v>
      </c>
      <c r="H872" t="s">
        <v>32</v>
      </c>
      <c r="I872">
        <f>VLOOKUP(Table4[[#This Row],[Visitor]],'NHL Model'!$A$6:$B$38,2,FALSE)</f>
        <v>-0.51436416305402566</v>
      </c>
      <c r="J872">
        <f>($B$1+Table4[[#This Row],[Home Differential]])-Table4[[#This Row],[Away Differential]]</f>
        <v>0.78147730412266281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0.62536254417868697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0.95632113049608625</v>
      </c>
      <c r="H873" t="s">
        <v>25</v>
      </c>
      <c r="I873">
        <f>VLOOKUP(Table4[[#This Row],[Visitor]],'NHL Model'!$A$6:$B$38,2,FALSE)</f>
        <v>0.63414563871719487</v>
      </c>
      <c r="J873">
        <f>($B$1+Table4[[#This Row],[Home Differential]])-Table4[[#This Row],[Away Differential]]</f>
        <v>0.40558941465023146</v>
      </c>
      <c r="K873" t="str">
        <f>IF(Table4[[#This Row],[HomeIce Differential]]&gt;0,Table4[[#This Row],[Home]],Table4[[#This Row],[Visitor]])</f>
        <v>Washington Capitals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0.53797434075574613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0.25846513585567971</v>
      </c>
      <c r="H874" t="s">
        <v>20</v>
      </c>
      <c r="I874">
        <f>VLOOKUP(Table4[[#This Row],[Visitor]],'NHL Model'!$A$6:$B$38,2,FALSE)</f>
        <v>0.18369921819729701</v>
      </c>
      <c r="J874">
        <f>($B$1+Table4[[#This Row],[Home Differential]])-Table4[[#This Row],[Away Differential]]</f>
        <v>0.15817984052972278</v>
      </c>
      <c r="K874" t="str">
        <f>IF(Table4[[#This Row],[HomeIce Differential]]&gt;0,Table4[[#This Row],[Home]],Table4[[#This Row],[Visitor]])</f>
        <v>Anaheim Ducks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0.60551363803648295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0.63414563871719487</v>
      </c>
      <c r="H875" t="s">
        <v>13</v>
      </c>
      <c r="I875">
        <f>VLOOKUP(Table4[[#This Row],[Visitor]],'NHL Model'!$A$6:$B$38,2,FALSE)</f>
        <v>9.3318671190422225E-2</v>
      </c>
      <c r="J875">
        <f>($B$1+Table4[[#This Row],[Home Differential]])-Table4[[#This Row],[Away Differential]]</f>
        <v>0.6242408903981127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0.5854286322268899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0.67847982929669792</v>
      </c>
      <c r="H876" t="s">
        <v>21</v>
      </c>
      <c r="I876">
        <f>VLOOKUP(Table4[[#This Row],[Visitor]],'NHL Model'!$A$6:$B$38,2,FALSE)</f>
        <v>0.2169753953839102</v>
      </c>
      <c r="J876">
        <f>($B$1+Table4[[#This Row],[Home Differential]])-Table4[[#This Row],[Away Differential]]</f>
        <v>0.54491835678412781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0.5995226720716913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-0.64492670113602302</v>
      </c>
      <c r="H877" t="s">
        <v>19</v>
      </c>
      <c r="I877">
        <f>VLOOKUP(Table4[[#This Row],[Visitor]],'NHL Model'!$A$6:$B$38,2,FALSE)</f>
        <v>-3.2654449433805091E-2</v>
      </c>
      <c r="J877">
        <f>($B$1+Table4[[#This Row],[Home Differential]])-Table4[[#This Row],[Away Differential]]</f>
        <v>-0.5288583288308778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0.51776839867381019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-8.0981007952892342E-2</v>
      </c>
      <c r="H878" t="s">
        <v>33</v>
      </c>
      <c r="I878">
        <f>VLOOKUP(Table4[[#This Row],[Visitor]],'NHL Model'!$A$6:$B$38,2,FALSE)</f>
        <v>-0.38457853131220177</v>
      </c>
      <c r="J878">
        <f>($B$1+Table4[[#This Row],[Home Differential]])-Table4[[#This Row],[Away Differential]]</f>
        <v>0.38701144623064948</v>
      </c>
      <c r="K878" t="str">
        <f>IF(Table4[[#This Row],[HomeIce Differential]]&gt;0,Table4[[#This Row],[Home]],Table4[[#This Row],[Visitor]])</f>
        <v>Chicago Blackhawks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0.5822741409152119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1.7429147091761512</v>
      </c>
      <c r="H879" t="s">
        <v>26</v>
      </c>
      <c r="I879">
        <f>VLOOKUP(Table4[[#This Row],[Visitor]],'NHL Model'!$A$6:$B$38,2,FALSE)</f>
        <v>-0.46779379272887778</v>
      </c>
      <c r="J879">
        <f>($B$1+Table4[[#This Row],[Home Differential]])-Table4[[#This Row],[Away Differential]]</f>
        <v>2.294122424776369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0.89765103625674514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0.85927171572006034</v>
      </c>
      <c r="H880" t="s">
        <v>40</v>
      </c>
      <c r="I880">
        <f>VLOOKUP(Table4[[#This Row],[Visitor]],'NHL Model'!$A$6:$B$38,2,FALSE)</f>
        <v>-7.6933210940904648E-2</v>
      </c>
      <c r="J880">
        <f>($B$1+Table4[[#This Row],[Home Differential]])-Table4[[#This Row],[Away Differential]]</f>
        <v>1.0196188495323051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0.69427684147833213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-0.2331185823245894</v>
      </c>
      <c r="H881" t="s">
        <v>23</v>
      </c>
      <c r="I881">
        <f>VLOOKUP(Table4[[#This Row],[Visitor]],'NHL Model'!$A$6:$B$38,2,FALSE)</f>
        <v>-0.32833039474346476</v>
      </c>
      <c r="J881">
        <f>($B$1+Table4[[#This Row],[Home Differential]])-Table4[[#This Row],[Away Differential]]</f>
        <v>0.17862573529021541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0.55951169552809965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5.5764706436567675E-2</v>
      </c>
      <c r="H882" t="s">
        <v>18</v>
      </c>
      <c r="I882">
        <f>VLOOKUP(Table4[[#This Row],[Visitor]],'NHL Model'!$A$6:$B$38,2,FALSE)</f>
        <v>-0.23554590882174289</v>
      </c>
      <c r="J882">
        <f>($B$1+Table4[[#This Row],[Home Differential]])-Table4[[#This Row],[Away Differential]]</f>
        <v>0.37472453812965067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0.50830884487665939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-0.8717103858022891</v>
      </c>
      <c r="H883" t="s">
        <v>35</v>
      </c>
      <c r="I883">
        <f>VLOOKUP(Table4[[#This Row],[Visitor]],'NHL Model'!$A$6:$B$38,2,FALSE)</f>
        <v>-1.0071073873045386</v>
      </c>
      <c r="J883">
        <f>($B$1+Table4[[#This Row],[Home Differential]])-Table4[[#This Row],[Away Differential]]</f>
        <v>0.21881092437358962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0.56390121517295932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0.26772485952910668</v>
      </c>
      <c r="H884" t="s">
        <v>36</v>
      </c>
      <c r="I884">
        <f>VLOOKUP(Table4[[#This Row],[Visitor]],'NHL Model'!$A$6:$B$38,2,FALSE)</f>
        <v>-0.1785578406462007</v>
      </c>
      <c r="J884">
        <f>($B$1+Table4[[#This Row],[Home Differential]])-Table4[[#This Row],[Away Differential]]</f>
        <v>0.52969662304664744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0.59428380851813734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0.16351124183791613</v>
      </c>
      <c r="H885" t="s">
        <v>38</v>
      </c>
      <c r="I885">
        <f>VLOOKUP(Table4[[#This Row],[Visitor]],'NHL Model'!$A$6:$B$38,2,FALSE)</f>
        <v>-0.58187345243071342</v>
      </c>
      <c r="J885">
        <f>($B$1+Table4[[#This Row],[Home Differential]])-Table4[[#This Row],[Away Differential]]</f>
        <v>0.82879861713996961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0.67096273632518244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0.95632113049608625</v>
      </c>
      <c r="H886" t="s">
        <v>30</v>
      </c>
      <c r="I886">
        <f>VLOOKUP(Table4[[#This Row],[Visitor]],'NHL Model'!$A$6:$B$38,2,FALSE)</f>
        <v>0.42358825343066847</v>
      </c>
      <c r="J886">
        <f>($B$1+Table4[[#This Row],[Home Differential]])-Table4[[#This Row],[Away Differential]]</f>
        <v>0.61614679993675781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0.55006173768702671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0.25846513585567971</v>
      </c>
      <c r="H887" t="s">
        <v>32</v>
      </c>
      <c r="I887">
        <f>VLOOKUP(Table4[[#This Row],[Visitor]],'NHL Model'!$A$6:$B$38,2,FALSE)</f>
        <v>-0.51436416305402566</v>
      </c>
      <c r="J887">
        <f>($B$1+Table4[[#This Row],[Home Differential]])-Table4[[#This Row],[Away Differential]]</f>
        <v>0.85624322178104539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0.70180190157686873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0.63414563871719487</v>
      </c>
      <c r="H888" t="s">
        <v>36</v>
      </c>
      <c r="I888">
        <f>VLOOKUP(Table4[[#This Row],[Visitor]],'NHL Model'!$A$6:$B$38,2,FALSE)</f>
        <v>-0.1785578406462007</v>
      </c>
      <c r="J888">
        <f>($B$1+Table4[[#This Row],[Home Differential]])-Table4[[#This Row],[Away Differential]]</f>
        <v>0.89611740223473568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0.67728408458958511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-0.17631503877657284</v>
      </c>
      <c r="H889" t="s">
        <v>19</v>
      </c>
      <c r="I889">
        <f>VLOOKUP(Table4[[#This Row],[Visitor]],'NHL Model'!$A$6:$B$38,2,FALSE)</f>
        <v>-3.2654449433805091E-2</v>
      </c>
      <c r="J889">
        <f>($B$1+Table4[[#This Row],[Home Differential]])-Table4[[#This Row],[Away Differential]]</f>
        <v>-6.0246666471427679E-2</v>
      </c>
      <c r="K889" t="str">
        <f>IF(Table4[[#This Row],[HomeIce Differential]]&gt;0,Table4[[#This Row],[Home]],Table4[[#This Row],[Visitor]])</f>
        <v>Toronto Maple Leafs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0.44747544915988696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-3.0305407970040489E-4</v>
      </c>
      <c r="H890" t="s">
        <v>28</v>
      </c>
      <c r="I890">
        <f>VLOOKUP(Table4[[#This Row],[Visitor]],'NHL Model'!$A$6:$B$38,2,FALSE)</f>
        <v>-0.21858969522472316</v>
      </c>
      <c r="J890">
        <f>($B$1+Table4[[#This Row],[Home Differential]])-Table4[[#This Row],[Away Differential]]</f>
        <v>0.3017005640163628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0.61585699353042211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0.42358825343066847</v>
      </c>
      <c r="H891" t="s">
        <v>14</v>
      </c>
      <c r="I891">
        <f>VLOOKUP(Table4[[#This Row],[Visitor]],'NHL Model'!$A$6:$B$38,2,FALSE)</f>
        <v>0.26772485952910668</v>
      </c>
      <c r="J891">
        <f>($B$1+Table4[[#This Row],[Home Differential]])-Table4[[#This Row],[Away Differential]]</f>
        <v>0.23927731677290182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0.51199798830523369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5.7297532801941484E-2</v>
      </c>
      <c r="H892" t="s">
        <v>22</v>
      </c>
      <c r="I892">
        <f>VLOOKUP(Table4[[#This Row],[Visitor]],'NHL Model'!$A$6:$B$38,2,FALSE)</f>
        <v>0.95632113049608625</v>
      </c>
      <c r="J892">
        <f>($B$1+Table4[[#This Row],[Home Differential]])-Table4[[#This Row],[Away Differential]]</f>
        <v>-0.81560967482280466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0.57689577874715581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0.67847982929669792</v>
      </c>
      <c r="H893" t="s">
        <v>23</v>
      </c>
      <c r="I893">
        <f>VLOOKUP(Table4[[#This Row],[Visitor]],'NHL Model'!$A$6:$B$38,2,FALSE)</f>
        <v>-0.32833039474346476</v>
      </c>
      <c r="J893">
        <f>($B$1+Table4[[#This Row],[Home Differential]])-Table4[[#This Row],[Away Differential]]</f>
        <v>1.0902241469115028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0.65908766436906896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-0.21858969522472316</v>
      </c>
      <c r="H894" t="s">
        <v>10</v>
      </c>
      <c r="I894">
        <f>VLOOKUP(Table4[[#This Row],[Visitor]],'NHL Model'!$A$6:$B$38,2,FALSE)</f>
        <v>-8.0981007952892342E-2</v>
      </c>
      <c r="J894">
        <f>($B$1+Table4[[#This Row],[Home Differential]])-Table4[[#This Row],[Away Differential]]</f>
        <v>-5.419476440049073E-2</v>
      </c>
      <c r="K894" t="str">
        <f>IF(Table4[[#This Row],[HomeIce Differential]]&gt;0,Table4[[#This Row],[Home]],Table4[[#This Row],[Visitor]])</f>
        <v>Chicago Blackhawks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0.46591981743549687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-0.64492670113602302</v>
      </c>
      <c r="H895" t="s">
        <v>17</v>
      </c>
      <c r="I895">
        <f>VLOOKUP(Table4[[#This Row],[Visitor]],'NHL Model'!$A$6:$B$38,2,FALSE)</f>
        <v>-0.17631503877657284</v>
      </c>
      <c r="J895">
        <f>($B$1+Table4[[#This Row],[Home Differential]])-Table4[[#This Row],[Away Differential]]</f>
        <v>-0.38519773948811009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0.5020760256006398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1.7429147091761512</v>
      </c>
      <c r="H896" t="s">
        <v>33</v>
      </c>
      <c r="I896">
        <f>VLOOKUP(Table4[[#This Row],[Visitor]],'NHL Model'!$A$6:$B$38,2,FALSE)</f>
        <v>-0.38457853131220177</v>
      </c>
      <c r="J896">
        <f>($B$1+Table4[[#This Row],[Home Differential]])-Table4[[#This Row],[Away Differential]]</f>
        <v>2.2109071633596931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0.88932338620886786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0.85927171572006034</v>
      </c>
      <c r="H897" t="s">
        <v>35</v>
      </c>
      <c r="I897">
        <f>VLOOKUP(Table4[[#This Row],[Visitor]],'NHL Model'!$A$6:$B$38,2,FALSE)</f>
        <v>-1.0071073873045386</v>
      </c>
      <c r="J897">
        <f>($B$1+Table4[[#This Row],[Home Differential]])-Table4[[#This Row],[Away Differential]]</f>
        <v>1.9497930258959391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0.79588188337120758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-0.2331185823245894</v>
      </c>
      <c r="H898" t="s">
        <v>21</v>
      </c>
      <c r="I898">
        <f>VLOOKUP(Table4[[#This Row],[Visitor]],'NHL Model'!$A$6:$B$38,2,FALSE)</f>
        <v>0.2169753953839102</v>
      </c>
      <c r="J898">
        <f>($B$1+Table4[[#This Row],[Home Differential]])-Table4[[#This Row],[Away Differential]]</f>
        <v>-0.36668005483715954</v>
      </c>
      <c r="K898" t="str">
        <f>IF(Table4[[#This Row],[HomeIce Differential]]&gt;0,Table4[[#This Row],[Home]],Table4[[#This Row],[Visitor]])</f>
        <v>Boston Bruins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0.50005329676927812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9.3318671190422225E-2</v>
      </c>
      <c r="H899" t="s">
        <v>32</v>
      </c>
      <c r="I899">
        <f>VLOOKUP(Table4[[#This Row],[Visitor]],'NHL Model'!$A$6:$B$38,2,FALSE)</f>
        <v>-0.51436416305402566</v>
      </c>
      <c r="J899">
        <f>($B$1+Table4[[#This Row],[Home Differential]])-Table4[[#This Row],[Away Differential]]</f>
        <v>0.691096757115788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0.61549007136845013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-0.8717103858022891</v>
      </c>
      <c r="H900" t="s">
        <v>34</v>
      </c>
      <c r="I900">
        <f>VLOOKUP(Table4[[#This Row],[Visitor]],'NHL Model'!$A$6:$B$38,2,FALSE)</f>
        <v>5.5764706436567675E-2</v>
      </c>
      <c r="J900">
        <f>($B$1+Table4[[#This Row],[Home Differential]])-Table4[[#This Row],[Away Differential]]</f>
        <v>-0.84406116936751674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0.57296795295801928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0.16351124183791613</v>
      </c>
      <c r="H901" t="s">
        <v>26</v>
      </c>
      <c r="I901">
        <f>VLOOKUP(Table4[[#This Row],[Visitor]],'NHL Model'!$A$6:$B$38,2,FALSE)</f>
        <v>-0.46779379272887778</v>
      </c>
      <c r="J901">
        <f>($B$1+Table4[[#This Row],[Home Differential]])-Table4[[#This Row],[Away Differential]]</f>
        <v>0.71471895743813396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0.65768821245681353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0.18369921819729701</v>
      </c>
      <c r="H902" t="s">
        <v>38</v>
      </c>
      <c r="I902">
        <f>VLOOKUP(Table4[[#This Row],[Visitor]],'NHL Model'!$A$6:$B$38,2,FALSE)</f>
        <v>-0.58187345243071342</v>
      </c>
      <c r="J902">
        <f>($B$1+Table4[[#This Row],[Home Differential]])-Table4[[#This Row],[Away Differential]]</f>
        <v>0.84898659349935057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0.63273673747449732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-7.6933210940904648E-2</v>
      </c>
      <c r="H903" t="s">
        <v>18</v>
      </c>
      <c r="I903">
        <f>VLOOKUP(Table4[[#This Row],[Visitor]],'NHL Model'!$A$6:$B$38,2,FALSE)</f>
        <v>-0.23554590882174289</v>
      </c>
      <c r="J903">
        <f>($B$1+Table4[[#This Row],[Home Differential]])-Table4[[#This Row],[Away Differential]]</f>
        <v>0.24202662075217832</v>
      </c>
      <c r="K903" t="str">
        <f>IF(Table4[[#This Row],[HomeIce Differential]]&gt;0,Table4[[#This Row],[Home]],Table4[[#This Row],[Visitor]])</f>
        <v>Winnipeg Jets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0.51306813455842382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-0.32833039474346476</v>
      </c>
      <c r="H904" t="s">
        <v>14</v>
      </c>
      <c r="I904">
        <f>VLOOKUP(Table4[[#This Row],[Visitor]],'NHL Model'!$A$6:$B$38,2,FALSE)</f>
        <v>0.26772485952910668</v>
      </c>
      <c r="J904">
        <f>($B$1+Table4[[#This Row],[Home Differential]])-Table4[[#This Row],[Away Differential]]</f>
        <v>-0.51264133140123136</v>
      </c>
      <c r="K904" t="str">
        <f>IF(Table4[[#This Row],[HomeIce Differential]]&gt;0,Table4[[#This Row],[Home]],Table4[[#This Row],[Visitor]])</f>
        <v>Pittsburgh Penguins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0.55993398701685437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-3.0305407970040489E-4</v>
      </c>
      <c r="H905" t="s">
        <v>30</v>
      </c>
      <c r="I905">
        <f>VLOOKUP(Table4[[#This Row],[Visitor]],'NHL Model'!$A$6:$B$38,2,FALSE)</f>
        <v>0.42358825343066847</v>
      </c>
      <c r="J905">
        <f>($B$1+Table4[[#This Row],[Home Differential]])-Table4[[#This Row],[Away Differential]]</f>
        <v>-0.34047738463902882</v>
      </c>
      <c r="K905" t="str">
        <f>IF(Table4[[#This Row],[HomeIce Differential]]&gt;0,Table4[[#This Row],[Home]],Table4[[#This Row],[Visitor]])</f>
        <v>New York Islanders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0.53719111947943521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0.21842521198061643</v>
      </c>
      <c r="H906" t="s">
        <v>25</v>
      </c>
      <c r="I906">
        <f>VLOOKUP(Table4[[#This Row],[Visitor]],'NHL Model'!$A$6:$B$38,2,FALSE)</f>
        <v>0.63414563871719487</v>
      </c>
      <c r="J906">
        <f>($B$1+Table4[[#This Row],[Home Differential]])-Table4[[#This Row],[Away Differential]]</f>
        <v>-0.33230650386523836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0.56892176468755451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5.7297532801941484E-2</v>
      </c>
      <c r="H907" t="s">
        <v>36</v>
      </c>
      <c r="I907">
        <f>VLOOKUP(Table4[[#This Row],[Visitor]],'NHL Model'!$A$6:$B$38,2,FALSE)</f>
        <v>-0.1785578406462007</v>
      </c>
      <c r="J907">
        <f>($B$1+Table4[[#This Row],[Home Differential]])-Table4[[#This Row],[Away Differential]]</f>
        <v>0.31926929631948225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0.59737451173334688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0.67847982929669792</v>
      </c>
      <c r="H908" t="s">
        <v>11</v>
      </c>
      <c r="I908">
        <f>VLOOKUP(Table4[[#This Row],[Visitor]],'NHL Model'!$A$6:$B$38,2,FALSE)</f>
        <v>-0.2331185823245894</v>
      </c>
      <c r="J908">
        <f>($B$1+Table4[[#This Row],[Home Differential]])-Table4[[#This Row],[Away Differential]]</f>
        <v>0.99501233449262738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0.64868746144434863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0.18369921819729701</v>
      </c>
      <c r="H909" t="s">
        <v>13</v>
      </c>
      <c r="I909">
        <f>VLOOKUP(Table4[[#This Row],[Visitor]],'NHL Model'!$A$6:$B$38,2,FALSE)</f>
        <v>9.3318671190422225E-2</v>
      </c>
      <c r="J909">
        <f>($B$1+Table4[[#This Row],[Home Differential]])-Table4[[#This Row],[Away Differential]]</f>
        <v>0.17379446987821487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0.4926681759399319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0.95632113049608625</v>
      </c>
      <c r="H910" t="s">
        <v>29</v>
      </c>
      <c r="I910">
        <f>VLOOKUP(Table4[[#This Row],[Visitor]],'NHL Model'!$A$6:$B$38,2,FALSE)</f>
        <v>-0.8717103858022891</v>
      </c>
      <c r="J910">
        <f>($B$1+Table4[[#This Row],[Home Differential]])-Table4[[#This Row],[Away Differential]]</f>
        <v>1.9114454391697153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0.77482927065818985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0.25846513585567971</v>
      </c>
      <c r="H911" t="s">
        <v>17</v>
      </c>
      <c r="I911">
        <f>VLOOKUP(Table4[[#This Row],[Visitor]],'NHL Model'!$A$6:$B$38,2,FALSE)</f>
        <v>-0.17631503877657284</v>
      </c>
      <c r="J911">
        <f>($B$1+Table4[[#This Row],[Home Differential]])-Table4[[#This Row],[Away Differential]]</f>
        <v>0.51819409750359258</v>
      </c>
      <c r="K911" t="str">
        <f>IF(Table4[[#This Row],[HomeIce Differential]]&gt;0,Table4[[#This Row],[Home]],Table4[[#This Row],[Visitor]])</f>
        <v>Anaheim Ducks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0.66487602650222788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0.85927171572006034</v>
      </c>
      <c r="H912" t="s">
        <v>32</v>
      </c>
      <c r="I912">
        <f>VLOOKUP(Table4[[#This Row],[Visitor]],'NHL Model'!$A$6:$B$38,2,FALSE)</f>
        <v>-0.51436416305402566</v>
      </c>
      <c r="J912">
        <f>($B$1+Table4[[#This Row],[Home Differential]])-Table4[[#This Row],[Away Differential]]</f>
        <v>1.4570498016454261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0.74205841975052778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9.3318671190422225E-2</v>
      </c>
      <c r="H913" t="s">
        <v>20</v>
      </c>
      <c r="I913">
        <f>VLOOKUP(Table4[[#This Row],[Visitor]],'NHL Model'!$A$6:$B$38,2,FALSE)</f>
        <v>0.18369921819729701</v>
      </c>
      <c r="J913">
        <f>($B$1+Table4[[#This Row],[Home Differential]])-Table4[[#This Row],[Away Differential]]</f>
        <v>-6.9666241355347269E-3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0.48153021097608845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-3.0305407970040489E-4</v>
      </c>
      <c r="H914" t="s">
        <v>23</v>
      </c>
      <c r="I914">
        <f>VLOOKUP(Table4[[#This Row],[Visitor]],'NHL Model'!$A$6:$B$38,2,FALSE)</f>
        <v>-0.32833039474346476</v>
      </c>
      <c r="J914">
        <f>($B$1+Table4[[#This Row],[Home Differential]])-Table4[[#This Row],[Away Differential]]</f>
        <v>0.41144126353510441</v>
      </c>
      <c r="K914" t="str">
        <f>IF(Table4[[#This Row],[HomeIce Differential]]&gt;0,Table4[[#This Row],[Home]],Table4[[#This Row],[Visitor]])</f>
        <v>New Jersey Devils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0.62784421985350192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0.67847982929669792</v>
      </c>
      <c r="H915" t="s">
        <v>19</v>
      </c>
      <c r="I915">
        <f>VLOOKUP(Table4[[#This Row],[Visitor]],'NHL Model'!$A$6:$B$38,2,FALSE)</f>
        <v>-3.2654449433805091E-2</v>
      </c>
      <c r="J915">
        <f>($B$1+Table4[[#This Row],[Home Differential]])-Table4[[#This Row],[Away Differential]]</f>
        <v>0.79454820160184314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0.62679030805312763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0.16351124183791613</v>
      </c>
      <c r="H916" t="s">
        <v>12</v>
      </c>
      <c r="I916">
        <f>VLOOKUP(Table4[[#This Row],[Visitor]],'NHL Model'!$A$6:$B$38,2,FALSE)</f>
        <v>1.7429147091761512</v>
      </c>
      <c r="J916">
        <f>($B$1+Table4[[#This Row],[Home Differential]])-Table4[[#This Row],[Away Differential]]</f>
        <v>-1.4959895444668949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0.64870445970910384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-0.58187345243071342</v>
      </c>
      <c r="H917" t="s">
        <v>40</v>
      </c>
      <c r="I917">
        <f>VLOOKUP(Table4[[#This Row],[Visitor]],'NHL Model'!$A$6:$B$38,2,FALSE)</f>
        <v>-7.6933210940904648E-2</v>
      </c>
      <c r="J917">
        <f>($B$1+Table4[[#This Row],[Home Differential]])-Table4[[#This Row],[Away Differential]]</f>
        <v>-0.42152631861846868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0.50604427896462678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0.95632113049608625</v>
      </c>
      <c r="H918" t="s">
        <v>27</v>
      </c>
      <c r="I918">
        <f>VLOOKUP(Table4[[#This Row],[Visitor]],'NHL Model'!$A$6:$B$38,2,FALSE)</f>
        <v>5.7297532801941484E-2</v>
      </c>
      <c r="J918">
        <f>($B$1+Table4[[#This Row],[Home Differential]])-Table4[[#This Row],[Away Differential]]</f>
        <v>0.98243752056548483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0.63112340971465741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0.2169753953839102</v>
      </c>
      <c r="H919" t="s">
        <v>28</v>
      </c>
      <c r="I919">
        <f>VLOOKUP(Table4[[#This Row],[Visitor]],'NHL Model'!$A$6:$B$38,2,FALSE)</f>
        <v>-0.21858969522472316</v>
      </c>
      <c r="J919">
        <f>($B$1+Table4[[#This Row],[Home Differential]])-Table4[[#This Row],[Away Differential]]</f>
        <v>0.51897901347997344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0.65581779888268799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0.63414563871719487</v>
      </c>
      <c r="H920" t="s">
        <v>37</v>
      </c>
      <c r="I920">
        <f>VLOOKUP(Table4[[#This Row],[Visitor]],'NHL Model'!$A$6:$B$38,2,FALSE)</f>
        <v>0.67847982929669792</v>
      </c>
      <c r="J920">
        <f>($B$1+Table4[[#This Row],[Home Differential]])-Table4[[#This Row],[Away Differential]]</f>
        <v>3.9079732291837033E-2</v>
      </c>
      <c r="K920" t="str">
        <f>IF(Table4[[#This Row],[HomeIce Differential]]&gt;0,Table4[[#This Row],[Home]],Table4[[#This Row],[Visitor]])</f>
        <v>Carolina Hurricanes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0.51518579865174197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1.7429147091761512</v>
      </c>
      <c r="H921" t="s">
        <v>34</v>
      </c>
      <c r="I921">
        <f>VLOOKUP(Table4[[#This Row],[Visitor]],'NHL Model'!$A$6:$B$38,2,FALSE)</f>
        <v>5.5764706436567675E-2</v>
      </c>
      <c r="J921">
        <f>($B$1+Table4[[#This Row],[Home Differential]])-Table4[[#This Row],[Away Differential]]</f>
        <v>1.7705639256109236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0.82197415507905414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-0.2331185823245894</v>
      </c>
      <c r="H922" t="s">
        <v>19</v>
      </c>
      <c r="I922">
        <f>VLOOKUP(Table4[[#This Row],[Visitor]],'NHL Model'!$A$6:$B$38,2,FALSE)</f>
        <v>-3.2654449433805091E-2</v>
      </c>
      <c r="J922">
        <f>($B$1+Table4[[#This Row],[Home Differential]])-Table4[[#This Row],[Away Differential]]</f>
        <v>-0.11705021001944425</v>
      </c>
      <c r="K922" t="str">
        <f>IF(Table4[[#This Row],[HomeIce Differential]]&gt;0,Table4[[#This Row],[Home]],Table4[[#This Row],[Visitor]])</f>
        <v>Toronto Maple Leafs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0.47278566078784173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9.3318671190422225E-2</v>
      </c>
      <c r="H923" t="s">
        <v>17</v>
      </c>
      <c r="I923">
        <f>VLOOKUP(Table4[[#This Row],[Visitor]],'NHL Model'!$A$6:$B$38,2,FALSE)</f>
        <v>-0.17631503877657284</v>
      </c>
      <c r="J923">
        <f>($B$1+Table4[[#This Row],[Home Differential]])-Table4[[#This Row],[Away Differential]]</f>
        <v>0.35304763283833512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0.57856419629380929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-0.23554590882174289</v>
      </c>
      <c r="H924" t="s">
        <v>30</v>
      </c>
      <c r="I924">
        <f>VLOOKUP(Table4[[#This Row],[Visitor]],'NHL Model'!$A$6:$B$38,2,FALSE)</f>
        <v>0.42358825343066847</v>
      </c>
      <c r="J924">
        <f>($B$1+Table4[[#This Row],[Home Differential]])-Table4[[#This Row],[Away Differential]]</f>
        <v>-0.57572023938107131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0.60636549266691642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-0.8717103858022891</v>
      </c>
      <c r="H925" t="s">
        <v>10</v>
      </c>
      <c r="I925">
        <f>VLOOKUP(Table4[[#This Row],[Visitor]],'NHL Model'!$A$6:$B$38,2,FALSE)</f>
        <v>-8.0981007952892342E-2</v>
      </c>
      <c r="J925">
        <f>($B$1+Table4[[#This Row],[Home Differential]])-Table4[[#This Row],[Away Differential]]</f>
        <v>-0.7073154549780567</v>
      </c>
      <c r="K925" t="str">
        <f>IF(Table4[[#This Row],[HomeIce Differential]]&gt;0,Table4[[#This Row],[Home]],Table4[[#This Row],[Visitor]])</f>
        <v>Chicago Blackhawks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0.53726167664154623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0.21842521198061643</v>
      </c>
      <c r="H926" t="s">
        <v>27</v>
      </c>
      <c r="I926">
        <f>VLOOKUP(Table4[[#This Row],[Visitor]],'NHL Model'!$A$6:$B$38,2,FALSE)</f>
        <v>5.7297532801941484E-2</v>
      </c>
      <c r="J926">
        <f>($B$1+Table4[[#This Row],[Home Differential]])-Table4[[#This Row],[Away Differential]]</f>
        <v>0.24454160205001502</v>
      </c>
      <c r="K926" t="str">
        <f>IF(Table4[[#This Row],[HomeIce Differential]]&gt;0,Table4[[#This Row],[Home]],Table4[[#This Row],[Visitor]])</f>
        <v>New York Rangers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0.52419927283156831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-0.1785578406462007</v>
      </c>
      <c r="H927" t="s">
        <v>26</v>
      </c>
      <c r="I927">
        <f>VLOOKUP(Table4[[#This Row],[Visitor]],'NHL Model'!$A$6:$B$38,2,FALSE)</f>
        <v>-0.46779379272887778</v>
      </c>
      <c r="J927">
        <f>($B$1+Table4[[#This Row],[Home Differential]])-Table4[[#This Row],[Away Differential]]</f>
        <v>0.37264987495401714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0.57987590071739337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0.26772485952910668</v>
      </c>
      <c r="H928" t="s">
        <v>24</v>
      </c>
      <c r="I928">
        <f>VLOOKUP(Table4[[#This Row],[Visitor]],'NHL Model'!$A$6:$B$38,2,FALSE)</f>
        <v>-3.0305407970040489E-4</v>
      </c>
      <c r="J928">
        <f>($B$1+Table4[[#This Row],[Home Differential]])-Table4[[#This Row],[Away Differential]]</f>
        <v>0.35144183648014715</v>
      </c>
      <c r="K928" t="str">
        <f>IF(Table4[[#This Row],[HomeIce Differential]]&gt;0,Table4[[#This Row],[Home]],Table4[[#This Row],[Visitor]])</f>
        <v>Pittsburgh Penguins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0.57481263256322201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-0.38457853131220177</v>
      </c>
      <c r="H929" t="s">
        <v>16</v>
      </c>
      <c r="I929">
        <f>VLOOKUP(Table4[[#This Row],[Visitor]],'NHL Model'!$A$6:$B$38,2,FALSE)</f>
        <v>-0.64492670113602302</v>
      </c>
      <c r="J929">
        <f>($B$1+Table4[[#This Row],[Home Differential]])-Table4[[#This Row],[Away Differential]]</f>
        <v>0.34376209269516134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0.57754991561475044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-1.0071073873045386</v>
      </c>
      <c r="H930" t="s">
        <v>32</v>
      </c>
      <c r="I930">
        <f>VLOOKUP(Table4[[#This Row],[Visitor]],'NHL Model'!$A$6:$B$38,2,FALSE)</f>
        <v>-0.51436416305402566</v>
      </c>
      <c r="J930">
        <f>($B$1+Table4[[#This Row],[Home Differential]])-Table4[[#This Row],[Away Differential]]</f>
        <v>-0.40932930137917289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0.5047119710173007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0.25846513585567971</v>
      </c>
      <c r="H931" t="s">
        <v>40</v>
      </c>
      <c r="I931">
        <f>VLOOKUP(Table4[[#This Row],[Visitor]],'NHL Model'!$A$6:$B$38,2,FALSE)</f>
        <v>-7.6933210940904648E-2</v>
      </c>
      <c r="J931">
        <f>($B$1+Table4[[#This Row],[Home Differential]])-Table4[[#This Row],[Away Differential]]</f>
        <v>0.41881226966792445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0.65402032330467308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-0.2331185823245894</v>
      </c>
      <c r="H932" t="s">
        <v>23</v>
      </c>
      <c r="I932">
        <f>VLOOKUP(Table4[[#This Row],[Visitor]],'NHL Model'!$A$6:$B$38,2,FALSE)</f>
        <v>-0.32833039474346476</v>
      </c>
      <c r="J932">
        <f>($B$1+Table4[[#This Row],[Home Differential]])-Table4[[#This Row],[Away Differential]]</f>
        <v>0.17862573529021541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0.55951169552809965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0.16351124183791613</v>
      </c>
      <c r="H933" t="s">
        <v>34</v>
      </c>
      <c r="I933">
        <f>VLOOKUP(Table4[[#This Row],[Visitor]],'NHL Model'!$A$6:$B$38,2,FALSE)</f>
        <v>5.5764706436567675E-2</v>
      </c>
      <c r="J933">
        <f>($B$1+Table4[[#This Row],[Home Differential]])-Table4[[#This Row],[Away Differential]]</f>
        <v>0.19116045827268852</v>
      </c>
      <c r="K933" t="str">
        <f>IF(Table4[[#This Row],[HomeIce Differential]]&gt;0,Table4[[#This Row],[Home]],Table4[[#This Row],[Visitor]])</f>
        <v>Utah Mammoth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0.58088089184220137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0.95632113049608625</v>
      </c>
      <c r="H934" t="s">
        <v>20</v>
      </c>
      <c r="I934">
        <f>VLOOKUP(Table4[[#This Row],[Visitor]],'NHL Model'!$A$6:$B$38,2,FALSE)</f>
        <v>0.18369921819729701</v>
      </c>
      <c r="J934">
        <f>($B$1+Table4[[#This Row],[Home Differential]])-Table4[[#This Row],[Away Differential]]</f>
        <v>0.85603583517012938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0.63896128763727111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0.63414563871719487</v>
      </c>
      <c r="H935" t="s">
        <v>26</v>
      </c>
      <c r="I935">
        <f>VLOOKUP(Table4[[#This Row],[Visitor]],'NHL Model'!$A$6:$B$38,2,FALSE)</f>
        <v>-0.46779379272887778</v>
      </c>
      <c r="J935">
        <f>($B$1+Table4[[#This Row],[Home Differential]])-Table4[[#This Row],[Away Differential]]</f>
        <v>1.1853533543174128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0.71156839639906155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-0.21858969522472316</v>
      </c>
      <c r="H936" t="s">
        <v>30</v>
      </c>
      <c r="I936">
        <f>VLOOKUP(Table4[[#This Row],[Visitor]],'NHL Model'!$A$6:$B$38,2,FALSE)</f>
        <v>0.42358825343066847</v>
      </c>
      <c r="J936">
        <f>($B$1+Table4[[#This Row],[Home Differential]])-Table4[[#This Row],[Away Differential]]</f>
        <v>-0.5587640257840516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0.6045133268718984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1.7429147091761512</v>
      </c>
      <c r="H937" t="s">
        <v>10</v>
      </c>
      <c r="I937">
        <f>VLOOKUP(Table4[[#This Row],[Visitor]],'NHL Model'!$A$6:$B$38,2,FALSE)</f>
        <v>-8.0981007952892342E-2</v>
      </c>
      <c r="J937">
        <f>($B$1+Table4[[#This Row],[Home Differential]])-Table4[[#This Row],[Away Differential]]</f>
        <v>1.9073096400003835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0.85616073789703517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0.85927171572006034</v>
      </c>
      <c r="H938" t="s">
        <v>29</v>
      </c>
      <c r="I938">
        <f>VLOOKUP(Table4[[#This Row],[Visitor]],'NHL Model'!$A$6:$B$38,2,FALSE)</f>
        <v>-0.8717103858022891</v>
      </c>
      <c r="J938">
        <f>($B$1+Table4[[#This Row],[Home Differential]])-Table4[[#This Row],[Away Differential]]</f>
        <v>1.8143960243936896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0.78109216080162747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9.3318671190422225E-2</v>
      </c>
      <c r="H939" t="s">
        <v>16</v>
      </c>
      <c r="I939">
        <f>VLOOKUP(Table4[[#This Row],[Visitor]],'NHL Model'!$A$6:$B$38,2,FALSE)</f>
        <v>-0.64492670113602302</v>
      </c>
      <c r="J939">
        <f>($B$1+Table4[[#This Row],[Home Differential]])-Table4[[#This Row],[Away Differential]]</f>
        <v>0.82165929519778524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0.6297517144978283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-0.23554590882174289</v>
      </c>
      <c r="H940" t="s">
        <v>22</v>
      </c>
      <c r="I940">
        <f>VLOOKUP(Table4[[#This Row],[Visitor]],'NHL Model'!$A$6:$B$38,2,FALSE)</f>
        <v>0.95632113049608625</v>
      </c>
      <c r="J940">
        <f>($B$1+Table4[[#This Row],[Home Differential]])-Table4[[#This Row],[Away Differential]]</f>
        <v>-1.108453116446489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0.63521767367206328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0.21842521198061643</v>
      </c>
      <c r="H941" t="s">
        <v>14</v>
      </c>
      <c r="I941">
        <f>VLOOKUP(Table4[[#This Row],[Visitor]],'NHL Model'!$A$6:$B$38,2,FALSE)</f>
        <v>0.26772485952910668</v>
      </c>
      <c r="J941">
        <f>($B$1+Table4[[#This Row],[Home Differential]])-Table4[[#This Row],[Away Differential]]</f>
        <v>3.411427532284983E-2</v>
      </c>
      <c r="K941" t="str">
        <f>IF(Table4[[#This Row],[HomeIce Differential]]&gt;0,Table4[[#This Row],[Home]],Table4[[#This Row],[Visitor]])</f>
        <v>New York Rangers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0.48958756243973095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5.7297532801941484E-2</v>
      </c>
      <c r="H942" t="s">
        <v>21</v>
      </c>
      <c r="I942">
        <f>VLOOKUP(Table4[[#This Row],[Visitor]],'NHL Model'!$A$6:$B$38,2,FALSE)</f>
        <v>0.2169753953839102</v>
      </c>
      <c r="J942">
        <f>($B$1+Table4[[#This Row],[Home Differential]])-Table4[[#This Row],[Away Differential]]</f>
        <v>-7.6263939710628642E-2</v>
      </c>
      <c r="K942" t="str">
        <f>IF(Table4[[#This Row],[HomeIce Differential]]&gt;0,Table4[[#This Row],[Home]],Table4[[#This Row],[Visitor]])</f>
        <v>Boston Bruins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0.44229274782391187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-0.51436416305402566</v>
      </c>
      <c r="H943" t="s">
        <v>38</v>
      </c>
      <c r="I943">
        <f>VLOOKUP(Table4[[#This Row],[Visitor]],'NHL Model'!$A$6:$B$38,2,FALSE)</f>
        <v>-0.58187345243071342</v>
      </c>
      <c r="J943">
        <f>($B$1+Table4[[#This Row],[Home Differential]])-Table4[[#This Row],[Away Differential]]</f>
        <v>0.15092321224802785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0.55648568589918956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-0.38457853131220177</v>
      </c>
      <c r="H944" t="s">
        <v>17</v>
      </c>
      <c r="I944">
        <f>VLOOKUP(Table4[[#This Row],[Visitor]],'NHL Model'!$A$6:$B$38,2,FALSE)</f>
        <v>-0.17631503877657284</v>
      </c>
      <c r="J944">
        <f>($B$1+Table4[[#This Row],[Home Differential]])-Table4[[#This Row],[Away Differential]]</f>
        <v>-0.12484956966428884</v>
      </c>
      <c r="K944" t="str">
        <f>IF(Table4[[#This Row],[HomeIce Differential]]&gt;0,Table4[[#This Row],[Home]],Table4[[#This Row],[Visitor]])</f>
        <v>Edmonton Oilers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0.47363760258926868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-1.0071073873045386</v>
      </c>
      <c r="H945" t="s">
        <v>24</v>
      </c>
      <c r="I945">
        <f>VLOOKUP(Table4[[#This Row],[Visitor]],'NHL Model'!$A$6:$B$38,2,FALSE)</f>
        <v>-3.0305407970040489E-4</v>
      </c>
      <c r="J945">
        <f>($B$1+Table4[[#This Row],[Home Differential]])-Table4[[#This Row],[Away Differential]]</f>
        <v>-0.92339041035349811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0.5644401946355454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0.67847982929669792</v>
      </c>
      <c r="H946" t="s">
        <v>23</v>
      </c>
      <c r="I946">
        <f>VLOOKUP(Table4[[#This Row],[Visitor]],'NHL Model'!$A$6:$B$38,2,FALSE)</f>
        <v>-0.32833039474346476</v>
      </c>
      <c r="J946">
        <f>($B$1+Table4[[#This Row],[Home Differential]])-Table4[[#This Row],[Away Differential]]</f>
        <v>1.0902241469115028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0.65908766436906896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-3.2654449433805091E-2</v>
      </c>
      <c r="H947" t="s">
        <v>36</v>
      </c>
      <c r="I947">
        <f>VLOOKUP(Table4[[#This Row],[Visitor]],'NHL Model'!$A$6:$B$38,2,FALSE)</f>
        <v>-0.1785578406462007</v>
      </c>
      <c r="J947">
        <f>($B$1+Table4[[#This Row],[Home Differential]])-Table4[[#This Row],[Away Differential]]</f>
        <v>0.22931731408373568</v>
      </c>
      <c r="K947" t="str">
        <f>IF(Table4[[#This Row],[HomeIce Differential]]&gt;0,Table4[[#This Row],[Home]],Table4[[#This Row],[Visitor]])</f>
        <v>Toronto Maple Leafs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0.56147269308786085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0.25846513585567971</v>
      </c>
      <c r="H948" t="s">
        <v>16</v>
      </c>
      <c r="I948">
        <f>VLOOKUP(Table4[[#This Row],[Visitor]],'NHL Model'!$A$6:$B$38,2,FALSE)</f>
        <v>-0.64492670113602302</v>
      </c>
      <c r="J948">
        <f>($B$1+Table4[[#This Row],[Home Differential]])-Table4[[#This Row],[Away Differential]]</f>
        <v>0.98680575986304286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0.716063544706247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5.5764706436567675E-2</v>
      </c>
      <c r="H949" t="s">
        <v>35</v>
      </c>
      <c r="I949">
        <f>VLOOKUP(Table4[[#This Row],[Visitor]],'NHL Model'!$A$6:$B$38,2,FALSE)</f>
        <v>-1.0071073873045386</v>
      </c>
      <c r="J949">
        <f>($B$1+Table4[[#This Row],[Home Differential]])-Table4[[#This Row],[Away Differential]]</f>
        <v>1.1462860166124464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0.66521142996512705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0.42358825343066847</v>
      </c>
      <c r="H950" t="s">
        <v>11</v>
      </c>
      <c r="I950">
        <f>VLOOKUP(Table4[[#This Row],[Visitor]],'NHL Model'!$A$6:$B$38,2,FALSE)</f>
        <v>-0.2331185823245894</v>
      </c>
      <c r="J950">
        <f>($B$1+Table4[[#This Row],[Home Differential]])-Table4[[#This Row],[Away Differential]]</f>
        <v>0.74012075862659787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0.62084507460745098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0.26772485952910668</v>
      </c>
      <c r="H951" t="s">
        <v>20</v>
      </c>
      <c r="I951">
        <f>VLOOKUP(Table4[[#This Row],[Visitor]],'NHL Model'!$A$6:$B$38,2,FALSE)</f>
        <v>0.18369921819729701</v>
      </c>
      <c r="J951">
        <f>($B$1+Table4[[#This Row],[Home Differential]])-Table4[[#This Row],[Away Differential]]</f>
        <v>0.16743956420314976</v>
      </c>
      <c r="K951" t="str">
        <f>IF(Table4[[#This Row],[HomeIce Differential]]&gt;0,Table4[[#This Row],[Home]],Table4[[#This Row],[Visitor]])</f>
        <v>Pittsburgh Penguins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0.53752057383692842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-0.38457853131220177</v>
      </c>
      <c r="H952" t="s">
        <v>40</v>
      </c>
      <c r="I952">
        <f>VLOOKUP(Table4[[#This Row],[Visitor]],'NHL Model'!$A$6:$B$38,2,FALSE)</f>
        <v>-7.6933210940904648E-2</v>
      </c>
      <c r="J952">
        <f>($B$1+Table4[[#This Row],[Home Differential]])-Table4[[#This Row],[Away Differential]]</f>
        <v>-0.22423139749995702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0.48449330578682348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0.16351124183791613</v>
      </c>
      <c r="H953" t="s">
        <v>10</v>
      </c>
      <c r="I953">
        <f>VLOOKUP(Table4[[#This Row],[Visitor]],'NHL Model'!$A$6:$B$38,2,FALSE)</f>
        <v>-8.0981007952892342E-2</v>
      </c>
      <c r="J953">
        <f>($B$1+Table4[[#This Row],[Home Differential]])-Table4[[#This Row],[Away Differential]]</f>
        <v>0.3279061726621485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0.61624911483554645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9.3318671190422225E-2</v>
      </c>
      <c r="H954" t="s">
        <v>12</v>
      </c>
      <c r="I954">
        <f>VLOOKUP(Table4[[#This Row],[Visitor]],'NHL Model'!$A$6:$B$38,2,FALSE)</f>
        <v>1.7429147091761512</v>
      </c>
      <c r="J954">
        <f>($B$1+Table4[[#This Row],[Home Differential]])-Table4[[#This Row],[Away Differential]]</f>
        <v>-1.5661821151143889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0.69739342575054852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-0.8717103858022891</v>
      </c>
      <c r="H955" t="s">
        <v>26</v>
      </c>
      <c r="I955">
        <f>VLOOKUP(Table4[[#This Row],[Visitor]],'NHL Model'!$A$6:$B$38,2,FALSE)</f>
        <v>-0.46779379272887778</v>
      </c>
      <c r="J955">
        <f>($B$1+Table4[[#This Row],[Home Differential]])-Table4[[#This Row],[Away Differential]]</f>
        <v>-0.32050267020207124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0.49583872905663839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0.21842521198061643</v>
      </c>
      <c r="H956" t="s">
        <v>28</v>
      </c>
      <c r="I956">
        <f>VLOOKUP(Table4[[#This Row],[Visitor]],'NHL Model'!$A$6:$B$38,2,FALSE)</f>
        <v>-0.21858969522472316</v>
      </c>
      <c r="J956">
        <f>($B$1+Table4[[#This Row],[Home Differential]])-Table4[[#This Row],[Away Differential]]</f>
        <v>0.52042883007667973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0.59684762534358882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-0.51436416305402566</v>
      </c>
      <c r="H957" t="s">
        <v>25</v>
      </c>
      <c r="I957">
        <f>VLOOKUP(Table4[[#This Row],[Visitor]],'NHL Model'!$A$6:$B$38,2,FALSE)</f>
        <v>0.63414563871719487</v>
      </c>
      <c r="J957">
        <f>($B$1+Table4[[#This Row],[Home Differential]])-Table4[[#This Row],[Away Differential]]</f>
        <v>-1.0650958788998803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0.64896601558271372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-3.2654449433805091E-2</v>
      </c>
      <c r="H958" t="s">
        <v>27</v>
      </c>
      <c r="I958">
        <f>VLOOKUP(Table4[[#This Row],[Visitor]],'NHL Model'!$A$6:$B$38,2,FALSE)</f>
        <v>5.7297532801941484E-2</v>
      </c>
      <c r="J958">
        <f>($B$1+Table4[[#This Row],[Home Differential]])-Table4[[#This Row],[Away Differential]]</f>
        <v>-6.5380593644065038E-3</v>
      </c>
      <c r="K958" t="str">
        <f>IF(Table4[[#This Row],[HomeIce Differential]]&gt;0,Table4[[#This Row],[Home]],Table4[[#This Row],[Visitor]])</f>
        <v>Philadelphia Flyers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0.50322672991577977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-0.58187345243071342</v>
      </c>
      <c r="H959" t="s">
        <v>39</v>
      </c>
      <c r="I959">
        <f>VLOOKUP(Table4[[#This Row],[Visitor]],'NHL Model'!$A$6:$B$38,2,FALSE)</f>
        <v>0.85927171572006034</v>
      </c>
      <c r="J959">
        <f>($B$1+Table4[[#This Row],[Home Differential]])-Table4[[#This Row],[Away Differential]]</f>
        <v>-1.3577312452794337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0.70079426128073852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0.25846513585567971</v>
      </c>
      <c r="H960" t="s">
        <v>12</v>
      </c>
      <c r="I960">
        <f>VLOOKUP(Table4[[#This Row],[Visitor]],'NHL Model'!$A$6:$B$38,2,FALSE)</f>
        <v>1.7429147091761512</v>
      </c>
      <c r="J960">
        <f>($B$1+Table4[[#This Row],[Home Differential]])-Table4[[#This Row],[Away Differential]]</f>
        <v>-1.4010356504491315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0.60956005128160551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0.2169753953839102</v>
      </c>
      <c r="H961" t="s">
        <v>14</v>
      </c>
      <c r="I961">
        <f>VLOOKUP(Table4[[#This Row],[Visitor]],'NHL Model'!$A$6:$B$38,2,FALSE)</f>
        <v>0.26772485952910668</v>
      </c>
      <c r="J961">
        <f>($B$1+Table4[[#This Row],[Home Differential]])-Table4[[#This Row],[Away Differential]]</f>
        <v>3.2664458726143597E-2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0.54966730393468088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-0.32833039474346476</v>
      </c>
      <c r="H962" t="s">
        <v>20</v>
      </c>
      <c r="I962">
        <f>VLOOKUP(Table4[[#This Row],[Visitor]],'NHL Model'!$A$6:$B$38,2,FALSE)</f>
        <v>0.18369921819729701</v>
      </c>
      <c r="J962">
        <f>($B$1+Table4[[#This Row],[Home Differential]])-Table4[[#This Row],[Away Differential]]</f>
        <v>-0.42861569006942168</v>
      </c>
      <c r="K962" t="str">
        <f>IF(Table4[[#This Row],[HomeIce Differential]]&gt;0,Table4[[#This Row],[Home]],Table4[[#This Row],[Visitor]])</f>
        <v>Vegas Golden Knights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0.51740690243417642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-0.21858969522472316</v>
      </c>
      <c r="H963" t="s">
        <v>29</v>
      </c>
      <c r="I963">
        <f>VLOOKUP(Table4[[#This Row],[Visitor]],'NHL Model'!$A$6:$B$38,2,FALSE)</f>
        <v>-0.8717103858022891</v>
      </c>
      <c r="J963">
        <f>($B$1+Table4[[#This Row],[Home Differential]])-Table4[[#This Row],[Away Differential]]</f>
        <v>0.73653461344890603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0.62045335180942862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-0.64492670113602302</v>
      </c>
      <c r="H964" t="s">
        <v>39</v>
      </c>
      <c r="I964">
        <f>VLOOKUP(Table4[[#This Row],[Visitor]],'NHL Model'!$A$6:$B$38,2,FALSE)</f>
        <v>0.85927171572006034</v>
      </c>
      <c r="J964">
        <f>($B$1+Table4[[#This Row],[Home Differential]])-Table4[[#This Row],[Away Differential]]</f>
        <v>-1.4207844939847432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0.70768171111430644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-0.17631503877657284</v>
      </c>
      <c r="H965" t="s">
        <v>36</v>
      </c>
      <c r="I965">
        <f>VLOOKUP(Table4[[#This Row],[Visitor]],'NHL Model'!$A$6:$B$38,2,FALSE)</f>
        <v>-0.1785578406462007</v>
      </c>
      <c r="J965">
        <f>($B$1+Table4[[#This Row],[Home Differential]])-Table4[[#This Row],[Away Differential]]</f>
        <v>8.5656724740967929E-2</v>
      </c>
      <c r="K965" t="str">
        <f>IF(Table4[[#This Row],[HomeIce Differential]]&gt;0,Table4[[#This Row],[Home]],Table4[[#This Row],[Visitor]])</f>
        <v>Edmonton Oilers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0.56491203451064342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5.5764706436567675E-2</v>
      </c>
      <c r="H966" t="s">
        <v>37</v>
      </c>
      <c r="I966">
        <f>VLOOKUP(Table4[[#This Row],[Visitor]],'NHL Model'!$A$6:$B$38,2,FALSE)</f>
        <v>0.67847982929669792</v>
      </c>
      <c r="J966">
        <f>($B$1+Table4[[#This Row],[Home Differential]])-Table4[[#This Row],[Away Differential]]</f>
        <v>-0.53930119998879023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0.59153226636096856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-3.0305407970040489E-4</v>
      </c>
      <c r="H967" t="s">
        <v>11</v>
      </c>
      <c r="I967">
        <f>VLOOKUP(Table4[[#This Row],[Visitor]],'NHL Model'!$A$6:$B$38,2,FALSE)</f>
        <v>-0.2331185823245894</v>
      </c>
      <c r="J967">
        <f>($B$1+Table4[[#This Row],[Home Differential]])-Table4[[#This Row],[Away Differential]]</f>
        <v>0.31622945111622908</v>
      </c>
      <c r="K967" t="str">
        <f>IF(Table4[[#This Row],[HomeIce Differential]]&gt;0,Table4[[#This Row],[Home]],Table4[[#This Row],[Visitor]])</f>
        <v>New Jersey Devils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0.61744401692878159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-0.38457853131220177</v>
      </c>
      <c r="H968" t="s">
        <v>18</v>
      </c>
      <c r="I968">
        <f>VLOOKUP(Table4[[#This Row],[Visitor]],'NHL Model'!$A$6:$B$38,2,FALSE)</f>
        <v>-0.23554590882174289</v>
      </c>
      <c r="J968">
        <f>($B$1+Table4[[#This Row],[Home Differential]])-Table4[[#This Row],[Away Differential]]</f>
        <v>-6.5618699619118787E-2</v>
      </c>
      <c r="K968" t="str">
        <f>IF(Table4[[#This Row],[HomeIce Differential]]&gt;0,Table4[[#This Row],[Home]],Table4[[#This Row],[Visitor]])</f>
        <v>Montreal Canadiens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0.53979084898241569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-7.6933210940904648E-2</v>
      </c>
      <c r="H969" t="s">
        <v>10</v>
      </c>
      <c r="I969">
        <f>VLOOKUP(Table4[[#This Row],[Visitor]],'NHL Model'!$A$6:$B$38,2,FALSE)</f>
        <v>-8.0981007952892342E-2</v>
      </c>
      <c r="J969">
        <f>($B$1+Table4[[#This Row],[Home Differential]])-Table4[[#This Row],[Away Differential]]</f>
        <v>8.7461719883327765E-2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0.56865907399165316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0.95632113049608625</v>
      </c>
      <c r="H970" t="s">
        <v>55</v>
      </c>
      <c r="I970">
        <f>VLOOKUP(Table4[[#This Row],[Visitor]],'NHL Model'!$A$6:$B$38,2,FALSE)</f>
        <v>0.16351124183791613</v>
      </c>
      <c r="J970">
        <f>($B$1+Table4[[#This Row],[Home Differential]])-Table4[[#This Row],[Away Differential]]</f>
        <v>0.87622381152951023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0.66174965662719987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0.25846513585567971</v>
      </c>
      <c r="H971" t="s">
        <v>30</v>
      </c>
      <c r="I971">
        <f>VLOOKUP(Table4[[#This Row],[Visitor]],'NHL Model'!$A$6:$B$38,2,FALSE)</f>
        <v>0.42358825343066847</v>
      </c>
      <c r="J971">
        <f>($B$1+Table4[[#This Row],[Home Differential]])-Table4[[#This Row],[Away Differential]]</f>
        <v>-8.170919470364868E-2</v>
      </c>
      <c r="K971" t="str">
        <f>IF(Table4[[#This Row],[HomeIce Differential]]&gt;0,Table4[[#This Row],[Home]],Table4[[#This Row],[Visitor]])</f>
        <v>New York Islanders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0.48260949179283402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-0.46779379272887778</v>
      </c>
      <c r="H972" t="s">
        <v>20</v>
      </c>
      <c r="I972">
        <f>VLOOKUP(Table4[[#This Row],[Visitor]],'NHL Model'!$A$6:$B$38,2,FALSE)</f>
        <v>0.18369921819729701</v>
      </c>
      <c r="J972">
        <f>($B$1+Table4[[#This Row],[Home Differential]])-Table4[[#This Row],[Away Differential]]</f>
        <v>-0.56807908805483476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0.53264080674468595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-3.0305407970040489E-4</v>
      </c>
      <c r="H973" t="s">
        <v>19</v>
      </c>
      <c r="I973">
        <f>VLOOKUP(Table4[[#This Row],[Visitor]],'NHL Model'!$A$6:$B$38,2,FALSE)</f>
        <v>-3.2654449433805091E-2</v>
      </c>
      <c r="J973">
        <f>($B$1+Table4[[#This Row],[Home Differential]])-Table4[[#This Row],[Away Differential]]</f>
        <v>0.11576531822544475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0.59554686353756059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-0.51436416305402566</v>
      </c>
      <c r="H974" t="s">
        <v>35</v>
      </c>
      <c r="I974">
        <f>VLOOKUP(Table4[[#This Row],[Visitor]],'NHL Model'!$A$6:$B$38,2,FALSE)</f>
        <v>-1.0071073873045386</v>
      </c>
      <c r="J974">
        <f>($B$1+Table4[[#This Row],[Home Differential]])-Table4[[#This Row],[Away Differential]]</f>
        <v>0.57615714712185306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0.60293495622405902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-0.58187345243071342</v>
      </c>
      <c r="H975" t="s">
        <v>25</v>
      </c>
      <c r="I975">
        <f>VLOOKUP(Table4[[#This Row],[Visitor]],'NHL Model'!$A$6:$B$38,2,FALSE)</f>
        <v>0.63414563871719487</v>
      </c>
      <c r="J975">
        <f>($B$1+Table4[[#This Row],[Home Differential]])-Table4[[#This Row],[Away Differential]]</f>
        <v>-1.1326051682765681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0.65634020887852407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-0.21858969522472316</v>
      </c>
      <c r="H976" t="s">
        <v>11</v>
      </c>
      <c r="I976">
        <f>VLOOKUP(Table4[[#This Row],[Visitor]],'NHL Model'!$A$6:$B$38,2,FALSE)</f>
        <v>-0.2331185823245894</v>
      </c>
      <c r="J976">
        <f>($B$1+Table4[[#This Row],[Home Differential]])-Table4[[#This Row],[Away Differential]]</f>
        <v>9.7942809971206329E-2</v>
      </c>
      <c r="K976" t="str">
        <f>IF(Table4[[#This Row],[HomeIce Differential]]&gt;0,Table4[[#This Row],[Home]],Table4[[#This Row],[Visitor]])</f>
        <v>Columbus Blue Jackets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0.55069851600173858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-0.64492670113602302</v>
      </c>
      <c r="H977" t="s">
        <v>36</v>
      </c>
      <c r="I977">
        <f>VLOOKUP(Table4[[#This Row],[Visitor]],'NHL Model'!$A$6:$B$38,2,FALSE)</f>
        <v>-0.1785578406462007</v>
      </c>
      <c r="J977">
        <f>($B$1+Table4[[#This Row],[Home Differential]])-Table4[[#This Row],[Away Differential]]</f>
        <v>-0.38295493761848221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0.50540719818932844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9.3318671190422225E-2</v>
      </c>
      <c r="H978" t="s">
        <v>30</v>
      </c>
      <c r="I978">
        <f>VLOOKUP(Table4[[#This Row],[Visitor]],'NHL Model'!$A$6:$B$38,2,FALSE)</f>
        <v>0.42358825343066847</v>
      </c>
      <c r="J978">
        <f>($B$1+Table4[[#This Row],[Home Differential]])-Table4[[#This Row],[Away Differential]]</f>
        <v>-0.24685565936890619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0.5704428662617772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-0.8717103858022891</v>
      </c>
      <c r="H979" t="s">
        <v>21</v>
      </c>
      <c r="I979">
        <f>VLOOKUP(Table4[[#This Row],[Visitor]],'NHL Model'!$A$6:$B$38,2,FALSE)</f>
        <v>0.2169753953839102</v>
      </c>
      <c r="J979">
        <f>($B$1+Table4[[#This Row],[Home Differential]])-Table4[[#This Row],[Away Differential]]</f>
        <v>-1.0052718583148592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0.56980813257696805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0.21842521198061643</v>
      </c>
      <c r="H980" t="s">
        <v>19</v>
      </c>
      <c r="I980">
        <f>VLOOKUP(Table4[[#This Row],[Visitor]],'NHL Model'!$A$6:$B$38,2,FALSE)</f>
        <v>-3.2654449433805091E-2</v>
      </c>
      <c r="J980">
        <f>($B$1+Table4[[#This Row],[Home Differential]])-Table4[[#This Row],[Away Differential]]</f>
        <v>0.33449358428576159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0.57653749535072729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5.7297532801941484E-2</v>
      </c>
      <c r="H981" t="s">
        <v>55</v>
      </c>
      <c r="I981">
        <f>VLOOKUP(Table4[[#This Row],[Visitor]],'NHL Model'!$A$6:$B$38,2,FALSE)</f>
        <v>0.16351124183791613</v>
      </c>
      <c r="J981">
        <f>($B$1+Table4[[#This Row],[Home Differential]])-Table4[[#This Row],[Away Differential]]</f>
        <v>-2.2799786164634572E-2</v>
      </c>
      <c r="K981" t="str">
        <f>IF(Table4[[#This Row],[HomeIce Differential]]&gt;0,Table4[[#This Row],[Home]],Table4[[#This Row],[Visitor]])</f>
        <v>Utah Mammoth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0.43645273667455459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0.26772485952910668</v>
      </c>
      <c r="H982" t="s">
        <v>23</v>
      </c>
      <c r="I982">
        <f>VLOOKUP(Table4[[#This Row],[Visitor]],'NHL Model'!$A$6:$B$38,2,FALSE)</f>
        <v>-0.32833039474346476</v>
      </c>
      <c r="J982">
        <f>($B$1+Table4[[#This Row],[Home Differential]])-Table4[[#This Row],[Away Differential]]</f>
        <v>0.67946917714391153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0.61421996434959714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-7.6933210940904648E-2</v>
      </c>
      <c r="H983" t="s">
        <v>37</v>
      </c>
      <c r="I983">
        <f>VLOOKUP(Table4[[#This Row],[Visitor]],'NHL Model'!$A$6:$B$38,2,FALSE)</f>
        <v>0.67847982929669792</v>
      </c>
      <c r="J983">
        <f>($B$1+Table4[[#This Row],[Home Differential]])-Table4[[#This Row],[Away Differential]]</f>
        <v>-0.6719991173662625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0.58677297667920403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0.25846513585567971</v>
      </c>
      <c r="H984" t="s">
        <v>18</v>
      </c>
      <c r="I984">
        <f>VLOOKUP(Table4[[#This Row],[Visitor]],'NHL Model'!$A$6:$B$38,2,FALSE)</f>
        <v>-0.23554590882174289</v>
      </c>
      <c r="J984">
        <f>($B$1+Table4[[#This Row],[Home Differential]])-Table4[[#This Row],[Away Differential]]</f>
        <v>0.57742496754876271</v>
      </c>
      <c r="K984" t="str">
        <f>IF(Table4[[#This Row],[HomeIce Differential]]&gt;0,Table4[[#This Row],[Home]],Table4[[#This Row],[Visitor]])</f>
        <v>Anaheim Ducks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0.60026352577884023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-8.0981007952892342E-2</v>
      </c>
      <c r="H985" t="s">
        <v>38</v>
      </c>
      <c r="I985">
        <f>VLOOKUP(Table4[[#This Row],[Visitor]],'NHL Model'!$A$6:$B$38,2,FALSE)</f>
        <v>-0.58187345243071342</v>
      </c>
      <c r="J985">
        <f>($B$1+Table4[[#This Row],[Home Differential]])-Table4[[#This Row],[Away Differential]]</f>
        <v>0.58430636734916119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0.6038251140930152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0.85927171572006034</v>
      </c>
      <c r="H986" t="s">
        <v>12</v>
      </c>
      <c r="I986">
        <f>VLOOKUP(Table4[[#This Row],[Visitor]],'NHL Model'!$A$6:$B$38,2,FALSE)</f>
        <v>1.7429147091761512</v>
      </c>
      <c r="J986">
        <f>($B$1+Table4[[#This Row],[Home Differential]])-Table4[[#This Row],[Away Differential]]</f>
        <v>-0.80022907058475079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0.57016946298858695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-0.46779379272887778</v>
      </c>
      <c r="H987" t="s">
        <v>11</v>
      </c>
      <c r="I987">
        <f>VLOOKUP(Table4[[#This Row],[Visitor]],'NHL Model'!$A$6:$B$38,2,FALSE)</f>
        <v>-0.2331185823245894</v>
      </c>
      <c r="J987">
        <f>($B$1+Table4[[#This Row],[Home Differential]])-Table4[[#This Row],[Away Differential]]</f>
        <v>-0.15126128753294829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0.46640036524309769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-0.17631503877657284</v>
      </c>
      <c r="H988" t="s">
        <v>25</v>
      </c>
      <c r="I988">
        <f>VLOOKUP(Table4[[#This Row],[Visitor]],'NHL Model'!$A$6:$B$38,2,FALSE)</f>
        <v>0.63414563871719487</v>
      </c>
      <c r="J988">
        <f>($B$1+Table4[[#This Row],[Home Differential]])-Table4[[#This Row],[Away Differential]]</f>
        <v>-0.72704675462242763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0.59278595535743595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-0.38457853131220177</v>
      </c>
      <c r="H989" t="s">
        <v>35</v>
      </c>
      <c r="I989">
        <f>VLOOKUP(Table4[[#This Row],[Visitor]],'NHL Model'!$A$6:$B$38,2,FALSE)</f>
        <v>-1.0071073873045386</v>
      </c>
      <c r="J989">
        <f>($B$1+Table4[[#This Row],[Home Differential]])-Table4[[#This Row],[Away Differential]]</f>
        <v>0.70594277886367696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0.61711173610605197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0.18369921819729701</v>
      </c>
      <c r="H990" t="s">
        <v>34</v>
      </c>
      <c r="I990">
        <f>VLOOKUP(Table4[[#This Row],[Visitor]],'NHL Model'!$A$6:$B$38,2,FALSE)</f>
        <v>5.5764706436567675E-2</v>
      </c>
      <c r="J990">
        <f>($B$1+Table4[[#This Row],[Home Differential]])-Table4[[#This Row],[Away Differential]]</f>
        <v>0.21134843463206943</v>
      </c>
      <c r="K990" t="str">
        <f>IF(Table4[[#This Row],[HomeIce Differential]]&gt;0,Table4[[#This Row],[Home]],Table4[[#This Row],[Visitor]])</f>
        <v>Vegas Golden Knights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0.54231683966838817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0.2169753953839102</v>
      </c>
      <c r="H991" t="s">
        <v>22</v>
      </c>
      <c r="I991">
        <f>VLOOKUP(Table4[[#This Row],[Visitor]],'NHL Model'!$A$6:$B$38,2,FALSE)</f>
        <v>0.95632113049608625</v>
      </c>
      <c r="J991">
        <f>($B$1+Table4[[#This Row],[Home Differential]])-Table4[[#This Row],[Away Differential]]</f>
        <v>-0.65593181224083597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0.52554963364188578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-0.32833039474346476</v>
      </c>
      <c r="H992" t="s">
        <v>29</v>
      </c>
      <c r="I992">
        <f>VLOOKUP(Table4[[#This Row],[Visitor]],'NHL Model'!$A$6:$B$38,2,FALSE)</f>
        <v>-0.8717103858022891</v>
      </c>
      <c r="J992">
        <f>($B$1+Table4[[#This Row],[Home Differential]])-Table4[[#This Row],[Away Differential]]</f>
        <v>0.62679391393016437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0.61858837487510188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-0.21858969522472316</v>
      </c>
      <c r="H993" t="s">
        <v>55</v>
      </c>
      <c r="I993">
        <f>VLOOKUP(Table4[[#This Row],[Visitor]],'NHL Model'!$A$6:$B$38,2,FALSE)</f>
        <v>0.16351124183791613</v>
      </c>
      <c r="J993">
        <f>($B$1+Table4[[#This Row],[Home Differential]])-Table4[[#This Row],[Away Differential]]</f>
        <v>-0.29868701419129917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0.49262626222156142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-0.64492670113602302</v>
      </c>
      <c r="H994" t="s">
        <v>25</v>
      </c>
      <c r="I994">
        <f>VLOOKUP(Table4[[#This Row],[Visitor]],'NHL Model'!$A$6:$B$38,2,FALSE)</f>
        <v>0.63414563871719487</v>
      </c>
      <c r="J994">
        <f>($B$1+Table4[[#This Row],[Home Differential]])-Table4[[#This Row],[Away Differential]]</f>
        <v>-1.1956584169818778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0.66322765871209199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9.3318671190422225E-2</v>
      </c>
      <c r="H995" t="s">
        <v>18</v>
      </c>
      <c r="I995">
        <f>VLOOKUP(Table4[[#This Row],[Visitor]],'NHL Model'!$A$6:$B$38,2,FALSE)</f>
        <v>-0.23554590882174289</v>
      </c>
      <c r="J995">
        <f>($B$1+Table4[[#This Row],[Home Differential]])-Table4[[#This Row],[Away Differential]]</f>
        <v>0.4122785028835052</v>
      </c>
      <c r="K995" t="str">
        <f>IF(Table4[[#This Row],[HomeIce Differential]]&gt;0,Table4[[#This Row],[Home]],Table4[[#This Row],[Visitor]])</f>
        <v>Los Angeles Kings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0.51241094990066227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-3.0305407970040489E-4</v>
      </c>
      <c r="H996" t="s">
        <v>15</v>
      </c>
      <c r="I996">
        <f>VLOOKUP(Table4[[#This Row],[Visitor]],'NHL Model'!$A$6:$B$38,2,FALSE)</f>
        <v>0.21842521198061643</v>
      </c>
      <c r="J996">
        <f>($B$1+Table4[[#This Row],[Home Differential]])-Table4[[#This Row],[Away Differential]]</f>
        <v>-0.13531434318897678</v>
      </c>
      <c r="K996" t="str">
        <f>IF(Table4[[#This Row],[HomeIce Differential]]&gt;0,Table4[[#This Row],[Home]],Table4[[#This Row],[Visitor]])</f>
        <v>New York Rangers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0.53814517959524089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0.26772485952910668</v>
      </c>
      <c r="H997" t="s">
        <v>27</v>
      </c>
      <c r="I997">
        <f>VLOOKUP(Table4[[#This Row],[Visitor]],'NHL Model'!$A$6:$B$38,2,FALSE)</f>
        <v>5.7297532801941484E-2</v>
      </c>
      <c r="J997">
        <f>($B$1+Table4[[#This Row],[Home Differential]])-Table4[[#This Row],[Away Differential]]</f>
        <v>0.29384124959850527</v>
      </c>
      <c r="K997" t="str">
        <f>IF(Table4[[#This Row],[HomeIce Differential]]&gt;0,Table4[[#This Row],[Home]],Table4[[#This Row],[Visitor]])</f>
        <v>Pittsburgh Penguins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0.52958438551449671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-0.51436416305402566</v>
      </c>
      <c r="H998" t="s">
        <v>36</v>
      </c>
      <c r="I998">
        <f>VLOOKUP(Table4[[#This Row],[Visitor]],'NHL Model'!$A$6:$B$38,2,FALSE)</f>
        <v>-0.1785578406462007</v>
      </c>
      <c r="J998">
        <f>($B$1+Table4[[#This Row],[Home Differential]])-Table4[[#This Row],[Away Differential]]</f>
        <v>-0.25239239953648485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0.49114555505995017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-0.38457853131220177</v>
      </c>
      <c r="H999" t="s">
        <v>30</v>
      </c>
      <c r="I999">
        <f>VLOOKUP(Table4[[#This Row],[Visitor]],'NHL Model'!$A$6:$B$38,2,FALSE)</f>
        <v>0.42358825343066847</v>
      </c>
      <c r="J999">
        <f>($B$1+Table4[[#This Row],[Home Differential]])-Table4[[#This Row],[Away Differential]]</f>
        <v>-0.72475286187153021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0.62264466514485506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-3.2654449433805091E-2</v>
      </c>
      <c r="H1000" t="s">
        <v>37</v>
      </c>
      <c r="I1000">
        <f>VLOOKUP(Table4[[#This Row],[Visitor]],'NHL Model'!$A$6:$B$38,2,FALSE)</f>
        <v>0.67847982929669792</v>
      </c>
      <c r="J1000">
        <f>($B$1+Table4[[#This Row],[Home Differential]])-Table4[[#This Row],[Away Differential]]</f>
        <v>-0.62772035585916297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0.60119049195422547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-7.6933210940904648E-2</v>
      </c>
      <c r="H1001" t="s">
        <v>38</v>
      </c>
      <c r="I1001">
        <f>VLOOKUP(Table4[[#This Row],[Visitor]],'NHL Model'!$A$6:$B$38,2,FALSE)</f>
        <v>-0.58187345243071342</v>
      </c>
      <c r="J1001">
        <f>($B$1+Table4[[#This Row],[Home Differential]])-Table4[[#This Row],[Away Differential]]</f>
        <v>0.58835416436114885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0.62337269548128915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0.25846513585567971</v>
      </c>
      <c r="H1002" t="s">
        <v>35</v>
      </c>
      <c r="I1002">
        <f>VLOOKUP(Table4[[#This Row],[Visitor]],'NHL Model'!$A$6:$B$38,2,FALSE)</f>
        <v>-1.0071073873045386</v>
      </c>
      <c r="J1002">
        <f>($B$1+Table4[[#This Row],[Home Differential]])-Table4[[#This Row],[Away Differential]]</f>
        <v>1.3489864460315584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0.75562536519754853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-0.32833039474346476</v>
      </c>
      <c r="H1003" t="s">
        <v>37</v>
      </c>
      <c r="I1003">
        <f>VLOOKUP(Table4[[#This Row],[Visitor]],'NHL Model'!$A$6:$B$38,2,FALSE)</f>
        <v>0.67847982929669792</v>
      </c>
      <c r="J1003">
        <f>($B$1+Table4[[#This Row],[Home Differential]])-Table4[[#This Row],[Away Differential]]</f>
        <v>-0.92339630116882265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0.62331365875414735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1.7429147091761512</v>
      </c>
      <c r="H1004" t="s">
        <v>34</v>
      </c>
      <c r="I1004">
        <f>VLOOKUP(Table4[[#This Row],[Visitor]],'NHL Model'!$A$6:$B$38,2,FALSE)</f>
        <v>5.5764706436567675E-2</v>
      </c>
      <c r="J1004">
        <f>($B$1+Table4[[#This Row],[Home Differential]])-Table4[[#This Row],[Away Differential]]</f>
        <v>1.7705639256109236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0.82197415507905414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0.85927171572006034</v>
      </c>
      <c r="H1005" t="s">
        <v>10</v>
      </c>
      <c r="I1005">
        <f>VLOOKUP(Table4[[#This Row],[Visitor]],'NHL Model'!$A$6:$B$38,2,FALSE)</f>
        <v>-8.0981007952892342E-2</v>
      </c>
      <c r="J1005">
        <f>($B$1+Table4[[#This Row],[Home Differential]])-Table4[[#This Row],[Away Differential]]</f>
        <v>1.0236666465442927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0.69471899155670203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-3.0305407970040489E-4</v>
      </c>
      <c r="H1006" t="s">
        <v>26</v>
      </c>
      <c r="I1006">
        <f>VLOOKUP(Table4[[#This Row],[Visitor]],'NHL Model'!$A$6:$B$38,2,FALSE)</f>
        <v>-0.46779379272887778</v>
      </c>
      <c r="J1006">
        <f>($B$1+Table4[[#This Row],[Home Differential]])-Table4[[#This Row],[Away Differential]]</f>
        <v>0.55090466152051742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0.64226612199867239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0.26772485952910668</v>
      </c>
      <c r="H1007" t="s">
        <v>21</v>
      </c>
      <c r="I1007">
        <f>VLOOKUP(Table4[[#This Row],[Visitor]],'NHL Model'!$A$6:$B$38,2,FALSE)</f>
        <v>0.2169753953839102</v>
      </c>
      <c r="J1007">
        <f>($B$1+Table4[[#This Row],[Home Differential]])-Table4[[#This Row],[Away Differential]]</f>
        <v>0.13416338701653657</v>
      </c>
      <c r="K1007" t="str">
        <f>IF(Table4[[#This Row],[HomeIce Differential]]&gt;0,Table4[[#This Row],[Home]],Table4[[#This Row],[Visitor]])</f>
        <v>Pittsburgh Penguins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0.55465497205221947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0.18369921819729701</v>
      </c>
      <c r="H1008" t="s">
        <v>17</v>
      </c>
      <c r="I1008">
        <f>VLOOKUP(Table4[[#This Row],[Visitor]],'NHL Model'!$A$6:$B$38,2,FALSE)</f>
        <v>-0.17631503877657284</v>
      </c>
      <c r="J1008">
        <f>($B$1+Table4[[#This Row],[Home Differential]])-Table4[[#This Row],[Away Differential]]</f>
        <v>0.44342817984520994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0.58843666910404624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-8.0981007952892342E-2</v>
      </c>
      <c r="H1009" t="s">
        <v>55</v>
      </c>
      <c r="I1009">
        <f>VLOOKUP(Table4[[#This Row],[Visitor]],'NHL Model'!$A$6:$B$38,2,FALSE)</f>
        <v>0.16351124183791613</v>
      </c>
      <c r="J1009">
        <f>($B$1+Table4[[#This Row],[Home Differential]])-Table4[[#This Row],[Away Differential]]</f>
        <v>-0.16107832691946838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0.47759495218268538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5.7297532801941484E-2</v>
      </c>
      <c r="H1010" t="s">
        <v>15</v>
      </c>
      <c r="I1010">
        <f>VLOOKUP(Table4[[#This Row],[Visitor]],'NHL Model'!$A$6:$B$38,2,FALSE)</f>
        <v>0.21842521198061643</v>
      </c>
      <c r="J1010">
        <f>($B$1+Table4[[#This Row],[Home Differential]])-Table4[[#This Row],[Away Differential]]</f>
        <v>-7.7713756307334875E-2</v>
      </c>
      <c r="K1010" t="str">
        <f>IF(Table4[[#This Row],[HomeIce Differential]]&gt;0,Table4[[#This Row],[Home]],Table4[[#This Row],[Visitor]])</f>
        <v>New York Rangers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0.54902939097942083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-0.58187345243071342</v>
      </c>
      <c r="H1011" t="s">
        <v>36</v>
      </c>
      <c r="I1011">
        <f>VLOOKUP(Table4[[#This Row],[Visitor]],'NHL Model'!$A$6:$B$38,2,FALSE)</f>
        <v>-0.1785578406462007</v>
      </c>
      <c r="J1011">
        <f>($B$1+Table4[[#This Row],[Home Differential]])-Table4[[#This Row],[Away Differential]]</f>
        <v>-0.31990168891317261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0.49851974835576052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0.95632113049608625</v>
      </c>
      <c r="H1012" t="s">
        <v>16</v>
      </c>
      <c r="I1012">
        <f>VLOOKUP(Table4[[#This Row],[Visitor]],'NHL Model'!$A$6:$B$38,2,FALSE)</f>
        <v>-0.64492670113602302</v>
      </c>
      <c r="J1012">
        <f>($B$1+Table4[[#This Row],[Home Differential]])-Table4[[#This Row],[Away Differential]]</f>
        <v>1.6846617545034492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0.75005717273646832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0.2169753953839102</v>
      </c>
      <c r="H1013" t="s">
        <v>13</v>
      </c>
      <c r="I1013">
        <f>VLOOKUP(Table4[[#This Row],[Visitor]],'NHL Model'!$A$6:$B$38,2,FALSE)</f>
        <v>9.3318671190422225E-2</v>
      </c>
      <c r="J1013">
        <f>($B$1+Table4[[#This Row],[Home Differential]])-Table4[[#This Row],[Away Differential]]</f>
        <v>0.20707064706482806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0.55659938049182767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-0.32833039474346476</v>
      </c>
      <c r="H1014" t="s">
        <v>33</v>
      </c>
      <c r="I1014">
        <f>VLOOKUP(Table4[[#This Row],[Visitor]],'NHL Model'!$A$6:$B$38,2,FALSE)</f>
        <v>-0.38457853131220177</v>
      </c>
      <c r="J1014">
        <f>($B$1+Table4[[#This Row],[Home Differential]])-Table4[[#This Row],[Away Differential]]</f>
        <v>0.13966205944007709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0.56537785394200923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0.63414563871719487</v>
      </c>
      <c r="H1015" t="s">
        <v>14</v>
      </c>
      <c r="I1015">
        <f>VLOOKUP(Table4[[#This Row],[Visitor]],'NHL Model'!$A$6:$B$38,2,FALSE)</f>
        <v>0.26772485952910668</v>
      </c>
      <c r="J1015">
        <f>($B$1+Table4[[#This Row],[Home Differential]])-Table4[[#This Row],[Away Differential]]</f>
        <v>0.44983470205942827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0.57854823280941059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1.7429147091761512</v>
      </c>
      <c r="H1016" t="s">
        <v>17</v>
      </c>
      <c r="I1016">
        <f>VLOOKUP(Table4[[#This Row],[Visitor]],'NHL Model'!$A$6:$B$38,2,FALSE)</f>
        <v>-0.17631503877657284</v>
      </c>
      <c r="J1016">
        <f>($B$1+Table4[[#This Row],[Home Differential]])-Table4[[#This Row],[Away Differential]]</f>
        <v>2.0026436708240638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0.86657429101621997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0.85927171572006034</v>
      </c>
      <c r="H1017" t="s">
        <v>20</v>
      </c>
      <c r="I1017">
        <f>VLOOKUP(Table4[[#This Row],[Visitor]],'NHL Model'!$A$6:$B$38,2,FALSE)</f>
        <v>0.18369921819729701</v>
      </c>
      <c r="J1017">
        <f>($B$1+Table4[[#This Row],[Home Differential]])-Table4[[#This Row],[Away Differential]]</f>
        <v>0.75898642039410347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0.64540581377107498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-0.2331185823245894</v>
      </c>
      <c r="H1018" t="s">
        <v>26</v>
      </c>
      <c r="I1018">
        <f>VLOOKUP(Table4[[#This Row],[Visitor]],'NHL Model'!$A$6:$B$38,2,FALSE)</f>
        <v>-0.46779379272887778</v>
      </c>
      <c r="J1018">
        <f>($B$1+Table4[[#This Row],[Home Differential]])-Table4[[#This Row],[Away Differential]]</f>
        <v>0.31808913327562843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0.57391610675105154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5.5764706436567675E-2</v>
      </c>
      <c r="H1019" t="s">
        <v>55</v>
      </c>
      <c r="I1019">
        <f>VLOOKUP(Table4[[#This Row],[Visitor]],'NHL Model'!$A$6:$B$38,2,FALSE)</f>
        <v>0.16351124183791613</v>
      </c>
      <c r="J1019">
        <f>($B$1+Table4[[#This Row],[Home Differential]])-Table4[[#This Row],[Away Differential]]</f>
        <v>-2.4332612530008374E-2</v>
      </c>
      <c r="K1019" t="str">
        <f>IF(Table4[[#This Row],[HomeIce Differential]]&gt;0,Table4[[#This Row],[Home]],Table4[[#This Row],[Visitor]])</f>
        <v>Utah Mammoth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0.46265790663544298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-0.23554590882174289</v>
      </c>
      <c r="H1020" t="s">
        <v>19</v>
      </c>
      <c r="I1020">
        <f>VLOOKUP(Table4[[#This Row],[Visitor]],'NHL Model'!$A$6:$B$38,2,FALSE)</f>
        <v>-3.2654449433805091E-2</v>
      </c>
      <c r="J1020">
        <f>($B$1+Table4[[#This Row],[Home Differential]])-Table4[[#This Row],[Away Differential]]</f>
        <v>-0.11947753651659775</v>
      </c>
      <c r="K1020" t="str">
        <f>IF(Table4[[#This Row],[HomeIce Differential]]&gt;0,Table4[[#This Row],[Home]],Table4[[#This Row],[Visitor]])</f>
        <v>Toronto Maple Leafs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0.47305080318450032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0.21842521198061643</v>
      </c>
      <c r="H1021" t="s">
        <v>16</v>
      </c>
      <c r="I1021">
        <f>VLOOKUP(Table4[[#This Row],[Visitor]],'NHL Model'!$A$6:$B$38,2,FALSE)</f>
        <v>-0.64492670113602302</v>
      </c>
      <c r="J1021">
        <f>($B$1+Table4[[#This Row],[Home Differential]])-Table4[[#This Row],[Away Differential]]</f>
        <v>0.94676583598797959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0.6434173866279167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-0.51436416305402566</v>
      </c>
      <c r="H1022" t="s">
        <v>29</v>
      </c>
      <c r="I1022">
        <f>VLOOKUP(Table4[[#This Row],[Visitor]],'NHL Model'!$A$6:$B$38,2,FALSE)</f>
        <v>-0.8717103858022891</v>
      </c>
      <c r="J1022">
        <f>($B$1+Table4[[#This Row],[Home Differential]])-Table4[[#This Row],[Away Differential]]</f>
        <v>0.44076014561960353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0.58814523365447902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-1.0071073873045386</v>
      </c>
      <c r="H1023" t="s">
        <v>30</v>
      </c>
      <c r="I1023">
        <f>VLOOKUP(Table4[[#This Row],[Visitor]],'NHL Model'!$A$6:$B$38,2,FALSE)</f>
        <v>0.42358825343066847</v>
      </c>
      <c r="J1023">
        <f>($B$1+Table4[[#This Row],[Home Differential]])-Table4[[#This Row],[Away Differential]]</f>
        <v>-1.347281717863867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0.69064490864752781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0.67847982929669792</v>
      </c>
      <c r="H1024" t="s">
        <v>28</v>
      </c>
      <c r="I1024">
        <f>VLOOKUP(Table4[[#This Row],[Visitor]],'NHL Model'!$A$6:$B$38,2,FALSE)</f>
        <v>-0.21858969522472316</v>
      </c>
      <c r="J1024">
        <f>($B$1+Table4[[#This Row],[Home Differential]])-Table4[[#This Row],[Away Differential]]</f>
        <v>0.98048344739276116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0.64710043804598927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-7.6933210940904648E-2</v>
      </c>
      <c r="H1025" t="s">
        <v>31</v>
      </c>
      <c r="I1025">
        <f>VLOOKUP(Table4[[#This Row],[Visitor]],'NHL Model'!$A$6:$B$38,2,FALSE)</f>
        <v>0.25846513585567971</v>
      </c>
      <c r="J1025">
        <f>($B$1+Table4[[#This Row],[Home Differential]])-Table4[[#This Row],[Away Differential]]</f>
        <v>-0.25198442392524428</v>
      </c>
      <c r="K1025" t="str">
        <f>IF(Table4[[#This Row],[HomeIce Differential]]&gt;0,Table4[[#This Row],[Home]],Table4[[#This Row],[Visitor]])</f>
        <v>Anaheim Ducks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0.48906329355365119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-0.1785578406462007</v>
      </c>
      <c r="H1026" t="s">
        <v>18</v>
      </c>
      <c r="I1026">
        <f>VLOOKUP(Table4[[#This Row],[Visitor]],'NHL Model'!$A$6:$B$38,2,FALSE)</f>
        <v>-0.23554590882174289</v>
      </c>
      <c r="J1026">
        <f>($B$1+Table4[[#This Row],[Home Differential]])-Table4[[#This Row],[Away Differential]]</f>
        <v>0.14040199104688228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0.48271325985852348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5.7297532801941484E-2</v>
      </c>
      <c r="H1027" t="s">
        <v>22</v>
      </c>
      <c r="I1027">
        <f>VLOOKUP(Table4[[#This Row],[Visitor]],'NHL Model'!$A$6:$B$38,2,FALSE)</f>
        <v>0.95632113049608625</v>
      </c>
      <c r="J1027">
        <f>($B$1+Table4[[#This Row],[Home Differential]])-Table4[[#This Row],[Away Differential]]</f>
        <v>-0.81560967482280466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0.57689577874715581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0.2169753953839102</v>
      </c>
      <c r="H1028" t="s">
        <v>33</v>
      </c>
      <c r="I1028">
        <f>VLOOKUP(Table4[[#This Row],[Visitor]],'NHL Model'!$A$6:$B$38,2,FALSE)</f>
        <v>-0.38457853131220177</v>
      </c>
      <c r="J1028">
        <f>($B$1+Table4[[#This Row],[Home Differential]])-Table4[[#This Row],[Away Differential]]</f>
        <v>0.68496784956745205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0.67394913715564464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-0.32833039474346476</v>
      </c>
      <c r="H1029" t="s">
        <v>22</v>
      </c>
      <c r="I1029">
        <f>VLOOKUP(Table4[[#This Row],[Visitor]],'NHL Model'!$A$6:$B$38,2,FALSE)</f>
        <v>0.95632113049608625</v>
      </c>
      <c r="J1029">
        <f>($B$1+Table4[[#This Row],[Home Differential]])-Table4[[#This Row],[Away Differential]]</f>
        <v>-1.201237602368211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0.63515092459342104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0.63414563871719487</v>
      </c>
      <c r="H1030" t="s">
        <v>35</v>
      </c>
      <c r="I1030">
        <f>VLOOKUP(Table4[[#This Row],[Visitor]],'NHL Model'!$A$6:$B$38,2,FALSE)</f>
        <v>-1.0071073873045386</v>
      </c>
      <c r="J1030">
        <f>($B$1+Table4[[#This Row],[Home Differential]])-Table4[[#This Row],[Away Differential]]</f>
        <v>1.7246669488930735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0.7712908497064408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0.85927171572006034</v>
      </c>
      <c r="H1031" t="s">
        <v>17</v>
      </c>
      <c r="I1031">
        <f>VLOOKUP(Table4[[#This Row],[Visitor]],'NHL Model'!$A$6:$B$38,2,FALSE)</f>
        <v>-0.17631503877657284</v>
      </c>
      <c r="J1031">
        <f>($B$1+Table4[[#This Row],[Home Differential]])-Table4[[#This Row],[Away Differential]]</f>
        <v>1.1190006773679733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0.70513254467588693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-0.2331185823245894</v>
      </c>
      <c r="H1032" t="s">
        <v>28</v>
      </c>
      <c r="I1032">
        <f>VLOOKUP(Table4[[#This Row],[Visitor]],'NHL Model'!$A$6:$B$38,2,FALSE)</f>
        <v>-0.21858969522472316</v>
      </c>
      <c r="J1032">
        <f>($B$1+Table4[[#This Row],[Home Differential]])-Table4[[#This Row],[Away Differential]]</f>
        <v>6.8885035771473813E-2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0.54752446920501985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5.5764706436567675E-2</v>
      </c>
      <c r="H1033" t="s">
        <v>27</v>
      </c>
      <c r="I1033">
        <f>VLOOKUP(Table4[[#This Row],[Visitor]],'NHL Model'!$A$6:$B$38,2,FALSE)</f>
        <v>5.7297532801941484E-2</v>
      </c>
      <c r="J1033">
        <f>($B$1+Table4[[#This Row],[Home Differential]])-Table4[[#This Row],[Away Differential]]</f>
        <v>8.1881096505966269E-2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0.50643149567747714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-3.0305407970040489E-4</v>
      </c>
      <c r="H1034" t="s">
        <v>16</v>
      </c>
      <c r="I1034">
        <f>VLOOKUP(Table4[[#This Row],[Visitor]],'NHL Model'!$A$6:$B$38,2,FALSE)</f>
        <v>-0.64492670113602302</v>
      </c>
      <c r="J1034">
        <f>($B$1+Table4[[#This Row],[Home Differential]])-Table4[[#This Row],[Away Differential]]</f>
        <v>0.72803756992766266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0.66242675481475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-0.51436416305402566</v>
      </c>
      <c r="H1035" t="s">
        <v>12</v>
      </c>
      <c r="I1035">
        <f>VLOOKUP(Table4[[#This Row],[Visitor]],'NHL Model'!$A$6:$B$38,2,FALSE)</f>
        <v>1.7429147091761512</v>
      </c>
      <c r="J1035">
        <f>($B$1+Table4[[#This Row],[Home Differential]])-Table4[[#This Row],[Away Differential]]</f>
        <v>-2.1738649493588369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0.76377200451561944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0.67847982929669792</v>
      </c>
      <c r="H1036" t="s">
        <v>26</v>
      </c>
      <c r="I1036">
        <f>VLOOKUP(Table4[[#This Row],[Visitor]],'NHL Model'!$A$6:$B$38,2,FALSE)</f>
        <v>-0.46779379272887778</v>
      </c>
      <c r="J1036">
        <f>($B$1+Table4[[#This Row],[Home Differential]])-Table4[[#This Row],[Away Differential]]</f>
        <v>1.2296875448969158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0.67349207559202084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-3.2654449433805091E-2</v>
      </c>
      <c r="H1037" t="s">
        <v>31</v>
      </c>
      <c r="I1037">
        <f>VLOOKUP(Table4[[#This Row],[Visitor]],'NHL Model'!$A$6:$B$38,2,FALSE)</f>
        <v>0.25846513585567971</v>
      </c>
      <c r="J1037">
        <f>($B$1+Table4[[#This Row],[Home Differential]])-Table4[[#This Row],[Away Differential]]</f>
        <v>-0.20770566241814473</v>
      </c>
      <c r="K1037" t="str">
        <f>IF(Table4[[#This Row],[HomeIce Differential]]&gt;0,Table4[[#This Row],[Home]],Table4[[#This Row],[Visitor]])</f>
        <v>Anaheim Ducks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0.50345739290880498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0.16351124183791613</v>
      </c>
      <c r="H1038" t="s">
        <v>10</v>
      </c>
      <c r="I1038">
        <f>VLOOKUP(Table4[[#This Row],[Visitor]],'NHL Model'!$A$6:$B$38,2,FALSE)</f>
        <v>-8.0981007952892342E-2</v>
      </c>
      <c r="J1038">
        <f>($B$1+Table4[[#This Row],[Home Differential]])-Table4[[#This Row],[Away Differential]]</f>
        <v>0.3279061726621485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0.61624911483554645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-0.58187345243071342</v>
      </c>
      <c r="H1039" t="s">
        <v>29</v>
      </c>
      <c r="I1039">
        <f>VLOOKUP(Table4[[#This Row],[Visitor]],'NHL Model'!$A$6:$B$38,2,FALSE)</f>
        <v>-0.8717103858022891</v>
      </c>
      <c r="J1039">
        <f>($B$1+Table4[[#This Row],[Home Differential]])-Table4[[#This Row],[Away Differential]]</f>
        <v>0.37325085624291576</v>
      </c>
      <c r="K1039" t="str">
        <f>IF(Table4[[#This Row],[HomeIce Differential]]&gt;0,Table4[[#This Row],[Home]],Table4[[#This Row],[Visitor]])</f>
        <v>Vancouver Canucks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0.58077104035866867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0.18369921819729701</v>
      </c>
      <c r="H1040" t="s">
        <v>14</v>
      </c>
      <c r="I1040">
        <f>VLOOKUP(Table4[[#This Row],[Visitor]],'NHL Model'!$A$6:$B$38,2,FALSE)</f>
        <v>0.26772485952910668</v>
      </c>
      <c r="J1040">
        <f>($B$1+Table4[[#This Row],[Home Differential]])-Table4[[#This Row],[Away Differential]]</f>
        <v>-6.1171846046959022E-4</v>
      </c>
      <c r="K1040" t="str">
        <f>IF(Table4[[#This Row],[HomeIce Differential]]&gt;0,Table4[[#This Row],[Home]],Table4[[#This Row],[Visitor]])</f>
        <v>Pittsburgh Penguins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0.51420563688012044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-7.6933210940904648E-2</v>
      </c>
      <c r="H1041" t="s">
        <v>15</v>
      </c>
      <c r="I1041">
        <f>VLOOKUP(Table4[[#This Row],[Visitor]],'NHL Model'!$A$6:$B$38,2,FALSE)</f>
        <v>0.21842521198061643</v>
      </c>
      <c r="J1041">
        <f>($B$1+Table4[[#This Row],[Home Differential]])-Table4[[#This Row],[Away Differential]]</f>
        <v>-0.21194450005018101</v>
      </c>
      <c r="K1041" t="str">
        <f>IF(Table4[[#This Row],[HomeIce Differential]]&gt;0,Table4[[#This Row],[Home]],Table4[[#This Row],[Visitor]])</f>
        <v>New York Rangers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0.57067969712985056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0.42358825343066847</v>
      </c>
      <c r="H1042" t="s">
        <v>13</v>
      </c>
      <c r="I1042">
        <f>VLOOKUP(Table4[[#This Row],[Visitor]],'NHL Model'!$A$6:$B$38,2,FALSE)</f>
        <v>9.3318671190422225E-2</v>
      </c>
      <c r="J1042">
        <f>($B$1+Table4[[#This Row],[Home Differential]])-Table4[[#This Row],[Away Differential]]</f>
        <v>0.41368350511158625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0.51887180112528597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-1.0071073873045386</v>
      </c>
      <c r="H1043" t="s">
        <v>17</v>
      </c>
      <c r="I1043">
        <f>VLOOKUP(Table4[[#This Row],[Visitor]],'NHL Model'!$A$6:$B$38,2,FALSE)</f>
        <v>-0.17631503877657284</v>
      </c>
      <c r="J1043">
        <f>($B$1+Table4[[#This Row],[Home Differential]])-Table4[[#This Row],[Away Differential]]</f>
        <v>-0.74737842565662571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0.54163784609194143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-0.32833039474346476</v>
      </c>
      <c r="H1044" t="s">
        <v>19</v>
      </c>
      <c r="I1044">
        <f>VLOOKUP(Table4[[#This Row],[Visitor]],'NHL Model'!$A$6:$B$38,2,FALSE)</f>
        <v>-3.2654449433805091E-2</v>
      </c>
      <c r="J1044">
        <f>($B$1+Table4[[#This Row],[Home Differential]])-Table4[[#This Row],[Away Differential]]</f>
        <v>-0.2122620224383196</v>
      </c>
      <c r="K1044" t="str">
        <f>IF(Table4[[#This Row],[HomeIce Differential]]&gt;0,Table4[[#This Row],[Home]],Table4[[#This Row],[Visitor]])</f>
        <v>Toronto Maple Leafs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0.47306361432380906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0.85927171572006034</v>
      </c>
      <c r="H1045" t="s">
        <v>26</v>
      </c>
      <c r="I1045">
        <f>VLOOKUP(Table4[[#This Row],[Visitor]],'NHL Model'!$A$6:$B$38,2,FALSE)</f>
        <v>-0.46779379272887778</v>
      </c>
      <c r="J1045">
        <f>($B$1+Table4[[#This Row],[Home Differential]])-Table4[[#This Row],[Away Differential]]</f>
        <v>1.4104794313202782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0.73615943006382834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5.5764706436567675E-2</v>
      </c>
      <c r="H1046" t="s">
        <v>15</v>
      </c>
      <c r="I1046">
        <f>VLOOKUP(Table4[[#This Row],[Visitor]],'NHL Model'!$A$6:$B$38,2,FALSE)</f>
        <v>0.21842521198061643</v>
      </c>
      <c r="J1046">
        <f>($B$1+Table4[[#This Row],[Home Differential]])-Table4[[#This Row],[Away Differential]]</f>
        <v>-7.9246582672708676E-2</v>
      </c>
      <c r="K1046" t="str">
        <f>IF(Table4[[#This Row],[HomeIce Differential]]&gt;0,Table4[[#This Row],[Home]],Table4[[#This Row],[Visitor]])</f>
        <v>New York Rangers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0.57522852251105183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-0.23554590882174289</v>
      </c>
      <c r="H1047" t="s">
        <v>33</v>
      </c>
      <c r="I1047">
        <f>VLOOKUP(Table4[[#This Row],[Visitor]],'NHL Model'!$A$6:$B$38,2,FALSE)</f>
        <v>-0.38457853131220177</v>
      </c>
      <c r="J1047">
        <f>($B$1+Table4[[#This Row],[Home Differential]])-Table4[[#This Row],[Away Differential]]</f>
        <v>0.23244654536179893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0.56539066508131797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-3.0305407970040489E-4</v>
      </c>
      <c r="H1048" t="s">
        <v>13</v>
      </c>
      <c r="I1048">
        <f>VLOOKUP(Table4[[#This Row],[Visitor]],'NHL Model'!$A$6:$B$38,2,FALSE)</f>
        <v>9.3318671190422225E-2</v>
      </c>
      <c r="J1048">
        <f>($B$1+Table4[[#This Row],[Home Differential]])-Table4[[#This Row],[Away Differential]]</f>
        <v>-1.0207802398782564E-2</v>
      </c>
      <c r="K1048" t="str">
        <f>IF(Table4[[#This Row],[HomeIce Differential]]&gt;0,Table4[[#This Row],[Home]],Table4[[#This Row],[Visitor]])</f>
        <v>Los Angeles Kings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0.48387364217349932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0.42358825343066847</v>
      </c>
      <c r="H1049" t="s">
        <v>16</v>
      </c>
      <c r="I1049">
        <f>VLOOKUP(Table4[[#This Row],[Visitor]],'NHL Model'!$A$6:$B$38,2,FALSE)</f>
        <v>-0.64492670113602302</v>
      </c>
      <c r="J1049">
        <f>($B$1+Table4[[#This Row],[Home Differential]])-Table4[[#This Row],[Away Differential]]</f>
        <v>1.1519288774380314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0.66582781249341938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-0.1785578406462007</v>
      </c>
      <c r="H1050" t="s">
        <v>31</v>
      </c>
      <c r="I1050">
        <f>VLOOKUP(Table4[[#This Row],[Visitor]],'NHL Model'!$A$6:$B$38,2,FALSE)</f>
        <v>0.25846513585567971</v>
      </c>
      <c r="J1050">
        <f>($B$1+Table4[[#This Row],[Home Differential]])-Table4[[#This Row],[Away Differential]]</f>
        <v>-0.35360905363054035</v>
      </c>
      <c r="K1050" t="str">
        <f>IF(Table4[[#This Row],[HomeIce Differential]]&gt;0,Table4[[#This Row],[Home]],Table4[[#This Row],[Visitor]])</f>
        <v>Anaheim Ducks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0.51939475233368393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5.7297532801941484E-2</v>
      </c>
      <c r="H1051" t="s">
        <v>28</v>
      </c>
      <c r="I1051">
        <f>VLOOKUP(Table4[[#This Row],[Visitor]],'NHL Model'!$A$6:$B$38,2,FALSE)</f>
        <v>-0.21858969522472316</v>
      </c>
      <c r="J1051">
        <f>($B$1+Table4[[#This Row],[Home Differential]])-Table4[[#This Row],[Away Differential]]</f>
        <v>0.35930115089800474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0.60528501815038604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0.67847982929669792</v>
      </c>
      <c r="H1052" t="s">
        <v>25</v>
      </c>
      <c r="I1052">
        <f>VLOOKUP(Table4[[#This Row],[Visitor]],'NHL Model'!$A$6:$B$38,2,FALSE)</f>
        <v>0.63414563871719487</v>
      </c>
      <c r="J1052">
        <f>($B$1+Table4[[#This Row],[Home Differential]])-Table4[[#This Row],[Away Differential]]</f>
        <v>0.12774811345084314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0.48133104801484589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0.16351124183791613</v>
      </c>
      <c r="H1053" t="s">
        <v>14</v>
      </c>
      <c r="I1053">
        <f>VLOOKUP(Table4[[#This Row],[Visitor]],'NHL Model'!$A$6:$B$38,2,FALSE)</f>
        <v>0.26772485952910668</v>
      </c>
      <c r="J1053">
        <f>($B$1+Table4[[#This Row],[Home Differential]])-Table4[[#This Row],[Away Differential]]</f>
        <v>-2.0799694819850501E-2</v>
      </c>
      <c r="K1053" t="str">
        <f>IF(Table4[[#This Row],[HomeIce Differential]]&gt;0,Table4[[#This Row],[Home]],Table4[[#This Row],[Visitor]])</f>
        <v>Pittsburgh Penguins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0.47539027756471075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-0.58187345243071342</v>
      </c>
      <c r="H1054" t="s">
        <v>32</v>
      </c>
      <c r="I1054">
        <f>VLOOKUP(Table4[[#This Row],[Visitor]],'NHL Model'!$A$6:$B$38,2,FALSE)</f>
        <v>-0.51436416305402566</v>
      </c>
      <c r="J1054">
        <f>($B$1+Table4[[#This Row],[Home Differential]])-Table4[[#This Row],[Away Differential]]</f>
        <v>1.590463349465232E-2</v>
      </c>
      <c r="K1054" t="str">
        <f>IF(Table4[[#This Row],[HomeIce Differential]]&gt;0,Table4[[#This Row],[Home]],Table4[[#This Row],[Visitor]])</f>
        <v>Vancouver Canucks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0.54173729930756886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0.18369921819729701</v>
      </c>
      <c r="H1055" t="s">
        <v>10</v>
      </c>
      <c r="I1055">
        <f>VLOOKUP(Table4[[#This Row],[Visitor]],'NHL Model'!$A$6:$B$38,2,FALSE)</f>
        <v>-8.0981007952892342E-2</v>
      </c>
      <c r="J1055">
        <f>($B$1+Table4[[#This Row],[Home Differential]])-Table4[[#This Row],[Away Differential]]</f>
        <v>0.34809414902152946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0.57802311598486134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-7.6933210940904648E-2</v>
      </c>
      <c r="H1056" t="s">
        <v>12</v>
      </c>
      <c r="I1056">
        <f>VLOOKUP(Table4[[#This Row],[Visitor]],'NHL Model'!$A$6:$B$38,2,FALSE)</f>
        <v>1.7429147091761512</v>
      </c>
      <c r="J1056">
        <f>($B$1+Table4[[#This Row],[Home Differential]])-Table4[[#This Row],[Away Differential]]</f>
        <v>-1.7364339972457157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0.69671689029086636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0.95632113049608625</v>
      </c>
      <c r="H1057" t="s">
        <v>21</v>
      </c>
      <c r="I1057">
        <f>VLOOKUP(Table4[[#This Row],[Visitor]],'NHL Model'!$A$6:$B$38,2,FALSE)</f>
        <v>0.2169753953839102</v>
      </c>
      <c r="J1057">
        <f>($B$1+Table4[[#This Row],[Home Differential]])-Table4[[#This Row],[Away Differential]]</f>
        <v>0.82275965798351614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0.65590964547784258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-0.17631503877657284</v>
      </c>
      <c r="H1058" t="s">
        <v>29</v>
      </c>
      <c r="I1058">
        <f>VLOOKUP(Table4[[#This Row],[Visitor]],'NHL Model'!$A$6:$B$38,2,FALSE)</f>
        <v>-0.8717103858022891</v>
      </c>
      <c r="J1058">
        <f>($B$1+Table4[[#This Row],[Home Differential]])-Table4[[#This Row],[Away Differential]]</f>
        <v>0.77880926989705634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0.6441765400390238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5.5764706436567675E-2</v>
      </c>
      <c r="H1059" t="s">
        <v>19</v>
      </c>
      <c r="I1059">
        <f>VLOOKUP(Table4[[#This Row],[Visitor]],'NHL Model'!$A$6:$B$38,2,FALSE)</f>
        <v>-3.2654449433805091E-2</v>
      </c>
      <c r="J1059">
        <f>($B$1+Table4[[#This Row],[Home Differential]])-Table4[[#This Row],[Away Differential]]</f>
        <v>0.17183307874171283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0.55876971819663612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-0.23554590882174289</v>
      </c>
      <c r="H1060" t="s">
        <v>31</v>
      </c>
      <c r="I1060">
        <f>VLOOKUP(Table4[[#This Row],[Visitor]],'NHL Model'!$A$6:$B$38,2,FALSE)</f>
        <v>0.25846513585567971</v>
      </c>
      <c r="J1060">
        <f>($B$1+Table4[[#This Row],[Home Differential]])-Table4[[#This Row],[Away Differential]]</f>
        <v>-0.41059712180608254</v>
      </c>
      <c r="K1060" t="str">
        <f>IF(Table4[[#This Row],[HomeIce Differential]]&gt;0,Table4[[#This Row],[Home]],Table4[[#This Row],[Visitor]])</f>
        <v>Anaheim Ducks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0.52561968869668441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-0.1785578406462007</v>
      </c>
      <c r="H1061" t="s">
        <v>33</v>
      </c>
      <c r="I1061">
        <f>VLOOKUP(Table4[[#This Row],[Visitor]],'NHL Model'!$A$6:$B$38,2,FALSE)</f>
        <v>-0.38457853131220177</v>
      </c>
      <c r="J1061">
        <f>($B$1+Table4[[#This Row],[Home Differential]])-Table4[[#This Row],[Away Differential]]</f>
        <v>0.28943461353734112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0.57161560144431844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-0.51436416305402566</v>
      </c>
      <c r="H1062" t="s">
        <v>11</v>
      </c>
      <c r="I1062">
        <f>VLOOKUP(Table4[[#This Row],[Visitor]],'NHL Model'!$A$6:$B$38,2,FALSE)</f>
        <v>-0.2331185823245894</v>
      </c>
      <c r="J1062">
        <f>($B$1+Table4[[#This Row],[Home Differential]])-Table4[[#This Row],[Away Differential]]</f>
        <v>-0.19783165785809617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0.48160960215321102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-7.6933210940904648E-2</v>
      </c>
      <c r="H1063" t="s">
        <v>35</v>
      </c>
      <c r="I1063">
        <f>VLOOKUP(Table4[[#This Row],[Visitor]],'NHL Model'!$A$6:$B$38,2,FALSE)</f>
        <v>-1.0071073873045386</v>
      </c>
      <c r="J1063">
        <f>($B$1+Table4[[#This Row],[Home Differential]])-Table4[[#This Row],[Away Differential]]</f>
        <v>1.0135880992349739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0.6698219658061586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1.7429147091761512</v>
      </c>
      <c r="H1064" t="s">
        <v>14</v>
      </c>
      <c r="I1064">
        <f>VLOOKUP(Table4[[#This Row],[Visitor]],'NHL Model'!$A$6:$B$38,2,FALSE)</f>
        <v>0.26772485952910668</v>
      </c>
      <c r="J1064">
        <f>($B$1+Table4[[#This Row],[Home Differential]])-Table4[[#This Row],[Away Differential]]</f>
        <v>1.5586037725183846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0.7671490614768075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0.85927171572006034</v>
      </c>
      <c r="H1065" t="s">
        <v>55</v>
      </c>
      <c r="I1065">
        <f>VLOOKUP(Table4[[#This Row],[Visitor]],'NHL Model'!$A$6:$B$38,2,FALSE)</f>
        <v>0.16351124183791613</v>
      </c>
      <c r="J1065">
        <f>($B$1+Table4[[#This Row],[Home Differential]])-Table4[[#This Row],[Away Differential]]</f>
        <v>0.77917439675348432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0.66801254677063748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-0.46779379272887778</v>
      </c>
      <c r="H1066" t="s">
        <v>16</v>
      </c>
      <c r="I1066">
        <f>VLOOKUP(Table4[[#This Row],[Visitor]],'NHL Model'!$A$6:$B$38,2,FALSE)</f>
        <v>-0.64492670113602302</v>
      </c>
      <c r="J1066">
        <f>($B$1+Table4[[#This Row],[Home Differential]])-Table4[[#This Row],[Away Differential]]</f>
        <v>0.26054683127848532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0.57858237264287082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-3.0305407970040489E-4</v>
      </c>
      <c r="H1067" t="s">
        <v>21</v>
      </c>
      <c r="I1067">
        <f>VLOOKUP(Table4[[#This Row],[Visitor]],'NHL Model'!$A$6:$B$38,2,FALSE)</f>
        <v>0.2169753953839102</v>
      </c>
      <c r="J1067">
        <f>($B$1+Table4[[#This Row],[Home Differential]])-Table4[[#This Row],[Away Differential]]</f>
        <v>-0.13386452659227055</v>
      </c>
      <c r="K1067" t="str">
        <f>IF(Table4[[#This Row],[HomeIce Differential]]&gt;0,Table4[[#This Row],[Home]],Table4[[#This Row],[Visitor]])</f>
        <v>Boston Bruins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0.43172077244387569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0.21842521198061643</v>
      </c>
      <c r="H1068" t="s">
        <v>13</v>
      </c>
      <c r="I1068">
        <f>VLOOKUP(Table4[[#This Row],[Visitor]],'NHL Model'!$A$6:$B$38,2,FALSE)</f>
        <v>9.3318671190422225E-2</v>
      </c>
      <c r="J1068">
        <f>($B$1+Table4[[#This Row],[Home Differential]])-Table4[[#This Row],[Away Differential]]</f>
        <v>0.20852046366153429</v>
      </c>
      <c r="K1068" t="str">
        <f>IF(Table4[[#This Row],[HomeIce Differential]]&gt;0,Table4[[#This Row],[Home]],Table4[[#This Row],[Visitor]])</f>
        <v>New York Rangers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0.49646137525978329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-0.21858969522472316</v>
      </c>
      <c r="H1069" t="s">
        <v>25</v>
      </c>
      <c r="I1069">
        <f>VLOOKUP(Table4[[#This Row],[Visitor]],'NHL Model'!$A$6:$B$38,2,FALSE)</f>
        <v>0.63414563871719487</v>
      </c>
      <c r="J1069">
        <f>($B$1+Table4[[#This Row],[Home Differential]])-Table4[[#This Row],[Away Differential]]</f>
        <v>-0.76932141107057794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0.61665789742776411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-8.0981007952892342E-2</v>
      </c>
      <c r="H1070" t="s">
        <v>34</v>
      </c>
      <c r="I1070">
        <f>VLOOKUP(Table4[[#This Row],[Visitor]],'NHL Model'!$A$6:$B$38,2,FALSE)</f>
        <v>5.5764706436567675E-2</v>
      </c>
      <c r="J1070">
        <f>($B$1+Table4[[#This Row],[Home Differential]])-Table4[[#This Row],[Away Differential]]</f>
        <v>-5.3331791518119946E-2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0.48659478371309389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-0.17631503877657284</v>
      </c>
      <c r="H1071" t="s">
        <v>33</v>
      </c>
      <c r="I1071">
        <f>VLOOKUP(Table4[[#This Row],[Visitor]],'NHL Model'!$A$6:$B$38,2,FALSE)</f>
        <v>-0.38457853131220177</v>
      </c>
      <c r="J1071">
        <f>($B$1+Table4[[#This Row],[Home Differential]])-Table4[[#This Row],[Away Differential]]</f>
        <v>0.29167741540696901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0.59096601910593116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-0.23554590882174289</v>
      </c>
      <c r="H1072" t="s">
        <v>21</v>
      </c>
      <c r="I1072">
        <f>VLOOKUP(Table4[[#This Row],[Visitor]],'NHL Model'!$A$6:$B$38,2,FALSE)</f>
        <v>0.2169753953839102</v>
      </c>
      <c r="J1072">
        <f>($B$1+Table4[[#This Row],[Home Differential]])-Table4[[#This Row],[Away Differential]]</f>
        <v>-0.36910738133431303</v>
      </c>
      <c r="K1072" t="str">
        <f>IF(Table4[[#This Row],[HomeIce Differential]]&gt;0,Table4[[#This Row],[Home]],Table4[[#This Row],[Visitor]])</f>
        <v>Boston Bruins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0.50031843916593666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-0.51436416305402566</v>
      </c>
      <c r="H1073" t="s">
        <v>37</v>
      </c>
      <c r="I1073">
        <f>VLOOKUP(Table4[[#This Row],[Visitor]],'NHL Model'!$A$6:$B$38,2,FALSE)</f>
        <v>0.67847982929669792</v>
      </c>
      <c r="J1073">
        <f>($B$1+Table4[[#This Row],[Home Differential]])-Table4[[#This Row],[Away Differential]]</f>
        <v>-1.1094300694793835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0.6538087401020366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-3.2654449433805091E-2</v>
      </c>
      <c r="H1074" t="s">
        <v>30</v>
      </c>
      <c r="I1074">
        <f>VLOOKUP(Table4[[#This Row],[Visitor]],'NHL Model'!$A$6:$B$38,2,FALSE)</f>
        <v>0.42358825343066847</v>
      </c>
      <c r="J1074">
        <f>($B$1+Table4[[#This Row],[Home Differential]])-Table4[[#This Row],[Away Differential]]</f>
        <v>-0.37282877999313346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0.58420319687903688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-0.58187345243071342</v>
      </c>
      <c r="H1075" t="s">
        <v>11</v>
      </c>
      <c r="I1075">
        <f>VLOOKUP(Table4[[#This Row],[Visitor]],'NHL Model'!$A$6:$B$38,2,FALSE)</f>
        <v>-0.2331185823245894</v>
      </c>
      <c r="J1075">
        <f>($B$1+Table4[[#This Row],[Home Differential]])-Table4[[#This Row],[Away Differential]]</f>
        <v>-0.26534094723478396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0.48898379544902137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0.18369921819729701</v>
      </c>
      <c r="H1076" t="s">
        <v>23</v>
      </c>
      <c r="I1076">
        <f>VLOOKUP(Table4[[#This Row],[Visitor]],'NHL Model'!$A$6:$B$38,2,FALSE)</f>
        <v>-0.32833039474346476</v>
      </c>
      <c r="J1076">
        <f>($B$1+Table4[[#This Row],[Home Differential]])-Table4[[#This Row],[Away Differential]]</f>
        <v>0.59544353581210185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0.60504165234681717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-7.6933210940904648E-2</v>
      </c>
      <c r="H1077" t="s">
        <v>29</v>
      </c>
      <c r="I1077">
        <f>VLOOKUP(Table4[[#This Row],[Visitor]],'NHL Model'!$A$6:$B$38,2,FALSE)</f>
        <v>-0.8717103858022891</v>
      </c>
      <c r="J1077">
        <f>($B$1+Table4[[#This Row],[Home Differential]])-Table4[[#This Row],[Away Differential]]</f>
        <v>0.87819109773272452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0.6550322432365786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0.25846513585567971</v>
      </c>
      <c r="H1078" t="s">
        <v>27</v>
      </c>
      <c r="I1078">
        <f>VLOOKUP(Table4[[#This Row],[Visitor]],'NHL Model'!$A$6:$B$38,2,FALSE)</f>
        <v>5.7297532801941484E-2</v>
      </c>
      <c r="J1078">
        <f>($B$1+Table4[[#This Row],[Home Differential]])-Table4[[#This Row],[Away Differential]]</f>
        <v>0.28458152592507829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0.59809579691959447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0.63414563871719487</v>
      </c>
      <c r="H1079" t="s">
        <v>14</v>
      </c>
      <c r="I1079">
        <f>VLOOKUP(Table4[[#This Row],[Visitor]],'NHL Model'!$A$6:$B$38,2,FALSE)</f>
        <v>0.26772485952910668</v>
      </c>
      <c r="J1079">
        <f>($B$1+Table4[[#This Row],[Home Differential]])-Table4[[#This Row],[Away Differential]]</f>
        <v>0.44983470205942827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0.57854823280941059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-0.64492670113602302</v>
      </c>
      <c r="H1080" t="s">
        <v>35</v>
      </c>
      <c r="I1080">
        <f>VLOOKUP(Table4[[#This Row],[Visitor]],'NHL Model'!$A$6:$B$38,2,FALSE)</f>
        <v>-1.0071073873045386</v>
      </c>
      <c r="J1080">
        <f>($B$1+Table4[[#This Row],[Home Differential]])-Table4[[#This Row],[Away Differential]]</f>
        <v>0.4455946090398557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0.58867331309468085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1.7429147091761512</v>
      </c>
      <c r="H1081" t="s">
        <v>39</v>
      </c>
      <c r="I1081">
        <f>VLOOKUP(Table4[[#This Row],[Visitor]],'NHL Model'!$A$6:$B$38,2,FALSE)</f>
        <v>0.85927171572006034</v>
      </c>
      <c r="J1081">
        <f>($B$1+Table4[[#This Row],[Home Differential]])-Table4[[#This Row],[Away Differential]]</f>
        <v>0.96705691632743085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0.66495586140399532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0.21842521198061643</v>
      </c>
      <c r="H1082" t="s">
        <v>24</v>
      </c>
      <c r="I1082">
        <f>VLOOKUP(Table4[[#This Row],[Visitor]],'NHL Model'!$A$6:$B$38,2,FALSE)</f>
        <v>-3.0305407970040489E-4</v>
      </c>
      <c r="J1082">
        <f>($B$1+Table4[[#This Row],[Home Differential]])-Table4[[#This Row],[Away Differential]]</f>
        <v>0.3021421889316569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0.5694275198802935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0.95632113049608625</v>
      </c>
      <c r="H1083" t="s">
        <v>36</v>
      </c>
      <c r="I1083">
        <f>VLOOKUP(Table4[[#This Row],[Visitor]],'NHL Model'!$A$6:$B$38,2,FALSE)</f>
        <v>-0.1785578406462007</v>
      </c>
      <c r="J1083">
        <f>($B$1+Table4[[#This Row],[Home Differential]])-Table4[[#This Row],[Away Differential]]</f>
        <v>1.2182928940136271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0.69557690503510139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0.2169753953839102</v>
      </c>
      <c r="H1084" t="s">
        <v>40</v>
      </c>
      <c r="I1084">
        <f>VLOOKUP(Table4[[#This Row],[Visitor]],'NHL Model'!$A$6:$B$38,2,FALSE)</f>
        <v>-7.6933210940904648E-2</v>
      </c>
      <c r="J1084">
        <f>($B$1+Table4[[#This Row],[Home Differential]])-Table4[[#This Row],[Away Differential]]</f>
        <v>0.37732252919615494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0.64034433876544206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-0.21858969522472316</v>
      </c>
      <c r="H1085" t="s">
        <v>15</v>
      </c>
      <c r="I1085">
        <f>VLOOKUP(Table4[[#This Row],[Visitor]],'NHL Model'!$A$6:$B$38,2,FALSE)</f>
        <v>0.21842521198061643</v>
      </c>
      <c r="J1085">
        <f>($B$1+Table4[[#This Row],[Home Differential]])-Table4[[#This Row],[Away Differential]]</f>
        <v>-0.3536009843339995</v>
      </c>
      <c r="K1085" t="str">
        <f>IF(Table4[[#This Row],[HomeIce Differential]]&gt;0,Table4[[#This Row],[Home]],Table4[[#This Row],[Visitor]])</f>
        <v>New York Rangers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0.60519687809717027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-0.46779379272887778</v>
      </c>
      <c r="H1086" t="s">
        <v>18</v>
      </c>
      <c r="I1086">
        <f>VLOOKUP(Table4[[#This Row],[Visitor]],'NHL Model'!$A$6:$B$38,2,FALSE)</f>
        <v>-0.23554590882174289</v>
      </c>
      <c r="J1086">
        <f>($B$1+Table4[[#This Row],[Home Differential]])-Table4[[#This Row],[Away Differential]]</f>
        <v>-0.1488339610357948</v>
      </c>
      <c r="K1086" t="str">
        <f>IF(Table4[[#This Row],[HomeIce Differential]]&gt;0,Table4[[#This Row],[Home]],Table4[[#This Row],[Visitor]])</f>
        <v>Montreal Canadiens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0.53870645182702892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-0.17631503877657284</v>
      </c>
      <c r="H1087" t="s">
        <v>11</v>
      </c>
      <c r="I1087">
        <f>VLOOKUP(Table4[[#This Row],[Visitor]],'NHL Model'!$A$6:$B$38,2,FALSE)</f>
        <v>-0.2331185823245894</v>
      </c>
      <c r="J1087">
        <f>($B$1+Table4[[#This Row],[Home Differential]])-Table4[[#This Row],[Away Differential]]</f>
        <v>0.14021746641935662</v>
      </c>
      <c r="K1087" t="str">
        <f>IF(Table4[[#This Row],[HomeIce Differential]]&gt;0,Table4[[#This Row],[Home]],Table4[[#This Row],[Visitor]])</f>
        <v>Edmonton Oilers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0.57442170423133387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9.3318671190422225E-2</v>
      </c>
      <c r="H1088" t="s">
        <v>27</v>
      </c>
      <c r="I1088">
        <f>VLOOKUP(Table4[[#This Row],[Visitor]],'NHL Model'!$A$6:$B$38,2,FALSE)</f>
        <v>5.7297532801941484E-2</v>
      </c>
      <c r="J1088">
        <f>($B$1+Table4[[#This Row],[Home Differential]])-Table4[[#This Row],[Away Differential]]</f>
        <v>0.1194350612598208</v>
      </c>
      <c r="K1088" t="str">
        <f>IF(Table4[[#This Row],[HomeIce Differential]]&gt;0,Table4[[#This Row],[Home]],Table4[[#This Row],[Visitor]])</f>
        <v>Los Angeles Kings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0.51053360070147991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5.5764706436567675E-2</v>
      </c>
      <c r="H1089" t="s">
        <v>10</v>
      </c>
      <c r="I1089">
        <f>VLOOKUP(Table4[[#This Row],[Visitor]],'NHL Model'!$A$6:$B$38,2,FALSE)</f>
        <v>-8.0981007952892342E-2</v>
      </c>
      <c r="J1089">
        <f>($B$1+Table4[[#This Row],[Home Differential]])-Table4[[#This Row],[Away Differential]]</f>
        <v>0.2201596372608001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0.56404853815062161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-0.8717103858022891</v>
      </c>
      <c r="H1090" t="s">
        <v>32</v>
      </c>
      <c r="I1090">
        <f>VLOOKUP(Table4[[#This Row],[Visitor]],'NHL Model'!$A$6:$B$38,2,FALSE)</f>
        <v>-0.51436416305402566</v>
      </c>
      <c r="J1090">
        <f>($B$1+Table4[[#This Row],[Home Differential]])-Table4[[#This Row],[Away Differential]]</f>
        <v>-0.27393229987692336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0.48992224844772059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-0.1785578406462007</v>
      </c>
      <c r="H1091" t="s">
        <v>30</v>
      </c>
      <c r="I1091">
        <f>VLOOKUP(Table4[[#This Row],[Visitor]],'NHL Model'!$A$6:$B$38,2,FALSE)</f>
        <v>0.42358825343066847</v>
      </c>
      <c r="J1091">
        <f>($B$1+Table4[[#This Row],[Home Differential]])-Table4[[#This Row],[Away Differential]]</f>
        <v>-0.51873217120552906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0.60014055630391594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-0.38457853131220177</v>
      </c>
      <c r="H1092" t="s">
        <v>23</v>
      </c>
      <c r="I1092">
        <f>VLOOKUP(Table4[[#This Row],[Visitor]],'NHL Model'!$A$6:$B$38,2,FALSE)</f>
        <v>-0.32833039474346476</v>
      </c>
      <c r="J1092">
        <f>($B$1+Table4[[#This Row],[Home Differential]])-Table4[[#This Row],[Away Differential]]</f>
        <v>2.7165786302603079E-2</v>
      </c>
      <c r="K1092" t="str">
        <f>IF(Table4[[#This Row],[HomeIce Differential]]&gt;0,Table4[[#This Row],[Home]],Table4[[#This Row],[Visitor]])</f>
        <v>San Jose Sharks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0.54296738065350236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-0.58187345243071342</v>
      </c>
      <c r="H1093" t="s">
        <v>37</v>
      </c>
      <c r="I1093">
        <f>VLOOKUP(Table4[[#This Row],[Visitor]],'NHL Model'!$A$6:$B$38,2,FALSE)</f>
        <v>0.67847982929669792</v>
      </c>
      <c r="J1093">
        <f>($B$1+Table4[[#This Row],[Home Differential]])-Table4[[#This Row],[Away Differential]]</f>
        <v>-1.1769393588560713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0.66118293339784695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0.18369921819729701</v>
      </c>
      <c r="H1094" t="s">
        <v>55</v>
      </c>
      <c r="I1094">
        <f>VLOOKUP(Table4[[#This Row],[Visitor]],'NHL Model'!$A$6:$B$38,2,FALSE)</f>
        <v>0.16351124183791613</v>
      </c>
      <c r="J1094">
        <f>($B$1+Table4[[#This Row],[Home Differential]])-Table4[[#This Row],[Away Differential]]</f>
        <v>0.10360189923072097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0.55131667119879679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-0.64492670113602302</v>
      </c>
      <c r="H1095" t="s">
        <v>11</v>
      </c>
      <c r="I1095">
        <f>VLOOKUP(Table4[[#This Row],[Visitor]],'NHL Model'!$A$6:$B$38,2,FALSE)</f>
        <v>-0.2331185823245894</v>
      </c>
      <c r="J1095">
        <f>($B$1+Table4[[#This Row],[Home Differential]])-Table4[[#This Row],[Away Differential]]</f>
        <v>-0.32839419594009356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0.49587124528258925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-8.0981007952892342E-2</v>
      </c>
      <c r="H1096" t="s">
        <v>12</v>
      </c>
      <c r="I1096">
        <f>VLOOKUP(Table4[[#This Row],[Visitor]],'NHL Model'!$A$6:$B$38,2,FALSE)</f>
        <v>1.7429147091761512</v>
      </c>
      <c r="J1096">
        <f>($B$1+Table4[[#This Row],[Home Differential]])-Table4[[#This Row],[Away Differential]]</f>
        <v>-1.7404817942577036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0.7164325763217938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-3.2654449433805091E-2</v>
      </c>
      <c r="H1097" t="s">
        <v>25</v>
      </c>
      <c r="I1097">
        <f>VLOOKUP(Table4[[#This Row],[Visitor]],'NHL Model'!$A$6:$B$38,2,FALSE)</f>
        <v>0.63414563871719487</v>
      </c>
      <c r="J1097">
        <f>($B$1+Table4[[#This Row],[Home Differential]])-Table4[[#This Row],[Away Differential]]</f>
        <v>-0.58338616527965992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0.59634776743490259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0.16351124183791613</v>
      </c>
      <c r="H1098" t="s">
        <v>31</v>
      </c>
      <c r="I1098">
        <f>VLOOKUP(Table4[[#This Row],[Visitor]],'NHL Model'!$A$6:$B$38,2,FALSE)</f>
        <v>0.25846513585567971</v>
      </c>
      <c r="J1098">
        <f>($B$1+Table4[[#This Row],[Home Differential]])-Table4[[#This Row],[Away Differential]]</f>
        <v>-1.1539971146423522E-2</v>
      </c>
      <c r="K1098" t="str">
        <f>IF(Table4[[#This Row],[HomeIce Differential]]&gt;0,Table4[[#This Row],[Home]],Table4[[#This Row],[Visitor]])</f>
        <v>Anaheim Ducks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0.4412605373074952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0.95632113049608625</v>
      </c>
      <c r="H1099" t="s">
        <v>24</v>
      </c>
      <c r="I1099">
        <f>VLOOKUP(Table4[[#This Row],[Visitor]],'NHL Model'!$A$6:$B$38,2,FALSE)</f>
        <v>-3.0305407970040489E-4</v>
      </c>
      <c r="J1099">
        <f>($B$1+Table4[[#This Row],[Home Differential]])-Table4[[#This Row],[Away Differential]]</f>
        <v>1.0400381074471268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0.67610572908018596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-0.21858969522472316</v>
      </c>
      <c r="H1100" t="s">
        <v>32</v>
      </c>
      <c r="I1100">
        <f>VLOOKUP(Table4[[#This Row],[Visitor]],'NHL Model'!$A$6:$B$38,2,FALSE)</f>
        <v>-0.51436416305402566</v>
      </c>
      <c r="J1100">
        <f>($B$1+Table4[[#This Row],[Home Differential]])-Table4[[#This Row],[Away Differential]]</f>
        <v>0.37918839070064259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0.58141961075832882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-0.46779379272887778</v>
      </c>
      <c r="H1101" t="s">
        <v>21</v>
      </c>
      <c r="I1101">
        <f>VLOOKUP(Table4[[#This Row],[Visitor]],'NHL Model'!$A$6:$B$38,2,FALSE)</f>
        <v>0.2169753953839102</v>
      </c>
      <c r="J1101">
        <f>($B$1+Table4[[#This Row],[Home Differential]])-Table4[[#This Row],[Away Differential]]</f>
        <v>-0.60135526524144789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0.51556515461575492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-0.17631503877657284</v>
      </c>
      <c r="H1102" t="s">
        <v>37</v>
      </c>
      <c r="I1102">
        <f>VLOOKUP(Table4[[#This Row],[Visitor]],'NHL Model'!$A$6:$B$38,2,FALSE)</f>
        <v>0.67847982929669792</v>
      </c>
      <c r="J1102">
        <f>($B$1+Table4[[#This Row],[Home Differential]])-Table4[[#This Row],[Away Differential]]</f>
        <v>-0.77138094520193068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0.59762867987675883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9.3318671190422225E-2</v>
      </c>
      <c r="H1103" t="s">
        <v>23</v>
      </c>
      <c r="I1103">
        <f>VLOOKUP(Table4[[#This Row],[Visitor]],'NHL Model'!$A$6:$B$38,2,FALSE)</f>
        <v>-0.32833039474346476</v>
      </c>
      <c r="J1103">
        <f>($B$1+Table4[[#This Row],[Home Differential]])-Table4[[#This Row],[Away Differential]]</f>
        <v>0.50506298880522704</v>
      </c>
      <c r="K1103" t="str">
        <f>IF(Table4[[#This Row],[HomeIce Differential]]&gt;0,Table4[[#This Row],[Home]],Table4[[#This Row],[Visitor]])</f>
        <v>Los Angeles Kings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0.59516917953658022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5.5764706436567675E-2</v>
      </c>
      <c r="H1104" t="s">
        <v>39</v>
      </c>
      <c r="I1104">
        <f>VLOOKUP(Table4[[#This Row],[Visitor]],'NHL Model'!$A$6:$B$38,2,FALSE)</f>
        <v>0.85927171572006034</v>
      </c>
      <c r="J1104">
        <f>($B$1+Table4[[#This Row],[Home Differential]])-Table4[[#This Row],[Away Differential]]</f>
        <v>-0.72009308641215264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0.63114359424386013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-0.23554590882174289</v>
      </c>
      <c r="H1105" t="s">
        <v>30</v>
      </c>
      <c r="I1105">
        <f>VLOOKUP(Table4[[#This Row],[Visitor]],'NHL Model'!$A$6:$B$38,2,FALSE)</f>
        <v>0.42358825343066847</v>
      </c>
      <c r="J1105">
        <f>($B$1+Table4[[#This Row],[Home Differential]])-Table4[[#This Row],[Away Differential]]</f>
        <v>-0.57572023938107131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0.60636549266691642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-0.8717103858022891</v>
      </c>
      <c r="H1106" t="s">
        <v>20</v>
      </c>
      <c r="I1106">
        <f>VLOOKUP(Table4[[#This Row],[Visitor]],'NHL Model'!$A$6:$B$38,2,FALSE)</f>
        <v>0.18369921819729701</v>
      </c>
      <c r="J1106">
        <f>($B$1+Table4[[#This Row],[Home Differential]])-Table4[[#This Row],[Away Differential]]</f>
        <v>-0.97199568112824597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0.58694253079225911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-0.1785578406462007</v>
      </c>
      <c r="H1107" t="s">
        <v>19</v>
      </c>
      <c r="I1107">
        <f>VLOOKUP(Table4[[#This Row],[Visitor]],'NHL Model'!$A$6:$B$38,2,FALSE)</f>
        <v>-3.2654449433805091E-2</v>
      </c>
      <c r="J1107">
        <f>($B$1+Table4[[#This Row],[Home Differential]])-Table4[[#This Row],[Away Differential]]</f>
        <v>-6.2489468341055537E-2</v>
      </c>
      <c r="K1107" t="str">
        <f>IF(Table4[[#This Row],[HomeIce Differential]]&gt;0,Table4[[#This Row],[Home]],Table4[[#This Row],[Visitor]])</f>
        <v>Toronto Maple Leafs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0.46682586682149985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0.26772485952910668</v>
      </c>
      <c r="H1108" t="s">
        <v>40</v>
      </c>
      <c r="I1108">
        <f>VLOOKUP(Table4[[#This Row],[Visitor]],'NHL Model'!$A$6:$B$38,2,FALSE)</f>
        <v>-7.6933210940904648E-2</v>
      </c>
      <c r="J1108">
        <f>($B$1+Table4[[#This Row],[Home Differential]])-Table4[[#This Row],[Away Differential]]</f>
        <v>0.42807199334135143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0.58675927790927129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-0.38457853131220177</v>
      </c>
      <c r="H1109" t="s">
        <v>27</v>
      </c>
      <c r="I1109">
        <f>VLOOKUP(Table4[[#This Row],[Visitor]],'NHL Model'!$A$6:$B$38,2,FALSE)</f>
        <v>5.7297532801941484E-2</v>
      </c>
      <c r="J1109">
        <f>($B$1+Table4[[#This Row],[Home Differential]])-Table4[[#This Row],[Away Differential]]</f>
        <v>-0.35846214124280318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0.54166819818159795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-0.58187345243071342</v>
      </c>
      <c r="H1110" t="s">
        <v>35</v>
      </c>
      <c r="I1110">
        <f>VLOOKUP(Table4[[#This Row],[Visitor]],'NHL Model'!$A$6:$B$38,2,FALSE)</f>
        <v>-1.0071073873045386</v>
      </c>
      <c r="J1110">
        <f>($B$1+Table4[[#This Row],[Home Differential]])-Table4[[#This Row],[Away Differential]]</f>
        <v>0.5086478577451653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0.59556076292824867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0.25846513585567971</v>
      </c>
      <c r="H1111" t="s">
        <v>23</v>
      </c>
      <c r="I1111">
        <f>VLOOKUP(Table4[[#This Row],[Visitor]],'NHL Model'!$A$6:$B$38,2,FALSE)</f>
        <v>-0.32833039474346476</v>
      </c>
      <c r="J1111">
        <f>($B$1+Table4[[#This Row],[Home Differential]])-Table4[[#This Row],[Away Differential]]</f>
        <v>0.67020945347048455</v>
      </c>
      <c r="K1111" t="str">
        <f>IF(Table4[[#This Row],[HomeIce Differential]]&gt;0,Table4[[#This Row],[Home]],Table4[[#This Row],[Visitor]])</f>
        <v>Anaheim Ducks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0.68148100974499892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-0.64492670113602302</v>
      </c>
      <c r="H1112" t="s">
        <v>37</v>
      </c>
      <c r="I1112">
        <f>VLOOKUP(Table4[[#This Row],[Visitor]],'NHL Model'!$A$6:$B$38,2,FALSE)</f>
        <v>0.67847982929669792</v>
      </c>
      <c r="J1112">
        <f>($B$1+Table4[[#This Row],[Home Differential]])-Table4[[#This Row],[Away Differential]]</f>
        <v>-1.2399926075613807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0.66807038323141477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-8.0981007952892342E-2</v>
      </c>
      <c r="H1113" t="s">
        <v>29</v>
      </c>
      <c r="I1113">
        <f>VLOOKUP(Table4[[#This Row],[Visitor]],'NHL Model'!$A$6:$B$38,2,FALSE)</f>
        <v>-0.8717103858022891</v>
      </c>
      <c r="J1113">
        <f>($B$1+Table4[[#This Row],[Home Differential]])-Table4[[#This Row],[Away Differential]]</f>
        <v>0.87414330072073687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0.63548466184830465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0.85927171572006034</v>
      </c>
      <c r="H1114" t="s">
        <v>20</v>
      </c>
      <c r="I1114">
        <f>VLOOKUP(Table4[[#This Row],[Visitor]],'NHL Model'!$A$6:$B$38,2,FALSE)</f>
        <v>0.18369921819729701</v>
      </c>
      <c r="J1114">
        <f>($B$1+Table4[[#This Row],[Home Differential]])-Table4[[#This Row],[Away Differential]]</f>
        <v>0.75898642039410347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0.64540581377107498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0.42358825343066847</v>
      </c>
      <c r="H1115" t="s">
        <v>28</v>
      </c>
      <c r="I1115">
        <f>VLOOKUP(Table4[[#This Row],[Visitor]],'NHL Model'!$A$6:$B$38,2,FALSE)</f>
        <v>-0.21858969522472316</v>
      </c>
      <c r="J1115">
        <f>($B$1+Table4[[#This Row],[Home Differential]])-Table4[[#This Row],[Away Differential]]</f>
        <v>0.72559187152673166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0.6192580512090915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0.21842521198061643</v>
      </c>
      <c r="H1116" t="s">
        <v>40</v>
      </c>
      <c r="I1116">
        <f>VLOOKUP(Table4[[#This Row],[Visitor]],'NHL Model'!$A$6:$B$38,2,FALSE)</f>
        <v>-7.6933210940904648E-2</v>
      </c>
      <c r="J1116">
        <f>($B$1+Table4[[#This Row],[Home Differential]])-Table4[[#This Row],[Away Differential]]</f>
        <v>0.37877234579286118</v>
      </c>
      <c r="K1116" t="str">
        <f>IF(Table4[[#This Row],[HomeIce Differential]]&gt;0,Table4[[#This Row],[Home]],Table4[[#This Row],[Visitor]])</f>
        <v>New York Rangers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0.58137416522634289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0.26772485952910668</v>
      </c>
      <c r="H1117" t="s">
        <v>25</v>
      </c>
      <c r="I1117">
        <f>VLOOKUP(Table4[[#This Row],[Visitor]],'NHL Model'!$A$6:$B$38,2,FALSE)</f>
        <v>0.63414563871719487</v>
      </c>
      <c r="J1117">
        <f>($B$1+Table4[[#This Row],[Home Differential]])-Table4[[#This Row],[Away Differential]]</f>
        <v>-0.2830068563167481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0.5635366520046261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0.16351124183791613</v>
      </c>
      <c r="H1118" t="s">
        <v>13</v>
      </c>
      <c r="I1118">
        <f>VLOOKUP(Table4[[#This Row],[Visitor]],'NHL Model'!$A$6:$B$38,2,FALSE)</f>
        <v>9.3318671190422225E-2</v>
      </c>
      <c r="J1118">
        <f>($B$1+Table4[[#This Row],[Home Differential]])-Table4[[#This Row],[Away Differential]]</f>
        <v>0.15360649351883396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0.53148466917113979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0.95632113049608625</v>
      </c>
      <c r="H1119" t="s">
        <v>12</v>
      </c>
      <c r="I1119">
        <f>VLOOKUP(Table4[[#This Row],[Visitor]],'NHL Model'!$A$6:$B$38,2,FALSE)</f>
        <v>1.7429147091761512</v>
      </c>
      <c r="J1119">
        <f>($B$1+Table4[[#This Row],[Home Differential]])-Table4[[#This Row],[Away Differential]]</f>
        <v>-0.70317965580872488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0.57680991388728098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0.21842521198061643</v>
      </c>
      <c r="H1120" t="s">
        <v>36</v>
      </c>
      <c r="I1120">
        <f>VLOOKUP(Table4[[#This Row],[Visitor]],'NHL Model'!$A$6:$B$38,2,FALSE)</f>
        <v>-0.1785578406462007</v>
      </c>
      <c r="J1120">
        <f>($B$1+Table4[[#This Row],[Home Differential]])-Table4[[#This Row],[Away Differential]]</f>
        <v>0.48039697549815719</v>
      </c>
      <c r="K1120" t="str">
        <f>IF(Table4[[#This Row],[HomeIce Differential]]&gt;0,Table4[[#This Row],[Home]],Table4[[#This Row],[Visitor]])</f>
        <v>New York Rangers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0.58889869583520893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0.2169753953839102</v>
      </c>
      <c r="H1121" t="s">
        <v>19</v>
      </c>
      <c r="I1121">
        <f>VLOOKUP(Table4[[#This Row],[Visitor]],'NHL Model'!$A$6:$B$38,2,FALSE)</f>
        <v>-3.2654449433805091E-2</v>
      </c>
      <c r="J1121">
        <f>($B$1+Table4[[#This Row],[Home Differential]])-Table4[[#This Row],[Away Differential]]</f>
        <v>0.33304376768905536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0.63550766888982646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-0.64492670113602302</v>
      </c>
      <c r="H1122" t="s">
        <v>13</v>
      </c>
      <c r="I1122">
        <f>VLOOKUP(Table4[[#This Row],[Visitor]],'NHL Model'!$A$6:$B$38,2,FALSE)</f>
        <v>9.3318671190422225E-2</v>
      </c>
      <c r="J1122">
        <f>($B$1+Table4[[#This Row],[Home Differential]])-Table4[[#This Row],[Away Differential]]</f>
        <v>-0.65483144945510519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0.59784451876475408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0.85927171572006034</v>
      </c>
      <c r="H1123" t="s">
        <v>24</v>
      </c>
      <c r="I1123">
        <f>VLOOKUP(Table4[[#This Row],[Visitor]],'NHL Model'!$A$6:$B$38,2,FALSE)</f>
        <v>-3.0305407970040489E-4</v>
      </c>
      <c r="J1123">
        <f>($B$1+Table4[[#This Row],[Home Differential]])-Table4[[#This Row],[Away Differential]]</f>
        <v>0.94298869267110086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0.68240394229943657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-0.46779379272887778</v>
      </c>
      <c r="H1124" t="s">
        <v>36</v>
      </c>
      <c r="I1124">
        <f>VLOOKUP(Table4[[#This Row],[Visitor]],'NHL Model'!$A$6:$B$38,2,FALSE)</f>
        <v>-0.1785578406462007</v>
      </c>
      <c r="J1124">
        <f>($B$1+Table4[[#This Row],[Home Differential]])-Table4[[#This Row],[Away Differential]]</f>
        <v>-0.20582202921133699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0.47592370414475127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-0.2331185823245894</v>
      </c>
      <c r="H1125" t="s">
        <v>32</v>
      </c>
      <c r="I1125">
        <f>VLOOKUP(Table4[[#This Row],[Visitor]],'NHL Model'!$A$6:$B$38,2,FALSE)</f>
        <v>-0.51436416305402566</v>
      </c>
      <c r="J1125">
        <f>($B$1+Table4[[#This Row],[Home Differential]])-Table4[[#This Row],[Away Differential]]</f>
        <v>0.36465950360077631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0.57983258735996945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-0.23554590882174289</v>
      </c>
      <c r="H1126" t="s">
        <v>25</v>
      </c>
      <c r="I1126">
        <f>VLOOKUP(Table4[[#This Row],[Visitor]],'NHL Model'!$A$6:$B$38,2,FALSE)</f>
        <v>0.63414563871719487</v>
      </c>
      <c r="J1126">
        <f>($B$1+Table4[[#This Row],[Home Differential]])-Table4[[#This Row],[Away Differential]]</f>
        <v>-0.78627762466759776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0.61851006322278212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-0.8717103858022891</v>
      </c>
      <c r="H1127" t="s">
        <v>33</v>
      </c>
      <c r="I1127">
        <f>VLOOKUP(Table4[[#This Row],[Visitor]],'NHL Model'!$A$6:$B$38,2,FALSE)</f>
        <v>-0.38457853131220177</v>
      </c>
      <c r="J1127">
        <f>($B$1+Table4[[#This Row],[Home Differential]])-Table4[[#This Row],[Away Differential]]</f>
        <v>-0.40371793161874725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0.50409902832971354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0.42358825343066847</v>
      </c>
      <c r="H1128" t="s">
        <v>10</v>
      </c>
      <c r="I1128">
        <f>VLOOKUP(Table4[[#This Row],[Visitor]],'NHL Model'!$A$6:$B$38,2,FALSE)</f>
        <v>-8.0981007952892342E-2</v>
      </c>
      <c r="J1128">
        <f>($B$1+Table4[[#This Row],[Home Differential]])-Table4[[#This Row],[Away Differential]]</f>
        <v>0.58798318425490081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0.60422674117021546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5.7297532801941484E-2</v>
      </c>
      <c r="H1129" t="s">
        <v>28</v>
      </c>
      <c r="I1129">
        <f>VLOOKUP(Table4[[#This Row],[Visitor]],'NHL Model'!$A$6:$B$38,2,FALSE)</f>
        <v>-0.21858969522472316</v>
      </c>
      <c r="J1129">
        <f>($B$1+Table4[[#This Row],[Home Differential]])-Table4[[#This Row],[Away Differential]]</f>
        <v>0.35930115089800474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0.60528501815038604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0.26772485952910668</v>
      </c>
      <c r="H1130" t="s">
        <v>12</v>
      </c>
      <c r="I1130">
        <f>VLOOKUP(Table4[[#This Row],[Visitor]],'NHL Model'!$A$6:$B$38,2,FALSE)</f>
        <v>1.7429147091761512</v>
      </c>
      <c r="J1130">
        <f>($B$1+Table4[[#This Row],[Home Differential]])-Table4[[#This Row],[Away Differential]]</f>
        <v>-1.3917759267757044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0.67834264093753172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-1.0071073873045386</v>
      </c>
      <c r="H1131" t="s">
        <v>22</v>
      </c>
      <c r="I1131">
        <f>VLOOKUP(Table4[[#This Row],[Visitor]],'NHL Model'!$A$6:$B$38,2,FALSE)</f>
        <v>0.95632113049608625</v>
      </c>
      <c r="J1131">
        <f>($B$1+Table4[[#This Row],[Home Differential]])-Table4[[#This Row],[Away Differential]]</f>
        <v>-1.8800145949292848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0.71949708965267467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0.67847982929669792</v>
      </c>
      <c r="H1132" t="s">
        <v>34</v>
      </c>
      <c r="I1132">
        <f>VLOOKUP(Table4[[#This Row],[Visitor]],'NHL Model'!$A$6:$B$38,2,FALSE)</f>
        <v>5.5764706436567675E-2</v>
      </c>
      <c r="J1132">
        <f>($B$1+Table4[[#This Row],[Home Differential]])-Table4[[#This Row],[Away Differential]]</f>
        <v>0.70612904573147028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0.59636285169064007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0.16351124183791613</v>
      </c>
      <c r="H1133" t="s">
        <v>17</v>
      </c>
      <c r="I1133">
        <f>VLOOKUP(Table4[[#This Row],[Visitor]],'NHL Model'!$A$6:$B$38,2,FALSE)</f>
        <v>-0.17631503877657284</v>
      </c>
      <c r="J1133">
        <f>($B$1+Table4[[#This Row],[Home Differential]])-Table4[[#This Row],[Away Differential]]</f>
        <v>0.42324020348582903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0.62666266795473136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-0.58187345243071342</v>
      </c>
      <c r="H1134" t="s">
        <v>31</v>
      </c>
      <c r="I1134">
        <f>VLOOKUP(Table4[[#This Row],[Visitor]],'NHL Model'!$A$6:$B$38,2,FALSE)</f>
        <v>0.25846513585567971</v>
      </c>
      <c r="J1134">
        <f>($B$1+Table4[[#This Row],[Home Differential]])-Table4[[#This Row],[Away Differential]]</f>
        <v>-0.75692466541505299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0.56344983435242635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-7.6933210940904648E-2</v>
      </c>
      <c r="H1135" t="s">
        <v>20</v>
      </c>
      <c r="I1135">
        <f>VLOOKUP(Table4[[#This Row],[Visitor]],'NHL Model'!$A$6:$B$38,2,FALSE)</f>
        <v>0.18369921819729701</v>
      </c>
      <c r="J1135">
        <f>($B$1+Table4[[#This Row],[Home Differential]])-Table4[[#This Row],[Away Differential]]</f>
        <v>-0.17721850626686159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0.48089644223819444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-0.32833039474346476</v>
      </c>
      <c r="H1136" t="s">
        <v>21</v>
      </c>
      <c r="I1136">
        <f>VLOOKUP(Table4[[#This Row],[Visitor]],'NHL Model'!$A$6:$B$38,2,FALSE)</f>
        <v>0.2169753953839102</v>
      </c>
      <c r="J1136">
        <f>($B$1+Table4[[#This Row],[Home Differential]])-Table4[[#This Row],[Away Differential]]</f>
        <v>-0.46189186725603487</v>
      </c>
      <c r="K1136" t="str">
        <f>IF(Table4[[#This Row],[HomeIce Differential]]&gt;0,Table4[[#This Row],[Home]],Table4[[#This Row],[Visitor]])</f>
        <v>Boston Bruins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0.50033125030524539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-3.2654449433805091E-2</v>
      </c>
      <c r="H1137" t="s">
        <v>15</v>
      </c>
      <c r="I1137">
        <f>VLOOKUP(Table4[[#This Row],[Visitor]],'NHL Model'!$A$6:$B$38,2,FALSE)</f>
        <v>0.21842521198061643</v>
      </c>
      <c r="J1137">
        <f>($B$1+Table4[[#This Row],[Home Differential]])-Table4[[#This Row],[Away Differential]]</f>
        <v>-0.16766573854308145</v>
      </c>
      <c r="K1137" t="str">
        <f>IF(Table4[[#This Row],[HomeIce Differential]]&gt;0,Table4[[#This Row],[Home]],Table4[[#This Row],[Visitor]])</f>
        <v>New York Rangers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0.58488674810430874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-0.64492670113602302</v>
      </c>
      <c r="H1138" t="s">
        <v>31</v>
      </c>
      <c r="I1138">
        <f>VLOOKUP(Table4[[#This Row],[Visitor]],'NHL Model'!$A$6:$B$38,2,FALSE)</f>
        <v>0.25846513585567971</v>
      </c>
      <c r="J1138">
        <f>($B$1+Table4[[#This Row],[Home Differential]])-Table4[[#This Row],[Away Differential]]</f>
        <v>-0.81997791412036269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0.57033728418599428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-0.2331185823245894</v>
      </c>
      <c r="H1139" t="s">
        <v>34</v>
      </c>
      <c r="I1139">
        <f>VLOOKUP(Table4[[#This Row],[Visitor]],'NHL Model'!$A$6:$B$38,2,FALSE)</f>
        <v>5.5764706436567675E-2</v>
      </c>
      <c r="J1139">
        <f>($B$1+Table4[[#This Row],[Home Differential]])-Table4[[#This Row],[Away Differential]]</f>
        <v>-0.20546936588981701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0.50321311715032935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-0.23554590882174289</v>
      </c>
      <c r="H1140" t="s">
        <v>28</v>
      </c>
      <c r="I1140">
        <f>VLOOKUP(Table4[[#This Row],[Visitor]],'NHL Model'!$A$6:$B$38,2,FALSE)</f>
        <v>-0.21858969522472316</v>
      </c>
      <c r="J1140">
        <f>($B$1+Table4[[#This Row],[Home Differential]])-Table4[[#This Row],[Away Differential]]</f>
        <v>6.645770927432032E-2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0.54725932680836131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-0.8717103858022891</v>
      </c>
      <c r="H1141" t="s">
        <v>24</v>
      </c>
      <c r="I1141">
        <f>VLOOKUP(Table4[[#This Row],[Visitor]],'NHL Model'!$A$6:$B$38,2,FALSE)</f>
        <v>-3.0305407970040489E-4</v>
      </c>
      <c r="J1141">
        <f>($B$1+Table4[[#This Row],[Home Differential]])-Table4[[#This Row],[Away Differential]]</f>
        <v>-0.78799340885124858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0.54965047206596529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0.42358825343066847</v>
      </c>
      <c r="H1142" t="s">
        <v>39</v>
      </c>
      <c r="I1142">
        <f>VLOOKUP(Table4[[#This Row],[Visitor]],'NHL Model'!$A$6:$B$38,2,FALSE)</f>
        <v>0.85927171572006034</v>
      </c>
      <c r="J1142">
        <f>($B$1+Table4[[#This Row],[Home Differential]])-Table4[[#This Row],[Away Differential]]</f>
        <v>-0.35226953941805184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0.59096539122426628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-0.1785578406462007</v>
      </c>
      <c r="H1143" t="s">
        <v>14</v>
      </c>
      <c r="I1143">
        <f>VLOOKUP(Table4[[#This Row],[Visitor]],'NHL Model'!$A$6:$B$38,2,FALSE)</f>
        <v>0.26772485952910668</v>
      </c>
      <c r="J1143">
        <f>($B$1+Table4[[#This Row],[Home Differential]])-Table4[[#This Row],[Away Differential]]</f>
        <v>-0.36286877730396733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0.55377579973249613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5.7297532801941484E-2</v>
      </c>
      <c r="H1144" t="s">
        <v>10</v>
      </c>
      <c r="I1144">
        <f>VLOOKUP(Table4[[#This Row],[Visitor]],'NHL Model'!$A$6:$B$38,2,FALSE)</f>
        <v>-8.0981007952892342E-2</v>
      </c>
      <c r="J1144">
        <f>($B$1+Table4[[#This Row],[Home Differential]])-Table4[[#This Row],[Away Differential]]</f>
        <v>0.2216924636261739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0.5902537081115099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-1.0071073873045386</v>
      </c>
      <c r="H1145" t="s">
        <v>33</v>
      </c>
      <c r="I1145">
        <f>VLOOKUP(Table4[[#This Row],[Visitor]],'NHL Model'!$A$6:$B$38,2,FALSE)</f>
        <v>-0.38457853131220177</v>
      </c>
      <c r="J1145">
        <f>($B$1+Table4[[#This Row],[Home Differential]])-Table4[[#This Row],[Away Differential]]</f>
        <v>-0.53911493312099679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0.51888875089929354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0.67847982929669792</v>
      </c>
      <c r="H1146" t="s">
        <v>32</v>
      </c>
      <c r="I1146">
        <f>VLOOKUP(Table4[[#This Row],[Visitor]],'NHL Model'!$A$6:$B$38,2,FALSE)</f>
        <v>-0.51436416305402566</v>
      </c>
      <c r="J1146">
        <f>($B$1+Table4[[#This Row],[Home Differential]])-Table4[[#This Row],[Away Differential]]</f>
        <v>1.2762579152220637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0.67940855620093876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0.16351124183791613</v>
      </c>
      <c r="H1147" t="s">
        <v>22</v>
      </c>
      <c r="I1147">
        <f>VLOOKUP(Table4[[#This Row],[Visitor]],'NHL Model'!$A$6:$B$38,2,FALSE)</f>
        <v>0.95632113049608625</v>
      </c>
      <c r="J1147">
        <f>($B$1+Table4[[#This Row],[Home Differential]])-Table4[[#This Row],[Away Differential]]</f>
        <v>-0.70939596578683006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0.55060721514127731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-0.58187345243071342</v>
      </c>
      <c r="H1148" t="s">
        <v>13</v>
      </c>
      <c r="I1148">
        <f>VLOOKUP(Table4[[#This Row],[Visitor]],'NHL Model'!$A$6:$B$38,2,FALSE)</f>
        <v>9.3318671190422225E-2</v>
      </c>
      <c r="J1148">
        <f>($B$1+Table4[[#This Row],[Home Differential]])-Table4[[#This Row],[Away Differential]]</f>
        <v>-0.59177820074979559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0.59095706893118616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0.18369921819729701</v>
      </c>
      <c r="H1149" t="s">
        <v>17</v>
      </c>
      <c r="I1149">
        <f>VLOOKUP(Table4[[#This Row],[Visitor]],'NHL Model'!$A$6:$B$38,2,FALSE)</f>
        <v>-0.17631503877657284</v>
      </c>
      <c r="J1149">
        <f>($B$1+Table4[[#This Row],[Home Differential]])-Table4[[#This Row],[Away Differential]]</f>
        <v>0.44342817984520994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0.58843666910404624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-7.6933210940904648E-2</v>
      </c>
      <c r="H1150" t="s">
        <v>12</v>
      </c>
      <c r="I1150">
        <f>VLOOKUP(Table4[[#This Row],[Visitor]],'NHL Model'!$A$6:$B$38,2,FALSE)</f>
        <v>1.7429147091761512</v>
      </c>
      <c r="J1150">
        <f>($B$1+Table4[[#This Row],[Home Differential]])-Table4[[#This Row],[Away Differential]]</f>
        <v>-1.7364339972457157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0.69671689029086636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-0.32833039474346476</v>
      </c>
      <c r="H1151" t="s">
        <v>26</v>
      </c>
      <c r="I1151">
        <f>VLOOKUP(Table4[[#This Row],[Visitor]],'NHL Model'!$A$6:$B$38,2,FALSE)</f>
        <v>-0.46779379272887778</v>
      </c>
      <c r="J1151">
        <f>($B$1+Table4[[#This Row],[Home Differential]])-Table4[[#This Row],[Away Differential]]</f>
        <v>0.2228773208567531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0.57364117156177596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0.21842521198061643</v>
      </c>
      <c r="H1152" t="s">
        <v>10</v>
      </c>
      <c r="I1152">
        <f>VLOOKUP(Table4[[#This Row],[Visitor]],'NHL Model'!$A$6:$B$38,2,FALSE)</f>
        <v>-8.0981007952892342E-2</v>
      </c>
      <c r="J1152">
        <f>($B$1+Table4[[#This Row],[Home Differential]])-Table4[[#This Row],[Away Differential]]</f>
        <v>0.38282014280484888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0.58181631530471278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0.2169753953839102</v>
      </c>
      <c r="H1153" t="s">
        <v>34</v>
      </c>
      <c r="I1153">
        <f>VLOOKUP(Table4[[#This Row],[Visitor]],'NHL Model'!$A$6:$B$38,2,FALSE)</f>
        <v>5.5764706436567675E-2</v>
      </c>
      <c r="J1153">
        <f>($B$1+Table4[[#This Row],[Home Differential]])-Table4[[#This Row],[Away Differential]]</f>
        <v>0.24462461181868261</v>
      </c>
      <c r="K1153" t="str">
        <f>IF(Table4[[#This Row],[HomeIce Differential]]&gt;0,Table4[[#This Row],[Home]],Table4[[#This Row],[Visitor]])</f>
        <v>Boston Bruins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0.60566827141261126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-0.32833039474346476</v>
      </c>
      <c r="H1154" t="s">
        <v>32</v>
      </c>
      <c r="I1154">
        <f>VLOOKUP(Table4[[#This Row],[Visitor]],'NHL Model'!$A$6:$B$38,2,FALSE)</f>
        <v>-0.51436416305402566</v>
      </c>
      <c r="J1154">
        <f>($B$1+Table4[[#This Row],[Home Differential]])-Table4[[#This Row],[Away Differential]]</f>
        <v>0.26944769118190098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0.57955463382400207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0.63414563871719487</v>
      </c>
      <c r="H1155" t="s">
        <v>24</v>
      </c>
      <c r="I1155">
        <f>VLOOKUP(Table4[[#This Row],[Visitor]],'NHL Model'!$A$6:$B$38,2,FALSE)</f>
        <v>-3.0305407970040489E-4</v>
      </c>
      <c r="J1155">
        <f>($B$1+Table4[[#This Row],[Home Differential]])-Table4[[#This Row],[Away Differential]]</f>
        <v>0.71786261566823539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0.65781290863466979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-0.21858969522472316</v>
      </c>
      <c r="H1156" t="s">
        <v>33</v>
      </c>
      <c r="I1156">
        <f>VLOOKUP(Table4[[#This Row],[Visitor]],'NHL Model'!$A$6:$B$38,2,FALSE)</f>
        <v>-0.38457853131220177</v>
      </c>
      <c r="J1156">
        <f>($B$1+Table4[[#This Row],[Home Differential]])-Table4[[#This Row],[Away Differential]]</f>
        <v>0.24940275895881869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0.56724283087633587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-0.64492670113602302</v>
      </c>
      <c r="H1157" t="s">
        <v>38</v>
      </c>
      <c r="I1157">
        <f>VLOOKUP(Table4[[#This Row],[Visitor]],'NHL Model'!$A$6:$B$38,2,FALSE)</f>
        <v>-0.58187345243071342</v>
      </c>
      <c r="J1157">
        <f>($B$1+Table4[[#This Row],[Home Differential]])-Table4[[#This Row],[Away Differential]]</f>
        <v>2.036067416603049E-2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0.54222404276981129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1.7429147091761512</v>
      </c>
      <c r="H1158" t="s">
        <v>40</v>
      </c>
      <c r="I1158">
        <f>VLOOKUP(Table4[[#This Row],[Visitor]],'NHL Model'!$A$6:$B$38,2,FALSE)</f>
        <v>-7.6933210940904648E-2</v>
      </c>
      <c r="J1158">
        <f>($B$1+Table4[[#This Row],[Home Differential]])-Table4[[#This Row],[Away Differential]]</f>
        <v>1.9032618429883958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0.85571858781866528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-0.46779379272887778</v>
      </c>
      <c r="H1159" t="s">
        <v>27</v>
      </c>
      <c r="I1159">
        <f>VLOOKUP(Table4[[#This Row],[Visitor]],'NHL Model'!$A$6:$B$38,2,FALSE)</f>
        <v>5.7297532801941484E-2</v>
      </c>
      <c r="J1159">
        <f>($B$1+Table4[[#This Row],[Home Differential]])-Table4[[#This Row],[Away Differential]]</f>
        <v>-0.44167740265947919</v>
      </c>
      <c r="K1159" t="str">
        <f>IF(Table4[[#This Row],[HomeIce Differential]]&gt;0,Table4[[#This Row],[Home]],Table4[[#This Row],[Visitor]])</f>
        <v>Philadelphia Flyers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0.54055312003585265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-0.17631503877657284</v>
      </c>
      <c r="H1160" t="s">
        <v>31</v>
      </c>
      <c r="I1160">
        <f>VLOOKUP(Table4[[#This Row],[Visitor]],'NHL Model'!$A$6:$B$38,2,FALSE)</f>
        <v>0.25846513585567971</v>
      </c>
      <c r="J1160">
        <f>($B$1+Table4[[#This Row],[Home Differential]])-Table4[[#This Row],[Away Differential]]</f>
        <v>-0.35136625176091246</v>
      </c>
      <c r="K1160" t="str">
        <f>IF(Table4[[#This Row],[HomeIce Differential]]&gt;0,Table4[[#This Row],[Home]],Table4[[#This Row],[Visitor]])</f>
        <v>Anaheim Ducks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0.49991899675120599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9.3318671190422225E-2</v>
      </c>
      <c r="H1161" t="s">
        <v>55</v>
      </c>
      <c r="I1161">
        <f>VLOOKUP(Table4[[#This Row],[Visitor]],'NHL Model'!$A$6:$B$38,2,FALSE)</f>
        <v>0.16351124183791613</v>
      </c>
      <c r="J1161">
        <f>($B$1+Table4[[#This Row],[Home Differential]])-Table4[[#This Row],[Away Differential]]</f>
        <v>1.3221352223846156E-2</v>
      </c>
      <c r="K1161" t="str">
        <f>IF(Table4[[#This Row],[HomeIce Differential]]&gt;0,Table4[[#This Row],[Home]],Table4[[#This Row],[Visitor]])</f>
        <v>Los Angeles Kings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0.54144419838855984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-0.8717103858022891</v>
      </c>
      <c r="H1162" t="s">
        <v>18</v>
      </c>
      <c r="I1162">
        <f>VLOOKUP(Table4[[#This Row],[Visitor]],'NHL Model'!$A$6:$B$38,2,FALSE)</f>
        <v>-0.23554590882174289</v>
      </c>
      <c r="J1162">
        <f>($B$1+Table4[[#This Row],[Home Differential]])-Table4[[#This Row],[Away Differential]]</f>
        <v>-0.55275055410920615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0.59300136991550845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0.42358825343066847</v>
      </c>
      <c r="H1163" t="s">
        <v>11</v>
      </c>
      <c r="I1163">
        <f>VLOOKUP(Table4[[#This Row],[Visitor]],'NHL Model'!$A$6:$B$38,2,FALSE)</f>
        <v>-0.2331185823245894</v>
      </c>
      <c r="J1163">
        <f>($B$1+Table4[[#This Row],[Home Differential]])-Table4[[#This Row],[Away Differential]]</f>
        <v>0.74012075862659787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0.62084507460745098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0.26772485952910668</v>
      </c>
      <c r="H1164" t="s">
        <v>39</v>
      </c>
      <c r="I1164">
        <f>VLOOKUP(Table4[[#This Row],[Visitor]],'NHL Model'!$A$6:$B$38,2,FALSE)</f>
        <v>0.85927171572006034</v>
      </c>
      <c r="J1164">
        <f>($B$1+Table4[[#This Row],[Home Differential]])-Table4[[#This Row],[Away Differential]]</f>
        <v>-0.50813293331961362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0.60799070440684055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-1.0071073873045386</v>
      </c>
      <c r="H1165" t="s">
        <v>19</v>
      </c>
      <c r="I1165">
        <f>VLOOKUP(Table4[[#This Row],[Visitor]],'NHL Model'!$A$6:$B$38,2,FALSE)</f>
        <v>-3.2654449433805091E-2</v>
      </c>
      <c r="J1165">
        <f>($B$1+Table4[[#This Row],[Home Differential]])-Table4[[#This Row],[Away Differential]]</f>
        <v>-0.89103901499939342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0.55733021916511172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0.67847982929669792</v>
      </c>
      <c r="H1166" t="s">
        <v>36</v>
      </c>
      <c r="I1166">
        <f>VLOOKUP(Table4[[#This Row],[Visitor]],'NHL Model'!$A$6:$B$38,2,FALSE)</f>
        <v>-0.1785578406462007</v>
      </c>
      <c r="J1166">
        <f>($B$1+Table4[[#This Row],[Home Differential]])-Table4[[#This Row],[Away Differential]]</f>
        <v>0.94045159281423873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0.63915150853760927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0.18369921819729701</v>
      </c>
      <c r="H1167" t="s">
        <v>22</v>
      </c>
      <c r="I1167">
        <f>VLOOKUP(Table4[[#This Row],[Visitor]],'NHL Model'!$A$6:$B$38,2,FALSE)</f>
        <v>0.95632113049608625</v>
      </c>
      <c r="J1167">
        <f>($B$1+Table4[[#This Row],[Home Differential]])-Table4[[#This Row],[Away Differential]]</f>
        <v>-0.68920798942744921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0.58942257445668711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0.63414563871719487</v>
      </c>
      <c r="H1168" t="s">
        <v>18</v>
      </c>
      <c r="I1168">
        <f>VLOOKUP(Table4[[#This Row],[Visitor]],'NHL Model'!$A$6:$B$38,2,FALSE)</f>
        <v>-0.23554590882174289</v>
      </c>
      <c r="J1168">
        <f>($B$1+Table4[[#This Row],[Home Differential]])-Table4[[#This Row],[Away Differential]]</f>
        <v>0.95310547041027782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0.61502690988936992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-0.21858969522472316</v>
      </c>
      <c r="H1169" t="s">
        <v>21</v>
      </c>
      <c r="I1169">
        <f>VLOOKUP(Table4[[#This Row],[Visitor]],'NHL Model'!$A$6:$B$38,2,FALSE)</f>
        <v>0.2169753953839102</v>
      </c>
      <c r="J1169">
        <f>($B$1+Table4[[#This Row],[Home Differential]])-Table4[[#This Row],[Away Differential]]</f>
        <v>-0.35215116773729327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0.4984662733709187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-3.0305407970040489E-4</v>
      </c>
      <c r="H1170" t="s">
        <v>10</v>
      </c>
      <c r="I1170">
        <f>VLOOKUP(Table4[[#This Row],[Visitor]],'NHL Model'!$A$6:$B$38,2,FALSE)</f>
        <v>-8.0981007952892342E-2</v>
      </c>
      <c r="J1170">
        <f>($B$1+Table4[[#This Row],[Home Differential]])-Table4[[#This Row],[Away Differential]]</f>
        <v>0.16409187674453202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0.60082568349154608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0.21842521198061643</v>
      </c>
      <c r="H1171" t="s">
        <v>11</v>
      </c>
      <c r="I1171">
        <f>VLOOKUP(Table4[[#This Row],[Visitor]],'NHL Model'!$A$6:$B$38,2,FALSE)</f>
        <v>-0.2331185823245894</v>
      </c>
      <c r="J1171">
        <f>($B$1+Table4[[#This Row],[Home Differential]])-Table4[[#This Row],[Away Differential]]</f>
        <v>0.53495771717654594</v>
      </c>
      <c r="K1171" t="str">
        <f>IF(Table4[[#This Row],[HomeIce Differential]]&gt;0,Table4[[#This Row],[Home]],Table4[[#This Row],[Visitor]])</f>
        <v>New York Rangers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0.59843464874194829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5.7297532801941484E-2</v>
      </c>
      <c r="H1172" t="s">
        <v>39</v>
      </c>
      <c r="I1172">
        <f>VLOOKUP(Table4[[#This Row],[Visitor]],'NHL Model'!$A$6:$B$38,2,FALSE)</f>
        <v>0.85927171572006034</v>
      </c>
      <c r="J1172">
        <f>($B$1+Table4[[#This Row],[Home Differential]])-Table4[[#This Row],[Away Differential]]</f>
        <v>-0.71856026004677875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0.60480576176040868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0.67847982929669792</v>
      </c>
      <c r="H1173" t="s">
        <v>29</v>
      </c>
      <c r="I1173">
        <f>VLOOKUP(Table4[[#This Row],[Visitor]],'NHL Model'!$A$6:$B$38,2,FALSE)</f>
        <v>-0.8717103858022891</v>
      </c>
      <c r="J1173">
        <f>($B$1+Table4[[#This Row],[Home Differential]])-Table4[[#This Row],[Away Differential]]</f>
        <v>1.6336041379703272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0.71844229725203856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0.25846513585567971</v>
      </c>
      <c r="H1174" t="s">
        <v>19</v>
      </c>
      <c r="I1174">
        <f>VLOOKUP(Table4[[#This Row],[Visitor]],'NHL Model'!$A$6:$B$38,2,FALSE)</f>
        <v>-3.2654449433805091E-2</v>
      </c>
      <c r="J1174">
        <f>($B$1+Table4[[#This Row],[Home Differential]])-Table4[[#This Row],[Away Differential]]</f>
        <v>0.37453350816082487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0.64918365342905759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1.7429147091761512</v>
      </c>
      <c r="H1175" t="s">
        <v>16</v>
      </c>
      <c r="I1175">
        <f>VLOOKUP(Table4[[#This Row],[Visitor]],'NHL Model'!$A$6:$B$38,2,FALSE)</f>
        <v>-0.64492670113602302</v>
      </c>
      <c r="J1175">
        <f>($B$1+Table4[[#This Row],[Home Differential]])-Table4[[#This Row],[Away Differential]]</f>
        <v>2.4712553331835143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0.91776180922023909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0.42358825343066847</v>
      </c>
      <c r="H1176" t="s">
        <v>14</v>
      </c>
      <c r="I1176">
        <f>VLOOKUP(Table4[[#This Row],[Visitor]],'NHL Model'!$A$6:$B$38,2,FALSE)</f>
        <v>0.26772485952910668</v>
      </c>
      <c r="J1176">
        <f>($B$1+Table4[[#This Row],[Home Differential]])-Table4[[#This Row],[Away Differential]]</f>
        <v>0.23927731677290182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0.51199798830523369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-0.38457853131220177</v>
      </c>
      <c r="H1177" t="s">
        <v>35</v>
      </c>
      <c r="I1177">
        <f>VLOOKUP(Table4[[#This Row],[Visitor]],'NHL Model'!$A$6:$B$38,2,FALSE)</f>
        <v>-1.0071073873045386</v>
      </c>
      <c r="J1177">
        <f>($B$1+Table4[[#This Row],[Home Differential]])-Table4[[#This Row],[Away Differential]]</f>
        <v>0.70594277886367696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0.61711173610605197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0.18369921819729701</v>
      </c>
      <c r="H1178" t="s">
        <v>38</v>
      </c>
      <c r="I1178">
        <f>VLOOKUP(Table4[[#This Row],[Visitor]],'NHL Model'!$A$6:$B$38,2,FALSE)</f>
        <v>-0.58187345243071342</v>
      </c>
      <c r="J1178">
        <f>($B$1+Table4[[#This Row],[Home Differential]])-Table4[[#This Row],[Away Differential]]</f>
        <v>0.84898659349935057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0.63273673747449732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0.2169753953839102</v>
      </c>
      <c r="H1179" t="s">
        <v>39</v>
      </c>
      <c r="I1179">
        <f>VLOOKUP(Table4[[#This Row],[Visitor]],'NHL Model'!$A$6:$B$38,2,FALSE)</f>
        <v>0.85927171572006034</v>
      </c>
      <c r="J1179">
        <f>($B$1+Table4[[#This Row],[Home Differential]])-Table4[[#This Row],[Away Differential]]</f>
        <v>-0.55888239746481005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0.55335568831806914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-0.32833039474346476</v>
      </c>
      <c r="H1180" t="s">
        <v>30</v>
      </c>
      <c r="I1180">
        <f>VLOOKUP(Table4[[#This Row],[Visitor]],'NHL Model'!$A$6:$B$38,2,FALSE)</f>
        <v>0.42358825343066847</v>
      </c>
      <c r="J1180">
        <f>($B$1+Table4[[#This Row],[Home Differential]])-Table4[[#This Row],[Away Differential]]</f>
        <v>-0.66850472530279315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0.60635562565874634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-0.21858969522472316</v>
      </c>
      <c r="H1181" t="s">
        <v>25</v>
      </c>
      <c r="I1181">
        <f>VLOOKUP(Table4[[#This Row],[Visitor]],'NHL Model'!$A$6:$B$38,2,FALSE)</f>
        <v>0.63414563871719487</v>
      </c>
      <c r="J1181">
        <f>($B$1+Table4[[#This Row],[Home Differential]])-Table4[[#This Row],[Away Differential]]</f>
        <v>-0.76932141107057794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0.61665789742776411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-8.0981007952892342E-2</v>
      </c>
      <c r="H1182" t="s">
        <v>40</v>
      </c>
      <c r="I1182">
        <f>VLOOKUP(Table4[[#This Row],[Visitor]],'NHL Model'!$A$6:$B$38,2,FALSE)</f>
        <v>-7.6933210940904648E-2</v>
      </c>
      <c r="J1182">
        <f>($B$1+Table4[[#This Row],[Home Differential]])-Table4[[#This Row],[Away Differential]]</f>
        <v>7.9366125859352377E-2</v>
      </c>
      <c r="K1182" t="str">
        <f>IF(Table4[[#This Row],[HomeIce Differential]]&gt;0,Table4[[#This Row],[Home]],Table4[[#This Row],[Visitor]])</f>
        <v>Chicago Blackhawks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0.54866934252500932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-0.17631503877657284</v>
      </c>
      <c r="H1183" t="s">
        <v>32</v>
      </c>
      <c r="I1183">
        <f>VLOOKUP(Table4[[#This Row],[Visitor]],'NHL Model'!$A$6:$B$38,2,FALSE)</f>
        <v>-0.51436416305402566</v>
      </c>
      <c r="J1183">
        <f>($B$1+Table4[[#This Row],[Home Differential]])-Table4[[#This Row],[Away Differential]]</f>
        <v>0.4214630471487929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0.60514279898792411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-0.2331185823245894</v>
      </c>
      <c r="H1184" t="s">
        <v>36</v>
      </c>
      <c r="I1184">
        <f>VLOOKUP(Table4[[#This Row],[Visitor]],'NHL Model'!$A$6:$B$38,2,FALSE)</f>
        <v>-0.1785578406462007</v>
      </c>
      <c r="J1184">
        <f>($B$1+Table4[[#This Row],[Home Differential]])-Table4[[#This Row],[Away Differential]]</f>
        <v>2.8853181192951355E-2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0.53957553969663985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0.21842521198061643</v>
      </c>
      <c r="H1185" t="s">
        <v>24</v>
      </c>
      <c r="I1185">
        <f>VLOOKUP(Table4[[#This Row],[Visitor]],'NHL Model'!$A$6:$B$38,2,FALSE)</f>
        <v>-3.0305407970040489E-4</v>
      </c>
      <c r="J1185">
        <f>($B$1+Table4[[#This Row],[Home Differential]])-Table4[[#This Row],[Away Differential]]</f>
        <v>0.3021421889316569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0.5694275198802935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0.26772485952910668</v>
      </c>
      <c r="H1186" t="s">
        <v>26</v>
      </c>
      <c r="I1186">
        <f>VLOOKUP(Table4[[#This Row],[Visitor]],'NHL Model'!$A$6:$B$38,2,FALSE)</f>
        <v>-0.46779379272887778</v>
      </c>
      <c r="J1186">
        <f>($B$1+Table4[[#This Row],[Home Differential]])-Table4[[#This Row],[Away Differential]]</f>
        <v>0.8189325751293246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0.62862437557254902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0.67847982929669792</v>
      </c>
      <c r="H1187" t="s">
        <v>18</v>
      </c>
      <c r="I1187">
        <f>VLOOKUP(Table4[[#This Row],[Visitor]],'NHL Model'!$A$6:$B$38,2,FALSE)</f>
        <v>-0.23554590882174289</v>
      </c>
      <c r="J1187">
        <f>($B$1+Table4[[#This Row],[Home Differential]])-Table4[[#This Row],[Away Differential]]</f>
        <v>0.99743966098978087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0.5763294347331509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0.95632113049608625</v>
      </c>
      <c r="H1188" t="s">
        <v>27</v>
      </c>
      <c r="I1188">
        <f>VLOOKUP(Table4[[#This Row],[Visitor]],'NHL Model'!$A$6:$B$38,2,FALSE)</f>
        <v>5.7297532801941484E-2</v>
      </c>
      <c r="J1188">
        <f>($B$1+Table4[[#This Row],[Home Differential]])-Table4[[#This Row],[Away Differential]]</f>
        <v>0.98243752056548483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0.63112340971465741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1.7429147091761512</v>
      </c>
      <c r="H1189" t="s">
        <v>38</v>
      </c>
      <c r="I1189">
        <f>VLOOKUP(Table4[[#This Row],[Visitor]],'NHL Model'!$A$6:$B$38,2,FALSE)</f>
        <v>-0.58187345243071342</v>
      </c>
      <c r="J1189">
        <f>($B$1+Table4[[#This Row],[Home Differential]])-Table4[[#This Row],[Away Differential]]</f>
        <v>2.4082020844782046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0.91087435938667116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9.3318671190422225E-2</v>
      </c>
      <c r="H1190" t="s">
        <v>35</v>
      </c>
      <c r="I1190">
        <f>VLOOKUP(Table4[[#This Row],[Visitor]],'NHL Model'!$A$6:$B$38,2,FALSE)</f>
        <v>-1.0071073873045386</v>
      </c>
      <c r="J1190">
        <f>($B$1+Table4[[#This Row],[Home Differential]])-Table4[[#This Row],[Away Differential]]</f>
        <v>1.183839981366301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0.66931353498912993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-0.38457853131220177</v>
      </c>
      <c r="H1191" t="s">
        <v>31</v>
      </c>
      <c r="I1191">
        <f>VLOOKUP(Table4[[#This Row],[Visitor]],'NHL Model'!$A$6:$B$38,2,FALSE)</f>
        <v>0.25846513585567971</v>
      </c>
      <c r="J1191">
        <f>($B$1+Table4[[#This Row],[Home Differential]])-Table4[[#This Row],[Away Differential]]</f>
        <v>-0.55962974429654144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0.54189886117462316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0.63414563871719487</v>
      </c>
      <c r="H1192" t="s">
        <v>28</v>
      </c>
      <c r="I1192">
        <f>VLOOKUP(Table4[[#This Row],[Visitor]],'NHL Model'!$A$6:$B$38,2,FALSE)</f>
        <v>-0.21858969522472316</v>
      </c>
      <c r="J1192">
        <f>($B$1+Table4[[#This Row],[Home Differential]])-Table4[[#This Row],[Away Differential]]</f>
        <v>0.93614925681325811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0.68515926793081139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0.85927171572006034</v>
      </c>
      <c r="H1193" t="s">
        <v>40</v>
      </c>
      <c r="I1193">
        <f>VLOOKUP(Table4[[#This Row],[Visitor]],'NHL Model'!$A$6:$B$38,2,FALSE)</f>
        <v>-7.6933210940904648E-2</v>
      </c>
      <c r="J1193">
        <f>($B$1+Table4[[#This Row],[Home Differential]])-Table4[[#This Row],[Away Differential]]</f>
        <v>1.0196188495323051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0.69427684147833213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-0.17631503877657284</v>
      </c>
      <c r="H1194" t="s">
        <v>10</v>
      </c>
      <c r="I1194">
        <f>VLOOKUP(Table4[[#This Row],[Visitor]],'NHL Model'!$A$6:$B$38,2,FALSE)</f>
        <v>-8.0981007952892342E-2</v>
      </c>
      <c r="J1194">
        <f>($B$1+Table4[[#This Row],[Home Differential]])-Table4[[#This Row],[Away Differential]]</f>
        <v>-1.1920107952340428E-2</v>
      </c>
      <c r="K1194" t="str">
        <f>IF(Table4[[#This Row],[HomeIce Differential]]&gt;0,Table4[[#This Row],[Home]],Table4[[#This Row],[Visitor]])</f>
        <v>Chicago Blackhawks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0.44219662920590147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-0.2331185823245894</v>
      </c>
      <c r="H1195" t="s">
        <v>21</v>
      </c>
      <c r="I1195">
        <f>VLOOKUP(Table4[[#This Row],[Visitor]],'NHL Model'!$A$6:$B$38,2,FALSE)</f>
        <v>0.2169753953839102</v>
      </c>
      <c r="J1195">
        <f>($B$1+Table4[[#This Row],[Home Differential]])-Table4[[#This Row],[Away Differential]]</f>
        <v>-0.36668005483715954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0.50005329676927812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9.3318671190422225E-2</v>
      </c>
      <c r="H1196" t="s">
        <v>29</v>
      </c>
      <c r="I1196">
        <f>VLOOKUP(Table4[[#This Row],[Visitor]],'NHL Model'!$A$6:$B$38,2,FALSE)</f>
        <v>-0.8717103858022891</v>
      </c>
      <c r="J1196">
        <f>($B$1+Table4[[#This Row],[Home Differential]])-Table4[[#This Row],[Away Differential]]</f>
        <v>1.0484429798640513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0.65452381241954982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5.5764706436567675E-2</v>
      </c>
      <c r="H1197" t="s">
        <v>38</v>
      </c>
      <c r="I1197">
        <f>VLOOKUP(Table4[[#This Row],[Visitor]],'NHL Model'!$A$6:$B$38,2,FALSE)</f>
        <v>-0.58187345243071342</v>
      </c>
      <c r="J1197">
        <f>($B$1+Table4[[#This Row],[Home Differential]])-Table4[[#This Row],[Away Differential]]</f>
        <v>0.72105208173862123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0.6187621596402576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-3.0305407970040489E-4</v>
      </c>
      <c r="H1198" t="s">
        <v>22</v>
      </c>
      <c r="I1198">
        <f>VLOOKUP(Table4[[#This Row],[Visitor]],'NHL Model'!$A$6:$B$38,2,FALSE)</f>
        <v>0.95632113049608625</v>
      </c>
      <c r="J1198">
        <f>($B$1+Table4[[#This Row],[Home Differential]])-Table4[[#This Row],[Away Differential]]</f>
        <v>-0.8732102617044466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0.56597097916754524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0.21842521198061643</v>
      </c>
      <c r="H1199" t="s">
        <v>18</v>
      </c>
      <c r="I1199">
        <f>VLOOKUP(Table4[[#This Row],[Visitor]],'NHL Model'!$A$6:$B$38,2,FALSE)</f>
        <v>-0.23554590882174289</v>
      </c>
      <c r="J1199">
        <f>($B$1+Table4[[#This Row],[Home Differential]])-Table4[[#This Row],[Away Differential]]</f>
        <v>0.53738504367369944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0.52607662203075056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-0.1785578406462007</v>
      </c>
      <c r="H1200" t="s">
        <v>23</v>
      </c>
      <c r="I1200">
        <f>VLOOKUP(Table4[[#This Row],[Visitor]],'NHL Model'!$A$6:$B$38,2,FALSE)</f>
        <v>-0.32833039474346476</v>
      </c>
      <c r="J1200">
        <f>($B$1+Table4[[#This Row],[Home Differential]])-Table4[[#This Row],[Away Differential]]</f>
        <v>0.23318647696860412</v>
      </c>
      <c r="K1200" t="str">
        <f>IF(Table4[[#This Row],[HomeIce Differential]]&gt;0,Table4[[#This Row],[Home]],Table4[[#This Row],[Visitor]])</f>
        <v>Ottawa Senators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0.56547148949444148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5.7297532801941484E-2</v>
      </c>
      <c r="H1201" t="s">
        <v>26</v>
      </c>
      <c r="I1201">
        <f>VLOOKUP(Table4[[#This Row],[Visitor]],'NHL Model'!$A$6:$B$38,2,FALSE)</f>
        <v>-0.46779379272887778</v>
      </c>
      <c r="J1201">
        <f>($B$1+Table4[[#This Row],[Home Differential]])-Table4[[#This Row],[Away Differential]]</f>
        <v>0.60850524840215936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0.63168580423926657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-0.51436416305402566</v>
      </c>
      <c r="H1202" t="s">
        <v>55</v>
      </c>
      <c r="I1202">
        <f>VLOOKUP(Table4[[#This Row],[Visitor]],'NHL Model'!$A$6:$B$38,2,FALSE)</f>
        <v>0.16351124183791613</v>
      </c>
      <c r="J1202">
        <f>($B$1+Table4[[#This Row],[Home Differential]])-Table4[[#This Row],[Away Differential]]</f>
        <v>-0.59446148202060167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0.52493438037651097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-0.38457853131220177</v>
      </c>
      <c r="H1203" t="s">
        <v>19</v>
      </c>
      <c r="I1203">
        <f>VLOOKUP(Table4[[#This Row],[Visitor]],'NHL Model'!$A$6:$B$38,2,FALSE)</f>
        <v>-3.2654449433805091E-2</v>
      </c>
      <c r="J1203">
        <f>($B$1+Table4[[#This Row],[Home Differential]])-Table4[[#This Row],[Away Differential]]</f>
        <v>-0.2685101590070566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0.48932997566243902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0.67847982929669792</v>
      </c>
      <c r="H1204" t="s">
        <v>14</v>
      </c>
      <c r="I1204">
        <f>VLOOKUP(Table4[[#This Row],[Visitor]],'NHL Model'!$A$6:$B$38,2,FALSE)</f>
        <v>0.26772485952910668</v>
      </c>
      <c r="J1204">
        <f>($B$1+Table4[[#This Row],[Home Differential]])-Table4[[#This Row],[Away Differential]]</f>
        <v>0.49416889263893132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0.53984037514213135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0.18369921819729701</v>
      </c>
      <c r="H1205" t="s">
        <v>16</v>
      </c>
      <c r="I1205">
        <f>VLOOKUP(Table4[[#This Row],[Visitor]],'NHL Model'!$A$6:$B$38,2,FALSE)</f>
        <v>-0.64492670113602302</v>
      </c>
      <c r="J1205">
        <f>($B$1+Table4[[#This Row],[Home Differential]])-Table4[[#This Row],[Away Differential]]</f>
        <v>0.91203984220466006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0.63962418730806525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0.25846513585567971</v>
      </c>
      <c r="H1206" t="s">
        <v>35</v>
      </c>
      <c r="I1206">
        <f>VLOOKUP(Table4[[#This Row],[Visitor]],'NHL Model'!$A$6:$B$38,2,FALSE)</f>
        <v>-1.0071073873045386</v>
      </c>
      <c r="J1206">
        <f>($B$1+Table4[[#This Row],[Home Differential]])-Table4[[#This Row],[Away Differential]]</f>
        <v>1.3489864460315584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0.75562536519754853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0.42358825343066847</v>
      </c>
      <c r="H1207" t="s">
        <v>27</v>
      </c>
      <c r="I1207">
        <f>VLOOKUP(Table4[[#This Row],[Visitor]],'NHL Model'!$A$6:$B$38,2,FALSE)</f>
        <v>5.7297532801941484E-2</v>
      </c>
      <c r="J1207">
        <f>($B$1+Table4[[#This Row],[Home Differential]])-Table4[[#This Row],[Away Differential]]</f>
        <v>0.449704643500067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0.54660969869707099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0.25846513585567971</v>
      </c>
      <c r="H1208" t="s">
        <v>16</v>
      </c>
      <c r="I1208">
        <f>VLOOKUP(Table4[[#This Row],[Visitor]],'NHL Model'!$A$6:$B$38,2,FALSE)</f>
        <v>-0.64492670113602302</v>
      </c>
      <c r="J1208">
        <f>($B$1+Table4[[#This Row],[Home Differential]])-Table4[[#This Row],[Away Differential]]</f>
        <v>0.98680575986304286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0.716063544706247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0.63414563871719487</v>
      </c>
      <c r="H1209" t="s">
        <v>30</v>
      </c>
      <c r="I1209">
        <f>VLOOKUP(Table4[[#This Row],[Visitor]],'NHL Model'!$A$6:$B$38,2,FALSE)</f>
        <v>0.42358825343066847</v>
      </c>
      <c r="J1209">
        <f>($B$1+Table4[[#This Row],[Home Differential]])-Table4[[#This Row],[Away Differential]]</f>
        <v>0.29397130815786648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0.53211115492095395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-0.21858969522472316</v>
      </c>
      <c r="H1210" t="s">
        <v>40</v>
      </c>
      <c r="I1210">
        <f>VLOOKUP(Table4[[#This Row],[Visitor]],'NHL Model'!$A$6:$B$38,2,FALSE)</f>
        <v>-7.6933210940904648E-2</v>
      </c>
      <c r="J1210">
        <f>($B$1+Table4[[#This Row],[Home Differential]])-Table4[[#This Row],[Away Differential]]</f>
        <v>-5.8242561412478425E-2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0.46636196751386683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0.85927171572006034</v>
      </c>
      <c r="H1211" t="s">
        <v>12</v>
      </c>
      <c r="I1211">
        <f>VLOOKUP(Table4[[#This Row],[Visitor]],'NHL Model'!$A$6:$B$38,2,FALSE)</f>
        <v>1.7429147091761512</v>
      </c>
      <c r="J1211">
        <f>($B$1+Table4[[#This Row],[Home Differential]])-Table4[[#This Row],[Away Differential]]</f>
        <v>-0.80022907058475079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0.57016946298858695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-0.17631503877657284</v>
      </c>
      <c r="H1212" t="s">
        <v>20</v>
      </c>
      <c r="I1212">
        <f>VLOOKUP(Table4[[#This Row],[Visitor]],'NHL Model'!$A$6:$B$38,2,FALSE)</f>
        <v>0.18369921819729701</v>
      </c>
      <c r="J1212">
        <f>($B$1+Table4[[#This Row],[Home Differential]])-Table4[[#This Row],[Away Differential]]</f>
        <v>-0.27660033410252977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0.49175214543574924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9.3318671190422225E-2</v>
      </c>
      <c r="H1213" t="s">
        <v>19</v>
      </c>
      <c r="I1213">
        <f>VLOOKUP(Table4[[#This Row],[Visitor]],'NHL Model'!$A$6:$B$38,2,FALSE)</f>
        <v>-3.2654449433805091E-2</v>
      </c>
      <c r="J1213">
        <f>($B$1+Table4[[#This Row],[Home Differential]])-Table4[[#This Row],[Away Differential]]</f>
        <v>0.20938704349556736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0.562871823220639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-3.0305407970040489E-4</v>
      </c>
      <c r="H1214" t="s">
        <v>18</v>
      </c>
      <c r="I1214">
        <f>VLOOKUP(Table4[[#This Row],[Visitor]],'NHL Model'!$A$6:$B$38,2,FALSE)</f>
        <v>-0.23554590882174289</v>
      </c>
      <c r="J1214">
        <f>($B$1+Table4[[#This Row],[Home Differential]])-Table4[[#This Row],[Away Differential]]</f>
        <v>0.31865677761338257</v>
      </c>
      <c r="K1214" t="str">
        <f>IF(Table4[[#This Row],[HomeIce Differential]]&gt;0,Table4[[#This Row],[Home]],Table4[[#This Row],[Visitor]])</f>
        <v>New Jersey Devils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0.54572463548898076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0.21842521198061643</v>
      </c>
      <c r="H1215" t="s">
        <v>26</v>
      </c>
      <c r="I1215">
        <f>VLOOKUP(Table4[[#This Row],[Visitor]],'NHL Model'!$A$6:$B$38,2,FALSE)</f>
        <v>-0.46779379272887778</v>
      </c>
      <c r="J1215">
        <f>($B$1+Table4[[#This Row],[Home Differential]])-Table4[[#This Row],[Away Differential]]</f>
        <v>0.76963292758083424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0.6232392628896205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-0.1785578406462007</v>
      </c>
      <c r="H1216" t="s">
        <v>34</v>
      </c>
      <c r="I1216">
        <f>VLOOKUP(Table4[[#This Row],[Visitor]],'NHL Model'!$A$6:$B$38,2,FALSE)</f>
        <v>5.5764706436567675E-2</v>
      </c>
      <c r="J1216">
        <f>($B$1+Table4[[#This Row],[Home Differential]])-Table4[[#This Row],[Away Differential]]</f>
        <v>-0.15090862421142831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0.49725332318398746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0.26772485952910668</v>
      </c>
      <c r="H1217" t="s">
        <v>11</v>
      </c>
      <c r="I1217">
        <f>VLOOKUP(Table4[[#This Row],[Visitor]],'NHL Model'!$A$6:$B$38,2,FALSE)</f>
        <v>-0.2331185823245894</v>
      </c>
      <c r="J1217">
        <f>($B$1+Table4[[#This Row],[Home Differential]])-Table4[[#This Row],[Away Differential]]</f>
        <v>0.5842573647250362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0.6038197614248767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-0.51436416305402566</v>
      </c>
      <c r="H1218" t="s">
        <v>10</v>
      </c>
      <c r="I1218">
        <f>VLOOKUP(Table4[[#This Row],[Visitor]],'NHL Model'!$A$6:$B$38,2,FALSE)</f>
        <v>-8.0981007952892342E-2</v>
      </c>
      <c r="J1218">
        <f>($B$1+Table4[[#This Row],[Home Differential]])-Table4[[#This Row],[Away Differential]]</f>
        <v>-0.34996923222979326</v>
      </c>
      <c r="K1218" t="str">
        <f>IF(Table4[[#This Row],[HomeIce Differential]]&gt;0,Table4[[#This Row],[Home]],Table4[[#This Row],[Visitor]])</f>
        <v>Chicago Blackhawks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0.49822793559044648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-0.38457853131220177</v>
      </c>
      <c r="H1219" t="s">
        <v>29</v>
      </c>
      <c r="I1219">
        <f>VLOOKUP(Table4[[#This Row],[Visitor]],'NHL Model'!$A$6:$B$38,2,FALSE)</f>
        <v>-0.8717103858022891</v>
      </c>
      <c r="J1219">
        <f>($B$1+Table4[[#This Row],[Home Differential]])-Table4[[#This Row],[Away Differential]]</f>
        <v>0.57054577736142742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0.60232201353647197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0.67847982929669792</v>
      </c>
      <c r="H1220" t="s">
        <v>21</v>
      </c>
      <c r="I1220">
        <f>VLOOKUP(Table4[[#This Row],[Visitor]],'NHL Model'!$A$6:$B$38,2,FALSE)</f>
        <v>0.2169753953839102</v>
      </c>
      <c r="J1220">
        <f>($B$1+Table4[[#This Row],[Home Differential]])-Table4[[#This Row],[Away Differential]]</f>
        <v>0.54491835678412781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0.5995226720716913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-0.58187345243071342</v>
      </c>
      <c r="H1221" t="s">
        <v>55</v>
      </c>
      <c r="I1221">
        <f>VLOOKUP(Table4[[#This Row],[Visitor]],'NHL Model'!$A$6:$B$38,2,FALSE)</f>
        <v>0.16351124183791613</v>
      </c>
      <c r="J1221">
        <f>($B$1+Table4[[#This Row],[Home Differential]])-Table4[[#This Row],[Away Differential]]</f>
        <v>-0.66197077139728944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0.53230857367232132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0.95632113049608625</v>
      </c>
      <c r="H1222" t="s">
        <v>23</v>
      </c>
      <c r="I1222">
        <f>VLOOKUP(Table4[[#This Row],[Visitor]],'NHL Model'!$A$6:$B$38,2,FALSE)</f>
        <v>-0.32833039474346476</v>
      </c>
      <c r="J1222">
        <f>($B$1+Table4[[#This Row],[Home Differential]])-Table4[[#This Row],[Away Differential]]</f>
        <v>1.3680654481108911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0.71547463777522025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1.7429147091761512</v>
      </c>
      <c r="H1223" t="s">
        <v>35</v>
      </c>
      <c r="I1223">
        <f>VLOOKUP(Table4[[#This Row],[Visitor]],'NHL Model'!$A$6:$B$38,2,FALSE)</f>
        <v>-1.0071073873045386</v>
      </c>
      <c r="J1223">
        <f>($B$1+Table4[[#This Row],[Home Differential]])-Table4[[#This Row],[Away Differential]]</f>
        <v>2.83343601935203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0.95732362971154061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-0.46779379272887778</v>
      </c>
      <c r="H1224" t="s">
        <v>34</v>
      </c>
      <c r="I1224">
        <f>VLOOKUP(Table4[[#This Row],[Visitor]],'NHL Model'!$A$6:$B$38,2,FALSE)</f>
        <v>5.5764706436567675E-2</v>
      </c>
      <c r="J1224">
        <f>($B$1+Table4[[#This Row],[Home Differential]])-Table4[[#This Row],[Away Differential]]</f>
        <v>-0.44014457629410536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0.51866622891044623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-0.23554590882174289</v>
      </c>
      <c r="H1225" t="s">
        <v>24</v>
      </c>
      <c r="I1225">
        <f>VLOOKUP(Table4[[#This Row],[Visitor]],'NHL Model'!$A$6:$B$38,2,FALSE)</f>
        <v>-3.0305407970040489E-4</v>
      </c>
      <c r="J1225">
        <f>($B$1+Table4[[#This Row],[Home Differential]])-Table4[[#This Row],[Away Differential]]</f>
        <v>-0.15182893187070243</v>
      </c>
      <c r="K1225" t="str">
        <f>IF(Table4[[#This Row],[HomeIce Differential]]&gt;0,Table4[[#This Row],[Home]],Table4[[#This Row],[Visitor]])</f>
        <v>New Jersey Devils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0.48016077865493395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0.21842521198061643</v>
      </c>
      <c r="H1226" t="s">
        <v>22</v>
      </c>
      <c r="I1226">
        <f>VLOOKUP(Table4[[#This Row],[Visitor]],'NHL Model'!$A$6:$B$38,2,FALSE)</f>
        <v>0.95632113049608625</v>
      </c>
      <c r="J1226">
        <f>($B$1+Table4[[#This Row],[Home Differential]])-Table4[[#This Row],[Away Differential]]</f>
        <v>-0.65448199564412968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0.58562937513683566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-0.1785578406462007</v>
      </c>
      <c r="H1227" t="s">
        <v>25</v>
      </c>
      <c r="I1227">
        <f>VLOOKUP(Table4[[#This Row],[Visitor]],'NHL Model'!$A$6:$B$38,2,FALSE)</f>
        <v>0.63414563871719487</v>
      </c>
      <c r="J1227">
        <f>($B$1+Table4[[#This Row],[Home Differential]])-Table4[[#This Row],[Away Differential]]</f>
        <v>-0.72928955649205551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0.61228512685978165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5.7297532801941484E-2</v>
      </c>
      <c r="H1228" t="s">
        <v>21</v>
      </c>
      <c r="I1228">
        <f>VLOOKUP(Table4[[#This Row],[Visitor]],'NHL Model'!$A$6:$B$38,2,FALSE)</f>
        <v>0.2169753953839102</v>
      </c>
      <c r="J1228">
        <f>($B$1+Table4[[#This Row],[Home Differential]])-Table4[[#This Row],[Away Differential]]</f>
        <v>-7.6263939710628642E-2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0.44229274782391187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0.26772485952910668</v>
      </c>
      <c r="H1229" t="s">
        <v>11</v>
      </c>
      <c r="I1229">
        <f>VLOOKUP(Table4[[#This Row],[Visitor]],'NHL Model'!$A$6:$B$38,2,FALSE)</f>
        <v>-0.2331185823245894</v>
      </c>
      <c r="J1229">
        <f>($B$1+Table4[[#This Row],[Home Differential]])-Table4[[#This Row],[Away Differential]]</f>
        <v>0.5842573647250362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0.6038197614248767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-0.32833039474346476</v>
      </c>
      <c r="H1230" t="s">
        <v>37</v>
      </c>
      <c r="I1230">
        <f>VLOOKUP(Table4[[#This Row],[Visitor]],'NHL Model'!$A$6:$B$38,2,FALSE)</f>
        <v>0.67847982929669792</v>
      </c>
      <c r="J1230">
        <f>($B$1+Table4[[#This Row],[Home Differential]])-Table4[[#This Row],[Away Differential]]</f>
        <v>-0.92339630116882265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0.62331365875414735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9.3318671190422225E-2</v>
      </c>
      <c r="H1231" t="s">
        <v>29</v>
      </c>
      <c r="I1231">
        <f>VLOOKUP(Table4[[#This Row],[Visitor]],'NHL Model'!$A$6:$B$38,2,FALSE)</f>
        <v>-0.8717103858022891</v>
      </c>
      <c r="J1231">
        <f>($B$1+Table4[[#This Row],[Home Differential]])-Table4[[#This Row],[Away Differential]]</f>
        <v>1.0484429798640513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0.65452381241954982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-0.38457853131220177</v>
      </c>
      <c r="H1232" t="s">
        <v>10</v>
      </c>
      <c r="I1232">
        <f>VLOOKUP(Table4[[#This Row],[Visitor]],'NHL Model'!$A$6:$B$38,2,FALSE)</f>
        <v>-8.0981007952892342E-2</v>
      </c>
      <c r="J1232">
        <f>($B$1+Table4[[#This Row],[Home Differential]])-Table4[[#This Row],[Away Differential]]</f>
        <v>-0.22018360048796934</v>
      </c>
      <c r="K1232" t="str">
        <f>IF(Table4[[#This Row],[HomeIce Differential]]&gt;0,Table4[[#This Row],[Home]],Table4[[#This Row],[Visitor]])</f>
        <v>Chicago Blackhawks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0.48405115570845353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-7.6933210940904648E-2</v>
      </c>
      <c r="H1233" t="s">
        <v>32</v>
      </c>
      <c r="I1233">
        <f>VLOOKUP(Table4[[#This Row],[Visitor]],'NHL Model'!$A$6:$B$38,2,FALSE)</f>
        <v>-0.51436416305402566</v>
      </c>
      <c r="J1233">
        <f>($B$1+Table4[[#This Row],[Home Differential]])-Table4[[#This Row],[Away Differential]]</f>
        <v>0.52084487498446108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0.6159985021854788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0.25846513585567971</v>
      </c>
      <c r="H1234" t="s">
        <v>29</v>
      </c>
      <c r="I1234">
        <f>VLOOKUP(Table4[[#This Row],[Visitor]],'NHL Model'!$A$6:$B$38,2,FALSE)</f>
        <v>-0.8717103858022891</v>
      </c>
      <c r="J1234">
        <f>($B$1+Table4[[#This Row],[Home Differential]])-Table4[[#This Row],[Away Differential]]</f>
        <v>1.2135894445293089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0.74083564262796853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0.63414563871719487</v>
      </c>
      <c r="H1235" t="s">
        <v>21</v>
      </c>
      <c r="I1235">
        <f>VLOOKUP(Table4[[#This Row],[Visitor]],'NHL Model'!$A$6:$B$38,2,FALSE)</f>
        <v>0.2169753953839102</v>
      </c>
      <c r="J1235">
        <f>($B$1+Table4[[#This Row],[Home Differential]])-Table4[[#This Row],[Away Differential]]</f>
        <v>0.50058416620462476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0.63758150195651342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0.85927171572006034</v>
      </c>
      <c r="H1236" t="s">
        <v>16</v>
      </c>
      <c r="I1236">
        <f>VLOOKUP(Table4[[#This Row],[Visitor]],'NHL Model'!$A$6:$B$38,2,FALSE)</f>
        <v>-0.64492670113602302</v>
      </c>
      <c r="J1236">
        <f>($B$1+Table4[[#This Row],[Home Differential]])-Table4[[#This Row],[Away Differential]]</f>
        <v>1.5876123397274235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0.75632006287990594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-0.46779379272887778</v>
      </c>
      <c r="H1237" t="s">
        <v>28</v>
      </c>
      <c r="I1237">
        <f>VLOOKUP(Table4[[#This Row],[Visitor]],'NHL Model'!$A$6:$B$38,2,FALSE)</f>
        <v>-0.21858969522472316</v>
      </c>
      <c r="J1237">
        <f>($B$1+Table4[[#This Row],[Home Differential]])-Table4[[#This Row],[Away Differential]]</f>
        <v>-0.16579017463281454</v>
      </c>
      <c r="K1237" t="str">
        <f>IF(Table4[[#This Row],[HomeIce Differential]]&gt;0,Table4[[#This Row],[Home]],Table4[[#This Row],[Visitor]])</f>
        <v>Columbus Blue Jackets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0.46798738864145711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5.5764706436567675E-2</v>
      </c>
      <c r="H1238" t="s">
        <v>32</v>
      </c>
      <c r="I1238">
        <f>VLOOKUP(Table4[[#This Row],[Visitor]],'NHL Model'!$A$6:$B$38,2,FALSE)</f>
        <v>-0.51436416305402566</v>
      </c>
      <c r="J1238">
        <f>($B$1+Table4[[#This Row],[Home Differential]])-Table4[[#This Row],[Away Differential]]</f>
        <v>0.65354279236193347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0.61138796634444725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-0.23554590882174289</v>
      </c>
      <c r="H1239" t="s">
        <v>11</v>
      </c>
      <c r="I1239">
        <f>VLOOKUP(Table4[[#This Row],[Visitor]],'NHL Model'!$A$6:$B$38,2,FALSE)</f>
        <v>-0.2331185823245894</v>
      </c>
      <c r="J1239">
        <f>($B$1+Table4[[#This Row],[Home Differential]])-Table4[[#This Row],[Away Differential]]</f>
        <v>8.0986596374186565E-2</v>
      </c>
      <c r="K1239" t="str">
        <f>IF(Table4[[#This Row],[HomeIce Differential]]&gt;0,Table4[[#This Row],[Home]],Table4[[#This Row],[Visitor]])</f>
        <v>Montreal Canadiens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0.54884635020672068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-3.0305407970040489E-4</v>
      </c>
      <c r="H1240" t="s">
        <v>27</v>
      </c>
      <c r="I1240">
        <f>VLOOKUP(Table4[[#This Row],[Visitor]],'NHL Model'!$A$6:$B$38,2,FALSE)</f>
        <v>5.7297532801941484E-2</v>
      </c>
      <c r="J1240">
        <f>($B$1+Table4[[#This Row],[Home Differential]])-Table4[[#This Row],[Away Differential]]</f>
        <v>2.5813335989698177E-2</v>
      </c>
      <c r="K1240" t="str">
        <f>IF(Table4[[#This Row],[HomeIce Differential]]&gt;0,Table4[[#This Row],[Home]],Table4[[#This Row],[Visitor]])</f>
        <v>New Jersey Devils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0.543803255985704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-0.1785578406462007</v>
      </c>
      <c r="H1241" t="s">
        <v>37</v>
      </c>
      <c r="I1241">
        <f>VLOOKUP(Table4[[#This Row],[Visitor]],'NHL Model'!$A$6:$B$38,2,FALSE)</f>
        <v>0.67847982929669792</v>
      </c>
      <c r="J1241">
        <f>($B$1+Table4[[#This Row],[Home Differential]])-Table4[[#This Row],[Away Differential]]</f>
        <v>-0.77362374707155857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0.61712785137910453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-1.0071073873045386</v>
      </c>
      <c r="H1242" t="s">
        <v>12</v>
      </c>
      <c r="I1242">
        <f>VLOOKUP(Table4[[#This Row],[Visitor]],'NHL Model'!$A$6:$B$38,2,FALSE)</f>
        <v>1.7429147091761512</v>
      </c>
      <c r="J1242">
        <f>($B$1+Table4[[#This Row],[Home Differential]])-Table4[[#This Row],[Away Differential]]</f>
        <v>-2.6666081736093497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0.81759546813629924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0.16351124183791613</v>
      </c>
      <c r="H1243" t="s">
        <v>17</v>
      </c>
      <c r="I1243">
        <f>VLOOKUP(Table4[[#This Row],[Visitor]],'NHL Model'!$A$6:$B$38,2,FALSE)</f>
        <v>-0.17631503877657284</v>
      </c>
      <c r="J1243">
        <f>($B$1+Table4[[#This Row],[Home Differential]])-Table4[[#This Row],[Away Differential]]</f>
        <v>0.42324020348582903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0.62666266795473136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-0.58187345243071342</v>
      </c>
      <c r="H1244" t="s">
        <v>20</v>
      </c>
      <c r="I1244">
        <f>VLOOKUP(Table4[[#This Row],[Visitor]],'NHL Model'!$A$6:$B$38,2,FALSE)</f>
        <v>0.18369921819729701</v>
      </c>
      <c r="J1244">
        <f>($B$1+Table4[[#This Row],[Home Differential]])-Table4[[#This Row],[Away Differential]]</f>
        <v>-0.6821587477566704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0.55528298303696966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0.21842521198061643</v>
      </c>
      <c r="H1245" t="s">
        <v>23</v>
      </c>
      <c r="I1245">
        <f>VLOOKUP(Table4[[#This Row],[Visitor]],'NHL Model'!$A$6:$B$38,2,FALSE)</f>
        <v>-0.32833039474346476</v>
      </c>
      <c r="J1245">
        <f>($B$1+Table4[[#This Row],[Home Differential]])-Table4[[#This Row],[Away Differential]]</f>
        <v>0.63016952959542127</v>
      </c>
      <c r="K1245" t="str">
        <f>IF(Table4[[#This Row],[HomeIce Differential]]&gt;0,Table4[[#This Row],[Home]],Table4[[#This Row],[Visitor]])</f>
        <v>New York Rangers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0.60883485166666862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-0.38457853131220177</v>
      </c>
      <c r="H1246" t="s">
        <v>17</v>
      </c>
      <c r="I1246">
        <f>VLOOKUP(Table4[[#This Row],[Visitor]],'NHL Model'!$A$6:$B$38,2,FALSE)</f>
        <v>-0.17631503877657284</v>
      </c>
      <c r="J1246">
        <f>($B$1+Table4[[#This Row],[Home Differential]])-Table4[[#This Row],[Away Differential]]</f>
        <v>-0.12484956966428884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0.47363760258926868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-3.2654449433805091E-2</v>
      </c>
      <c r="H1247" t="s">
        <v>22</v>
      </c>
      <c r="I1247">
        <f>VLOOKUP(Table4[[#This Row],[Visitor]],'NHL Model'!$A$6:$B$38,2,FALSE)</f>
        <v>0.95632113049608625</v>
      </c>
      <c r="J1247">
        <f>($B$1+Table4[[#This Row],[Home Differential]])-Table4[[#This Row],[Away Differential]]</f>
        <v>-0.90556165705855129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0.61305537788418374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0.25846513585567971</v>
      </c>
      <c r="H1248" t="s">
        <v>33</v>
      </c>
      <c r="I1248">
        <f>VLOOKUP(Table4[[#This Row],[Visitor]],'NHL Model'!$A$6:$B$38,2,FALSE)</f>
        <v>-0.38457853131220177</v>
      </c>
      <c r="J1248">
        <f>($B$1+Table4[[#This Row],[Home Differential]])-Table4[[#This Row],[Away Differential]]</f>
        <v>0.72645759003922161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0.68762512169487577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-0.32833039474346476</v>
      </c>
      <c r="H1249" t="s">
        <v>28</v>
      </c>
      <c r="I1249">
        <f>VLOOKUP(Table4[[#This Row],[Visitor]],'NHL Model'!$A$6:$B$38,2,FALSE)</f>
        <v>-0.21858969522472316</v>
      </c>
      <c r="J1249">
        <f>($B$1+Table4[[#This Row],[Home Differential]])-Table4[[#This Row],[Away Differential]]</f>
        <v>-2.6326776647401517E-2</v>
      </c>
      <c r="K1249" t="str">
        <f>IF(Table4[[#This Row],[HomeIce Differential]]&gt;0,Table4[[#This Row],[Home]],Table4[[#This Row],[Visitor]])</f>
        <v>Columbus Blue Jackets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0.45275348433094753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-8.0981007952892342E-2</v>
      </c>
      <c r="H1250" t="s">
        <v>25</v>
      </c>
      <c r="I1250">
        <f>VLOOKUP(Table4[[#This Row],[Visitor]],'NHL Model'!$A$6:$B$38,2,FALSE)</f>
        <v>0.63414563871719487</v>
      </c>
      <c r="J1250">
        <f>($B$1+Table4[[#This Row],[Home Differential]])-Table4[[#This Row],[Away Differential]]</f>
        <v>-0.6317127237987471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0.60162658738888808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1.7429147091761512</v>
      </c>
      <c r="H1251" t="s">
        <v>16</v>
      </c>
      <c r="I1251">
        <f>VLOOKUP(Table4[[#This Row],[Visitor]],'NHL Model'!$A$6:$B$38,2,FALSE)</f>
        <v>-0.64492670113602302</v>
      </c>
      <c r="J1251">
        <f>($B$1+Table4[[#This Row],[Home Differential]])-Table4[[#This Row],[Away Differential]]</f>
        <v>2.4712553331835143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0.91776180922023909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0.85927171572006034</v>
      </c>
      <c r="H1252" t="s">
        <v>34</v>
      </c>
      <c r="I1252">
        <f>VLOOKUP(Table4[[#This Row],[Visitor]],'NHL Model'!$A$6:$B$38,2,FALSE)</f>
        <v>5.5764706436567675E-2</v>
      </c>
      <c r="J1252">
        <f>($B$1+Table4[[#This Row],[Home Differential]])-Table4[[#This Row],[Away Differential]]</f>
        <v>0.8869209321548327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0.6593803916053147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-0.46779379272887778</v>
      </c>
      <c r="H1253" t="s">
        <v>27</v>
      </c>
      <c r="I1253">
        <f>VLOOKUP(Table4[[#This Row],[Visitor]],'NHL Model'!$A$6:$B$38,2,FALSE)</f>
        <v>5.7297532801941484E-2</v>
      </c>
      <c r="J1253">
        <f>($B$1+Table4[[#This Row],[Home Differential]])-Table4[[#This Row],[Away Differential]]</f>
        <v>-0.44167740265947919</v>
      </c>
      <c r="K1253" t="str">
        <f>IF(Table4[[#This Row],[HomeIce Differential]]&gt;0,Table4[[#This Row],[Home]],Table4[[#This Row],[Visitor]])</f>
        <v>Philadelphia Flyers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0.54055312003585265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9.3318671190422225E-2</v>
      </c>
      <c r="H1254" t="s">
        <v>38</v>
      </c>
      <c r="I1254">
        <f>VLOOKUP(Table4[[#This Row],[Visitor]],'NHL Model'!$A$6:$B$38,2,FALSE)</f>
        <v>-0.58187345243071342</v>
      </c>
      <c r="J1254">
        <f>($B$1+Table4[[#This Row],[Home Differential]])-Table4[[#This Row],[Away Differential]]</f>
        <v>0.75860604649247576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0.62286426466426037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-0.23554590882174289</v>
      </c>
      <c r="H1255" t="s">
        <v>37</v>
      </c>
      <c r="I1255">
        <f>VLOOKUP(Table4[[#This Row],[Visitor]],'NHL Model'!$A$6:$B$38,2,FALSE)</f>
        <v>0.67847982929669792</v>
      </c>
      <c r="J1255">
        <f>($B$1+Table4[[#This Row],[Home Differential]])-Table4[[#This Row],[Away Differential]]</f>
        <v>-0.8306118152471007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0.62335278774210501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-3.0305407970040489E-4</v>
      </c>
      <c r="H1256" t="s">
        <v>14</v>
      </c>
      <c r="I1256">
        <f>VLOOKUP(Table4[[#This Row],[Visitor]],'NHL Model'!$A$6:$B$38,2,FALSE)</f>
        <v>0.26772485952910668</v>
      </c>
      <c r="J1256">
        <f>($B$1+Table4[[#This Row],[Home Differential]])-Table4[[#This Row],[Away Differential]]</f>
        <v>-0.18461399073746704</v>
      </c>
      <c r="K1256" t="str">
        <f>IF(Table4[[#This Row],[HomeIce Differential]]&gt;0,Table4[[#This Row],[Home]],Table4[[#This Row],[Visitor]])</f>
        <v>Pittsburgh Penguins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0.49075404159097857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0.42358825343066847</v>
      </c>
      <c r="H1257" t="s">
        <v>19</v>
      </c>
      <c r="I1257">
        <f>VLOOKUP(Table4[[#This Row],[Visitor]],'NHL Model'!$A$6:$B$38,2,FALSE)</f>
        <v>-3.2654449433805091E-2</v>
      </c>
      <c r="J1257">
        <f>($B$1+Table4[[#This Row],[Home Differential]])-Table4[[#This Row],[Away Differential]]</f>
        <v>0.53965662573581363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0.59894792121623008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-0.1785578406462007</v>
      </c>
      <c r="H1258" t="s">
        <v>11</v>
      </c>
      <c r="I1258">
        <f>VLOOKUP(Table4[[#This Row],[Visitor]],'NHL Model'!$A$6:$B$38,2,FALSE)</f>
        <v>-0.2331185823245894</v>
      </c>
      <c r="J1258">
        <f>($B$1+Table4[[#This Row],[Home Differential]])-Table4[[#This Row],[Away Differential]]</f>
        <v>0.13797466454972879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0.55507128656972116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-0.51436416305402566</v>
      </c>
      <c r="H1259" t="s">
        <v>20</v>
      </c>
      <c r="I1259">
        <f>VLOOKUP(Table4[[#This Row],[Visitor]],'NHL Model'!$A$6:$B$38,2,FALSE)</f>
        <v>0.18369921819729701</v>
      </c>
      <c r="J1259">
        <f>($B$1+Table4[[#This Row],[Home Differential]])-Table4[[#This Row],[Away Differential]]</f>
        <v>-0.61464945837998264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0.54790878974115931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-1.0071073873045386</v>
      </c>
      <c r="H1260" t="s">
        <v>40</v>
      </c>
      <c r="I1260">
        <f>VLOOKUP(Table4[[#This Row],[Visitor]],'NHL Model'!$A$6:$B$38,2,FALSE)</f>
        <v>-7.6933210940904648E-2</v>
      </c>
      <c r="J1260">
        <f>($B$1+Table4[[#This Row],[Home Differential]])-Table4[[#This Row],[Away Differential]]</f>
        <v>-0.84676025349229389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0.55249354928949623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0.16351124183791613</v>
      </c>
      <c r="H1261" t="s">
        <v>29</v>
      </c>
      <c r="I1261">
        <f>VLOOKUP(Table4[[#This Row],[Visitor]],'NHL Model'!$A$6:$B$38,2,FALSE)</f>
        <v>-0.8717103858022891</v>
      </c>
      <c r="J1261">
        <f>($B$1+Table4[[#This Row],[Home Differential]])-Table4[[#This Row],[Away Differential]]</f>
        <v>1.1186355505115453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0.70262228408047189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0.2169753953839102</v>
      </c>
      <c r="H1262" t="s">
        <v>37</v>
      </c>
      <c r="I1262">
        <f>VLOOKUP(Table4[[#This Row],[Visitor]],'NHL Model'!$A$6:$B$38,2,FALSE)</f>
        <v>0.67847982929669792</v>
      </c>
      <c r="J1262">
        <f>($B$1+Table4[[#This Row],[Home Differential]])-Table4[[#This Row],[Away Differential]]</f>
        <v>-0.37809051104144764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0.51362441011216531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-8.0981007952892342E-2</v>
      </c>
      <c r="H1263" t="s">
        <v>35</v>
      </c>
      <c r="I1263">
        <f>VLOOKUP(Table4[[#This Row],[Visitor]],'NHL Model'!$A$6:$B$38,2,FALSE)</f>
        <v>-1.0071073873045386</v>
      </c>
      <c r="J1263">
        <f>($B$1+Table4[[#This Row],[Home Differential]])-Table4[[#This Row],[Away Differential]]</f>
        <v>1.0095403022229863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0.65027438441788465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1.7429147091761512</v>
      </c>
      <c r="H1264" t="s">
        <v>20</v>
      </c>
      <c r="I1264">
        <f>VLOOKUP(Table4[[#This Row],[Visitor]],'NHL Model'!$A$6:$B$38,2,FALSE)</f>
        <v>0.18369921819729701</v>
      </c>
      <c r="J1264">
        <f>($B$1+Table4[[#This Row],[Home Differential]])-Table4[[#This Row],[Away Differential]]</f>
        <v>1.6426294138501942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0.80799957724481442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0.85927171572006034</v>
      </c>
      <c r="H1265" t="s">
        <v>15</v>
      </c>
      <c r="I1265">
        <f>VLOOKUP(Table4[[#This Row],[Visitor]],'NHL Model'!$A$6:$B$38,2,FALSE)</f>
        <v>0.21842521198061643</v>
      </c>
      <c r="J1265">
        <f>($B$1+Table4[[#This Row],[Home Differential]])-Table4[[#This Row],[Away Differential]]</f>
        <v>0.72426042661078394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0.55574812846991506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-0.46779379272887778</v>
      </c>
      <c r="H1266" t="s">
        <v>24</v>
      </c>
      <c r="I1266">
        <f>VLOOKUP(Table4[[#This Row],[Visitor]],'NHL Model'!$A$6:$B$38,2,FALSE)</f>
        <v>-3.0305407970040489E-4</v>
      </c>
      <c r="J1266">
        <f>($B$1+Table4[[#This Row],[Home Differential]])-Table4[[#This Row],[Away Differential]]</f>
        <v>-0.38407681577783731</v>
      </c>
      <c r="K1266" t="str">
        <f>IF(Table4[[#This Row],[HomeIce Differential]]&gt;0,Table4[[#This Row],[Home]],Table4[[#This Row],[Visitor]])</f>
        <v>New Jersey Devils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0.4953948800996667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9.3318671190422225E-2</v>
      </c>
      <c r="H1267" t="s">
        <v>17</v>
      </c>
      <c r="I1267">
        <f>VLOOKUP(Table4[[#This Row],[Visitor]],'NHL Model'!$A$6:$B$38,2,FALSE)</f>
        <v>-0.17631503877657284</v>
      </c>
      <c r="J1267">
        <f>($B$1+Table4[[#This Row],[Home Differential]])-Table4[[#This Row],[Away Differential]]</f>
        <v>0.35304763283833512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0.57856419629380929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-0.23554590882174289</v>
      </c>
      <c r="H1268" t="s">
        <v>28</v>
      </c>
      <c r="I1268">
        <f>VLOOKUP(Table4[[#This Row],[Visitor]],'NHL Model'!$A$6:$B$38,2,FALSE)</f>
        <v>-0.21858969522472316</v>
      </c>
      <c r="J1268">
        <f>($B$1+Table4[[#This Row],[Home Differential]])-Table4[[#This Row],[Away Differential]]</f>
        <v>6.645770927432032E-2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0.54725932680836131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-0.8717103858022891</v>
      </c>
      <c r="H1269" t="s">
        <v>34</v>
      </c>
      <c r="I1269">
        <f>VLOOKUP(Table4[[#This Row],[Visitor]],'NHL Model'!$A$6:$B$38,2,FALSE)</f>
        <v>5.5764706436567675E-2</v>
      </c>
      <c r="J1269">
        <f>($B$1+Table4[[#This Row],[Home Differential]])-Table4[[#This Row],[Away Differential]]</f>
        <v>-0.84406116936751674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0.57296795295801928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0.42358825343066847</v>
      </c>
      <c r="H1270" t="s">
        <v>36</v>
      </c>
      <c r="I1270">
        <f>VLOOKUP(Table4[[#This Row],[Visitor]],'NHL Model'!$A$6:$B$38,2,FALSE)</f>
        <v>-0.1785578406462007</v>
      </c>
      <c r="J1270">
        <f>($B$1+Table4[[#This Row],[Home Differential]])-Table4[[#This Row],[Away Differential]]</f>
        <v>0.68556001694820923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0.61130912170071161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0.26772485952910668</v>
      </c>
      <c r="H1271" t="s">
        <v>22</v>
      </c>
      <c r="I1271">
        <f>VLOOKUP(Table4[[#This Row],[Visitor]],'NHL Model'!$A$6:$B$38,2,FALSE)</f>
        <v>0.95632113049608625</v>
      </c>
      <c r="J1271">
        <f>($B$1+Table4[[#This Row],[Home Differential]])-Table4[[#This Row],[Away Differential]]</f>
        <v>-0.60518234809563953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0.58024426245390726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-0.51436416305402566</v>
      </c>
      <c r="H1272" t="s">
        <v>16</v>
      </c>
      <c r="I1272">
        <f>VLOOKUP(Table4[[#This Row],[Visitor]],'NHL Model'!$A$6:$B$38,2,FALSE)</f>
        <v>-0.64492670113602302</v>
      </c>
      <c r="J1272">
        <f>($B$1+Table4[[#This Row],[Home Differential]])-Table4[[#This Row],[Away Differential]]</f>
        <v>0.21397646095333744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0.56337313573275749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-0.38457853131220177</v>
      </c>
      <c r="H1273" t="s">
        <v>38</v>
      </c>
      <c r="I1273">
        <f>VLOOKUP(Table4[[#This Row],[Visitor]],'NHL Model'!$A$6:$B$38,2,FALSE)</f>
        <v>-0.58187345243071342</v>
      </c>
      <c r="J1273">
        <f>($B$1+Table4[[#This Row],[Home Differential]])-Table4[[#This Row],[Away Differential]]</f>
        <v>0.28070884398985174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0.57066246578118252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-3.2654449433805091E-2</v>
      </c>
      <c r="H1274" t="s">
        <v>11</v>
      </c>
      <c r="I1274">
        <f>VLOOKUP(Table4[[#This Row],[Visitor]],'NHL Model'!$A$6:$B$38,2,FALSE)</f>
        <v>-0.2331185823245894</v>
      </c>
      <c r="J1274">
        <f>($B$1+Table4[[#This Row],[Home Differential]])-Table4[[#This Row],[Away Differential]]</f>
        <v>0.28387805576212438</v>
      </c>
      <c r="K1274" t="str">
        <f>IF(Table4[[#This Row],[HomeIce Differential]]&gt;0,Table4[[#This Row],[Home]],Table4[[#This Row],[Visitor]])</f>
        <v>Toronto Maple Leafs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0.57100864599460011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0.16351124183791613</v>
      </c>
      <c r="H1275" t="s">
        <v>25</v>
      </c>
      <c r="I1275">
        <f>VLOOKUP(Table4[[#This Row],[Visitor]],'NHL Model'!$A$6:$B$38,2,FALSE)</f>
        <v>0.63414563871719487</v>
      </c>
      <c r="J1275">
        <f>($B$1+Table4[[#This Row],[Home Differential]])-Table4[[#This Row],[Away Differential]]</f>
        <v>-0.38722047400793869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0.53391708522681092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-7.6933210940904648E-2</v>
      </c>
      <c r="H1276" t="s">
        <v>27</v>
      </c>
      <c r="I1276">
        <f>VLOOKUP(Table4[[#This Row],[Visitor]],'NHL Model'!$A$6:$B$38,2,FALSE)</f>
        <v>5.7297532801941484E-2</v>
      </c>
      <c r="J1276">
        <f>($B$1+Table4[[#This Row],[Home Differential]])-Table4[[#This Row],[Away Differential]]</f>
        <v>-5.081682087150606E-2</v>
      </c>
      <c r="K1276" t="str">
        <f>IF(Table4[[#This Row],[HomeIce Differential]]&gt;0,Table4[[#This Row],[Home]],Table4[[#This Row],[Visitor]])</f>
        <v>Philadelphia Flyers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0.48877231348739208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0.25846513585567971</v>
      </c>
      <c r="H1277" t="s">
        <v>38</v>
      </c>
      <c r="I1277">
        <f>VLOOKUP(Table4[[#This Row],[Visitor]],'NHL Model'!$A$6:$B$38,2,FALSE)</f>
        <v>-0.58187345243071342</v>
      </c>
      <c r="J1277">
        <f>($B$1+Table4[[#This Row],[Home Differential]])-Table4[[#This Row],[Away Differential]]</f>
        <v>0.92375251115773316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0.70917609487267907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-0.21858969522472316</v>
      </c>
      <c r="H1278" t="s">
        <v>21</v>
      </c>
      <c r="I1278">
        <f>VLOOKUP(Table4[[#This Row],[Visitor]],'NHL Model'!$A$6:$B$38,2,FALSE)</f>
        <v>0.2169753953839102</v>
      </c>
      <c r="J1278">
        <f>($B$1+Table4[[#This Row],[Home Differential]])-Table4[[#This Row],[Away Differential]]</f>
        <v>-0.35215116773729327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0.4984662733709187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-0.64492670113602302</v>
      </c>
      <c r="H1279" t="s">
        <v>55</v>
      </c>
      <c r="I1279">
        <f>VLOOKUP(Table4[[#This Row],[Visitor]],'NHL Model'!$A$6:$B$38,2,FALSE)</f>
        <v>0.16351124183791613</v>
      </c>
      <c r="J1279">
        <f>($B$1+Table4[[#This Row],[Home Differential]])-Table4[[#This Row],[Away Differential]]</f>
        <v>-0.72502402010259903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0.53919602350588924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-3.0305407970040489E-4</v>
      </c>
      <c r="H1280" t="s">
        <v>36</v>
      </c>
      <c r="I1280">
        <f>VLOOKUP(Table4[[#This Row],[Visitor]],'NHL Model'!$A$6:$B$38,2,FALSE)</f>
        <v>-0.1785578406462007</v>
      </c>
      <c r="J1280">
        <f>($B$1+Table4[[#This Row],[Home Differential]])-Table4[[#This Row],[Away Differential]]</f>
        <v>0.26166870943784037</v>
      </c>
      <c r="K1280" t="str">
        <f>IF(Table4[[#This Row],[HomeIce Differential]]&gt;0,Table4[[#This Row],[Home]],Table4[[#This Row],[Visitor]])</f>
        <v>New Jersey Devils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0.60798181018919595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0.42358825343066847</v>
      </c>
      <c r="H1281" t="s">
        <v>18</v>
      </c>
      <c r="I1281">
        <f>VLOOKUP(Table4[[#This Row],[Visitor]],'NHL Model'!$A$6:$B$38,2,FALSE)</f>
        <v>-0.23554590882174289</v>
      </c>
      <c r="J1281">
        <f>($B$1+Table4[[#This Row],[Home Differential]])-Table4[[#This Row],[Away Differential]]</f>
        <v>0.74254808512375137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0.54848704789625335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0.95632113049608625</v>
      </c>
      <c r="H1282" t="s">
        <v>14</v>
      </c>
      <c r="I1282">
        <f>VLOOKUP(Table4[[#This Row],[Visitor]],'NHL Model'!$A$6:$B$38,2,FALSE)</f>
        <v>0.26772485952910668</v>
      </c>
      <c r="J1282">
        <f>($B$1+Table4[[#This Row],[Home Differential]])-Table4[[#This Row],[Away Differential]]</f>
        <v>0.7720101938383197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0.59652355213116537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-8.0981007952892342E-2</v>
      </c>
      <c r="H1283" t="s">
        <v>23</v>
      </c>
      <c r="I1283">
        <f>VLOOKUP(Table4[[#This Row],[Visitor]],'NHL Model'!$A$6:$B$38,2,FALSE)</f>
        <v>-0.32833039474346476</v>
      </c>
      <c r="J1283">
        <f>($B$1+Table4[[#This Row],[Home Differential]])-Table4[[#This Row],[Away Differential]]</f>
        <v>0.33076330966191247</v>
      </c>
      <c r="K1283" t="str">
        <f>IF(Table4[[#This Row],[HomeIce Differential]]&gt;0,Table4[[#This Row],[Home]],Table4[[#This Row],[Visitor]])</f>
        <v>Chicago Blackhawks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0.57613002896533505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-0.17631503877657284</v>
      </c>
      <c r="H1284" t="s">
        <v>12</v>
      </c>
      <c r="I1284">
        <f>VLOOKUP(Table4[[#This Row],[Visitor]],'NHL Model'!$A$6:$B$38,2,FALSE)</f>
        <v>1.7429147091761512</v>
      </c>
      <c r="J1284">
        <f>($B$1+Table4[[#This Row],[Home Differential]])-Table4[[#This Row],[Away Differential]]</f>
        <v>-1.8358158250813841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0.70757259348842116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-0.2331185823245894</v>
      </c>
      <c r="H1285" t="s">
        <v>15</v>
      </c>
      <c r="I1285">
        <f>VLOOKUP(Table4[[#This Row],[Visitor]],'NHL Model'!$A$6:$B$38,2,FALSE)</f>
        <v>0.21842521198061643</v>
      </c>
      <c r="J1285">
        <f>($B$1+Table4[[#This Row],[Home Differential]])-Table4[[#This Row],[Away Differential]]</f>
        <v>-0.36812987143386577</v>
      </c>
      <c r="K1285" t="str">
        <f>IF(Table4[[#This Row],[HomeIce Differential]]&gt;0,Table4[[#This Row],[Home]],Table4[[#This Row],[Visitor]])</f>
        <v>New York Rangers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0.60678390149552963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-0.8717103858022891</v>
      </c>
      <c r="H1286" t="s">
        <v>33</v>
      </c>
      <c r="I1286">
        <f>VLOOKUP(Table4[[#This Row],[Visitor]],'NHL Model'!$A$6:$B$38,2,FALSE)</f>
        <v>-0.38457853131220177</v>
      </c>
      <c r="J1286">
        <f>($B$1+Table4[[#This Row],[Home Differential]])-Table4[[#This Row],[Away Differential]]</f>
        <v>-0.40371793161874725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0.50409902832971354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5.7297532801941484E-2</v>
      </c>
      <c r="H1287" t="s">
        <v>25</v>
      </c>
      <c r="I1287">
        <f>VLOOKUP(Table4[[#This Row],[Visitor]],'NHL Model'!$A$6:$B$38,2,FALSE)</f>
        <v>0.63414563871719487</v>
      </c>
      <c r="J1287">
        <f>($B$1+Table4[[#This Row],[Home Differential]])-Table4[[#This Row],[Away Differential]]</f>
        <v>-0.49343418304391329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0.56022805254600827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-0.51436416305402566</v>
      </c>
      <c r="H1288" t="s">
        <v>13</v>
      </c>
      <c r="I1288">
        <f>VLOOKUP(Table4[[#This Row],[Visitor]],'NHL Model'!$A$6:$B$38,2,FALSE)</f>
        <v>9.3318671190422225E-2</v>
      </c>
      <c r="J1288">
        <f>($B$1+Table4[[#This Row],[Home Differential]])-Table4[[#This Row],[Away Differential]]</f>
        <v>-0.52426891137310783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0.58358287563537581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-1.0071073873045386</v>
      </c>
      <c r="H1289" t="s">
        <v>34</v>
      </c>
      <c r="I1289">
        <f>VLOOKUP(Table4[[#This Row],[Visitor]],'NHL Model'!$A$6:$B$38,2,FALSE)</f>
        <v>5.5764706436567675E-2</v>
      </c>
      <c r="J1289">
        <f>($B$1+Table4[[#This Row],[Home Differential]])-Table4[[#This Row],[Away Differential]]</f>
        <v>-0.97945817086976628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0.58775767552759939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0.67847982929669792</v>
      </c>
      <c r="H1290" t="s">
        <v>26</v>
      </c>
      <c r="I1290">
        <f>VLOOKUP(Table4[[#This Row],[Visitor]],'NHL Model'!$A$6:$B$38,2,FALSE)</f>
        <v>-0.46779379272887778</v>
      </c>
      <c r="J1290">
        <f>($B$1+Table4[[#This Row],[Home Differential]])-Table4[[#This Row],[Away Differential]]</f>
        <v>1.2296875448969158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0.67349207559202084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-3.2654449433805091E-2</v>
      </c>
      <c r="H1291" t="s">
        <v>39</v>
      </c>
      <c r="I1291">
        <f>VLOOKUP(Table4[[#This Row],[Visitor]],'NHL Model'!$A$6:$B$38,2,FALSE)</f>
        <v>0.85927171572006034</v>
      </c>
      <c r="J1291">
        <f>($B$1+Table4[[#This Row],[Home Differential]])-Table4[[#This Row],[Away Differential]]</f>
        <v>-0.80851224228252538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0.64080181983711704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0.18369921819729701</v>
      </c>
      <c r="H1292" t="s">
        <v>40</v>
      </c>
      <c r="I1292">
        <f>VLOOKUP(Table4[[#This Row],[Visitor]],'NHL Model'!$A$6:$B$38,2,FALSE)</f>
        <v>-7.6933210940904648E-2</v>
      </c>
      <c r="J1292">
        <f>($B$1+Table4[[#This Row],[Home Differential]])-Table4[[#This Row],[Away Differential]]</f>
        <v>0.34404635200954176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0.57758096590649144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0.2169753953839102</v>
      </c>
      <c r="H1293" t="s">
        <v>24</v>
      </c>
      <c r="I1293">
        <f>VLOOKUP(Table4[[#This Row],[Visitor]],'NHL Model'!$A$6:$B$38,2,FALSE)</f>
        <v>-3.0305407970040489E-4</v>
      </c>
      <c r="J1293">
        <f>($B$1+Table4[[#This Row],[Home Differential]])-Table4[[#This Row],[Away Differential]]</f>
        <v>0.30069237233495066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0.62851318209088014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-0.21858969522472316</v>
      </c>
      <c r="H1294" t="s">
        <v>22</v>
      </c>
      <c r="I1294">
        <f>VLOOKUP(Table4[[#This Row],[Visitor]],'NHL Model'!$A$6:$B$38,2,FALSE)</f>
        <v>0.95632113049608625</v>
      </c>
      <c r="J1294">
        <f>($B$1+Table4[[#This Row],[Home Differential]])-Table4[[#This Row],[Away Differential]]</f>
        <v>-1.0914969028494692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0.63336550787704526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-0.64492670113602302</v>
      </c>
      <c r="H1295" t="s">
        <v>12</v>
      </c>
      <c r="I1295">
        <f>VLOOKUP(Table4[[#This Row],[Visitor]],'NHL Model'!$A$6:$B$38,2,FALSE)</f>
        <v>1.7429147091761512</v>
      </c>
      <c r="J1295">
        <f>($B$1+Table4[[#This Row],[Home Differential]])-Table4[[#This Row],[Away Differential]]</f>
        <v>-2.3044274874408339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0.77803364764499761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5.5764706436567675E-2</v>
      </c>
      <c r="H1296" t="s">
        <v>31</v>
      </c>
      <c r="I1296">
        <f>VLOOKUP(Table4[[#This Row],[Visitor]],'NHL Model'!$A$6:$B$38,2,FALSE)</f>
        <v>0.25846513585567971</v>
      </c>
      <c r="J1296">
        <f>($B$1+Table4[[#This Row],[Home Differential]])-Table4[[#This Row],[Away Differential]]</f>
        <v>-0.11928650654777195</v>
      </c>
      <c r="K1296" t="str">
        <f>IF(Table4[[#This Row],[HomeIce Differential]]&gt;0,Table4[[#This Row],[Home]],Table4[[#This Row],[Visitor]])</f>
        <v>Anaheim Ducks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0.49379916731554807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0.42358825343066847</v>
      </c>
      <c r="H1297" t="s">
        <v>25</v>
      </c>
      <c r="I1297">
        <f>VLOOKUP(Table4[[#This Row],[Visitor]],'NHL Model'!$A$6:$B$38,2,FALSE)</f>
        <v>0.63414563871719487</v>
      </c>
      <c r="J1297">
        <f>($B$1+Table4[[#This Row],[Home Differential]])-Table4[[#This Row],[Away Differential]]</f>
        <v>-0.12714346241518637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0.54651133882205183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5.7297532801941484E-2</v>
      </c>
      <c r="H1298" t="s">
        <v>18</v>
      </c>
      <c r="I1298">
        <f>VLOOKUP(Table4[[#This Row],[Visitor]],'NHL Model'!$A$6:$B$38,2,FALSE)</f>
        <v>-0.23554590882174289</v>
      </c>
      <c r="J1298">
        <f>($B$1+Table4[[#This Row],[Home Differential]])-Table4[[#This Row],[Away Differential]]</f>
        <v>0.37625736449502445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0.53477033417229669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-1.0071073873045386</v>
      </c>
      <c r="H1299" t="s">
        <v>14</v>
      </c>
      <c r="I1299">
        <f>VLOOKUP(Table4[[#This Row],[Visitor]],'NHL Model'!$A$6:$B$38,2,FALSE)</f>
        <v>0.26772485952910668</v>
      </c>
      <c r="J1299">
        <f>($B$1+Table4[[#This Row],[Home Differential]])-Table4[[#This Row],[Away Differential]]</f>
        <v>-1.1914183239623053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0.64428015207610811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0.16351124183791613</v>
      </c>
      <c r="H1300" t="s">
        <v>40</v>
      </c>
      <c r="I1300">
        <f>VLOOKUP(Table4[[#This Row],[Visitor]],'NHL Model'!$A$6:$B$38,2,FALSE)</f>
        <v>-7.6933210940904648E-2</v>
      </c>
      <c r="J1300">
        <f>($B$1+Table4[[#This Row],[Home Differential]])-Table4[[#This Row],[Away Differential]]</f>
        <v>0.32385837565016085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0.61580696475717656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-0.58187345243071342</v>
      </c>
      <c r="H1301" t="s">
        <v>13</v>
      </c>
      <c r="I1301">
        <f>VLOOKUP(Table4[[#This Row],[Visitor]],'NHL Model'!$A$6:$B$38,2,FALSE)</f>
        <v>9.3318671190422225E-2</v>
      </c>
      <c r="J1301">
        <f>($B$1+Table4[[#This Row],[Home Differential]])-Table4[[#This Row],[Away Differential]]</f>
        <v>-0.59177820074979559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0.59095706893118616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-0.32833039474346476</v>
      </c>
      <c r="H1302" t="s">
        <v>39</v>
      </c>
      <c r="I1302">
        <f>VLOOKUP(Table4[[#This Row],[Visitor]],'NHL Model'!$A$6:$B$38,2,FALSE)</f>
        <v>0.85927171572006034</v>
      </c>
      <c r="J1302">
        <f>($B$1+Table4[[#This Row],[Home Differential]])-Table4[[#This Row],[Away Differential]]</f>
        <v>-1.1041881875921851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0.66298586966368667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-8.0981007952892342E-2</v>
      </c>
      <c r="H1303" t="s">
        <v>33</v>
      </c>
      <c r="I1303">
        <f>VLOOKUP(Table4[[#This Row],[Visitor]],'NHL Model'!$A$6:$B$38,2,FALSE)</f>
        <v>-0.38457853131220177</v>
      </c>
      <c r="J1303">
        <f>($B$1+Table4[[#This Row],[Home Differential]])-Table4[[#This Row],[Away Differential]]</f>
        <v>0.38701144623064948</v>
      </c>
      <c r="K1303" t="str">
        <f>IF(Table4[[#This Row],[HomeIce Differential]]&gt;0,Table4[[#This Row],[Home]],Table4[[#This Row],[Visitor]])</f>
        <v>Chicago Blackhawks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0.5822741409152119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-0.2331185823245894</v>
      </c>
      <c r="H1304" t="s">
        <v>26</v>
      </c>
      <c r="I1304">
        <f>VLOOKUP(Table4[[#This Row],[Visitor]],'NHL Model'!$A$6:$B$38,2,FALSE)</f>
        <v>-0.46779379272887778</v>
      </c>
      <c r="J1304">
        <f>($B$1+Table4[[#This Row],[Home Differential]])-Table4[[#This Row],[Away Differential]]</f>
        <v>0.31808913327562843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0.57391610675105154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-0.1785578406462007</v>
      </c>
      <c r="H1305" t="s">
        <v>19</v>
      </c>
      <c r="I1305">
        <f>VLOOKUP(Table4[[#This Row],[Visitor]],'NHL Model'!$A$6:$B$38,2,FALSE)</f>
        <v>-3.2654449433805091E-2</v>
      </c>
      <c r="J1305">
        <f>($B$1+Table4[[#This Row],[Home Differential]])-Table4[[#This Row],[Away Differential]]</f>
        <v>-6.2489468341055537E-2</v>
      </c>
      <c r="K1305" t="str">
        <f>IF(Table4[[#This Row],[HomeIce Differential]]&gt;0,Table4[[#This Row],[Home]],Table4[[#This Row],[Visitor]])</f>
        <v>Toronto Maple Leafs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0.46682586682149985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0.67847982929669792</v>
      </c>
      <c r="H1306" t="s">
        <v>15</v>
      </c>
      <c r="I1306">
        <f>VLOOKUP(Table4[[#This Row],[Visitor]],'NHL Model'!$A$6:$B$38,2,FALSE)</f>
        <v>0.21842521198061643</v>
      </c>
      <c r="J1306">
        <f>($B$1+Table4[[#This Row],[Home Differential]])-Table4[[#This Row],[Away Differential]]</f>
        <v>0.54346854018742152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0.49279206734543957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0.18369921819729701</v>
      </c>
      <c r="H1307" t="s">
        <v>32</v>
      </c>
      <c r="I1307">
        <f>VLOOKUP(Table4[[#This Row],[Visitor]],'NHL Model'!$A$6:$B$38,2,FALSE)</f>
        <v>-0.51436416305402566</v>
      </c>
      <c r="J1307">
        <f>($B$1+Table4[[#This Row],[Home Differential]])-Table4[[#This Row],[Away Differential]]</f>
        <v>0.78147730412266281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0.62536254417868697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-0.64492670113602302</v>
      </c>
      <c r="H1308" t="s">
        <v>13</v>
      </c>
      <c r="I1308">
        <f>VLOOKUP(Table4[[#This Row],[Visitor]],'NHL Model'!$A$6:$B$38,2,FALSE)</f>
        <v>9.3318671190422225E-2</v>
      </c>
      <c r="J1308">
        <f>($B$1+Table4[[#This Row],[Home Differential]])-Table4[[#This Row],[Away Differential]]</f>
        <v>-0.65483144945510519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0.59784451876475408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1.7429147091761512</v>
      </c>
      <c r="H1309" t="s">
        <v>32</v>
      </c>
      <c r="I1309">
        <f>VLOOKUP(Table4[[#This Row],[Visitor]],'NHL Model'!$A$6:$B$38,2,FALSE)</f>
        <v>-0.51436416305402566</v>
      </c>
      <c r="J1309">
        <f>($B$1+Table4[[#This Row],[Home Differential]])-Table4[[#This Row],[Away Differential]]</f>
        <v>2.3406927951015168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0.90350016609086081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-0.17631503877657284</v>
      </c>
      <c r="H1310" t="s">
        <v>38</v>
      </c>
      <c r="I1310">
        <f>VLOOKUP(Table4[[#This Row],[Visitor]],'NHL Model'!$A$6:$B$38,2,FALSE)</f>
        <v>-0.58187345243071342</v>
      </c>
      <c r="J1310">
        <f>($B$1+Table4[[#This Row],[Home Differential]])-Table4[[#This Row],[Away Differential]]</f>
        <v>0.48897233652548067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0.61251699228373435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-0.8717103858022891</v>
      </c>
      <c r="H1311" t="s">
        <v>31</v>
      </c>
      <c r="I1311">
        <f>VLOOKUP(Table4[[#This Row],[Visitor]],'NHL Model'!$A$6:$B$38,2,FALSE)</f>
        <v>0.25846513585567971</v>
      </c>
      <c r="J1311">
        <f>($B$1+Table4[[#This Row],[Home Differential]])-Table4[[#This Row],[Away Differential]]</f>
        <v>-1.0467615987866288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0.5951093821077158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0.16351124183791613</v>
      </c>
      <c r="H1312" t="s">
        <v>35</v>
      </c>
      <c r="I1312">
        <f>VLOOKUP(Table4[[#This Row],[Visitor]],'NHL Model'!$A$6:$B$38,2,FALSE)</f>
        <v>-1.0071073873045386</v>
      </c>
      <c r="J1312">
        <f>($B$1+Table4[[#This Row],[Home Differential]])-Table4[[#This Row],[Away Differential]]</f>
        <v>1.2540325520137947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0.71741200665005189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-7.6933210940904648E-2</v>
      </c>
      <c r="H1313" t="s">
        <v>33</v>
      </c>
      <c r="I1313">
        <f>VLOOKUP(Table4[[#This Row],[Visitor]],'NHL Model'!$A$6:$B$38,2,FALSE)</f>
        <v>-0.38457853131220177</v>
      </c>
      <c r="J1313">
        <f>($B$1+Table4[[#This Row],[Home Differential]])-Table4[[#This Row],[Away Differential]]</f>
        <v>0.39105924324263719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0.60182172230348596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8" priority="6" timePeriod="today">
      <formula>FLOOR(D1,1)=TODAY()</formula>
    </cfRule>
  </conditionalFormatting>
  <conditionalFormatting sqref="J2:J13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17" priority="9" operator="containsText" text="NO">
      <formula>NOT(ISERROR(SEARCH("NO",M2)))</formula>
    </cfRule>
    <cfRule type="containsText" dxfId="16" priority="10" operator="containsText" text="YES">
      <formula>NOT(ISERROR(SEARCH("YES",M2)))</formula>
    </cfRule>
  </conditionalFormatting>
  <conditionalFormatting sqref="Q232:Q2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1313">
    <cfRule type="containsText" dxfId="15" priority="3" operator="containsText" text="YES">
      <formula>NOT(ISERROR(SEARCH("YES",Q1)))</formula>
    </cfRule>
    <cfRule type="containsText" dxfId="14" priority="4" operator="containsText" text="NO">
      <formula>NOT(ISERROR(SEARCH("NO",Q1)))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K37" sqref="K37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28</v>
      </c>
      <c r="C2">
        <f>COUNTIF(NHL2025_26Results[Winning Team],Standings!A2)</f>
        <v>17</v>
      </c>
      <c r="D2">
        <f>COUNTIFS('NHL2025-26Results'!$H:$H,A2,'NHL2025-26Results'!$F:$F,"")</f>
        <v>10</v>
      </c>
      <c r="E2" s="10">
        <f>COUNTIFS('NHL2025-26Results'!$F:$F,"OT",'NHL2025-26Results'!$H:$H,A2) + COUNTIFS('NHL2025-26Results'!$F:$F,"SO",'NHL2025-26Results'!$H:$H,A2)</f>
        <v>1</v>
      </c>
      <c r="F2" s="3">
        <f>(Table1[[#This Row],[W]]*2)+Table1[[#This Row],[OTL]]</f>
        <v>35</v>
      </c>
      <c r="G2">
        <f>COUNTIFS('NHL2025-26Results'!$D:$D,A2,'NHL2025-26Results'!$G:$G,A2)</f>
        <v>10</v>
      </c>
      <c r="H2">
        <f>COUNTIFS('NHL2025-26Results'!$D:$D,A2,'NHL2025-26Results'!$H:$H,A2,'NHL2025-26Results'!$F:$F,"")</f>
        <v>4</v>
      </c>
      <c r="I2">
        <f>COUNTIFS('NHL2025-26Results'!$D:$D,A2,'NHL2025-26Results'!$H:$H,A2,'NHL2025-26Results'!$F:$F,"OT") + COUNTIFS('NHL2025-26Results'!$D:$D,A2,'NHL2025-26Results'!$H:$H,A2,'NHL2025-26Results'!$F:$F,"SO")</f>
        <v>0</v>
      </c>
      <c r="J2">
        <f>COUNTIFS('NHL2025-26Results'!$B:$B,A2,'NHL2025-26Results'!$G:$G,A2)</f>
        <v>7</v>
      </c>
      <c r="K2">
        <f>COUNTIFS('NHL2025-26Results'!$B:$B,A2,'NHL2025-26Results'!$H:$H,A2,'NHL2025-26Results'!$F:$F,"")</f>
        <v>6</v>
      </c>
      <c r="L2">
        <f>COUNTIFS('NHL2025-26Results'!$B:$B,A2,'NHL2025-26Results'!$H:$H,A2,'NHL2025-26Results'!$F:$F,"OT") + COUNTIFS('NHL2025-26Results'!$B:$B,A2,'NHL2025-26Results'!$H:$H,A2,'NHL2025-26Results'!$F:$F,"SO")</f>
        <v>1</v>
      </c>
      <c r="M2" s="11">
        <f>Table1[[#This Row],[HomeWins]]/SUM(Table1[[#This Row],[HomeWins]:[HomeOTL]])</f>
        <v>0.7142857142857143</v>
      </c>
      <c r="N2" s="11">
        <f>Table1[[#This Row],[AwayWins]]/SUM(Table1[[#This Row],[AwayWins]:[AwayOTL]])</f>
        <v>0.5</v>
      </c>
      <c r="O2" s="14">
        <f>SUMIFS('NHL2025-26Results'!$E:$E,'NHL2025-26Results'!$D:$D,A2,'NHL2025-26Results'!$E:$E,"&gt;0")/COUNTIFS('NHL2025-26Results'!$D:$D,A2,'NHL2025-26Results'!$E:$E,"&gt;0")</f>
        <v>3.9230769230769229</v>
      </c>
      <c r="P2" s="15">
        <f>SUMIFS('NHL2025-26Results'!$C:$C,'NHL2025-26Results'!$B:$B,A2,'NHL2025-26Results'!$C:$C,"&gt;0")/COUNTIFS('NHL2025-26Results'!$B:$B,A2,'NHL2025-26Results'!$C:$C,"&gt;0")</f>
        <v>3.7692307692307692</v>
      </c>
      <c r="Q2" s="14">
        <f>SUMIFS('NHL2025-26Results'!$C:$C,'NHL2025-26Results'!$D:$D,A2,'NHL2025-26Results'!$C:$C,"&gt;0")/COUNTIFS('NHL2025-26Results'!$D:$D,A2,'NHL2025-26Results'!$C:$C,"&gt;0")</f>
        <v>3.1428571428571428</v>
      </c>
      <c r="R2" s="14">
        <f>SUMIFS('NHL2025-26Results'!$E:$E,'NHL2025-26Results'!$B:$B,A2,'NHL2025-26Results'!$E:$E,"&gt;0")/COUNTIFS('NHL2025-26Results'!$B:$B,A2,'NHL2025-26Results'!$E:$E,"&gt;0")</f>
        <v>3.5714285714285716</v>
      </c>
    </row>
    <row r="3" spans="1:18" x14ac:dyDescent="0.2">
      <c r="A3" s="4" t="s">
        <v>21</v>
      </c>
      <c r="B3">
        <f>SUM(Table1[[#This Row],[W]:[OTL]])</f>
        <v>30</v>
      </c>
      <c r="C3">
        <f>COUNTIF(NHL2025_26Results[Winning Team],Standings!A3)</f>
        <v>17</v>
      </c>
      <c r="D3">
        <f>COUNTIFS('NHL2025-26Results'!$H:$H,A3,'NHL2025-26Results'!$F:$F,"")</f>
        <v>13</v>
      </c>
      <c r="E3">
        <f>COUNTIFS('NHL2025-26Results'!$F:$F,"OT",'NHL2025-26Results'!$H:$H,A3) + COUNTIFS('NHL2025-26Results'!$F:$F,"SO",'NHL2025-26Results'!$H:$H,A3)</f>
        <v>0</v>
      </c>
      <c r="F3" s="3">
        <f>(Table1[[#This Row],[W]]*2)+Table1[[#This Row],[OTL]]</f>
        <v>34</v>
      </c>
      <c r="G3">
        <f>COUNTIFS('NHL2025-26Results'!$D:$D,A3,'NHL2025-26Results'!$G:$G,A3)</f>
        <v>11</v>
      </c>
      <c r="H3">
        <f>COUNTIFS('NHL2025-26Results'!$D:$D,A3,'NHL2025-26Results'!$H:$H,A3,'NHL2025-26Results'!$F:$F,"")</f>
        <v>5</v>
      </c>
      <c r="I3">
        <f>COUNTIFS('NHL2025-26Results'!$D:$D,A3,'NHL2025-26Results'!$H:$H,A3,'NHL2025-26Results'!$F:$F,"OT") + COUNTIFS('NHL2025-26Results'!$D:$D,A3,'NHL2025-26Results'!$H:$H,A3,'NHL2025-26Results'!$F:$F,"SO")</f>
        <v>0</v>
      </c>
      <c r="J3">
        <f>COUNTIFS('NHL2025-26Results'!$B:$B,A3,'NHL2025-26Results'!$G:$G,A3)</f>
        <v>6</v>
      </c>
      <c r="K3">
        <f>COUNTIFS('NHL2025-26Results'!$B:$B,A3,'NHL2025-26Results'!$H:$H,A3,'NHL2025-26Results'!$F:$F,"")</f>
        <v>8</v>
      </c>
      <c r="L3">
        <f>COUNTIFS('NHL2025-26Results'!$B:$B,A3,'NHL2025-26Results'!$H:$H,A3,'NHL2025-26Results'!$F:$F,"OT") + COUNTIFS('NHL2025-26Results'!$B:$B,A3,'NHL2025-26Results'!$H:$H,A3,'NHL2025-26Results'!$F:$F,"SO")</f>
        <v>0</v>
      </c>
      <c r="M3" s="11">
        <f>Table1[[#This Row],[HomeWins]]/SUM(Table1[[#This Row],[HomeWins]:[HomeOTL]])</f>
        <v>0.6875</v>
      </c>
      <c r="N3" s="11">
        <f>Table1[[#This Row],[AwayWins]]/SUM(Table1[[#This Row],[AwayWins]:[AwayOTL]])</f>
        <v>0.42857142857142855</v>
      </c>
      <c r="O3" s="14">
        <f>SUMIFS('NHL2025-26Results'!$E:$E,'NHL2025-26Results'!$D:$D,A3,'NHL2025-26Results'!$E:$E,"&gt;0")/COUNTIFS('NHL2025-26Results'!$D:$D,A3,'NHL2025-26Results'!$E:$E,"&gt;0")</f>
        <v>3.4375</v>
      </c>
      <c r="P3" s="14">
        <f>SUMIFS('NHL2025-26Results'!$C:$C,'NHL2025-26Results'!$B:$B,A3,'NHL2025-26Results'!$C:$C,"&gt;0")/COUNTIFS('NHL2025-26Results'!$B:$B,A3,'NHL2025-26Results'!$C:$C,"&gt;0")</f>
        <v>2.9285714285714284</v>
      </c>
      <c r="Q3" s="14">
        <f>SUMIFS('NHL2025-26Results'!$C:$C,'NHL2025-26Results'!$D:$D,A3,'NHL2025-26Results'!$C:$C,"&gt;0")/COUNTIFS('NHL2025-26Results'!$D:$D,A3,'NHL2025-26Results'!$C:$C,"&gt;0")</f>
        <v>2.875</v>
      </c>
      <c r="R3" s="14">
        <f>SUMIFS('NHL2025-26Results'!$E:$E,'NHL2025-26Results'!$B:$B,A3,'NHL2025-26Results'!$E:$E,"&gt;0")/COUNTIFS('NHL2025-26Results'!$B:$B,A3,'NHL2025-26Results'!$E:$E,"&gt;0")</f>
        <v>3.4285714285714284</v>
      </c>
    </row>
    <row r="4" spans="1:18" x14ac:dyDescent="0.2">
      <c r="A4" s="4" t="s">
        <v>23</v>
      </c>
      <c r="B4">
        <f>SUM(Table1[[#This Row],[W]:[OTL]])</f>
        <v>28</v>
      </c>
      <c r="C4">
        <f>COUNTIF(NHL2025_26Results[Winning Team],Standings!A4)</f>
        <v>11</v>
      </c>
      <c r="D4">
        <f>COUNTIFS('NHL2025-26Results'!$H:$H,A4,'NHL2025-26Results'!$F:$F,"")</f>
        <v>13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26</v>
      </c>
      <c r="G4">
        <f>COUNTIFS('NHL2025-26Results'!$D:$D,A4,'NHL2025-26Results'!$G:$G,A4)</f>
        <v>9</v>
      </c>
      <c r="H4">
        <f>COUNTIFS('NHL2025-26Results'!$D:$D,A4,'NHL2025-26Results'!$H:$H,A4,'NHL2025-26Results'!$F:$F,"")</f>
        <v>5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2</v>
      </c>
      <c r="K4">
        <f>COUNTIFS('NHL2025-26Results'!$B:$B,A4,'NHL2025-26Results'!$H:$H,A4,'NHL2025-26Results'!$F:$F,"")</f>
        <v>8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0.5625</v>
      </c>
      <c r="N4" s="11">
        <f>Table1[[#This Row],[AwayWins]]/SUM(Table1[[#This Row],[AwayWins]:[AwayOTL]])</f>
        <v>0.16666666666666666</v>
      </c>
      <c r="O4" s="14">
        <f>SUMIFS('NHL2025-26Results'!$E:$E,'NHL2025-26Results'!$D:$D,A4,'NHL2025-26Results'!$E:$E,"&gt;0")/COUNTIFS('NHL2025-26Results'!$D:$D,A4,'NHL2025-26Results'!$E:$E,"&gt;0")</f>
        <v>4.1538461538461542</v>
      </c>
      <c r="P4" s="14">
        <f>SUMIFS('NHL2025-26Results'!$C:$C,'NHL2025-26Results'!$B:$B,A4,'NHL2025-26Results'!$C:$C,"&gt;0")/COUNTIFS('NHL2025-26Results'!$B:$B,A4,'NHL2025-26Results'!$C:$C,"&gt;0")</f>
        <v>2.5</v>
      </c>
      <c r="Q4" s="14">
        <f>SUMIFS('NHL2025-26Results'!$C:$C,'NHL2025-26Results'!$D:$D,A4,'NHL2025-26Results'!$C:$C,"&gt;0")/COUNTIFS('NHL2025-26Results'!$D:$D,A4,'NHL2025-26Results'!$C:$C,"&gt;0")</f>
        <v>3</v>
      </c>
      <c r="R4" s="14">
        <f>SUMIFS('NHL2025-26Results'!$E:$E,'NHL2025-26Results'!$B:$B,A4,'NHL2025-26Results'!$E:$E,"&gt;0")/COUNTIFS('NHL2025-26Results'!$B:$B,A4,'NHL2025-26Results'!$E:$E,"&gt;0")</f>
        <v>4.25</v>
      </c>
    </row>
    <row r="5" spans="1:18" x14ac:dyDescent="0.2">
      <c r="A5" s="4" t="s">
        <v>16</v>
      </c>
      <c r="B5">
        <f>SUM(Table1[[#This Row],[W]:[OTL]])</f>
        <v>30</v>
      </c>
      <c r="C5">
        <f>COUNTIF(NHL2025_26Results[Winning Team],Standings!A5)</f>
        <v>11</v>
      </c>
      <c r="D5">
        <f>COUNTIFS('NHL2025-26Results'!$H:$H,A5,'NHL2025-26Results'!$F:$F,"")</f>
        <v>15</v>
      </c>
      <c r="E5">
        <f>COUNTIFS('NHL2025-26Results'!$F:$F,"OT",'NHL2025-26Results'!$H:$H,A5) + COUNTIFS('NHL2025-26Results'!$F:$F,"SO",'NHL2025-26Results'!$H:$H,A5)</f>
        <v>4</v>
      </c>
      <c r="F5" s="3">
        <f>(Table1[[#This Row],[W]]*2)+Table1[[#This Row],[OTL]]</f>
        <v>26</v>
      </c>
      <c r="G5">
        <f>COUNTIFS('NHL2025-26Results'!$D:$D,A5,'NHL2025-26Results'!$G:$G,A5)</f>
        <v>6</v>
      </c>
      <c r="H5">
        <f>COUNTIFS('NHL2025-26Results'!$D:$D,A5,'NHL2025-26Results'!$H:$H,A5,'NHL2025-26Results'!$F:$F,"")</f>
        <v>4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5</v>
      </c>
      <c r="K5">
        <f>COUNTIFS('NHL2025-26Results'!$B:$B,A5,'NHL2025-26Results'!$H:$H,A5,'NHL2025-26Results'!$F:$F,"")</f>
        <v>11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0.5</v>
      </c>
      <c r="N5" s="11">
        <f>Table1[[#This Row],[AwayWins]]/SUM(Table1[[#This Row],[AwayWins]:[AwayOTL]])</f>
        <v>0.27777777777777779</v>
      </c>
      <c r="O5" s="14">
        <f>SUMIFS('NHL2025-26Results'!$E:$E,'NHL2025-26Results'!$D:$D,A5,'NHL2025-26Results'!$E:$E,"&gt;0")/COUNTIFS('NHL2025-26Results'!$D:$D,A5,'NHL2025-26Results'!$E:$E,"&gt;0")</f>
        <v>2.7272727272727271</v>
      </c>
      <c r="P5" s="14">
        <f>SUMIFS('NHL2025-26Results'!$C:$C,'NHL2025-26Results'!$B:$B,A5,'NHL2025-26Results'!$C:$C,"&gt;0")/COUNTIFS('NHL2025-26Results'!$B:$B,A5,'NHL2025-26Results'!$C:$C,"&gt;0")</f>
        <v>2.625</v>
      </c>
      <c r="Q5" s="14">
        <f>SUMIFS('NHL2025-26Results'!$C:$C,'NHL2025-26Results'!$D:$D,A5,'NHL2025-26Results'!$C:$C,"&gt;0")/COUNTIFS('NHL2025-26Results'!$D:$D,A5,'NHL2025-26Results'!$C:$C,"&gt;0")</f>
        <v>2.5</v>
      </c>
      <c r="R5" s="14">
        <f>SUMIFS('NHL2025-26Results'!$E:$E,'NHL2025-26Results'!$B:$B,A5,'NHL2025-26Results'!$E:$E,"&gt;0")/COUNTIFS('NHL2025-26Results'!$B:$B,A5,'NHL2025-26Results'!$E:$E,"&gt;0")</f>
        <v>3.5</v>
      </c>
    </row>
    <row r="6" spans="1:18" x14ac:dyDescent="0.2">
      <c r="A6" s="4" t="s">
        <v>25</v>
      </c>
      <c r="B6">
        <f>SUM(Table1[[#This Row],[W]:[OTL]])</f>
        <v>27</v>
      </c>
      <c r="C6">
        <f>COUNTIF(NHL2025_26Results[Winning Team],Standings!A6)</f>
        <v>17</v>
      </c>
      <c r="D6">
        <f>COUNTIFS('NHL2025-26Results'!$H:$H,A6,'NHL2025-26Results'!$F:$F,"")</f>
        <v>8</v>
      </c>
      <c r="E6">
        <f>COUNTIFS('NHL2025-26Results'!$F:$F,"OT",'NHL2025-26Results'!$H:$H,A6) + COUNTIFS('NHL2025-26Results'!$F:$F,"SO",'NHL2025-26Results'!$H:$H,A6)</f>
        <v>2</v>
      </c>
      <c r="F6" s="3">
        <f>(Table1[[#This Row],[W]]*2)+Table1[[#This Row],[OTL]]</f>
        <v>36</v>
      </c>
      <c r="G6">
        <f>COUNTIFS('NHL2025-26Results'!$D:$D,A6,'NHL2025-26Results'!$G:$G,A6)</f>
        <v>9</v>
      </c>
      <c r="H6">
        <f>COUNTIFS('NHL2025-26Results'!$D:$D,A6,'NHL2025-26Results'!$H:$H,A6,'NHL2025-26Results'!$F:$F,"")</f>
        <v>4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8</v>
      </c>
      <c r="K6">
        <f>COUNTIFS('NHL2025-26Results'!$B:$B,A6,'NHL2025-26Results'!$H:$H,A6,'NHL2025-26Results'!$F:$F,"")</f>
        <v>4</v>
      </c>
      <c r="L6">
        <f>COUNTIFS('NHL2025-26Results'!$B:$B,A6,'NHL2025-26Results'!$H:$H,A6,'NHL2025-26Results'!$F:$F,"OT") + COUNTIFS('NHL2025-26Results'!$B:$B,A6,'NHL2025-26Results'!$H:$H,A6,'NHL2025-26Results'!$F:$F,"SO")</f>
        <v>1</v>
      </c>
      <c r="M6" s="11">
        <f>Table1[[#This Row],[HomeWins]]/SUM(Table1[[#This Row],[HomeWins]:[HomeOTL]])</f>
        <v>0.6428571428571429</v>
      </c>
      <c r="N6" s="11">
        <f>Table1[[#This Row],[AwayWins]]/SUM(Table1[[#This Row],[AwayWins]:[AwayOTL]])</f>
        <v>0.61538461538461542</v>
      </c>
      <c r="O6" s="14">
        <f>SUMIFS('NHL2025-26Results'!$E:$E,'NHL2025-26Results'!$D:$D,A6,'NHL2025-26Results'!$E:$E,"&gt;0")/COUNTIFS('NHL2025-26Results'!$D:$D,A6,'NHL2025-26Results'!$E:$E,"&gt;0")</f>
        <v>3.7142857142857144</v>
      </c>
      <c r="P6" s="14">
        <f>SUMIFS('NHL2025-26Results'!$C:$C,'NHL2025-26Results'!$B:$B,A6,'NHL2025-26Results'!$C:$C,"&gt;0")/COUNTIFS('NHL2025-26Results'!$B:$B,A6,'NHL2025-26Results'!$C:$C,"&gt;0")</f>
        <v>3.1538461538461537</v>
      </c>
      <c r="Q6" s="14">
        <f>SUMIFS('NHL2025-26Results'!$C:$C,'NHL2025-26Results'!$D:$D,A6,'NHL2025-26Results'!$C:$C,"&gt;0")/COUNTIFS('NHL2025-26Results'!$D:$D,A6,'NHL2025-26Results'!$C:$C,"&gt;0")</f>
        <v>3.3846153846153846</v>
      </c>
      <c r="R6" s="14">
        <f>SUMIFS('NHL2025-26Results'!$E:$E,'NHL2025-26Results'!$B:$B,A6,'NHL2025-26Results'!$E:$E,"&gt;0")/COUNTIFS('NHL2025-26Results'!$B:$B,A6,'NHL2025-26Results'!$E:$E,"&gt;0")</f>
        <v>2.8333333333333335</v>
      </c>
    </row>
    <row r="7" spans="1:18" x14ac:dyDescent="0.2">
      <c r="A7" s="4" t="s">
        <v>10</v>
      </c>
      <c r="B7">
        <f>SUM(Table1[[#This Row],[W]:[OTL]])</f>
        <v>28</v>
      </c>
      <c r="C7">
        <f>COUNTIF(NHL2025_26Results[Winning Team],Standings!A7)</f>
        <v>12</v>
      </c>
      <c r="D7">
        <f>COUNTIFS('NHL2025-26Results'!$H:$H,A7,'NHL2025-26Results'!$F:$F,"")</f>
        <v>10</v>
      </c>
      <c r="E7">
        <f>COUNTIFS('NHL2025-26Results'!$F:$F,"OT",'NHL2025-26Results'!$H:$H,A7) + COUNTIFS('NHL2025-26Results'!$F:$F,"SO",'NHL2025-26Results'!$H:$H,A7)</f>
        <v>6</v>
      </c>
      <c r="F7" s="3">
        <f>(Table1[[#This Row],[W]]*2)+Table1[[#This Row],[OTL]]</f>
        <v>30</v>
      </c>
      <c r="G7">
        <f>COUNTIFS('NHL2025-26Results'!$D:$D,A7,'NHL2025-26Results'!$G:$G,A7)</f>
        <v>6</v>
      </c>
      <c r="H7">
        <f>COUNTIFS('NHL2025-26Results'!$D:$D,A7,'NHL2025-26Results'!$H:$H,A7,'NHL2025-26Results'!$F:$F,"")</f>
        <v>5</v>
      </c>
      <c r="I7">
        <f>COUNTIFS('NHL2025-26Results'!$D:$D,A7,'NHL2025-26Results'!$H:$H,A7,'NHL2025-26Results'!$F:$F,"OT") + COUNTIFS('NHL2025-26Results'!$D:$D,A7,'NHL2025-26Results'!$H:$H,A7,'NHL2025-26Results'!$F:$F,"SO")</f>
        <v>3</v>
      </c>
      <c r="J7">
        <f>COUNTIFS('NHL2025-26Results'!$B:$B,A7,'NHL2025-26Results'!$G:$G,A7)</f>
        <v>6</v>
      </c>
      <c r="K7">
        <f>COUNTIFS('NHL2025-26Results'!$B:$B,A7,'NHL2025-26Results'!$H:$H,A7,'NHL2025-26Results'!$F:$F,"")</f>
        <v>5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0.42857142857142855</v>
      </c>
      <c r="N7" s="11">
        <f>Table1[[#This Row],[AwayWins]]/SUM(Table1[[#This Row],[AwayWins]:[AwayOTL]])</f>
        <v>0.42857142857142855</v>
      </c>
      <c r="O7" s="14">
        <f>SUMIFS('NHL2025-26Results'!$E:$E,'NHL2025-26Results'!$D:$D,A7,'NHL2025-26Results'!$E:$E,"&gt;0")/COUNTIFS('NHL2025-26Results'!$D:$D,A7,'NHL2025-26Results'!$E:$E,"&gt;0")</f>
        <v>3.1538461538461537</v>
      </c>
      <c r="P7" s="14">
        <f>SUMIFS('NHL2025-26Results'!$C:$C,'NHL2025-26Results'!$B:$B,A7,'NHL2025-26Results'!$C:$C,"&gt;0")/COUNTIFS('NHL2025-26Results'!$B:$B,A7,'NHL2025-26Results'!$C:$C,"&gt;0")</f>
        <v>3.3846153846153846</v>
      </c>
      <c r="Q7" s="14">
        <f>SUMIFS('NHL2025-26Results'!$C:$C,'NHL2025-26Results'!$D:$D,A7,'NHL2025-26Results'!$C:$C,"&gt;0")/COUNTIFS('NHL2025-26Results'!$D:$D,A7,'NHL2025-26Results'!$C:$C,"&gt;0")</f>
        <v>2.6428571428571428</v>
      </c>
      <c r="R7" s="14">
        <f>SUMIFS('NHL2025-26Results'!$E:$E,'NHL2025-26Results'!$B:$B,A7,'NHL2025-26Results'!$E:$E,"&gt;0")/COUNTIFS('NHL2025-26Results'!$B:$B,A7,'NHL2025-26Results'!$E:$E,"&gt;0")</f>
        <v>3.6153846153846154</v>
      </c>
    </row>
    <row r="8" spans="1:18" x14ac:dyDescent="0.2">
      <c r="A8" s="4" t="s">
        <v>12</v>
      </c>
      <c r="B8">
        <f>SUM(Table1[[#This Row],[W]:[OTL]])</f>
        <v>28</v>
      </c>
      <c r="C8">
        <f>COUNTIF(NHL2025_26Results[Winning Team],Standings!A8)</f>
        <v>20</v>
      </c>
      <c r="D8">
        <f>COUNTIFS('NHL2025-26Results'!$H:$H,A8,'NHL2025-26Results'!$F:$F,"")</f>
        <v>2</v>
      </c>
      <c r="E8">
        <f>COUNTIFS('NHL2025-26Results'!$F:$F,"OT",'NHL2025-26Results'!$H:$H,A8) + COUNTIFS('NHL2025-26Results'!$F:$F,"SO",'NHL2025-26Results'!$H:$H,A8)</f>
        <v>6</v>
      </c>
      <c r="F8" s="3">
        <f>(Table1[[#This Row],[W]]*2)+Table1[[#This Row],[OTL]]</f>
        <v>46</v>
      </c>
      <c r="G8">
        <f>COUNTIFS('NHL2025-26Results'!$D:$D,A8,'NHL2025-26Results'!$G:$G,A8)</f>
        <v>11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9</v>
      </c>
      <c r="K8">
        <f>COUNTIFS('NHL2025-26Results'!$B:$B,A8,'NHL2025-26Results'!$H:$H,A8,'NHL2025-26Results'!$F:$F,"")</f>
        <v>2</v>
      </c>
      <c r="L8">
        <f>COUNTIFS('NHL2025-26Results'!$B:$B,A8,'NHL2025-26Results'!$H:$H,A8,'NHL2025-26Results'!$F:$F,"OT") + COUNTIFS('NHL2025-26Results'!$B:$B,A8,'NHL2025-26Results'!$H:$H,A8,'NHL2025-26Results'!$F:$F,"SO")</f>
        <v>4</v>
      </c>
      <c r="M8" s="11">
        <f>Table1[[#This Row],[HomeWins]]/SUM(Table1[[#This Row],[HomeWins]:[HomeOTL]])</f>
        <v>0.84615384615384615</v>
      </c>
      <c r="N8" s="11">
        <f>Table1[[#This Row],[AwayWins]]/SUM(Table1[[#This Row],[AwayWins]:[AwayOTL]])</f>
        <v>0.6</v>
      </c>
      <c r="O8" s="14">
        <f>SUMIFS('NHL2025-26Results'!$E:$E,'NHL2025-26Results'!$D:$D,A8,'NHL2025-26Results'!$E:$E,"&gt;0")/COUNTIFS('NHL2025-26Results'!$D:$D,A8,'NHL2025-26Results'!$E:$E,"&gt;0")</f>
        <v>4.6923076923076925</v>
      </c>
      <c r="P8" s="14">
        <f>SUMIFS('NHL2025-26Results'!$C:$C,'NHL2025-26Results'!$B:$B,A8,'NHL2025-26Results'!$C:$C,"&gt;0")/COUNTIFS('NHL2025-26Results'!$B:$B,A8,'NHL2025-26Results'!$C:$C,"&gt;0")</f>
        <v>3.4</v>
      </c>
      <c r="Q8" s="14">
        <f>SUMIFS('NHL2025-26Results'!$C:$C,'NHL2025-26Results'!$D:$D,A8,'NHL2025-26Results'!$C:$C,"&gt;0")/COUNTIFS('NHL2025-26Results'!$D:$D,A8,'NHL2025-26Results'!$C:$C,"&gt;0")</f>
        <v>2.4166666666666665</v>
      </c>
      <c r="R8" s="14">
        <f>SUMIFS('NHL2025-26Results'!$E:$E,'NHL2025-26Results'!$B:$B,A8,'NHL2025-26Results'!$E:$E,"&gt;0")/COUNTIFS('NHL2025-26Results'!$B:$B,A8,'NHL2025-26Results'!$E:$E,"&gt;0")</f>
        <v>2.6923076923076925</v>
      </c>
    </row>
    <row r="9" spans="1:18" x14ac:dyDescent="0.2">
      <c r="A9" s="4" t="s">
        <v>28</v>
      </c>
      <c r="B9">
        <f>SUM(Table1[[#This Row],[W]:[OTL]])</f>
        <v>28</v>
      </c>
      <c r="C9">
        <f>COUNTIF(NHL2025_26Results[Winning Team],Standings!A9)</f>
        <v>13</v>
      </c>
      <c r="D9">
        <f>COUNTIFS('NHL2025-26Results'!$H:$H,A9,'NHL2025-26Results'!$F:$F,"")</f>
        <v>9</v>
      </c>
      <c r="E9">
        <f>COUNTIFS('NHL2025-26Results'!$F:$F,"OT",'NHL2025-26Results'!$H:$H,A9) + COUNTIFS('NHL2025-26Results'!$F:$F,"SO",'NHL2025-26Results'!$H:$H,A9)</f>
        <v>6</v>
      </c>
      <c r="F9" s="3">
        <f>(Table1[[#This Row],[W]]*2)+Table1[[#This Row],[OTL]]</f>
        <v>32</v>
      </c>
      <c r="G9">
        <f>COUNTIFS('NHL2025-26Results'!$D:$D,A9,'NHL2025-26Results'!$G:$G,A9)</f>
        <v>6</v>
      </c>
      <c r="H9">
        <f>COUNTIFS('NHL2025-26Results'!$D:$D,A9,'NHL2025-26Results'!$H:$H,A9,'NHL2025-26Results'!$F:$F,"")</f>
        <v>3</v>
      </c>
      <c r="I9">
        <f>COUNTIFS('NHL2025-26Results'!$D:$D,A9,'NHL2025-26Results'!$H:$H,A9,'NHL2025-26Results'!$F:$F,"OT") + COUNTIFS('NHL2025-26Results'!$D:$D,A9,'NHL2025-26Results'!$H:$H,A9,'NHL2025-26Results'!$F:$F,"SO")</f>
        <v>3</v>
      </c>
      <c r="J9">
        <f>COUNTIFS('NHL2025-26Results'!$B:$B,A9,'NHL2025-26Results'!$G:$G,A9)</f>
        <v>7</v>
      </c>
      <c r="K9">
        <f>COUNTIFS('NHL2025-26Results'!$B:$B,A9,'NHL2025-26Results'!$H:$H,A9,'NHL2025-26Results'!$F:$F,"")</f>
        <v>6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0.5</v>
      </c>
      <c r="N9" s="11">
        <f>Table1[[#This Row],[AwayWins]]/SUM(Table1[[#This Row],[AwayWins]:[AwayOTL]])</f>
        <v>0.4375</v>
      </c>
      <c r="O9" s="14">
        <f>SUMIFS('NHL2025-26Results'!$E:$E,'NHL2025-26Results'!$D:$D,A9,'NHL2025-26Results'!$E:$E,"&gt;0")/COUNTIFS('NHL2025-26Results'!$D:$D,A9,'NHL2025-26Results'!$E:$E,"&gt;0")</f>
        <v>3</v>
      </c>
      <c r="P9" s="14">
        <f>SUMIFS('NHL2025-26Results'!$C:$C,'NHL2025-26Results'!$B:$B,A9,'NHL2025-26Results'!$C:$C,"&gt;0")/COUNTIFS('NHL2025-26Results'!$B:$B,A9,'NHL2025-26Results'!$C:$C,"&gt;0")</f>
        <v>3.375</v>
      </c>
      <c r="Q9" s="14">
        <f>SUMIFS('NHL2025-26Results'!$C:$C,'NHL2025-26Results'!$D:$D,A9,'NHL2025-26Results'!$C:$C,"&gt;0")/COUNTIFS('NHL2025-26Results'!$D:$D,A9,'NHL2025-26Results'!$C:$C,"&gt;0")</f>
        <v>3.25</v>
      </c>
      <c r="R9" s="14">
        <f>SUMIFS('NHL2025-26Results'!$E:$E,'NHL2025-26Results'!$B:$B,A9,'NHL2025-26Results'!$E:$E,"&gt;0")/COUNTIFS('NHL2025-26Results'!$B:$B,A9,'NHL2025-26Results'!$E:$E,"&gt;0")</f>
        <v>3.625</v>
      </c>
    </row>
    <row r="10" spans="1:18" x14ac:dyDescent="0.2">
      <c r="A10" s="4" t="s">
        <v>39</v>
      </c>
      <c r="B10">
        <f>SUM(Table1[[#This Row],[W]:[OTL]])</f>
        <v>29</v>
      </c>
      <c r="C10">
        <f>COUNTIF(NHL2025_26Results[Winning Team],Standings!A10)</f>
        <v>19</v>
      </c>
      <c r="D10">
        <f>COUNTIFS('NHL2025-26Results'!$H:$H,A10,'NHL2025-26Results'!$F:$F,"")</f>
        <v>5</v>
      </c>
      <c r="E10">
        <f>COUNTIFS('NHL2025-26Results'!$F:$F,"OT",'NHL2025-26Results'!$H:$H,A10) + COUNTIFS('NHL2025-26Results'!$F:$F,"SO",'NHL2025-26Results'!$H:$H,A10)</f>
        <v>5</v>
      </c>
      <c r="F10" s="3">
        <f>(Table1[[#This Row],[W]]*2)+Table1[[#This Row],[OTL]]</f>
        <v>43</v>
      </c>
      <c r="G10">
        <f>COUNTIFS('NHL2025-26Results'!$D:$D,A10,'NHL2025-26Results'!$G:$G,A10)</f>
        <v>9</v>
      </c>
      <c r="H10">
        <f>COUNTIFS('NHL2025-26Results'!$D:$D,A10,'NHL2025-26Results'!$H:$H,A10,'NHL2025-26Results'!$F:$F,"")</f>
        <v>4</v>
      </c>
      <c r="I10">
        <f>COUNTIFS('NHL2025-26Results'!$D:$D,A10,'NHL2025-26Results'!$H:$H,A10,'NHL2025-26Results'!$F:$F,"OT") + COUNTIFS('NHL2025-26Results'!$D:$D,A10,'NHL2025-26Results'!$H:$H,A10,'NHL2025-26Results'!$F:$F,"SO")</f>
        <v>1</v>
      </c>
      <c r="J10">
        <f>COUNTIFS('NHL2025-26Results'!$B:$B,A10,'NHL2025-26Results'!$G:$G,A10)</f>
        <v>10</v>
      </c>
      <c r="K10">
        <f>COUNTIFS('NHL2025-26Results'!$B:$B,A10,'NHL2025-26Results'!$H:$H,A10,'NHL2025-26Results'!$F:$F,"")</f>
        <v>1</v>
      </c>
      <c r="L10">
        <f>COUNTIFS('NHL2025-26Results'!$B:$B,A10,'NHL2025-26Results'!$H:$H,A10,'NHL2025-26Results'!$F:$F,"OT") + COUNTIFS('NHL2025-26Results'!$B:$B,A10,'NHL2025-26Results'!$H:$H,A10,'NHL2025-26Results'!$F:$F,"SO")</f>
        <v>4</v>
      </c>
      <c r="M10" s="11">
        <f>Table1[[#This Row],[HomeWins]]/SUM(Table1[[#This Row],[HomeWins]:[HomeOTL]])</f>
        <v>0.6428571428571429</v>
      </c>
      <c r="N10" s="11">
        <f>Table1[[#This Row],[AwayWins]]/SUM(Table1[[#This Row],[AwayWins]:[AwayOTL]])</f>
        <v>0.66666666666666663</v>
      </c>
      <c r="O10" s="14">
        <f>SUMIFS('NHL2025-26Results'!$E:$E,'NHL2025-26Results'!$D:$D,A10,'NHL2025-26Results'!$E:$E,"&gt;0")/COUNTIFS('NHL2025-26Results'!$D:$D,A10,'NHL2025-26Results'!$E:$E,"&gt;0")</f>
        <v>3.3571428571428572</v>
      </c>
      <c r="P10" s="14">
        <f>SUMIFS('NHL2025-26Results'!$C:$C,'NHL2025-26Results'!$B:$B,A10,'NHL2025-26Results'!$C:$C,"&gt;0")/COUNTIFS('NHL2025-26Results'!$B:$B,A10,'NHL2025-26Results'!$C:$C,"&gt;0")</f>
        <v>3.6666666666666665</v>
      </c>
      <c r="Q10" s="14">
        <f>SUMIFS('NHL2025-26Results'!$C:$C,'NHL2025-26Results'!$D:$D,A10,'NHL2025-26Results'!$C:$C,"&gt;0")/COUNTIFS('NHL2025-26Results'!$D:$D,A10,'NHL2025-26Results'!$C:$C,"&gt;0")</f>
        <v>2.8461538461538463</v>
      </c>
      <c r="R10" s="14">
        <f>SUMIFS('NHL2025-26Results'!$E:$E,'NHL2025-26Results'!$B:$B,A10,'NHL2025-26Results'!$E:$E,"&gt;0")/COUNTIFS('NHL2025-26Results'!$B:$B,A10,'NHL2025-26Results'!$E:$E,"&gt;0")</f>
        <v>2.9230769230769229</v>
      </c>
    </row>
    <row r="11" spans="1:18" x14ac:dyDescent="0.2">
      <c r="A11" s="4" t="s">
        <v>26</v>
      </c>
      <c r="B11">
        <f>SUM(Table1[[#This Row],[W]:[OTL]])</f>
        <v>29</v>
      </c>
      <c r="C11">
        <f>COUNTIF(NHL2025_26Results[Winning Team],Standings!A11)</f>
        <v>15</v>
      </c>
      <c r="D11">
        <f>COUNTIFS('NHL2025-26Results'!$H:$H,A11,'NHL2025-26Results'!$F:$F,"")</f>
        <v>11</v>
      </c>
      <c r="E11">
        <f>COUNTIFS('NHL2025-26Results'!$F:$F,"OT",'NHL2025-26Results'!$H:$H,A11) + COUNTIFS('NHL2025-26Results'!$F:$F,"SO",'NHL2025-26Results'!$H:$H,A11)</f>
        <v>3</v>
      </c>
      <c r="F11" s="3">
        <f>(Table1[[#This Row],[W]]*2)+Table1[[#This Row],[OTL]]</f>
        <v>33</v>
      </c>
      <c r="G11">
        <f>COUNTIFS('NHL2025-26Results'!$D:$D,A11,'NHL2025-26Results'!$G:$G,A11)</f>
        <v>9</v>
      </c>
      <c r="H11">
        <f>COUNTIFS('NHL2025-26Results'!$D:$D,A11,'NHL2025-26Results'!$H:$H,A11,'NHL2025-26Results'!$F:$F,"")</f>
        <v>6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6</v>
      </c>
      <c r="K11">
        <f>COUNTIFS('NHL2025-26Results'!$B:$B,A11,'NHL2025-26Results'!$H:$H,A11,'NHL2025-26Results'!$F:$F,"")</f>
        <v>5</v>
      </c>
      <c r="L11">
        <f>COUNTIFS('NHL2025-26Results'!$B:$B,A11,'NHL2025-26Results'!$H:$H,A11,'NHL2025-26Results'!$F:$F,"OT") + COUNTIFS('NHL2025-26Results'!$B:$B,A11,'NHL2025-26Results'!$H:$H,A11,'NHL2025-26Results'!$F:$F,"SO")</f>
        <v>2</v>
      </c>
      <c r="M11" s="11">
        <f>Table1[[#This Row],[HomeWins]]/SUM(Table1[[#This Row],[HomeWins]:[HomeOTL]])</f>
        <v>0.5625</v>
      </c>
      <c r="N11" s="11">
        <f>Table1[[#This Row],[AwayWins]]/SUM(Table1[[#This Row],[AwayWins]:[AwayOTL]])</f>
        <v>0.46153846153846156</v>
      </c>
      <c r="O11" s="14">
        <f>SUMIFS('NHL2025-26Results'!$E:$E,'NHL2025-26Results'!$D:$D,A11,'NHL2025-26Results'!$E:$E,"&gt;0")/COUNTIFS('NHL2025-26Results'!$D:$D,A11,'NHL2025-26Results'!$E:$E,"&gt;0")</f>
        <v>3.6</v>
      </c>
      <c r="P11" s="14">
        <f>SUMIFS('NHL2025-26Results'!$C:$C,'NHL2025-26Results'!$B:$B,A11,'NHL2025-26Results'!$C:$C,"&gt;0")/COUNTIFS('NHL2025-26Results'!$B:$B,A11,'NHL2025-26Results'!$C:$C,"&gt;0")</f>
        <v>3.0833333333333335</v>
      </c>
      <c r="Q11" s="14">
        <f>SUMIFS('NHL2025-26Results'!$C:$C,'NHL2025-26Results'!$D:$D,A11,'NHL2025-26Results'!$C:$C,"&gt;0")/COUNTIFS('NHL2025-26Results'!$D:$D,A11,'NHL2025-26Results'!$C:$C,"&gt;0")</f>
        <v>3.6875</v>
      </c>
      <c r="R11" s="14">
        <f>SUMIFS('NHL2025-26Results'!$E:$E,'NHL2025-26Results'!$B:$B,A11,'NHL2025-26Results'!$E:$E,"&gt;0")/COUNTIFS('NHL2025-26Results'!$B:$B,A11,'NHL2025-26Results'!$E:$E,"&gt;0")</f>
        <v>3.3076923076923075</v>
      </c>
    </row>
    <row r="12" spans="1:18" x14ac:dyDescent="0.2">
      <c r="A12" s="4" t="s">
        <v>17</v>
      </c>
      <c r="B12">
        <f>SUM(Table1[[#This Row],[W]:[OTL]])</f>
        <v>29</v>
      </c>
      <c r="C12">
        <f>COUNTIF(NHL2025_26Results[Winning Team],Standings!A12)</f>
        <v>13</v>
      </c>
      <c r="D12">
        <f>COUNTIFS('NHL2025-26Results'!$H:$H,A12,'NHL2025-26Results'!$F:$F,"")</f>
        <v>11</v>
      </c>
      <c r="E12">
        <f>COUNTIFS('NHL2025-26Results'!$F:$F,"OT",'NHL2025-26Results'!$H:$H,A12) + COUNTIFS('NHL2025-26Results'!$F:$F,"SO",'NHL2025-26Results'!$H:$H,A12)</f>
        <v>5</v>
      </c>
      <c r="F12" s="3">
        <f>(Table1[[#This Row],[W]]*2)+Table1[[#This Row],[OTL]]</f>
        <v>31</v>
      </c>
      <c r="G12">
        <f>COUNTIFS('NHL2025-26Results'!$D:$D,A12,'NHL2025-26Results'!$G:$G,A12)</f>
        <v>7</v>
      </c>
      <c r="H12">
        <f>COUNTIFS('NHL2025-26Results'!$D:$D,A12,'NHL2025-26Results'!$H:$H,A12,'NHL2025-26Results'!$F:$F,"")</f>
        <v>3</v>
      </c>
      <c r="I12">
        <f>COUNTIFS('NHL2025-26Results'!$D:$D,A12,'NHL2025-26Results'!$H:$H,A12,'NHL2025-26Results'!$F:$F,"OT") + COUNTIFS('NHL2025-26Results'!$D:$D,A12,'NHL2025-26Results'!$H:$H,A12,'NHL2025-26Results'!$F:$F,"SO")</f>
        <v>2</v>
      </c>
      <c r="J12">
        <f>COUNTIFS('NHL2025-26Results'!$B:$B,A12,'NHL2025-26Results'!$G:$G,A12)</f>
        <v>6</v>
      </c>
      <c r="K12">
        <f>COUNTIFS('NHL2025-26Results'!$B:$B,A12,'NHL2025-26Results'!$H:$H,A12,'NHL2025-26Results'!$F:$F,"")</f>
        <v>8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0.58333333333333337</v>
      </c>
      <c r="N12" s="11">
        <f>Table1[[#This Row],[AwayWins]]/SUM(Table1[[#This Row],[AwayWins]:[AwayOTL]])</f>
        <v>0.35294117647058826</v>
      </c>
      <c r="O12" s="14">
        <f>SUMIFS('NHL2025-26Results'!$E:$E,'NHL2025-26Results'!$D:$D,A12,'NHL2025-26Results'!$E:$E,"&gt;0")/COUNTIFS('NHL2025-26Results'!$D:$D,A12,'NHL2025-26Results'!$E:$E,"&gt;0")</f>
        <v>4.3636363636363633</v>
      </c>
      <c r="P12" s="14">
        <f>SUMIFS('NHL2025-26Results'!$C:$C,'NHL2025-26Results'!$B:$B,A12,'NHL2025-26Results'!$C:$C,"&gt;0")/COUNTIFS('NHL2025-26Results'!$B:$B,A12,'NHL2025-26Results'!$C:$C,"&gt;0")</f>
        <v>2.8235294117647061</v>
      </c>
      <c r="Q12" s="14">
        <f>SUMIFS('NHL2025-26Results'!$C:$C,'NHL2025-26Results'!$D:$D,A12,'NHL2025-26Results'!$C:$C,"&gt;0")/COUNTIFS('NHL2025-26Results'!$D:$D,A12,'NHL2025-26Results'!$C:$C,"&gt;0")</f>
        <v>3.9166666666666665</v>
      </c>
      <c r="R12" s="14">
        <f>SUMIFS('NHL2025-26Results'!$E:$E,'NHL2025-26Results'!$B:$B,A12,'NHL2025-26Results'!$E:$E,"&gt;0")/COUNTIFS('NHL2025-26Results'!$B:$B,A12,'NHL2025-26Results'!$E:$E,"&gt;0")</f>
        <v>3.6666666666666665</v>
      </c>
    </row>
    <row r="13" spans="1:18" x14ac:dyDescent="0.2">
      <c r="A13" s="4" t="s">
        <v>11</v>
      </c>
      <c r="B13">
        <f>SUM(Table1[[#This Row],[W]:[OTL]])</f>
        <v>27</v>
      </c>
      <c r="C13">
        <f>COUNTIF(NHL2025_26Results[Winning Team],Standings!A13)</f>
        <v>13</v>
      </c>
      <c r="D13">
        <f>COUNTIFS('NHL2025-26Results'!$H:$H,A13,'NHL2025-26Results'!$F:$F,"")</f>
        <v>12</v>
      </c>
      <c r="E13">
        <f>COUNTIFS('NHL2025-26Results'!$F:$F,"OT",'NHL2025-26Results'!$H:$H,A13) + COUNTIFS('NHL2025-26Results'!$F:$F,"SO",'NHL2025-26Results'!$H:$H,A13)</f>
        <v>2</v>
      </c>
      <c r="F13" s="3">
        <f>(Table1[[#This Row],[W]]*2)+Table1[[#This Row],[OTL]]</f>
        <v>28</v>
      </c>
      <c r="G13">
        <f>COUNTIFS('NHL2025-26Results'!$D:$D,A13,'NHL2025-26Results'!$G:$G,A13)</f>
        <v>9</v>
      </c>
      <c r="H13">
        <f>COUNTIFS('NHL2025-26Results'!$D:$D,A13,'NHL2025-26Results'!$H:$H,A13,'NHL2025-26Results'!$F:$F,"")</f>
        <v>6</v>
      </c>
      <c r="I13">
        <f>COUNTIFS('NHL2025-26Results'!$D:$D,A13,'NHL2025-26Results'!$H:$H,A13,'NHL2025-26Results'!$F:$F,"OT") + COUNTIFS('NHL2025-26Results'!$D:$D,A13,'NHL2025-26Results'!$H:$H,A13,'NHL2025-26Results'!$F:$F,"SO")</f>
        <v>2</v>
      </c>
      <c r="J13">
        <f>COUNTIFS('NHL2025-26Results'!$B:$B,A13,'NHL2025-26Results'!$G:$G,A13)</f>
        <v>4</v>
      </c>
      <c r="K13">
        <f>COUNTIFS('NHL2025-26Results'!$B:$B,A13,'NHL2025-26Results'!$H:$H,A13,'NHL2025-26Results'!$F:$F,"")</f>
        <v>6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0.52941176470588236</v>
      </c>
      <c r="N13" s="11">
        <f>Table1[[#This Row],[AwayWins]]/SUM(Table1[[#This Row],[AwayWins]:[AwayOTL]])</f>
        <v>0.4</v>
      </c>
      <c r="O13" s="14">
        <f>SUMIFS('NHL2025-26Results'!$E:$E,'NHL2025-26Results'!$D:$D,A13,'NHL2025-26Results'!$E:$E,"&gt;0")/COUNTIFS('NHL2025-26Results'!$D:$D,A13,'NHL2025-26Results'!$E:$E,"&gt;0")</f>
        <v>3.2941176470588234</v>
      </c>
      <c r="P13" s="14">
        <f>SUMIFS('NHL2025-26Results'!$C:$C,'NHL2025-26Results'!$B:$B,A13,'NHL2025-26Results'!$C:$C,"&gt;0")/COUNTIFS('NHL2025-26Results'!$B:$B,A13,'NHL2025-26Results'!$C:$C,"&gt;0")</f>
        <v>3.1111111111111112</v>
      </c>
      <c r="Q13" s="14">
        <f>SUMIFS('NHL2025-26Results'!$C:$C,'NHL2025-26Results'!$D:$D,A13,'NHL2025-26Results'!$C:$C,"&gt;0")/COUNTIFS('NHL2025-26Results'!$D:$D,A13,'NHL2025-26Results'!$C:$C,"&gt;0")</f>
        <v>3.6</v>
      </c>
      <c r="R13" s="14">
        <f>SUMIFS('NHL2025-26Results'!$E:$E,'NHL2025-26Results'!$B:$B,A13,'NHL2025-26Results'!$E:$E,"&gt;0")/COUNTIFS('NHL2025-26Results'!$B:$B,A13,'NHL2025-26Results'!$E:$E,"&gt;0")</f>
        <v>3.5</v>
      </c>
    </row>
    <row r="14" spans="1:18" x14ac:dyDescent="0.2">
      <c r="A14" s="4" t="s">
        <v>13</v>
      </c>
      <c r="B14">
        <f>SUM(Table1[[#This Row],[W]:[OTL]])</f>
        <v>28</v>
      </c>
      <c r="C14">
        <f>COUNTIF(NHL2025_26Results[Winning Team],Standings!A14)</f>
        <v>13</v>
      </c>
      <c r="D14">
        <f>COUNTIFS('NHL2025-26Results'!$H:$H,A14,'NHL2025-26Results'!$F:$F,"")</f>
        <v>8</v>
      </c>
      <c r="E14">
        <f>COUNTIFS('NHL2025-26Results'!$F:$F,"OT",'NHL2025-26Results'!$H:$H,A14) + COUNTIFS('NHL2025-26Results'!$F:$F,"SO",'NHL2025-26Results'!$H:$H,A14)</f>
        <v>7</v>
      </c>
      <c r="F14" s="3">
        <f>(Table1[[#This Row],[W]]*2)+Table1[[#This Row],[OTL]]</f>
        <v>33</v>
      </c>
      <c r="G14">
        <f>COUNTIFS('NHL2025-26Results'!$D:$D,A14,'NHL2025-26Results'!$G:$G,A14)</f>
        <v>4</v>
      </c>
      <c r="H14">
        <f>COUNTIFS('NHL2025-26Results'!$D:$D,A14,'NHL2025-26Results'!$H:$H,A14,'NHL2025-26Results'!$F:$F,"")</f>
        <v>6</v>
      </c>
      <c r="I14">
        <f>COUNTIFS('NHL2025-26Results'!$D:$D,A14,'NHL2025-26Results'!$H:$H,A14,'NHL2025-26Results'!$F:$F,"OT") + COUNTIFS('NHL2025-26Results'!$D:$D,A14,'NHL2025-26Results'!$H:$H,A14,'NHL2025-26Results'!$F:$F,"SO")</f>
        <v>3</v>
      </c>
      <c r="J14">
        <f>COUNTIFS('NHL2025-26Results'!$B:$B,A14,'NHL2025-26Results'!$G:$G,A14)</f>
        <v>9</v>
      </c>
      <c r="K14">
        <f>COUNTIFS('NHL2025-26Results'!$B:$B,A14,'NHL2025-26Results'!$H:$H,A14,'NHL2025-26Results'!$F:$F,"")</f>
        <v>2</v>
      </c>
      <c r="L14">
        <f>COUNTIFS('NHL2025-26Results'!$B:$B,A14,'NHL2025-26Results'!$H:$H,A14,'NHL2025-26Results'!$F:$F,"OT") + COUNTIFS('NHL2025-26Results'!$B:$B,A14,'NHL2025-26Results'!$H:$H,A14,'NHL2025-26Results'!$F:$F,"SO")</f>
        <v>4</v>
      </c>
      <c r="M14" s="11">
        <f>Table1[[#This Row],[HomeWins]]/SUM(Table1[[#This Row],[HomeWins]:[HomeOTL]])</f>
        <v>0.30769230769230771</v>
      </c>
      <c r="N14" s="11">
        <f>Table1[[#This Row],[AwayWins]]/SUM(Table1[[#This Row],[AwayWins]:[AwayOTL]])</f>
        <v>0.6</v>
      </c>
      <c r="O14" s="14">
        <f>SUMIFS('NHL2025-26Results'!$E:$E,'NHL2025-26Results'!$D:$D,A14,'NHL2025-26Results'!$E:$E,"&gt;0")/COUNTIFS('NHL2025-26Results'!$D:$D,A14,'NHL2025-26Results'!$E:$E,"&gt;0")</f>
        <v>2.1538461538461537</v>
      </c>
      <c r="P14" s="14">
        <f>SUMIFS('NHL2025-26Results'!$C:$C,'NHL2025-26Results'!$B:$B,A14,'NHL2025-26Results'!$C:$C,"&gt;0")/COUNTIFS('NHL2025-26Results'!$B:$B,A14,'NHL2025-26Results'!$C:$C,"&gt;0")</f>
        <v>3.2</v>
      </c>
      <c r="Q14" s="14">
        <f>SUMIFS('NHL2025-26Results'!$C:$C,'NHL2025-26Results'!$D:$D,A14,'NHL2025-26Results'!$C:$C,"&gt;0")/COUNTIFS('NHL2025-26Results'!$D:$D,A14,'NHL2025-26Results'!$C:$C,"&gt;0")</f>
        <v>3.0909090909090908</v>
      </c>
      <c r="R14" s="14">
        <f>SUMIFS('NHL2025-26Results'!$E:$E,'NHL2025-26Results'!$B:$B,A14,'NHL2025-26Results'!$E:$E,"&gt;0")/COUNTIFS('NHL2025-26Results'!$B:$B,A14,'NHL2025-26Results'!$E:$E,"&gt;0")</f>
        <v>2.9285714285714284</v>
      </c>
    </row>
    <row r="15" spans="1:18" x14ac:dyDescent="0.2">
      <c r="A15" s="4" t="s">
        <v>34</v>
      </c>
      <c r="B15">
        <f>SUM(Table1[[#This Row],[W]:[OTL]])</f>
        <v>29</v>
      </c>
      <c r="C15">
        <f>COUNTIF(NHL2025_26Results[Winning Team],Standings!A15)</f>
        <v>15</v>
      </c>
      <c r="D15">
        <f>COUNTIFS('NHL2025-26Results'!$H:$H,A15,'NHL2025-26Results'!$F:$F,"")</f>
        <v>9</v>
      </c>
      <c r="E15">
        <f>COUNTIFS('NHL2025-26Results'!$F:$F,"OT",'NHL2025-26Results'!$H:$H,A15) + COUNTIFS('NHL2025-26Results'!$F:$F,"SO",'NHL2025-26Results'!$H:$H,A15)</f>
        <v>5</v>
      </c>
      <c r="F15" s="3">
        <f>(Table1[[#This Row],[W]]*2)+Table1[[#This Row],[OTL]]</f>
        <v>35</v>
      </c>
      <c r="G15">
        <f>COUNTIFS('NHL2025-26Results'!$D:$D,A15,'NHL2025-26Results'!$G:$G,A15)</f>
        <v>8</v>
      </c>
      <c r="H15">
        <f>COUNTIFS('NHL2025-26Results'!$D:$D,A15,'NHL2025-26Results'!$H:$H,A15,'NHL2025-26Results'!$F:$F,"")</f>
        <v>3</v>
      </c>
      <c r="I15">
        <f>COUNTIFS('NHL2025-26Results'!$D:$D,A15,'NHL2025-26Results'!$H:$H,A15,'NHL2025-26Results'!$F:$F,"OT") + COUNTIFS('NHL2025-26Results'!$D:$D,A15,'NHL2025-26Results'!$H:$H,A15,'NHL2025-26Results'!$F:$F,"SO")</f>
        <v>4</v>
      </c>
      <c r="J15">
        <f>COUNTIFS('NHL2025-26Results'!$B:$B,A15,'NHL2025-26Results'!$G:$G,A15)</f>
        <v>7</v>
      </c>
      <c r="K15">
        <f>COUNTIFS('NHL2025-26Results'!$B:$B,A15,'NHL2025-26Results'!$H:$H,A15,'NHL2025-26Results'!$F:$F,"")</f>
        <v>6</v>
      </c>
      <c r="L15">
        <f>COUNTIFS('NHL2025-26Results'!$B:$B,A15,'NHL2025-26Results'!$H:$H,A15,'NHL2025-26Results'!$F:$F,"OT") + COUNTIFS('NHL2025-26Results'!$B:$B,A15,'NHL2025-26Results'!$H:$H,A15,'NHL2025-26Results'!$F:$F,"SO")</f>
        <v>1</v>
      </c>
      <c r="M15" s="11">
        <f>Table1[[#This Row],[HomeWins]]/SUM(Table1[[#This Row],[HomeWins]:[HomeOTL]])</f>
        <v>0.53333333333333333</v>
      </c>
      <c r="N15" s="11">
        <f>Table1[[#This Row],[AwayWins]]/SUM(Table1[[#This Row],[AwayWins]:[AwayOTL]])</f>
        <v>0.5</v>
      </c>
      <c r="O15" s="14">
        <f>SUMIFS('NHL2025-26Results'!$E:$E,'NHL2025-26Results'!$D:$D,A15,'NHL2025-26Results'!$E:$E,"&gt;0")/COUNTIFS('NHL2025-26Results'!$D:$D,A15,'NHL2025-26Results'!$E:$E,"&gt;0")</f>
        <v>2.9333333333333331</v>
      </c>
      <c r="P15" s="14">
        <f>SUMIFS('NHL2025-26Results'!$C:$C,'NHL2025-26Results'!$B:$B,A15,'NHL2025-26Results'!$C:$C,"&gt;0")/COUNTIFS('NHL2025-26Results'!$B:$B,A15,'NHL2025-26Results'!$C:$C,"&gt;0")</f>
        <v>2.6428571428571428</v>
      </c>
      <c r="Q15" s="14">
        <f>SUMIFS('NHL2025-26Results'!$C:$C,'NHL2025-26Results'!$D:$D,A15,'NHL2025-26Results'!$C:$C,"&gt;0")/COUNTIFS('NHL2025-26Results'!$D:$D,A15,'NHL2025-26Results'!$C:$C,"&gt;0")</f>
        <v>3.5384615384615383</v>
      </c>
      <c r="R15" s="14">
        <f>SUMIFS('NHL2025-26Results'!$E:$E,'NHL2025-26Results'!$B:$B,A15,'NHL2025-26Results'!$E:$E,"&gt;0")/COUNTIFS('NHL2025-26Results'!$B:$B,A15,'NHL2025-26Results'!$E:$E,"&gt;0")</f>
        <v>3.4</v>
      </c>
    </row>
    <row r="16" spans="1:18" x14ac:dyDescent="0.2">
      <c r="A16" s="4" t="s">
        <v>18</v>
      </c>
      <c r="B16">
        <f>SUM(Table1[[#This Row],[W]:[OTL]])</f>
        <v>27</v>
      </c>
      <c r="C16">
        <f>COUNTIF(NHL2025_26Results[Winning Team],Standings!A16)</f>
        <v>15</v>
      </c>
      <c r="D16">
        <f>COUNTIFS('NHL2025-26Results'!$H:$H,A16,'NHL2025-26Results'!$F:$F,"")</f>
        <v>9</v>
      </c>
      <c r="E16">
        <f>COUNTIFS('NHL2025-26Results'!$F:$F,"OT",'NHL2025-26Results'!$H:$H,A16) + COUNTIFS('NHL2025-26Results'!$F:$F,"SO",'NHL2025-26Results'!$H:$H,A16)</f>
        <v>3</v>
      </c>
      <c r="F16" s="3">
        <f>(Table1[[#This Row],[W]]*2)+Table1[[#This Row],[OTL]]</f>
        <v>33</v>
      </c>
      <c r="G16">
        <f>COUNTIFS('NHL2025-26Results'!$D:$D,A16,'NHL2025-26Results'!$G:$G,A16)</f>
        <v>7</v>
      </c>
      <c r="H16">
        <f>COUNTIFS('NHL2025-26Results'!$D:$D,A16,'NHL2025-26Results'!$H:$H,A16,'NHL2025-26Results'!$F:$F,"")</f>
        <v>6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8</v>
      </c>
      <c r="K16">
        <f>COUNTIFS('NHL2025-26Results'!$B:$B,A16,'NHL2025-26Results'!$H:$H,A16,'NHL2025-26Results'!$F:$F,"")</f>
        <v>3</v>
      </c>
      <c r="L16">
        <f>COUNTIFS('NHL2025-26Results'!$B:$B,A16,'NHL2025-26Results'!$H:$H,A16,'NHL2025-26Results'!$F:$F,"OT") + COUNTIFS('NHL2025-26Results'!$B:$B,A16,'NHL2025-26Results'!$H:$H,A16,'NHL2025-26Results'!$F:$F,"SO")</f>
        <v>2</v>
      </c>
      <c r="M16" s="11">
        <f>Table1[[#This Row],[HomeWins]]/SUM(Table1[[#This Row],[HomeWins]:[HomeOTL]])</f>
        <v>0.5</v>
      </c>
      <c r="N16" s="11">
        <f>Table1[[#This Row],[AwayWins]]/SUM(Table1[[#This Row],[AwayWins]:[AwayOTL]])</f>
        <v>0.61538461538461542</v>
      </c>
      <c r="O16" s="14">
        <f>SUMIFS('NHL2025-26Results'!$E:$E,'NHL2025-26Results'!$D:$D,A16,'NHL2025-26Results'!$E:$E,"&gt;0")/COUNTIFS('NHL2025-26Results'!$D:$D,A16,'NHL2025-26Results'!$E:$E,"&gt;0")</f>
        <v>3.5384615384615383</v>
      </c>
      <c r="P16" s="14">
        <f>SUMIFS('NHL2025-26Results'!$C:$C,'NHL2025-26Results'!$B:$B,A16,'NHL2025-26Results'!$C:$C,"&gt;0")/COUNTIFS('NHL2025-26Results'!$B:$B,A16,'NHL2025-26Results'!$C:$C,"&gt;0")</f>
        <v>3.3076923076923075</v>
      </c>
      <c r="Q16" s="14">
        <f>SUMIFS('NHL2025-26Results'!$C:$C,'NHL2025-26Results'!$D:$D,A16,'NHL2025-26Results'!$C:$C,"&gt;0")/COUNTIFS('NHL2025-26Results'!$D:$D,A16,'NHL2025-26Results'!$C:$C,"&gt;0")</f>
        <v>3.8571428571428572</v>
      </c>
      <c r="R16" s="14">
        <f>SUMIFS('NHL2025-26Results'!$E:$E,'NHL2025-26Results'!$B:$B,A16,'NHL2025-26Results'!$E:$E,"&gt;0")/COUNTIFS('NHL2025-26Results'!$B:$B,A16,'NHL2025-26Results'!$E:$E,"&gt;0")</f>
        <v>3.1538461538461537</v>
      </c>
    </row>
    <row r="17" spans="1:18" x14ac:dyDescent="0.2">
      <c r="A17" s="4" t="s">
        <v>29</v>
      </c>
      <c r="B17">
        <f>SUM(Table1[[#This Row],[W]:[OTL]])</f>
        <v>28</v>
      </c>
      <c r="C17">
        <f>COUNTIF(NHL2025_26Results[Winning Team],Standings!A17)</f>
        <v>10</v>
      </c>
      <c r="D17">
        <f>COUNTIFS('NHL2025-26Results'!$H:$H,A17,'NHL2025-26Results'!$F:$F,"")</f>
        <v>14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24</v>
      </c>
      <c r="G17">
        <f>COUNTIFS('NHL2025-26Results'!$D:$D,A17,'NHL2025-26Results'!$G:$G,A17)</f>
        <v>6</v>
      </c>
      <c r="H17">
        <f>COUNTIFS('NHL2025-26Results'!$D:$D,A17,'NHL2025-26Results'!$H:$H,A17,'NHL2025-26Results'!$F:$F,"")</f>
        <v>8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4</v>
      </c>
      <c r="K17">
        <f>COUNTIFS('NHL2025-26Results'!$B:$B,A17,'NHL2025-26Results'!$H:$H,A17,'NHL2025-26Results'!$F:$F,"")</f>
        <v>6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0.375</v>
      </c>
      <c r="N17" s="11">
        <f>Table1[[#This Row],[AwayWins]]/SUM(Table1[[#This Row],[AwayWins]:[AwayOTL]])</f>
        <v>0.33333333333333331</v>
      </c>
      <c r="O17" s="14">
        <f>SUMIFS('NHL2025-26Results'!$E:$E,'NHL2025-26Results'!$D:$D,A17,'NHL2025-26Results'!$E:$E,"&gt;0")/COUNTIFS('NHL2025-26Results'!$D:$D,A17,'NHL2025-26Results'!$E:$E,"&gt;0")</f>
        <v>2.8</v>
      </c>
      <c r="P17" s="14">
        <f>SUMIFS('NHL2025-26Results'!$C:$C,'NHL2025-26Results'!$B:$B,A17,'NHL2025-26Results'!$C:$C,"&gt;0")/COUNTIFS('NHL2025-26Results'!$B:$B,A17,'NHL2025-26Results'!$C:$C,"&gt;0")</f>
        <v>2.9090909090909092</v>
      </c>
      <c r="Q17" s="14">
        <f>SUMIFS('NHL2025-26Results'!$C:$C,'NHL2025-26Results'!$D:$D,A17,'NHL2025-26Results'!$C:$C,"&gt;0")/COUNTIFS('NHL2025-26Results'!$D:$D,A17,'NHL2025-26Results'!$C:$C,"&gt;0")</f>
        <v>3.4375</v>
      </c>
      <c r="R17" s="14">
        <f>SUMIFS('NHL2025-26Results'!$E:$E,'NHL2025-26Results'!$B:$B,A17,'NHL2025-26Results'!$E:$E,"&gt;0")/COUNTIFS('NHL2025-26Results'!$B:$B,A17,'NHL2025-26Results'!$E:$E,"&gt;0")</f>
        <v>3.75</v>
      </c>
    </row>
    <row r="18" spans="1:18" x14ac:dyDescent="0.2">
      <c r="A18" s="4" t="s">
        <v>24</v>
      </c>
      <c r="B18">
        <f>SUM(Table1[[#This Row],[W]:[OTL]])</f>
        <v>29</v>
      </c>
      <c r="C18">
        <f>COUNTIF(NHL2025_26Results[Winning Team],Standings!A18)</f>
        <v>16</v>
      </c>
      <c r="D18">
        <f>COUNTIFS('NHL2025-26Results'!$H:$H,A18,'NHL2025-26Results'!$F:$F,"")</f>
        <v>12</v>
      </c>
      <c r="E18">
        <f>COUNTIFS('NHL2025-26Results'!$F:$F,"OT",'NHL2025-26Results'!$H:$H,A18) + COUNTIFS('NHL2025-26Results'!$F:$F,"SO",'NHL2025-26Results'!$H:$H,A18)</f>
        <v>1</v>
      </c>
      <c r="F18" s="3">
        <f>(Table1[[#This Row],[W]]*2)+Table1[[#This Row],[OTL]]</f>
        <v>33</v>
      </c>
      <c r="G18">
        <f>COUNTIFS('NHL2025-26Results'!$D:$D,A18,'NHL2025-26Results'!$G:$G,A18)</f>
        <v>9</v>
      </c>
      <c r="H18">
        <f>COUNTIFS('NHL2025-26Results'!$D:$D,A18,'NHL2025-26Results'!$H:$H,A18,'NHL2025-26Results'!$F:$F,"")</f>
        <v>4</v>
      </c>
      <c r="I18">
        <f>COUNTIFS('NHL2025-26Results'!$D:$D,A18,'NHL2025-26Results'!$H:$H,A18,'NHL2025-26Results'!$F:$F,"OT") + COUNTIFS('NHL2025-26Results'!$D:$D,A18,'NHL2025-26Results'!$H:$H,A18,'NHL2025-26Results'!$F:$F,"SO")</f>
        <v>1</v>
      </c>
      <c r="J18">
        <f>COUNTIFS('NHL2025-26Results'!$B:$B,A18,'NHL2025-26Results'!$G:$G,A18)</f>
        <v>7</v>
      </c>
      <c r="K18">
        <f>COUNTIFS('NHL2025-26Results'!$B:$B,A18,'NHL2025-26Results'!$H:$H,A18,'NHL2025-26Results'!$F:$F,"")</f>
        <v>8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0.6428571428571429</v>
      </c>
      <c r="N18" s="11">
        <f>Table1[[#This Row],[AwayWins]]/SUM(Table1[[#This Row],[AwayWins]:[AwayOTL]])</f>
        <v>0.46666666666666667</v>
      </c>
      <c r="O18" s="14">
        <f>SUMIFS('NHL2025-26Results'!$E:$E,'NHL2025-26Results'!$D:$D,A18,'NHL2025-26Results'!$E:$E,"&gt;0")/COUNTIFS('NHL2025-26Results'!$D:$D,A18,'NHL2025-26Results'!$E:$E,"&gt;0")</f>
        <v>3.3333333333333335</v>
      </c>
      <c r="P18" s="14">
        <f>SUMIFS('NHL2025-26Results'!$C:$C,'NHL2025-26Results'!$B:$B,A18,'NHL2025-26Results'!$C:$C,"&gt;0")/COUNTIFS('NHL2025-26Results'!$B:$B,A18,'NHL2025-26Results'!$C:$C,"&gt;0")</f>
        <v>3.1428571428571428</v>
      </c>
      <c r="Q18" s="14">
        <f>SUMIFS('NHL2025-26Results'!$C:$C,'NHL2025-26Results'!$D:$D,A18,'NHL2025-26Results'!$C:$C,"&gt;0")/COUNTIFS('NHL2025-26Results'!$D:$D,A18,'NHL2025-26Results'!$C:$C,"&gt;0")</f>
        <v>2.6428571428571428</v>
      </c>
      <c r="R18" s="14">
        <f>SUMIFS('NHL2025-26Results'!$E:$E,'NHL2025-26Results'!$B:$B,A18,'NHL2025-26Results'!$E:$E,"&gt;0")/COUNTIFS('NHL2025-26Results'!$B:$B,A18,'NHL2025-26Results'!$E:$E,"&gt;0")</f>
        <v>3.7142857142857144</v>
      </c>
    </row>
    <row r="19" spans="1:18" x14ac:dyDescent="0.2">
      <c r="A19" s="4" t="s">
        <v>30</v>
      </c>
      <c r="B19">
        <f>SUM(Table1[[#This Row],[W]:[OTL]])</f>
        <v>29</v>
      </c>
      <c r="C19">
        <f>COUNTIF(NHL2025_26Results[Winning Team],Standings!A19)</f>
        <v>16</v>
      </c>
      <c r="D19">
        <f>COUNTIFS('NHL2025-26Results'!$H:$H,A19,'NHL2025-26Results'!$F:$F,"")</f>
        <v>10</v>
      </c>
      <c r="E19">
        <f>COUNTIFS('NHL2025-26Results'!$F:$F,"OT",'NHL2025-26Results'!$H:$H,A19) + COUNTIFS('NHL2025-26Results'!$F:$F,"SO",'NHL2025-26Results'!$H:$H,A19)</f>
        <v>3</v>
      </c>
      <c r="F19" s="3">
        <f>(Table1[[#This Row],[W]]*2)+Table1[[#This Row],[OTL]]</f>
        <v>35</v>
      </c>
      <c r="G19">
        <f>COUNTIFS('NHL2025-26Results'!$D:$D,A19,'NHL2025-26Results'!$G:$G,A19)</f>
        <v>7</v>
      </c>
      <c r="H19">
        <f>COUNTIFS('NHL2025-26Results'!$D:$D,A19,'NHL2025-26Results'!$H:$H,A19,'NHL2025-26Results'!$F:$F,"")</f>
        <v>6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9</v>
      </c>
      <c r="K19">
        <f>COUNTIFS('NHL2025-26Results'!$B:$B,A19,'NHL2025-26Results'!$H:$H,A19,'NHL2025-26Results'!$F:$F,"")</f>
        <v>4</v>
      </c>
      <c r="L19">
        <f>COUNTIFS('NHL2025-26Results'!$B:$B,A19,'NHL2025-26Results'!$H:$H,A19,'NHL2025-26Results'!$F:$F,"OT") + COUNTIFS('NHL2025-26Results'!$B:$B,A19,'NHL2025-26Results'!$H:$H,A19,'NHL2025-26Results'!$F:$F,"SO")</f>
        <v>1</v>
      </c>
      <c r="M19" s="11">
        <f>Table1[[#This Row],[HomeWins]]/SUM(Table1[[#This Row],[HomeWins]:[HomeOTL]])</f>
        <v>0.46666666666666667</v>
      </c>
      <c r="N19" s="11">
        <f>Table1[[#This Row],[AwayWins]]/SUM(Table1[[#This Row],[AwayWins]:[AwayOTL]])</f>
        <v>0.6428571428571429</v>
      </c>
      <c r="O19" s="14">
        <f>SUMIFS('NHL2025-26Results'!$E:$E,'NHL2025-26Results'!$D:$D,A19,'NHL2025-26Results'!$E:$E,"&gt;0")/COUNTIFS('NHL2025-26Results'!$D:$D,A19,'NHL2025-26Results'!$E:$E,"&gt;0")</f>
        <v>2.8</v>
      </c>
      <c r="P19" s="14">
        <f>SUMIFS('NHL2025-26Results'!$C:$C,'NHL2025-26Results'!$B:$B,A19,'NHL2025-26Results'!$C:$C,"&gt;0")/COUNTIFS('NHL2025-26Results'!$B:$B,A19,'NHL2025-26Results'!$C:$C,"&gt;0")</f>
        <v>3.1428571428571428</v>
      </c>
      <c r="Q19" s="14">
        <f>SUMIFS('NHL2025-26Results'!$C:$C,'NHL2025-26Results'!$D:$D,A19,'NHL2025-26Results'!$C:$C,"&gt;0")/COUNTIFS('NHL2025-26Results'!$D:$D,A19,'NHL2025-26Results'!$C:$C,"&gt;0")</f>
        <v>3.1428571428571428</v>
      </c>
      <c r="R19" s="14">
        <f>SUMIFS('NHL2025-26Results'!$E:$E,'NHL2025-26Results'!$B:$B,A19,'NHL2025-26Results'!$E:$E,"&gt;0")/COUNTIFS('NHL2025-26Results'!$B:$B,A19,'NHL2025-26Results'!$E:$E,"&gt;0")</f>
        <v>3.3636363636363638</v>
      </c>
    </row>
    <row r="20" spans="1:18" x14ac:dyDescent="0.2">
      <c r="A20" s="4" t="s">
        <v>15</v>
      </c>
      <c r="B20">
        <f>SUM(Table1[[#This Row],[W]:[OTL]])</f>
        <v>30</v>
      </c>
      <c r="C20">
        <f>COUNTIF(NHL2025_26Results[Winning Team],Standings!A20)</f>
        <v>15</v>
      </c>
      <c r="D20">
        <f>COUNTIFS('NHL2025-26Results'!$H:$H,A20,'NHL2025-26Results'!$F:$F,"")</f>
        <v>12</v>
      </c>
      <c r="E20">
        <f>COUNTIFS('NHL2025-26Results'!$F:$F,"OT",'NHL2025-26Results'!$H:$H,A20) + COUNTIFS('NHL2025-26Results'!$F:$F,"SO",'NHL2025-26Results'!$H:$H,A20)</f>
        <v>3</v>
      </c>
      <c r="F20" s="3">
        <f>(Table1[[#This Row],[W]]*2)+Table1[[#This Row],[OTL]]</f>
        <v>33</v>
      </c>
      <c r="G20">
        <f>COUNTIFS('NHL2025-26Results'!$D:$D,A20,'NHL2025-26Results'!$G:$G,A20)</f>
        <v>3</v>
      </c>
      <c r="H20">
        <f>COUNTIFS('NHL2025-26Results'!$D:$D,A20,'NHL2025-26Results'!$H:$H,A20,'NHL2025-26Results'!$F:$F,"")</f>
        <v>8</v>
      </c>
      <c r="I20">
        <f>COUNTIFS('NHL2025-26Results'!$D:$D,A20,'NHL2025-26Results'!$H:$H,A20,'NHL2025-26Results'!$F:$F,"OT") + COUNTIFS('NHL2025-26Results'!$D:$D,A20,'NHL2025-26Results'!$H:$H,A20,'NHL2025-26Results'!$F:$F,"SO")</f>
        <v>2</v>
      </c>
      <c r="J20">
        <f>COUNTIFS('NHL2025-26Results'!$B:$B,A20,'NHL2025-26Results'!$G:$G,A20)</f>
        <v>12</v>
      </c>
      <c r="K20">
        <f>COUNTIFS('NHL2025-26Results'!$B:$B,A20,'NHL2025-26Results'!$H:$H,A20,'NHL2025-26Results'!$F:$F,"")</f>
        <v>4</v>
      </c>
      <c r="L20">
        <f>COUNTIFS('NHL2025-26Results'!$B:$B,A20,'NHL2025-26Results'!$H:$H,A20,'NHL2025-26Results'!$F:$F,"OT") + COUNTIFS('NHL2025-26Results'!$B:$B,A20,'NHL2025-26Results'!$H:$H,A20,'NHL2025-26Results'!$F:$F,"SO")</f>
        <v>1</v>
      </c>
      <c r="M20" s="11">
        <f>Table1[[#This Row],[HomeWins]]/SUM(Table1[[#This Row],[HomeWins]:[HomeOTL]])</f>
        <v>0.23076923076923078</v>
      </c>
      <c r="N20" s="11">
        <f>Table1[[#This Row],[AwayWins]]/SUM(Table1[[#This Row],[AwayWins]:[AwayOTL]])</f>
        <v>0.70588235294117652</v>
      </c>
      <c r="O20" s="14">
        <f>SUMIFS('NHL2025-26Results'!$E:$E,'NHL2025-26Results'!$D:$D,A20,'NHL2025-26Results'!$E:$E,"&gt;0")/COUNTIFS('NHL2025-26Results'!$D:$D,A20,'NHL2025-26Results'!$E:$E,"&gt;0")</f>
        <v>2.75</v>
      </c>
      <c r="P20" s="14">
        <f>SUMIFS('NHL2025-26Results'!$C:$C,'NHL2025-26Results'!$B:$B,A20,'NHL2025-26Results'!$C:$C,"&gt;0")/COUNTIFS('NHL2025-26Results'!$B:$B,A20,'NHL2025-26Results'!$C:$C,"&gt;0")</f>
        <v>3.4705882352941178</v>
      </c>
      <c r="Q20" s="14">
        <f>SUMIFS('NHL2025-26Results'!$C:$C,'NHL2025-26Results'!$D:$D,A20,'NHL2025-26Results'!$C:$C,"&gt;0")/COUNTIFS('NHL2025-26Results'!$D:$D,A20,'NHL2025-26Results'!$C:$C,"&gt;0")</f>
        <v>3</v>
      </c>
      <c r="R20" s="14">
        <f>SUMIFS('NHL2025-26Results'!$E:$E,'NHL2025-26Results'!$B:$B,A20,'NHL2025-26Results'!$E:$E,"&gt;0")/COUNTIFS('NHL2025-26Results'!$B:$B,A20,'NHL2025-26Results'!$E:$E,"&gt;0")</f>
        <v>2.6</v>
      </c>
    </row>
    <row r="21" spans="1:18" x14ac:dyDescent="0.2">
      <c r="A21" s="4" t="s">
        <v>36</v>
      </c>
      <c r="B21">
        <f>SUM(Table1[[#This Row],[W]:[OTL]])</f>
        <v>28</v>
      </c>
      <c r="C21">
        <f>COUNTIF(NHL2025_26Results[Winning Team],Standings!A21)</f>
        <v>13</v>
      </c>
      <c r="D21">
        <f>COUNTIFS('NHL2025-26Results'!$H:$H,A21,'NHL2025-26Results'!$F:$F,"")</f>
        <v>11</v>
      </c>
      <c r="E21">
        <f>COUNTIFS('NHL2025-26Results'!$F:$F,"OT",'NHL2025-26Results'!$H:$H,A21) + COUNTIFS('NHL2025-26Results'!$F:$F,"SO",'NHL2025-26Results'!$H:$H,A21)</f>
        <v>4</v>
      </c>
      <c r="F21" s="3">
        <f>(Table1[[#This Row],[W]]*2)+Table1[[#This Row],[OTL]]</f>
        <v>30</v>
      </c>
      <c r="G21">
        <f>COUNTIFS('NHL2025-26Results'!$D:$D,A21,'NHL2025-26Results'!$G:$G,A21)</f>
        <v>6</v>
      </c>
      <c r="H21">
        <f>COUNTIFS('NHL2025-26Results'!$D:$D,A21,'NHL2025-26Results'!$H:$H,A21,'NHL2025-26Results'!$F:$F,"")</f>
        <v>5</v>
      </c>
      <c r="I21">
        <f>COUNTIFS('NHL2025-26Results'!$D:$D,A21,'NHL2025-26Results'!$H:$H,A21,'NHL2025-26Results'!$F:$F,"OT") + COUNTIFS('NHL2025-26Results'!$D:$D,A21,'NHL2025-26Results'!$H:$H,A21,'NHL2025-26Results'!$F:$F,"SO")</f>
        <v>2</v>
      </c>
      <c r="J21">
        <f>COUNTIFS('NHL2025-26Results'!$B:$B,A21,'NHL2025-26Results'!$G:$G,A21)</f>
        <v>7</v>
      </c>
      <c r="K21">
        <f>COUNTIFS('NHL2025-26Results'!$B:$B,A21,'NHL2025-26Results'!$H:$H,A21,'NHL2025-26Results'!$F:$F,"")</f>
        <v>6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0.46153846153846156</v>
      </c>
      <c r="N21" s="11">
        <f>Table1[[#This Row],[AwayWins]]/SUM(Table1[[#This Row],[AwayWins]:[AwayOTL]])</f>
        <v>0.46666666666666667</v>
      </c>
      <c r="O21" s="14">
        <f>SUMIFS('NHL2025-26Results'!$E:$E,'NHL2025-26Results'!$D:$D,A21,'NHL2025-26Results'!$E:$E,"&gt;0")/COUNTIFS('NHL2025-26Results'!$D:$D,A21,'NHL2025-26Results'!$E:$E,"&gt;0")</f>
        <v>3.1666666666666665</v>
      </c>
      <c r="P21" s="14">
        <f>SUMIFS('NHL2025-26Results'!$C:$C,'NHL2025-26Results'!$B:$B,A21,'NHL2025-26Results'!$C:$C,"&gt;0")/COUNTIFS('NHL2025-26Results'!$B:$B,A21,'NHL2025-26Results'!$C:$C,"&gt;0")</f>
        <v>3.2666666666666666</v>
      </c>
      <c r="Q21" s="14">
        <f>SUMIFS('NHL2025-26Results'!$C:$C,'NHL2025-26Results'!$D:$D,A21,'NHL2025-26Results'!$C:$C,"&gt;0")/COUNTIFS('NHL2025-26Results'!$D:$D,A21,'NHL2025-26Results'!$C:$C,"&gt;0")</f>
        <v>2.7692307692307692</v>
      </c>
      <c r="R21" s="14">
        <f>SUMIFS('NHL2025-26Results'!$E:$E,'NHL2025-26Results'!$B:$B,A21,'NHL2025-26Results'!$E:$E,"&gt;0")/COUNTIFS('NHL2025-26Results'!$B:$B,A21,'NHL2025-26Results'!$E:$E,"&gt;0")</f>
        <v>3.7333333333333334</v>
      </c>
    </row>
    <row r="22" spans="1:18" x14ac:dyDescent="0.2">
      <c r="A22" s="4" t="s">
        <v>27</v>
      </c>
      <c r="B22">
        <f>SUM(Table1[[#This Row],[W]:[OTL]])</f>
        <v>26</v>
      </c>
      <c r="C22">
        <f>COUNTIF(NHL2025_26Results[Winning Team],Standings!A22)</f>
        <v>15</v>
      </c>
      <c r="D22">
        <f>COUNTIFS('NHL2025-26Results'!$H:$H,A22,'NHL2025-26Results'!$F:$F,"")</f>
        <v>8</v>
      </c>
      <c r="E22">
        <f>COUNTIFS('NHL2025-26Results'!$F:$F,"OT",'NHL2025-26Results'!$H:$H,A22) + COUNTIFS('NHL2025-26Results'!$F:$F,"SO",'NHL2025-26Results'!$H:$H,A22)</f>
        <v>3</v>
      </c>
      <c r="F22" s="3">
        <f>(Table1[[#This Row],[W]]*2)+Table1[[#This Row],[OTL]]</f>
        <v>33</v>
      </c>
      <c r="G22">
        <f>COUNTIFS('NHL2025-26Results'!$D:$D,A22,'NHL2025-26Results'!$G:$G,A22)</f>
        <v>9</v>
      </c>
      <c r="H22">
        <f>COUNTIFS('NHL2025-26Results'!$D:$D,A22,'NHL2025-26Results'!$H:$H,A22,'NHL2025-26Results'!$F:$F,"")</f>
        <v>4</v>
      </c>
      <c r="I22">
        <f>COUNTIFS('NHL2025-26Results'!$D:$D,A22,'NHL2025-26Results'!$H:$H,A22,'NHL2025-26Results'!$F:$F,"OT") + COUNTIFS('NHL2025-26Results'!$D:$D,A22,'NHL2025-26Results'!$H:$H,A22,'NHL2025-26Results'!$F:$F,"SO")</f>
        <v>2</v>
      </c>
      <c r="J22">
        <f>COUNTIFS('NHL2025-26Results'!$B:$B,A22,'NHL2025-26Results'!$G:$G,A22)</f>
        <v>6</v>
      </c>
      <c r="K22">
        <f>COUNTIFS('NHL2025-26Results'!$B:$B,A22,'NHL2025-26Results'!$H:$H,A22,'NHL2025-26Results'!$F:$F,"")</f>
        <v>4</v>
      </c>
      <c r="L22">
        <f>COUNTIFS('NHL2025-26Results'!$B:$B,A22,'NHL2025-26Results'!$H:$H,A22,'NHL2025-26Results'!$F:$F,"OT") + COUNTIFS('NHL2025-26Results'!$B:$B,A22,'NHL2025-26Results'!$H:$H,A22,'NHL2025-26Results'!$F:$F,"SO")</f>
        <v>1</v>
      </c>
      <c r="M22" s="11">
        <f>Table1[[#This Row],[HomeWins]]/SUM(Table1[[#This Row],[HomeWins]:[HomeOTL]])</f>
        <v>0.6</v>
      </c>
      <c r="N22" s="11">
        <f>Table1[[#This Row],[AwayWins]]/SUM(Table1[[#This Row],[AwayWins]:[AwayOTL]])</f>
        <v>0.54545454545454541</v>
      </c>
      <c r="O22" s="14">
        <f>SUMIFS('NHL2025-26Results'!$E:$E,'NHL2025-26Results'!$D:$D,A22,'NHL2025-26Results'!$E:$E,"&gt;0")/COUNTIFS('NHL2025-26Results'!$D:$D,A22,'NHL2025-26Results'!$E:$E,"&gt;0")</f>
        <v>3.0666666666666669</v>
      </c>
      <c r="P22" s="14">
        <f>SUMIFS('NHL2025-26Results'!$C:$C,'NHL2025-26Results'!$B:$B,A22,'NHL2025-26Results'!$C:$C,"&gt;0")/COUNTIFS('NHL2025-26Results'!$B:$B,A22,'NHL2025-26Results'!$C:$C,"&gt;0")</f>
        <v>3.3</v>
      </c>
      <c r="Q22" s="14">
        <f>SUMIFS('NHL2025-26Results'!$C:$C,'NHL2025-26Results'!$D:$D,A22,'NHL2025-26Results'!$C:$C,"&gt;0")/COUNTIFS('NHL2025-26Results'!$D:$D,A22,'NHL2025-26Results'!$C:$C,"&gt;0")</f>
        <v>2.6666666666666665</v>
      </c>
      <c r="R22" s="14">
        <f>SUMIFS('NHL2025-26Results'!$E:$E,'NHL2025-26Results'!$B:$B,A22,'NHL2025-26Results'!$E:$E,"&gt;0")/COUNTIFS('NHL2025-26Results'!$B:$B,A22,'NHL2025-26Results'!$E:$E,"&gt;0")</f>
        <v>3.0909090909090908</v>
      </c>
    </row>
    <row r="23" spans="1:18" x14ac:dyDescent="0.2">
      <c r="A23" s="4" t="s">
        <v>14</v>
      </c>
      <c r="B23">
        <f>SUM(Table1[[#This Row],[W]:[OTL]])</f>
        <v>26</v>
      </c>
      <c r="C23">
        <f>COUNTIF(NHL2025_26Results[Winning Team],Standings!A23)</f>
        <v>14</v>
      </c>
      <c r="D23">
        <f>COUNTIFS('NHL2025-26Results'!$H:$H,A23,'NHL2025-26Results'!$F:$F,"")</f>
        <v>7</v>
      </c>
      <c r="E23">
        <f>COUNTIFS('NHL2025-26Results'!$F:$F,"OT",'NHL2025-26Results'!$H:$H,A23) + COUNTIFS('NHL2025-26Results'!$F:$F,"SO",'NHL2025-26Results'!$H:$H,A23)</f>
        <v>5</v>
      </c>
      <c r="F23" s="3">
        <f>(Table1[[#This Row],[W]]*2)+Table1[[#This Row],[OTL]]</f>
        <v>33</v>
      </c>
      <c r="G23">
        <f>COUNTIFS('NHL2025-26Results'!$D:$D,A23,'NHL2025-26Results'!$G:$G,A23)</f>
        <v>6</v>
      </c>
      <c r="H23">
        <f>COUNTIFS('NHL2025-26Results'!$D:$D,A23,'NHL2025-26Results'!$H:$H,A23,'NHL2025-26Results'!$F:$F,"")</f>
        <v>4</v>
      </c>
      <c r="I23">
        <f>COUNTIFS('NHL2025-26Results'!$D:$D,A23,'NHL2025-26Results'!$H:$H,A23,'NHL2025-26Results'!$F:$F,"OT") + COUNTIFS('NHL2025-26Results'!$D:$D,A23,'NHL2025-26Results'!$H:$H,A23,'NHL2025-26Results'!$F:$F,"SO")</f>
        <v>2</v>
      </c>
      <c r="J23">
        <f>COUNTIFS('NHL2025-26Results'!$B:$B,A23,'NHL2025-26Results'!$G:$G,A23)</f>
        <v>8</v>
      </c>
      <c r="K23">
        <f>COUNTIFS('NHL2025-26Results'!$B:$B,A23,'NHL2025-26Results'!$H:$H,A23,'NHL2025-26Results'!$F:$F,"")</f>
        <v>3</v>
      </c>
      <c r="L23">
        <f>COUNTIFS('NHL2025-26Results'!$B:$B,A23,'NHL2025-26Results'!$H:$H,A23,'NHL2025-26Results'!$F:$F,"OT") + COUNTIFS('NHL2025-26Results'!$B:$B,A23,'NHL2025-26Results'!$H:$H,A23,'NHL2025-26Results'!$F:$F,"SO")</f>
        <v>3</v>
      </c>
      <c r="M23" s="11">
        <f>Table1[[#This Row],[HomeWins]]/SUM(Table1[[#This Row],[HomeWins]:[HomeOTL]])</f>
        <v>0.5</v>
      </c>
      <c r="N23" s="11">
        <f>Table1[[#This Row],[AwayWins]]/SUM(Table1[[#This Row],[AwayWins]:[AwayOTL]])</f>
        <v>0.5714285714285714</v>
      </c>
      <c r="O23" s="14">
        <f>SUMIFS('NHL2025-26Results'!$E:$E,'NHL2025-26Results'!$D:$D,A23,'NHL2025-26Results'!$E:$E,"&gt;0")/COUNTIFS('NHL2025-26Results'!$D:$D,A23,'NHL2025-26Results'!$E:$E,"&gt;0")</f>
        <v>3.5454545454545454</v>
      </c>
      <c r="P23" s="14">
        <f>SUMIFS('NHL2025-26Results'!$C:$C,'NHL2025-26Results'!$B:$B,A23,'NHL2025-26Results'!$C:$C,"&gt;0")/COUNTIFS('NHL2025-26Results'!$B:$B,A23,'NHL2025-26Results'!$C:$C,"&gt;0")</f>
        <v>3.1428571428571428</v>
      </c>
      <c r="Q23" s="14">
        <f>SUMIFS('NHL2025-26Results'!$C:$C,'NHL2025-26Results'!$D:$D,A23,'NHL2025-26Results'!$C:$C,"&gt;0")/COUNTIFS('NHL2025-26Results'!$D:$D,A23,'NHL2025-26Results'!$C:$C,"&gt;0")</f>
        <v>3.7272727272727271</v>
      </c>
      <c r="R23" s="14">
        <f>SUMIFS('NHL2025-26Results'!$E:$E,'NHL2025-26Results'!$B:$B,A23,'NHL2025-26Results'!$E:$E,"&gt;0")/COUNTIFS('NHL2025-26Results'!$B:$B,A23,'NHL2025-26Results'!$E:$E,"&gt;0")</f>
        <v>2.75</v>
      </c>
    </row>
    <row r="24" spans="1:18" x14ac:dyDescent="0.2">
      <c r="A24" s="4" t="s">
        <v>33</v>
      </c>
      <c r="B24">
        <f>SUM(Table1[[#This Row],[W]:[OTL]])</f>
        <v>29</v>
      </c>
      <c r="C24">
        <f>COUNTIF(NHL2025_26Results[Winning Team],Standings!A24)</f>
        <v>13</v>
      </c>
      <c r="D24">
        <f>COUNTIFS('NHL2025-26Results'!$H:$H,A24,'NHL2025-26Results'!$F:$F,"")</f>
        <v>13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29</v>
      </c>
      <c r="G24">
        <f>COUNTIFS('NHL2025-26Results'!$D:$D,A24,'NHL2025-26Results'!$G:$G,A24)</f>
        <v>9</v>
      </c>
      <c r="H24">
        <f>COUNTIFS('NHL2025-26Results'!$D:$D,A24,'NHL2025-26Results'!$H:$H,A24,'NHL2025-26Results'!$F:$F,"")</f>
        <v>5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4</v>
      </c>
      <c r="K24">
        <f>COUNTIFS('NHL2025-26Results'!$B:$B,A24,'NHL2025-26Results'!$H:$H,A24,'NHL2025-26Results'!$F:$F,"")</f>
        <v>8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0.52941176470588236</v>
      </c>
      <c r="N24" s="11">
        <f>Table1[[#This Row],[AwayWins]]/SUM(Table1[[#This Row],[AwayWins]:[AwayOTL]])</f>
        <v>0.33333333333333331</v>
      </c>
      <c r="O24" s="14">
        <f>SUMIFS('NHL2025-26Results'!$E:$E,'NHL2025-26Results'!$D:$D,A24,'NHL2025-26Results'!$E:$E,"&gt;0")/COUNTIFS('NHL2025-26Results'!$D:$D,A24,'NHL2025-26Results'!$E:$E,"&gt;0")</f>
        <v>3.125</v>
      </c>
      <c r="P24" s="14">
        <f>SUMIFS('NHL2025-26Results'!$C:$C,'NHL2025-26Results'!$B:$B,A24,'NHL2025-26Results'!$C:$C,"&gt;0")/COUNTIFS('NHL2025-26Results'!$B:$B,A24,'NHL2025-26Results'!$C:$C,"&gt;0")</f>
        <v>3.2</v>
      </c>
      <c r="Q24" s="14">
        <f>SUMIFS('NHL2025-26Results'!$C:$C,'NHL2025-26Results'!$D:$D,A24,'NHL2025-26Results'!$C:$C,"&gt;0")/COUNTIFS('NHL2025-26Results'!$D:$D,A24,'NHL2025-26Results'!$C:$C,"&gt;0")</f>
        <v>3.1176470588235294</v>
      </c>
      <c r="R24" s="14">
        <f>SUMIFS('NHL2025-26Results'!$E:$E,'NHL2025-26Results'!$B:$B,A24,'NHL2025-26Results'!$E:$E,"&gt;0")/COUNTIFS('NHL2025-26Results'!$B:$B,A24,'NHL2025-26Results'!$E:$E,"&gt;0")</f>
        <v>3.75</v>
      </c>
    </row>
    <row r="25" spans="1:18" x14ac:dyDescent="0.2">
      <c r="A25" s="4" t="s">
        <v>32</v>
      </c>
      <c r="B25">
        <f>SUM(Table1[[#This Row],[W]:[OTL]])</f>
        <v>26</v>
      </c>
      <c r="C25">
        <f>COUNTIF(NHL2025_26Results[Winning Team],Standings!A25)</f>
        <v>11</v>
      </c>
      <c r="D25">
        <f>COUNTIFS('NHL2025-26Results'!$H:$H,A25,'NHL2025-26Results'!$F:$F,"")</f>
        <v>9</v>
      </c>
      <c r="E25">
        <f>COUNTIFS('NHL2025-26Results'!$F:$F,"OT",'NHL2025-26Results'!$H:$H,A25) + COUNTIFS('NHL2025-26Results'!$F:$F,"SO",'NHL2025-26Results'!$H:$H,A25)</f>
        <v>6</v>
      </c>
      <c r="F25" s="3">
        <f>(Table1[[#This Row],[W]]*2)+Table1[[#This Row],[OTL]]</f>
        <v>28</v>
      </c>
      <c r="G25">
        <f>COUNTIFS('NHL2025-26Results'!$D:$D,A25,'NHL2025-26Results'!$G:$G,A25)</f>
        <v>6</v>
      </c>
      <c r="H25">
        <f>COUNTIFS('NHL2025-26Results'!$D:$D,A25,'NHL2025-26Results'!$H:$H,A25,'NHL2025-26Results'!$F:$F,"")</f>
        <v>4</v>
      </c>
      <c r="I25">
        <f>COUNTIFS('NHL2025-26Results'!$D:$D,A25,'NHL2025-26Results'!$H:$H,A25,'NHL2025-26Results'!$F:$F,"OT") + COUNTIFS('NHL2025-26Results'!$D:$D,A25,'NHL2025-26Results'!$H:$H,A25,'NHL2025-26Results'!$F:$F,"SO")</f>
        <v>3</v>
      </c>
      <c r="J25">
        <f>COUNTIFS('NHL2025-26Results'!$B:$B,A25,'NHL2025-26Results'!$G:$G,A25)</f>
        <v>5</v>
      </c>
      <c r="K25">
        <f>COUNTIFS('NHL2025-26Results'!$B:$B,A25,'NHL2025-26Results'!$H:$H,A25,'NHL2025-26Results'!$F:$F,"")</f>
        <v>5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0.46153846153846156</v>
      </c>
      <c r="N25" s="11">
        <f>Table1[[#This Row],[AwayWins]]/SUM(Table1[[#This Row],[AwayWins]:[AwayOTL]])</f>
        <v>0.38461538461538464</v>
      </c>
      <c r="O25" s="14">
        <f>SUMIFS('NHL2025-26Results'!$E:$E,'NHL2025-26Results'!$D:$D,A25,'NHL2025-26Results'!$E:$E,"&gt;0")/COUNTIFS('NHL2025-26Results'!$D:$D,A25,'NHL2025-26Results'!$E:$E,"&gt;0")</f>
        <v>2.6666666666666665</v>
      </c>
      <c r="P25" s="14">
        <f>SUMIFS('NHL2025-26Results'!$C:$C,'NHL2025-26Results'!$B:$B,A25,'NHL2025-26Results'!$C:$C,"&gt;0")/COUNTIFS('NHL2025-26Results'!$B:$B,A25,'NHL2025-26Results'!$C:$C,"&gt;0")</f>
        <v>2.8333333333333335</v>
      </c>
      <c r="Q25" s="14">
        <f>SUMIFS('NHL2025-26Results'!$C:$C,'NHL2025-26Results'!$D:$D,A25,'NHL2025-26Results'!$C:$C,"&gt;0")/COUNTIFS('NHL2025-26Results'!$D:$D,A25,'NHL2025-26Results'!$C:$C,"&gt;0")</f>
        <v>2.6923076923076925</v>
      </c>
      <c r="R25" s="14">
        <f>SUMIFS('NHL2025-26Results'!$E:$E,'NHL2025-26Results'!$B:$B,A25,'NHL2025-26Results'!$E:$E,"&gt;0")/COUNTIFS('NHL2025-26Results'!$B:$B,A25,'NHL2025-26Results'!$E:$E,"&gt;0")</f>
        <v>3.6666666666666665</v>
      </c>
    </row>
    <row r="26" spans="1:18" x14ac:dyDescent="0.2">
      <c r="A26" s="4" t="s">
        <v>35</v>
      </c>
      <c r="B26">
        <f>SUM(Table1[[#This Row],[W]:[OTL]])</f>
        <v>29</v>
      </c>
      <c r="C26">
        <f>COUNTIF(NHL2025_26Results[Winning Team],Standings!A26)</f>
        <v>10</v>
      </c>
      <c r="D26">
        <f>COUNTIFS('NHL2025-26Results'!$H:$H,A26,'NHL2025-26Results'!$F:$F,"")</f>
        <v>12</v>
      </c>
      <c r="E26">
        <f>COUNTIFS('NHL2025-26Results'!$F:$F,"OT",'NHL2025-26Results'!$H:$H,A26) + COUNTIFS('NHL2025-26Results'!$F:$F,"SO",'NHL2025-26Results'!$H:$H,A26)</f>
        <v>7</v>
      </c>
      <c r="F26" s="3">
        <f>(Table1[[#This Row],[W]]*2)+Table1[[#This Row],[OTL]]</f>
        <v>27</v>
      </c>
      <c r="G26">
        <f>COUNTIFS('NHL2025-26Results'!$D:$D,A26,'NHL2025-26Results'!$G:$G,A26)</f>
        <v>5</v>
      </c>
      <c r="H26">
        <f>COUNTIFS('NHL2025-26Results'!$D:$D,A26,'NHL2025-26Results'!$H:$H,A26,'NHL2025-26Results'!$F:$F,"")</f>
        <v>6</v>
      </c>
      <c r="I26">
        <f>COUNTIFS('NHL2025-26Results'!$D:$D,A26,'NHL2025-26Results'!$H:$H,A26,'NHL2025-26Results'!$F:$F,"OT") + COUNTIFS('NHL2025-26Results'!$D:$D,A26,'NHL2025-26Results'!$H:$H,A26,'NHL2025-26Results'!$F:$F,"SO")</f>
        <v>4</v>
      </c>
      <c r="J26">
        <f>COUNTIFS('NHL2025-26Results'!$B:$B,A26,'NHL2025-26Results'!$G:$G,A26)</f>
        <v>5</v>
      </c>
      <c r="K26">
        <f>COUNTIFS('NHL2025-26Results'!$B:$B,A26,'NHL2025-26Results'!$H:$H,A26,'NHL2025-26Results'!$F:$F,"")</f>
        <v>6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0.33333333333333331</v>
      </c>
      <c r="N26" s="11">
        <f>Table1[[#This Row],[AwayWins]]/SUM(Table1[[#This Row],[AwayWins]:[AwayOTL]])</f>
        <v>0.35714285714285715</v>
      </c>
      <c r="O26" s="14">
        <f>SUMIFS('NHL2025-26Results'!$E:$E,'NHL2025-26Results'!$D:$D,A26,'NHL2025-26Results'!$E:$E,"&gt;0")/COUNTIFS('NHL2025-26Results'!$D:$D,A26,'NHL2025-26Results'!$E:$E,"&gt;0")</f>
        <v>2.6428571428571428</v>
      </c>
      <c r="P26" s="14">
        <f>SUMIFS('NHL2025-26Results'!$C:$C,'NHL2025-26Results'!$B:$B,A26,'NHL2025-26Results'!$C:$C,"&gt;0")/COUNTIFS('NHL2025-26Results'!$B:$B,A26,'NHL2025-26Results'!$C:$C,"&gt;0")</f>
        <v>2.5714285714285716</v>
      </c>
      <c r="Q26" s="14">
        <f>SUMIFS('NHL2025-26Results'!$C:$C,'NHL2025-26Results'!$D:$D,A26,'NHL2025-26Results'!$C:$C,"&gt;0")/COUNTIFS('NHL2025-26Results'!$D:$D,A26,'NHL2025-26Results'!$C:$C,"&gt;0")</f>
        <v>4.0714285714285712</v>
      </c>
      <c r="R26" s="14">
        <f>SUMIFS('NHL2025-26Results'!$E:$E,'NHL2025-26Results'!$B:$B,A26,'NHL2025-26Results'!$E:$E,"&gt;0")/COUNTIFS('NHL2025-26Results'!$B:$B,A26,'NHL2025-26Results'!$E:$E,"&gt;0")</f>
        <v>3.3846153846153846</v>
      </c>
    </row>
    <row r="27" spans="1:18" x14ac:dyDescent="0.2">
      <c r="A27" s="4" t="s">
        <v>37</v>
      </c>
      <c r="B27">
        <f>SUM(Table1[[#This Row],[W]:[OTL]])</f>
        <v>28</v>
      </c>
      <c r="C27">
        <f>COUNTIF(NHL2025_26Results[Winning Team],Standings!A27)</f>
        <v>16</v>
      </c>
      <c r="D27">
        <f>COUNTIFS('NHL2025-26Results'!$H:$H,A27,'NHL2025-26Results'!$F:$F,"")</f>
        <v>10</v>
      </c>
      <c r="E27">
        <f>COUNTIFS('NHL2025-26Results'!$F:$F,"OT",'NHL2025-26Results'!$H:$H,A27) + COUNTIFS('NHL2025-26Results'!$F:$F,"SO",'NHL2025-26Results'!$H:$H,A27)</f>
        <v>2</v>
      </c>
      <c r="F27" s="3">
        <f>(Table1[[#This Row],[W]]*2)+Table1[[#This Row],[OTL]]</f>
        <v>34</v>
      </c>
      <c r="G27">
        <f>COUNTIFS('NHL2025-26Results'!$D:$D,A27,'NHL2025-26Results'!$G:$G,A27)</f>
        <v>8</v>
      </c>
      <c r="H27">
        <f>COUNTIFS('NHL2025-26Results'!$D:$D,A27,'NHL2025-26Results'!$H:$H,A27,'NHL2025-26Results'!$F:$F,"")</f>
        <v>7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8</v>
      </c>
      <c r="K27">
        <f>COUNTIFS('NHL2025-26Results'!$B:$B,A27,'NHL2025-26Results'!$H:$H,A27,'NHL2025-26Results'!$F:$F,"")</f>
        <v>3</v>
      </c>
      <c r="L27">
        <f>COUNTIFS('NHL2025-26Results'!$B:$B,A27,'NHL2025-26Results'!$H:$H,A27,'NHL2025-26Results'!$F:$F,"OT") + COUNTIFS('NHL2025-26Results'!$B:$B,A27,'NHL2025-26Results'!$H:$H,A27,'NHL2025-26Results'!$F:$F,"SO")</f>
        <v>2</v>
      </c>
      <c r="M27" s="11">
        <f>Table1[[#This Row],[HomeWins]]/SUM(Table1[[#This Row],[HomeWins]:[HomeOTL]])</f>
        <v>0.53333333333333333</v>
      </c>
      <c r="N27" s="11">
        <f>Table1[[#This Row],[AwayWins]]/SUM(Table1[[#This Row],[AwayWins]:[AwayOTL]])</f>
        <v>0.61538461538461542</v>
      </c>
      <c r="O27" s="14">
        <f>SUMIFS('NHL2025-26Results'!$E:$E,'NHL2025-26Results'!$D:$D,A27,'NHL2025-26Results'!$E:$E,"&gt;0")/COUNTIFS('NHL2025-26Results'!$D:$D,A27,'NHL2025-26Results'!$E:$E,"&gt;0")</f>
        <v>3.0714285714285716</v>
      </c>
      <c r="P27" s="14">
        <f>SUMIFS('NHL2025-26Results'!$C:$C,'NHL2025-26Results'!$B:$B,A27,'NHL2025-26Results'!$C:$C,"&gt;0")/COUNTIFS('NHL2025-26Results'!$B:$B,A27,'NHL2025-26Results'!$C:$C,"&gt;0")</f>
        <v>3.4615384615384617</v>
      </c>
      <c r="Q27" s="14">
        <f>SUMIFS('NHL2025-26Results'!$C:$C,'NHL2025-26Results'!$D:$D,A27,'NHL2025-26Results'!$C:$C,"&gt;0")/COUNTIFS('NHL2025-26Results'!$D:$D,A27,'NHL2025-26Results'!$C:$C,"&gt;0")</f>
        <v>3</v>
      </c>
      <c r="R27" s="14">
        <f>SUMIFS('NHL2025-26Results'!$E:$E,'NHL2025-26Results'!$B:$B,A27,'NHL2025-26Results'!$E:$E,"&gt;0")/COUNTIFS('NHL2025-26Results'!$B:$B,A27,'NHL2025-26Results'!$E:$E,"&gt;0")</f>
        <v>2.3846153846153846</v>
      </c>
    </row>
    <row r="28" spans="1:18" x14ac:dyDescent="0.2">
      <c r="A28" s="4" t="s">
        <v>19</v>
      </c>
      <c r="B28">
        <f>SUM(Table1[[#This Row],[W]:[OTL]])</f>
        <v>28</v>
      </c>
      <c r="C28">
        <f>COUNTIF(NHL2025_26Results[Winning Team],Standings!A28)</f>
        <v>13</v>
      </c>
      <c r="D28">
        <f>COUNTIFS('NHL2025-26Results'!$H:$H,A28,'NHL2025-26Results'!$F:$F,"")</f>
        <v>11</v>
      </c>
      <c r="E28">
        <f>COUNTIFS('NHL2025-26Results'!$F:$F,"OT",'NHL2025-26Results'!$H:$H,A28) + COUNTIFS('NHL2025-26Results'!$F:$F,"SO",'NHL2025-26Results'!$H:$H,A28)</f>
        <v>4</v>
      </c>
      <c r="F28" s="3">
        <f>(Table1[[#This Row],[W]]*2)+Table1[[#This Row],[OTL]]</f>
        <v>30</v>
      </c>
      <c r="G28">
        <f>COUNTIFS('NHL2025-26Results'!$D:$D,A28,'NHL2025-26Results'!$G:$G,A28)</f>
        <v>8</v>
      </c>
      <c r="H28">
        <f>COUNTIFS('NHL2025-26Results'!$D:$D,A28,'NHL2025-26Results'!$H:$H,A28,'NHL2025-26Results'!$F:$F,"")</f>
        <v>4</v>
      </c>
      <c r="I28">
        <f>COUNTIFS('NHL2025-26Results'!$D:$D,A28,'NHL2025-26Results'!$H:$H,A28,'NHL2025-26Results'!$F:$F,"OT") + COUNTIFS('NHL2025-26Results'!$D:$D,A28,'NHL2025-26Results'!$H:$H,A28,'NHL2025-26Results'!$F:$F,"SO")</f>
        <v>4</v>
      </c>
      <c r="J28">
        <f>COUNTIFS('NHL2025-26Results'!$B:$B,A28,'NHL2025-26Results'!$G:$G,A28)</f>
        <v>5</v>
      </c>
      <c r="K28">
        <f>COUNTIFS('NHL2025-26Results'!$B:$B,A28,'NHL2025-26Results'!$H:$H,A28,'NHL2025-26Results'!$F:$F,"")</f>
        <v>7</v>
      </c>
      <c r="L28">
        <f>COUNTIFS('NHL2025-26Results'!$B:$B,A28,'NHL2025-26Results'!$H:$H,A28,'NHL2025-26Results'!$F:$F,"OT") + COUNTIFS('NHL2025-26Results'!$B:$B,A28,'NHL2025-26Results'!$H:$H,A28,'NHL2025-26Results'!$F:$F,"SO")</f>
        <v>0</v>
      </c>
      <c r="M28" s="11">
        <f>Table1[[#This Row],[HomeWins]]/SUM(Table1[[#This Row],[HomeWins]:[HomeOTL]])</f>
        <v>0.5</v>
      </c>
      <c r="N28" s="11">
        <f>Table1[[#This Row],[AwayWins]]/SUM(Table1[[#This Row],[AwayWins]:[AwayOTL]])</f>
        <v>0.41666666666666669</v>
      </c>
      <c r="O28" s="14">
        <f>SUMIFS('NHL2025-26Results'!$E:$E,'NHL2025-26Results'!$D:$D,A28,'NHL2025-26Results'!$E:$E,"&gt;0")/COUNTIFS('NHL2025-26Results'!$D:$D,A28,'NHL2025-26Results'!$E:$E,"&gt;0")</f>
        <v>3.375</v>
      </c>
      <c r="P28" s="14">
        <f>SUMIFS('NHL2025-26Results'!$C:$C,'NHL2025-26Results'!$B:$B,A28,'NHL2025-26Results'!$C:$C,"&gt;0")/COUNTIFS('NHL2025-26Results'!$B:$B,A28,'NHL2025-26Results'!$C:$C,"&gt;0")</f>
        <v>3.4166666666666665</v>
      </c>
      <c r="Q28" s="14">
        <f>SUMIFS('NHL2025-26Results'!$C:$C,'NHL2025-26Results'!$D:$D,A28,'NHL2025-26Results'!$C:$C,"&gt;0")/COUNTIFS('NHL2025-26Results'!$D:$D,A28,'NHL2025-26Results'!$C:$C,"&gt;0")</f>
        <v>3.25</v>
      </c>
      <c r="R28" s="14">
        <f>SUMIFS('NHL2025-26Results'!$E:$E,'NHL2025-26Results'!$B:$B,A28,'NHL2025-26Results'!$E:$E,"&gt;0")/COUNTIFS('NHL2025-26Results'!$B:$B,A28,'NHL2025-26Results'!$E:$E,"&gt;0")</f>
        <v>3.4166666666666665</v>
      </c>
    </row>
    <row r="29" spans="1:18" x14ac:dyDescent="0.2">
      <c r="A29" t="s">
        <v>55</v>
      </c>
      <c r="B29">
        <f>SUM(Table1[[#This Row],[W]:[OTL]])</f>
        <v>30</v>
      </c>
      <c r="C29">
        <f>COUNTIF(NHL2025_26Results[Winning Team],Standings!A29)</f>
        <v>14</v>
      </c>
      <c r="D29">
        <f>COUNTIFS('NHL2025-26Results'!$H:$H,A29,'NHL2025-26Results'!$F:$F,"")</f>
        <v>13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31</v>
      </c>
      <c r="G29">
        <f>COUNTIFS('NHL2025-26Results'!$D:$D,A29,'NHL2025-26Results'!$G:$G,A29)</f>
        <v>7</v>
      </c>
      <c r="H29">
        <f>COUNTIFS('NHL2025-26Results'!$D:$D,A29,'NHL2025-26Results'!$H:$H,A29,'NHL2025-26Results'!$F:$F,"")</f>
        <v>3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7</v>
      </c>
      <c r="K29">
        <f>COUNTIFS('NHL2025-26Results'!$B:$B,A29,'NHL2025-26Results'!$H:$H,A29,'NHL2025-26Results'!$F:$F,"")</f>
        <v>10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0.63636363636363635</v>
      </c>
      <c r="N29" s="11">
        <f>Table1[[#This Row],[AwayWins]]/SUM(Table1[[#This Row],[AwayWins]:[AwayOTL]])</f>
        <v>0.36842105263157893</v>
      </c>
      <c r="O29" s="14">
        <f>SUMIFS('NHL2025-26Results'!$E:$E,'NHL2025-26Results'!$D:$D,A29,'NHL2025-26Results'!$E:$E,"&gt;0")/COUNTIFS('NHL2025-26Results'!$D:$D,A29,'NHL2025-26Results'!$E:$E,"&gt;0")</f>
        <v>3.3636363636363638</v>
      </c>
      <c r="P29" s="14">
        <f>SUMIFS('NHL2025-26Results'!$C:$C,'NHL2025-26Results'!$B:$B,A29,'NHL2025-26Results'!$C:$C,"&gt;0")/COUNTIFS('NHL2025-26Results'!$B:$B,A29,'NHL2025-26Results'!$C:$C,"&gt;0")</f>
        <v>3.1764705882352939</v>
      </c>
      <c r="Q29" s="14">
        <f>SUMIFS('NHL2025-26Results'!$C:$C,'NHL2025-26Results'!$D:$D,A29,'NHL2025-26Results'!$C:$C,"&gt;0")/COUNTIFS('NHL2025-26Results'!$D:$D,A29,'NHL2025-26Results'!$C:$C,"&gt;0")</f>
        <v>2.6363636363636362</v>
      </c>
      <c r="R29" s="14">
        <f>SUMIFS('NHL2025-26Results'!$E:$E,'NHL2025-26Results'!$B:$B,A29,'NHL2025-26Results'!$E:$E,"&gt;0")/COUNTIFS('NHL2025-26Results'!$B:$B,A29,'NHL2025-26Results'!$E:$E,"&gt;0")</f>
        <v>3.1666666666666665</v>
      </c>
    </row>
    <row r="30" spans="1:18" x14ac:dyDescent="0.2">
      <c r="A30" s="4" t="s">
        <v>38</v>
      </c>
      <c r="B30">
        <f>SUM(Table1[[#This Row],[W]:[OTL]])</f>
        <v>29</v>
      </c>
      <c r="C30">
        <f>COUNTIF(NHL2025_26Results[Winning Team],Standings!A30)</f>
        <v>11</v>
      </c>
      <c r="D30">
        <f>COUNTIFS('NHL2025-26Results'!$H:$H,A30,'NHL2025-26Results'!$F:$F,"")</f>
        <v>15</v>
      </c>
      <c r="E30">
        <f>COUNTIFS('NHL2025-26Results'!$F:$F,"OT",'NHL2025-26Results'!$H:$H,A30) + COUNTIFS('NHL2025-26Results'!$F:$F,"SO",'NHL2025-26Results'!$H:$H,A30)</f>
        <v>3</v>
      </c>
      <c r="F30" s="3">
        <f>(Table1[[#This Row],[W]]*2)+Table1[[#This Row],[OTL]]</f>
        <v>25</v>
      </c>
      <c r="G30">
        <f>COUNTIFS('NHL2025-26Results'!$D:$D,A30,'NHL2025-26Results'!$G:$G,A30)</f>
        <v>4</v>
      </c>
      <c r="H30">
        <f>COUNTIFS('NHL2025-26Results'!$D:$D,A30,'NHL2025-26Results'!$H:$H,A30,'NHL2025-26Results'!$F:$F,"")</f>
        <v>8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7</v>
      </c>
      <c r="K30">
        <f>COUNTIFS('NHL2025-26Results'!$B:$B,A30,'NHL2025-26Results'!$H:$H,A30,'NHL2025-26Results'!$F:$F,"")</f>
        <v>7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0.30769230769230771</v>
      </c>
      <c r="N30" s="11">
        <f>Table1[[#This Row],[AwayWins]]/SUM(Table1[[#This Row],[AwayWins]:[AwayOTL]])</f>
        <v>0.4375</v>
      </c>
      <c r="O30" s="14">
        <f>SUMIFS('NHL2025-26Results'!$E:$E,'NHL2025-26Results'!$D:$D,A30,'NHL2025-26Results'!$E:$E,"&gt;0")/COUNTIFS('NHL2025-26Results'!$D:$D,A30,'NHL2025-26Results'!$E:$E,"&gt;0")</f>
        <v>3</v>
      </c>
      <c r="P30" s="14">
        <f>SUMIFS('NHL2025-26Results'!$C:$C,'NHL2025-26Results'!$B:$B,A30,'NHL2025-26Results'!$C:$C,"&gt;0")/COUNTIFS('NHL2025-26Results'!$B:$B,A30,'NHL2025-26Results'!$C:$C,"&gt;0")</f>
        <v>3.0625</v>
      </c>
      <c r="Q30" s="14">
        <f>SUMIFS('NHL2025-26Results'!$C:$C,'NHL2025-26Results'!$D:$D,A30,'NHL2025-26Results'!$C:$C,"&gt;0")/COUNTIFS('NHL2025-26Results'!$D:$D,A30,'NHL2025-26Results'!$C:$C,"&gt;0")</f>
        <v>3.6923076923076925</v>
      </c>
      <c r="R30" s="14">
        <f>SUMIFS('NHL2025-26Results'!$E:$E,'NHL2025-26Results'!$B:$B,A30,'NHL2025-26Results'!$E:$E,"&gt;0")/COUNTIFS('NHL2025-26Results'!$B:$B,A30,'NHL2025-26Results'!$E:$E,"&gt;0")</f>
        <v>3.5</v>
      </c>
    </row>
    <row r="31" spans="1:18" x14ac:dyDescent="0.2">
      <c r="A31" s="4" t="s">
        <v>20</v>
      </c>
      <c r="B31">
        <f>SUM(Table1[[#This Row],[W]:[OTL]])</f>
        <v>27</v>
      </c>
      <c r="C31">
        <f>COUNTIF(NHL2025_26Results[Winning Team],Standings!A31)</f>
        <v>13</v>
      </c>
      <c r="D31">
        <f>COUNTIFS('NHL2025-26Results'!$H:$H,A31,'NHL2025-26Results'!$F:$F,"")</f>
        <v>6</v>
      </c>
      <c r="E31">
        <f>COUNTIFS('NHL2025-26Results'!$F:$F,"OT",'NHL2025-26Results'!$H:$H,A31) + COUNTIFS('NHL2025-26Results'!$F:$F,"SO",'NHL2025-26Results'!$H:$H,A31)</f>
        <v>8</v>
      </c>
      <c r="F31" s="3">
        <f>(Table1[[#This Row],[W]]*2)+Table1[[#This Row],[OTL]]</f>
        <v>34</v>
      </c>
      <c r="G31">
        <f>COUNTIFS('NHL2025-26Results'!$D:$D,A31,'NHL2025-26Results'!$G:$G,A31)</f>
        <v>7</v>
      </c>
      <c r="H31">
        <f>COUNTIFS('NHL2025-26Results'!$D:$D,A31,'NHL2025-26Results'!$H:$H,A31,'NHL2025-26Results'!$F:$F,"")</f>
        <v>4</v>
      </c>
      <c r="I31">
        <f>COUNTIFS('NHL2025-26Results'!$D:$D,A31,'NHL2025-26Results'!$H:$H,A31,'NHL2025-26Results'!$F:$F,"OT") + COUNTIFS('NHL2025-26Results'!$D:$D,A31,'NHL2025-26Results'!$H:$H,A31,'NHL2025-26Results'!$F:$F,"SO")</f>
        <v>4</v>
      </c>
      <c r="J31">
        <f>COUNTIFS('NHL2025-26Results'!$B:$B,A31,'NHL2025-26Results'!$G:$G,A31)</f>
        <v>6</v>
      </c>
      <c r="K31">
        <f>COUNTIFS('NHL2025-26Results'!$B:$B,A31,'NHL2025-26Results'!$H:$H,A31,'NHL2025-26Results'!$F:$F,"")</f>
        <v>2</v>
      </c>
      <c r="L31">
        <f>COUNTIFS('NHL2025-26Results'!$B:$B,A31,'NHL2025-26Results'!$H:$H,A31,'NHL2025-26Results'!$F:$F,"OT") + COUNTIFS('NHL2025-26Results'!$B:$B,A31,'NHL2025-26Results'!$H:$H,A31,'NHL2025-26Results'!$F:$F,"SO")</f>
        <v>4</v>
      </c>
      <c r="M31" s="11">
        <f>Table1[[#This Row],[HomeWins]]/SUM(Table1[[#This Row],[HomeWins]:[HomeOTL]])</f>
        <v>0.46666666666666667</v>
      </c>
      <c r="N31" s="11">
        <f>Table1[[#This Row],[AwayWins]]/SUM(Table1[[#This Row],[AwayWins]:[AwayOTL]])</f>
        <v>0.5</v>
      </c>
      <c r="O31" s="14">
        <f>SUMIFS('NHL2025-26Results'!$E:$E,'NHL2025-26Results'!$D:$D,A31,'NHL2025-26Results'!$E:$E,"&gt;0")/COUNTIFS('NHL2025-26Results'!$D:$D,A31,'NHL2025-26Results'!$E:$E,"&gt;0")</f>
        <v>3.3333333333333335</v>
      </c>
      <c r="P31" s="14">
        <f>SUMIFS('NHL2025-26Results'!$C:$C,'NHL2025-26Results'!$B:$B,A31,'NHL2025-26Results'!$C:$C,"&gt;0")/COUNTIFS('NHL2025-26Results'!$B:$B,A31,'NHL2025-26Results'!$C:$C,"&gt;0")</f>
        <v>3</v>
      </c>
      <c r="Q31" s="14">
        <f>SUMIFS('NHL2025-26Results'!$C:$C,'NHL2025-26Results'!$D:$D,A31,'NHL2025-26Results'!$C:$C,"&gt;0")/COUNTIFS('NHL2025-26Results'!$D:$D,A31,'NHL2025-26Results'!$C:$C,"&gt;0")</f>
        <v>3.5714285714285716</v>
      </c>
      <c r="R31" s="14">
        <f>SUMIFS('NHL2025-26Results'!$E:$E,'NHL2025-26Results'!$B:$B,A31,'NHL2025-26Results'!$E:$E,"&gt;0")/COUNTIFS('NHL2025-26Results'!$B:$B,A31,'NHL2025-26Results'!$E:$E,"&gt;0")</f>
        <v>2.6363636363636362</v>
      </c>
    </row>
    <row r="32" spans="1:18" x14ac:dyDescent="0.2">
      <c r="A32" s="4" t="s">
        <v>22</v>
      </c>
      <c r="B32">
        <f>SUM(Table1[[#This Row],[W]:[OTL]])</f>
        <v>29</v>
      </c>
      <c r="C32">
        <f>COUNTIF(NHL2025_26Results[Winning Team],Standings!A32)</f>
        <v>17</v>
      </c>
      <c r="D32">
        <f>COUNTIFS('NHL2025-26Results'!$H:$H,A32,'NHL2025-26Results'!$F:$F,"")</f>
        <v>9</v>
      </c>
      <c r="E32">
        <f>COUNTIFS('NHL2025-26Results'!$F:$F,"OT",'NHL2025-26Results'!$H:$H,A32) + COUNTIFS('NHL2025-26Results'!$F:$F,"SO",'NHL2025-26Results'!$H:$H,A32)</f>
        <v>3</v>
      </c>
      <c r="F32" s="3">
        <f>(Table1[[#This Row],[W]]*2)+Table1[[#This Row],[OTL]]</f>
        <v>37</v>
      </c>
      <c r="G32">
        <f>COUNTIFS('NHL2025-26Results'!$D:$D,A32,'NHL2025-26Results'!$G:$G,A32)</f>
        <v>9</v>
      </c>
      <c r="H32">
        <f>COUNTIFS('NHL2025-26Results'!$D:$D,A32,'NHL2025-26Results'!$H:$H,A32,'NHL2025-26Results'!$F:$F,"")</f>
        <v>5</v>
      </c>
      <c r="I32">
        <f>COUNTIFS('NHL2025-26Results'!$D:$D,A32,'NHL2025-26Results'!$H:$H,A32,'NHL2025-26Results'!$F:$F,"OT") + COUNTIFS('NHL2025-26Results'!$D:$D,A32,'NHL2025-26Results'!$H:$H,A32,'NHL2025-26Results'!$F:$F,"SO")</f>
        <v>1</v>
      </c>
      <c r="J32">
        <f>COUNTIFS('NHL2025-26Results'!$B:$B,A32,'NHL2025-26Results'!$G:$G,A32)</f>
        <v>8</v>
      </c>
      <c r="K32">
        <f>COUNTIFS('NHL2025-26Results'!$B:$B,A32,'NHL2025-26Results'!$H:$H,A32,'NHL2025-26Results'!$F:$F,"")</f>
        <v>4</v>
      </c>
      <c r="L32">
        <f>COUNTIFS('NHL2025-26Results'!$B:$B,A32,'NHL2025-26Results'!$H:$H,A32,'NHL2025-26Results'!$F:$F,"OT") + COUNTIFS('NHL2025-26Results'!$B:$B,A32,'NHL2025-26Results'!$H:$H,A32,'NHL2025-26Results'!$F:$F,"SO")</f>
        <v>2</v>
      </c>
      <c r="M32" s="11">
        <f>Table1[[#This Row],[HomeWins]]/SUM(Table1[[#This Row],[HomeWins]:[HomeOTL]])</f>
        <v>0.6</v>
      </c>
      <c r="N32" s="11">
        <f>Table1[[#This Row],[AwayWins]]/SUM(Table1[[#This Row],[AwayWins]:[AwayOTL]])</f>
        <v>0.5714285714285714</v>
      </c>
      <c r="O32" s="14">
        <f>SUMIFS('NHL2025-26Results'!$E:$E,'NHL2025-26Results'!$D:$D,A32,'NHL2025-26Results'!$E:$E,"&gt;0")/COUNTIFS('NHL2025-26Results'!$D:$D,A32,'NHL2025-26Results'!$E:$E,"&gt;0")</f>
        <v>3.4</v>
      </c>
      <c r="P32" s="14">
        <f>SUMIFS('NHL2025-26Results'!$C:$C,'NHL2025-26Results'!$B:$B,A32,'NHL2025-26Results'!$C:$C,"&gt;0")/COUNTIFS('NHL2025-26Results'!$B:$B,A32,'NHL2025-26Results'!$C:$C,"&gt;0")</f>
        <v>3.8461538461538463</v>
      </c>
      <c r="Q32" s="14">
        <f>SUMIFS('NHL2025-26Results'!$C:$C,'NHL2025-26Results'!$D:$D,A32,'NHL2025-26Results'!$C:$C,"&gt;0")/COUNTIFS('NHL2025-26Results'!$D:$D,A32,'NHL2025-26Results'!$C:$C,"&gt;0")</f>
        <v>2.7333333333333334</v>
      </c>
      <c r="R32" s="14">
        <f>SUMIFS('NHL2025-26Results'!$E:$E,'NHL2025-26Results'!$B:$B,A32,'NHL2025-26Results'!$E:$E,"&gt;0")/COUNTIFS('NHL2025-26Results'!$B:$B,A32,'NHL2025-26Results'!$E:$E,"&gt;0")</f>
        <v>2.6153846153846154</v>
      </c>
    </row>
    <row r="33" spans="1:18" x14ac:dyDescent="0.2">
      <c r="A33" s="4" t="s">
        <v>40</v>
      </c>
      <c r="B33">
        <f>SUM(Table1[[#This Row],[W]:[OTL]])</f>
        <v>28</v>
      </c>
      <c r="C33">
        <f>COUNTIF(NHL2025_26Results[Winning Team],Standings!A33)</f>
        <v>14</v>
      </c>
      <c r="D33">
        <f>COUNTIFS('NHL2025-26Results'!$H:$H,A33,'NHL2025-26Results'!$F:$F,"")</f>
        <v>13</v>
      </c>
      <c r="E33">
        <f>COUNTIFS('NHL2025-26Results'!$F:$F,"OT",'NHL2025-26Results'!$H:$H,A33) + COUNTIFS('NHL2025-26Results'!$F:$F,"SO",'NHL2025-26Results'!$H:$H,A33)</f>
        <v>1</v>
      </c>
      <c r="F33" s="3">
        <f>(Table1[[#This Row],[W]]*2)+Table1[[#This Row],[OTL]]</f>
        <v>29</v>
      </c>
      <c r="G33">
        <f>COUNTIFS('NHL2025-26Results'!$D:$D,A33,'NHL2025-26Results'!$G:$G,A33)</f>
        <v>7</v>
      </c>
      <c r="H33">
        <f>COUNTIFS('NHL2025-26Results'!$D:$D,A33,'NHL2025-26Results'!$H:$H,A33,'NHL2025-26Results'!$F:$F,"")</f>
        <v>5</v>
      </c>
      <c r="I33">
        <f>COUNTIFS('NHL2025-26Results'!$D:$D,A33,'NHL2025-26Results'!$H:$H,A33,'NHL2025-26Results'!$F:$F,"OT") + COUNTIFS('NHL2025-26Results'!$D:$D,A33,'NHL2025-26Results'!$H:$H,A33,'NHL2025-26Results'!$F:$F,"SO")</f>
        <v>0</v>
      </c>
      <c r="J33">
        <f>COUNTIFS('NHL2025-26Results'!$B:$B,A33,'NHL2025-26Results'!$G:$G,A33)</f>
        <v>7</v>
      </c>
      <c r="K33">
        <f>COUNTIFS('NHL2025-26Results'!$B:$B,A33,'NHL2025-26Results'!$H:$H,A33,'NHL2025-26Results'!$F:$F,"")</f>
        <v>8</v>
      </c>
      <c r="L33">
        <f>COUNTIFS('NHL2025-26Results'!$B:$B,A33,'NHL2025-26Results'!$H:$H,A33,'NHL2025-26Results'!$F:$F,"OT") + COUNTIFS('NHL2025-26Results'!$B:$B,A33,'NHL2025-26Results'!$H:$H,A33,'NHL2025-26Results'!$F:$F,"SO")</f>
        <v>1</v>
      </c>
      <c r="M33" s="11">
        <f>Table1[[#This Row],[HomeWins]]/SUM(Table1[[#This Row],[HomeWins]:[HomeOTL]])</f>
        <v>0.58333333333333337</v>
      </c>
      <c r="N33" s="11">
        <f>Table1[[#This Row],[AwayWins]]/SUM(Table1[[#This Row],[AwayWins]:[AwayOTL]])</f>
        <v>0.4375</v>
      </c>
      <c r="O33" s="14">
        <f>SUMIFS('NHL2025-26Results'!$E:$E,'NHL2025-26Results'!$D:$D,A33,'NHL2025-26Results'!$E:$E,"&gt;0")/COUNTIFS('NHL2025-26Results'!$D:$D,A33,'NHL2025-26Results'!$E:$E,"&gt;0")</f>
        <v>4.0999999999999996</v>
      </c>
      <c r="P33" s="14">
        <f>SUMIFS('NHL2025-26Results'!$C:$C,'NHL2025-26Results'!$B:$B,A33,'NHL2025-26Results'!$C:$C,"&gt;0")/COUNTIFS('NHL2025-26Results'!$B:$B,A33,'NHL2025-26Results'!$C:$C,"&gt;0")</f>
        <v>2.9333333333333331</v>
      </c>
      <c r="Q33" s="14">
        <f>SUMIFS('NHL2025-26Results'!$C:$C,'NHL2025-26Results'!$D:$D,A33,'NHL2025-26Results'!$C:$C,"&gt;0")/COUNTIFS('NHL2025-26Results'!$D:$D,A33,'NHL2025-26Results'!$C:$C,"&gt;0")</f>
        <v>2.6666666666666665</v>
      </c>
      <c r="R33" s="14">
        <f>SUMIFS('NHL2025-26Results'!$E:$E,'NHL2025-26Results'!$B:$B,A33,'NHL2025-26Results'!$E:$E,"&gt;0")/COUNTIFS('NHL2025-26Results'!$B:$B,A33,'NHL2025-26Results'!$E:$E,"&gt;0")</f>
        <v>3.3125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36"/>
  <sheetViews>
    <sheetView tabSelected="1" topLeftCell="B1" zoomScale="83" workbookViewId="0">
      <selection activeCell="H23" sqref="H23"/>
    </sheetView>
  </sheetViews>
  <sheetFormatPr baseColWidth="10" defaultRowHeight="16" x14ac:dyDescent="0.2"/>
  <cols>
    <col min="1" max="1" width="13.5" bestFit="1" customWidth="1"/>
    <col min="2" max="2" width="13.6640625" bestFit="1" customWidth="1"/>
    <col min="3" max="4" width="19.83203125" bestFit="1" customWidth="1"/>
    <col min="5" max="5" width="18.33203125" bestFit="1" customWidth="1"/>
    <col min="6" max="6" width="17.5" bestFit="1" customWidth="1"/>
    <col min="7" max="7" width="17" bestFit="1" customWidth="1"/>
    <col min="8" max="8" width="16.6640625" bestFit="1" customWidth="1"/>
    <col min="9" max="9" width="9" bestFit="1" customWidth="1"/>
    <col min="10" max="11" width="19.83203125" bestFit="1" customWidth="1"/>
    <col min="12" max="12" width="19.1640625" bestFit="1" customWidth="1"/>
    <col min="13" max="13" width="16.83203125" bestFit="1" customWidth="1"/>
    <col min="14" max="14" width="19.83203125" bestFit="1" customWidth="1"/>
    <col min="15" max="15" width="20.6640625" bestFit="1" customWidth="1"/>
    <col min="16" max="16" width="20.1640625" bestFit="1" customWidth="1"/>
    <col min="17" max="17" width="12" bestFit="1" customWidth="1"/>
    <col min="18" max="18" width="13.1640625" bestFit="1" customWidth="1"/>
    <col min="19" max="19" width="15.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0.8125</v>
      </c>
      <c r="C3" s="19" t="s">
        <v>25</v>
      </c>
      <c r="D3" s="19" t="s">
        <v>19</v>
      </c>
      <c r="E3" s="19" t="s">
        <v>25</v>
      </c>
      <c r="F3">
        <v>4</v>
      </c>
      <c r="G3">
        <v>3</v>
      </c>
      <c r="H3">
        <v>0.59550000000000003</v>
      </c>
      <c r="I3" s="19" t="s">
        <v>249</v>
      </c>
      <c r="J3" s="19" t="s">
        <v>25</v>
      </c>
      <c r="K3">
        <v>3</v>
      </c>
      <c r="L3">
        <v>2</v>
      </c>
      <c r="M3">
        <v>0.93</v>
      </c>
      <c r="N3" s="19" t="s">
        <v>19</v>
      </c>
      <c r="O3" s="19" t="s">
        <v>287</v>
      </c>
      <c r="P3" s="19" t="s">
        <v>283</v>
      </c>
      <c r="Q3" s="19" t="s">
        <v>285</v>
      </c>
      <c r="R3" s="19" t="s">
        <v>249</v>
      </c>
      <c r="S3" s="19" t="s">
        <v>249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28</v>
      </c>
      <c r="D4" s="19" t="s">
        <v>26</v>
      </c>
      <c r="E4" s="19" t="s">
        <v>26</v>
      </c>
      <c r="F4">
        <v>2</v>
      </c>
      <c r="G4">
        <v>3</v>
      </c>
      <c r="H4">
        <v>0.67810000000000004</v>
      </c>
      <c r="I4" s="19" t="s">
        <v>249</v>
      </c>
      <c r="J4" s="19" t="s">
        <v>28</v>
      </c>
      <c r="K4">
        <v>3</v>
      </c>
      <c r="L4">
        <v>2</v>
      </c>
      <c r="M4">
        <v>0.28999999999999998</v>
      </c>
      <c r="N4" s="19" t="s">
        <v>28</v>
      </c>
      <c r="O4" s="19" t="s">
        <v>288</v>
      </c>
      <c r="P4" s="19" t="s">
        <v>283</v>
      </c>
      <c r="Q4" s="19" t="s">
        <v>287</v>
      </c>
      <c r="R4" s="19" t="s">
        <v>249</v>
      </c>
      <c r="S4" s="19" t="s">
        <v>248</v>
      </c>
      <c r="T4" s="19" t="s">
        <v>286</v>
      </c>
    </row>
    <row r="5" spans="1:20" x14ac:dyDescent="0.2">
      <c r="A5" s="1">
        <v>45995</v>
      </c>
      <c r="B5" s="2">
        <v>0.875</v>
      </c>
      <c r="C5" s="19" t="s">
        <v>16</v>
      </c>
      <c r="D5" s="19" t="s">
        <v>34</v>
      </c>
      <c r="E5" s="19" t="s">
        <v>34</v>
      </c>
      <c r="F5">
        <v>2</v>
      </c>
      <c r="G5">
        <v>3</v>
      </c>
      <c r="H5">
        <v>0.77159999999999995</v>
      </c>
      <c r="I5" s="19" t="s">
        <v>248</v>
      </c>
      <c r="J5" s="19" t="s">
        <v>34</v>
      </c>
      <c r="K5">
        <v>3</v>
      </c>
      <c r="L5">
        <v>2</v>
      </c>
      <c r="M5">
        <v>-1.1299999999999999</v>
      </c>
      <c r="N5" s="19" t="s">
        <v>16</v>
      </c>
      <c r="O5" s="19" t="s">
        <v>289</v>
      </c>
      <c r="P5" s="19" t="s">
        <v>287</v>
      </c>
      <c r="Q5" s="19" t="s">
        <v>285</v>
      </c>
      <c r="R5" s="19" t="s">
        <v>249</v>
      </c>
      <c r="S5" s="19" t="s">
        <v>249</v>
      </c>
      <c r="T5" s="19" t="s">
        <v>286</v>
      </c>
    </row>
    <row r="6" spans="1:20" x14ac:dyDescent="0.2">
      <c r="A6" s="1">
        <v>45995</v>
      </c>
      <c r="B6" s="2">
        <v>0.875</v>
      </c>
      <c r="C6" s="19" t="s">
        <v>17</v>
      </c>
      <c r="D6" s="19" t="s">
        <v>32</v>
      </c>
      <c r="E6" s="19" t="s">
        <v>17</v>
      </c>
      <c r="F6">
        <v>4</v>
      </c>
      <c r="G6">
        <v>3</v>
      </c>
      <c r="H6">
        <v>0.56730000000000003</v>
      </c>
      <c r="I6" s="19" t="s">
        <v>248</v>
      </c>
      <c r="J6" s="19" t="s">
        <v>32</v>
      </c>
      <c r="K6">
        <v>3</v>
      </c>
      <c r="L6">
        <v>2</v>
      </c>
      <c r="M6">
        <v>-0.14000000000000001</v>
      </c>
      <c r="N6" s="19" t="s">
        <v>17</v>
      </c>
      <c r="O6" s="19" t="s">
        <v>290</v>
      </c>
      <c r="P6" s="19" t="s">
        <v>289</v>
      </c>
      <c r="Q6" s="19" t="s">
        <v>285</v>
      </c>
      <c r="R6" s="19" t="s">
        <v>248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0.79166666666666663</v>
      </c>
      <c r="C7" s="19" t="s">
        <v>11</v>
      </c>
      <c r="D7" s="19" t="s">
        <v>29</v>
      </c>
      <c r="E7" s="19" t="s">
        <v>11</v>
      </c>
      <c r="F7">
        <v>5</v>
      </c>
      <c r="G7">
        <v>4</v>
      </c>
      <c r="H7">
        <v>0.54590000000000005</v>
      </c>
      <c r="I7" s="19" t="s">
        <v>249</v>
      </c>
      <c r="J7" s="19" t="s">
        <v>11</v>
      </c>
      <c r="K7">
        <v>3</v>
      </c>
      <c r="L7">
        <v>2</v>
      </c>
      <c r="M7">
        <v>0.71</v>
      </c>
      <c r="N7" s="19" t="s">
        <v>29</v>
      </c>
      <c r="O7" s="19" t="s">
        <v>287</v>
      </c>
      <c r="P7" s="19" t="s">
        <v>284</v>
      </c>
      <c r="Q7" s="19" t="s">
        <v>287</v>
      </c>
      <c r="R7" s="19" t="s">
        <v>249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0.91666666666666663</v>
      </c>
      <c r="C8" s="19" t="s">
        <v>13</v>
      </c>
      <c r="D8" s="19" t="s">
        <v>10</v>
      </c>
      <c r="E8" s="19" t="s">
        <v>10</v>
      </c>
      <c r="F8">
        <v>2</v>
      </c>
      <c r="G8">
        <v>4</v>
      </c>
      <c r="H8">
        <v>0.61099999999999999</v>
      </c>
      <c r="I8" s="19" t="s">
        <v>249</v>
      </c>
      <c r="J8" s="19" t="s">
        <v>10</v>
      </c>
      <c r="K8">
        <v>3</v>
      </c>
      <c r="L8">
        <v>2</v>
      </c>
      <c r="M8">
        <v>-0.12</v>
      </c>
      <c r="N8" s="19" t="s">
        <v>10</v>
      </c>
      <c r="O8" s="19" t="s">
        <v>287</v>
      </c>
      <c r="P8" s="19" t="s">
        <v>284</v>
      </c>
      <c r="Q8" s="19" t="s">
        <v>285</v>
      </c>
      <c r="R8" s="19" t="s">
        <v>248</v>
      </c>
      <c r="S8" s="19" t="s">
        <v>248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30</v>
      </c>
      <c r="D9" s="19" t="s">
        <v>12</v>
      </c>
      <c r="E9" s="19" t="s">
        <v>12</v>
      </c>
      <c r="F9">
        <v>1</v>
      </c>
      <c r="G9">
        <v>4</v>
      </c>
      <c r="H9">
        <v>0.89329999999999998</v>
      </c>
      <c r="I9" s="19" t="s">
        <v>249</v>
      </c>
      <c r="J9" s="19" t="s">
        <v>12</v>
      </c>
      <c r="K9">
        <v>3</v>
      </c>
      <c r="L9">
        <v>2</v>
      </c>
      <c r="M9">
        <v>-1.71</v>
      </c>
      <c r="N9" s="19" t="s">
        <v>30</v>
      </c>
      <c r="O9" s="19" t="s">
        <v>288</v>
      </c>
      <c r="P9" s="19" t="s">
        <v>291</v>
      </c>
      <c r="Q9" s="19" t="s">
        <v>285</v>
      </c>
      <c r="R9" s="19" t="s">
        <v>249</v>
      </c>
      <c r="S9" s="19" t="s">
        <v>249</v>
      </c>
      <c r="T9" s="19" t="s">
        <v>286</v>
      </c>
    </row>
    <row r="10" spans="1:20" x14ac:dyDescent="0.2">
      <c r="A10" s="1">
        <v>45995</v>
      </c>
      <c r="B10" s="2">
        <v>0.79166666666666663</v>
      </c>
      <c r="C10" s="19" t="s">
        <v>36</v>
      </c>
      <c r="D10" s="19" t="s">
        <v>15</v>
      </c>
      <c r="E10" s="19" t="s">
        <v>15</v>
      </c>
      <c r="F10">
        <v>3</v>
      </c>
      <c r="G10">
        <v>4</v>
      </c>
      <c r="H10">
        <v>0.69310000000000005</v>
      </c>
      <c r="I10" s="19" t="s">
        <v>249</v>
      </c>
      <c r="J10" s="19" t="s">
        <v>15</v>
      </c>
      <c r="K10">
        <v>3</v>
      </c>
      <c r="L10">
        <v>2</v>
      </c>
      <c r="M10">
        <v>-0.18</v>
      </c>
      <c r="N10" s="19" t="s">
        <v>15</v>
      </c>
      <c r="O10" s="19" t="s">
        <v>284</v>
      </c>
      <c r="P10" s="19" t="s">
        <v>289</v>
      </c>
      <c r="Q10" s="19" t="s">
        <v>285</v>
      </c>
      <c r="R10" s="19" t="s">
        <v>248</v>
      </c>
      <c r="S10" s="19" t="s">
        <v>248</v>
      </c>
      <c r="T10" s="19" t="s">
        <v>286</v>
      </c>
    </row>
    <row r="11" spans="1:20" x14ac:dyDescent="0.2">
      <c r="A11" s="1">
        <v>45995</v>
      </c>
      <c r="B11" s="2">
        <v>0.79166666666666663</v>
      </c>
      <c r="C11" s="19" t="s">
        <v>37</v>
      </c>
      <c r="D11" s="19" t="s">
        <v>14</v>
      </c>
      <c r="E11" s="19" t="s">
        <v>37</v>
      </c>
      <c r="F11">
        <v>3</v>
      </c>
      <c r="G11">
        <v>2</v>
      </c>
      <c r="H11">
        <v>0.73029999999999995</v>
      </c>
      <c r="I11" s="19" t="s">
        <v>249</v>
      </c>
      <c r="J11" s="19" t="s">
        <v>37</v>
      </c>
      <c r="K11">
        <v>3</v>
      </c>
      <c r="L11">
        <v>2</v>
      </c>
      <c r="M11">
        <v>0.63</v>
      </c>
      <c r="N11" s="19" t="s">
        <v>14</v>
      </c>
      <c r="O11" s="19" t="s">
        <v>291</v>
      </c>
      <c r="P11" s="19" t="s">
        <v>289</v>
      </c>
      <c r="Q11" s="19" t="s">
        <v>285</v>
      </c>
      <c r="R11" s="19" t="s">
        <v>249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0.83333333333333337</v>
      </c>
      <c r="C12" s="19" t="s">
        <v>39</v>
      </c>
      <c r="D12" s="19" t="s">
        <v>33</v>
      </c>
      <c r="E12" s="19" t="s">
        <v>39</v>
      </c>
      <c r="F12">
        <v>4</v>
      </c>
      <c r="G12">
        <v>3</v>
      </c>
      <c r="H12">
        <v>0.68820000000000003</v>
      </c>
      <c r="I12" s="19" t="s">
        <v>249</v>
      </c>
      <c r="J12" s="19" t="s">
        <v>39</v>
      </c>
      <c r="K12">
        <v>3</v>
      </c>
      <c r="L12">
        <v>2</v>
      </c>
      <c r="M12">
        <v>1.1599999999999999</v>
      </c>
      <c r="N12" s="19" t="s">
        <v>39</v>
      </c>
      <c r="O12" s="19" t="s">
        <v>289</v>
      </c>
      <c r="P12" s="19" t="s">
        <v>287</v>
      </c>
      <c r="Q12" s="19" t="s">
        <v>285</v>
      </c>
      <c r="R12" s="19" t="s">
        <v>248</v>
      </c>
      <c r="S12" s="19" t="s">
        <v>248</v>
      </c>
      <c r="T12" s="19" t="s">
        <v>286</v>
      </c>
    </row>
    <row r="13" spans="1:20" x14ac:dyDescent="0.2">
      <c r="A13" s="1">
        <v>45996</v>
      </c>
      <c r="B13" s="2">
        <v>0.91666666666666663</v>
      </c>
      <c r="C13" s="19" t="s">
        <v>31</v>
      </c>
      <c r="D13" s="19" t="s">
        <v>22</v>
      </c>
      <c r="E13" s="19" t="s">
        <v>22</v>
      </c>
      <c r="F13">
        <v>4</v>
      </c>
      <c r="G13">
        <v>5</v>
      </c>
      <c r="H13">
        <v>0.6381</v>
      </c>
      <c r="I13" s="19" t="s">
        <v>249</v>
      </c>
      <c r="J13" s="19" t="s">
        <v>22</v>
      </c>
      <c r="K13">
        <v>3</v>
      </c>
      <c r="L13">
        <v>2</v>
      </c>
      <c r="M13">
        <v>-0.77</v>
      </c>
      <c r="N13" s="19" t="s">
        <v>31</v>
      </c>
      <c r="O13" s="19" t="s">
        <v>289</v>
      </c>
      <c r="P13" s="19" t="s">
        <v>291</v>
      </c>
      <c r="Q13" s="19" t="s">
        <v>287</v>
      </c>
      <c r="R13" s="19" t="s">
        <v>249</v>
      </c>
      <c r="S13" s="19" t="s">
        <v>249</v>
      </c>
      <c r="T13" s="19" t="s">
        <v>286</v>
      </c>
    </row>
    <row r="14" spans="1:20" x14ac:dyDescent="0.2">
      <c r="A14" s="1">
        <v>45996</v>
      </c>
      <c r="B14" s="2">
        <v>0.79166666666666663</v>
      </c>
      <c r="C14" s="19" t="s">
        <v>40</v>
      </c>
      <c r="D14" s="19" t="s">
        <v>23</v>
      </c>
      <c r="E14" s="19" t="s">
        <v>40</v>
      </c>
      <c r="F14">
        <v>4</v>
      </c>
      <c r="G14">
        <v>3</v>
      </c>
      <c r="H14">
        <v>0.70760000000000001</v>
      </c>
      <c r="I14" s="19" t="s">
        <v>249</v>
      </c>
      <c r="J14" s="19" t="s">
        <v>40</v>
      </c>
      <c r="K14">
        <v>3</v>
      </c>
      <c r="L14">
        <v>2</v>
      </c>
      <c r="M14">
        <v>0.22</v>
      </c>
      <c r="N14" s="19" t="s">
        <v>40</v>
      </c>
      <c r="O14" s="19" t="s">
        <v>289</v>
      </c>
      <c r="P14" s="19" t="s">
        <v>287</v>
      </c>
      <c r="Q14" s="19" t="s">
        <v>285</v>
      </c>
      <c r="R14" s="19" t="s">
        <v>248</v>
      </c>
      <c r="S14" s="19" t="s">
        <v>248</v>
      </c>
      <c r="T14" s="19" t="s">
        <v>286</v>
      </c>
    </row>
    <row r="15" spans="1:20" x14ac:dyDescent="0.2">
      <c r="A15" s="1">
        <v>45996</v>
      </c>
      <c r="B15" s="2">
        <v>0.79166666666666663</v>
      </c>
      <c r="C15" s="19" t="s">
        <v>24</v>
      </c>
      <c r="D15" s="19" t="s">
        <v>20</v>
      </c>
      <c r="E15" s="19" t="s">
        <v>24</v>
      </c>
      <c r="F15">
        <v>4</v>
      </c>
      <c r="G15">
        <v>3</v>
      </c>
      <c r="H15">
        <v>0.74829999999999997</v>
      </c>
      <c r="I15" s="19" t="s">
        <v>248</v>
      </c>
      <c r="J15" s="19" t="s">
        <v>24</v>
      </c>
      <c r="K15">
        <v>3</v>
      </c>
      <c r="L15">
        <v>2</v>
      </c>
      <c r="M15">
        <v>0.19</v>
      </c>
      <c r="N15" s="19" t="s">
        <v>20</v>
      </c>
      <c r="O15" s="19" t="s">
        <v>285</v>
      </c>
      <c r="P15" s="19" t="s">
        <v>291</v>
      </c>
      <c r="Q15" s="19" t="s">
        <v>285</v>
      </c>
      <c r="R15" s="19" t="s">
        <v>249</v>
      </c>
      <c r="S15" s="19" t="s">
        <v>249</v>
      </c>
      <c r="T15" s="19" t="s">
        <v>286</v>
      </c>
    </row>
    <row r="16" spans="1:20" x14ac:dyDescent="0.2">
      <c r="A16" s="1">
        <v>45996</v>
      </c>
      <c r="B16" s="2">
        <v>0.875</v>
      </c>
      <c r="C16" s="19" t="s">
        <v>38</v>
      </c>
      <c r="D16" s="19" t="s">
        <v>55</v>
      </c>
      <c r="E16" s="19" t="s">
        <v>55</v>
      </c>
      <c r="F16">
        <v>3</v>
      </c>
      <c r="G16">
        <v>4</v>
      </c>
      <c r="H16">
        <v>0.6179</v>
      </c>
      <c r="I16" s="19" t="s">
        <v>249</v>
      </c>
      <c r="J16" s="19" t="s">
        <v>55</v>
      </c>
      <c r="K16">
        <v>3</v>
      </c>
      <c r="L16">
        <v>2</v>
      </c>
      <c r="M16">
        <v>-0.73</v>
      </c>
      <c r="N16" s="19" t="s">
        <v>55</v>
      </c>
      <c r="O16" s="19" t="s">
        <v>287</v>
      </c>
      <c r="P16" s="19" t="s">
        <v>289</v>
      </c>
      <c r="Q16" s="19" t="s">
        <v>285</v>
      </c>
      <c r="R16" s="19" t="s">
        <v>248</v>
      </c>
      <c r="S16" s="19" t="s">
        <v>248</v>
      </c>
      <c r="T16" s="19" t="s">
        <v>286</v>
      </c>
    </row>
    <row r="17" spans="1:20" x14ac:dyDescent="0.2">
      <c r="A17" s="1">
        <v>45997</v>
      </c>
      <c r="B17" s="2">
        <v>0.52083333333333337</v>
      </c>
      <c r="C17" s="19" t="s">
        <v>15</v>
      </c>
      <c r="D17" s="19" t="s">
        <v>12</v>
      </c>
      <c r="E17" s="19" t="s">
        <v>12</v>
      </c>
      <c r="F17">
        <v>2</v>
      </c>
      <c r="G17">
        <v>3</v>
      </c>
      <c r="H17">
        <v>0.58209999999999995</v>
      </c>
      <c r="I17" s="19" t="s">
        <v>249</v>
      </c>
      <c r="J17" s="19" t="s">
        <v>12</v>
      </c>
      <c r="K17">
        <v>3</v>
      </c>
      <c r="L17">
        <v>2</v>
      </c>
      <c r="M17">
        <v>-1.52</v>
      </c>
      <c r="N17" s="19" t="s">
        <v>12</v>
      </c>
      <c r="O17" s="19" t="s">
        <v>284</v>
      </c>
      <c r="P17" s="19" t="s">
        <v>291</v>
      </c>
      <c r="Q17" s="19" t="s">
        <v>287</v>
      </c>
      <c r="R17" s="19" t="s">
        <v>248</v>
      </c>
      <c r="S17" s="19" t="s">
        <v>248</v>
      </c>
      <c r="T17" s="19" t="s">
        <v>286</v>
      </c>
    </row>
    <row r="18" spans="1:20" x14ac:dyDescent="0.2">
      <c r="A18" s="1">
        <v>45997</v>
      </c>
      <c r="B18" s="2">
        <v>0.91666666666666663</v>
      </c>
      <c r="C18" s="19" t="s">
        <v>38</v>
      </c>
      <c r="D18" s="19" t="s">
        <v>34</v>
      </c>
      <c r="E18" s="19" t="s">
        <v>34</v>
      </c>
      <c r="F18">
        <v>3</v>
      </c>
      <c r="G18">
        <v>4</v>
      </c>
      <c r="H18">
        <v>0.78480000000000005</v>
      </c>
      <c r="I18" s="19" t="s">
        <v>249</v>
      </c>
      <c r="J18" s="19" t="s">
        <v>34</v>
      </c>
      <c r="K18">
        <v>3</v>
      </c>
      <c r="L18">
        <v>2</v>
      </c>
      <c r="M18">
        <v>-0.77</v>
      </c>
      <c r="N18" s="19" t="s">
        <v>38</v>
      </c>
      <c r="O18" s="19" t="s">
        <v>289</v>
      </c>
      <c r="P18" s="19" t="s">
        <v>284</v>
      </c>
      <c r="Q18" s="19" t="s">
        <v>285</v>
      </c>
      <c r="R18" s="19" t="s">
        <v>249</v>
      </c>
      <c r="S18" s="19" t="s">
        <v>249</v>
      </c>
      <c r="T18" s="19" t="s">
        <v>286</v>
      </c>
    </row>
    <row r="19" spans="1:20" x14ac:dyDescent="0.2">
      <c r="A19" s="1">
        <v>45997</v>
      </c>
      <c r="B19" s="2">
        <v>0.79166666666666663</v>
      </c>
      <c r="C19" s="19" t="s">
        <v>37</v>
      </c>
      <c r="D19" s="19" t="s">
        <v>30</v>
      </c>
      <c r="E19" s="19" t="s">
        <v>30</v>
      </c>
      <c r="F19">
        <v>3</v>
      </c>
      <c r="G19">
        <v>4</v>
      </c>
      <c r="H19">
        <v>0.56379999999999997</v>
      </c>
      <c r="I19" s="19" t="s">
        <v>249</v>
      </c>
      <c r="J19" s="19" t="s">
        <v>37</v>
      </c>
      <c r="K19">
        <v>3</v>
      </c>
      <c r="L19">
        <v>2</v>
      </c>
      <c r="M19">
        <v>0.47</v>
      </c>
      <c r="N19" s="19" t="s">
        <v>30</v>
      </c>
      <c r="O19" s="19" t="s">
        <v>285</v>
      </c>
      <c r="P19" s="19" t="s">
        <v>284</v>
      </c>
      <c r="Q19" s="19" t="s">
        <v>285</v>
      </c>
      <c r="R19" s="19" t="s">
        <v>248</v>
      </c>
      <c r="S19" s="19" t="s">
        <v>249</v>
      </c>
      <c r="T19" s="19" t="s">
        <v>286</v>
      </c>
    </row>
    <row r="20" spans="1:20" x14ac:dyDescent="0.2">
      <c r="A20" s="1">
        <v>45997</v>
      </c>
      <c r="B20" s="2">
        <v>0.91666666666666663</v>
      </c>
      <c r="C20" s="19" t="s">
        <v>32</v>
      </c>
      <c r="D20" s="19" t="s">
        <v>26</v>
      </c>
      <c r="E20" s="19" t="s">
        <v>26</v>
      </c>
      <c r="F20">
        <v>3</v>
      </c>
      <c r="G20">
        <v>4</v>
      </c>
      <c r="H20">
        <v>0.50860000000000005</v>
      </c>
      <c r="I20" s="19" t="s">
        <v>249</v>
      </c>
      <c r="J20" s="19" t="s">
        <v>32</v>
      </c>
      <c r="K20">
        <v>3</v>
      </c>
      <c r="L20">
        <v>2</v>
      </c>
      <c r="M20">
        <v>0.08</v>
      </c>
      <c r="N20" s="19" t="s">
        <v>26</v>
      </c>
      <c r="O20" s="19" t="s">
        <v>291</v>
      </c>
      <c r="P20" s="19" t="s">
        <v>289</v>
      </c>
      <c r="Q20" s="19" t="s">
        <v>285</v>
      </c>
      <c r="R20" s="19" t="s">
        <v>248</v>
      </c>
      <c r="S20" s="19" t="s">
        <v>249</v>
      </c>
      <c r="T20" s="19" t="s">
        <v>286</v>
      </c>
    </row>
    <row r="21" spans="1:20" x14ac:dyDescent="0.2">
      <c r="A21" s="1">
        <v>45997</v>
      </c>
      <c r="B21" s="2">
        <v>0.79166666666666663</v>
      </c>
      <c r="C21" s="19" t="s">
        <v>36</v>
      </c>
      <c r="D21" s="19" t="s">
        <v>35</v>
      </c>
      <c r="E21" s="19" t="s">
        <v>36</v>
      </c>
      <c r="F21">
        <v>4</v>
      </c>
      <c r="G21">
        <v>3</v>
      </c>
      <c r="H21">
        <v>0.84889999999999999</v>
      </c>
      <c r="I21" s="19" t="s">
        <v>249</v>
      </c>
      <c r="J21" s="19" t="s">
        <v>36</v>
      </c>
      <c r="K21">
        <v>3</v>
      </c>
      <c r="L21">
        <v>2</v>
      </c>
      <c r="M21">
        <v>0.99</v>
      </c>
      <c r="N21" s="19" t="s">
        <v>35</v>
      </c>
      <c r="O21" s="19" t="s">
        <v>287</v>
      </c>
      <c r="P21" s="19" t="s">
        <v>284</v>
      </c>
      <c r="Q21" s="19" t="s">
        <v>285</v>
      </c>
      <c r="R21" s="19" t="s">
        <v>249</v>
      </c>
      <c r="S21" s="19" t="s">
        <v>249</v>
      </c>
      <c r="T21" s="19" t="s">
        <v>286</v>
      </c>
    </row>
    <row r="22" spans="1:20" x14ac:dyDescent="0.2">
      <c r="A22" s="1">
        <v>45997</v>
      </c>
      <c r="B22" s="2">
        <v>0.875</v>
      </c>
      <c r="C22" s="19" t="s">
        <v>13</v>
      </c>
      <c r="D22" s="19" t="s">
        <v>10</v>
      </c>
      <c r="E22" s="19" t="s">
        <v>10</v>
      </c>
      <c r="F22">
        <v>2</v>
      </c>
      <c r="G22">
        <v>3</v>
      </c>
      <c r="H22">
        <v>0.7802</v>
      </c>
      <c r="I22" s="19" t="s">
        <v>249</v>
      </c>
      <c r="J22" s="19" t="s">
        <v>10</v>
      </c>
      <c r="K22">
        <v>3</v>
      </c>
      <c r="L22">
        <v>2</v>
      </c>
      <c r="M22">
        <v>-0.17</v>
      </c>
      <c r="N22" s="19" t="s">
        <v>13</v>
      </c>
      <c r="O22" s="19" t="s">
        <v>288</v>
      </c>
      <c r="P22" s="19" t="s">
        <v>285</v>
      </c>
      <c r="Q22" s="19" t="s">
        <v>285</v>
      </c>
      <c r="R22" s="19" t="s">
        <v>249</v>
      </c>
      <c r="S22" s="19" t="s">
        <v>249</v>
      </c>
      <c r="T22" s="19" t="s">
        <v>286</v>
      </c>
    </row>
    <row r="23" spans="1:20" x14ac:dyDescent="0.2">
      <c r="A23" s="1">
        <v>45997</v>
      </c>
      <c r="B23" s="2">
        <v>0.79166666666666663</v>
      </c>
      <c r="C23" s="19" t="s">
        <v>25</v>
      </c>
      <c r="D23" s="19" t="s">
        <v>29</v>
      </c>
      <c r="E23" s="19" t="s">
        <v>25</v>
      </c>
      <c r="F23">
        <v>4</v>
      </c>
      <c r="G23">
        <v>2</v>
      </c>
      <c r="H23">
        <v>0.76490000000000002</v>
      </c>
      <c r="I23" s="19" t="s">
        <v>248</v>
      </c>
      <c r="J23" s="19" t="s">
        <v>25</v>
      </c>
      <c r="K23">
        <v>3</v>
      </c>
      <c r="L23">
        <v>2</v>
      </c>
      <c r="M23">
        <v>1.43</v>
      </c>
      <c r="N23" s="19" t="s">
        <v>25</v>
      </c>
      <c r="O23" s="19" t="s">
        <v>288</v>
      </c>
      <c r="P23" s="19" t="s">
        <v>291</v>
      </c>
      <c r="Q23" s="19" t="s">
        <v>285</v>
      </c>
      <c r="R23" s="19" t="s">
        <v>248</v>
      </c>
      <c r="S23" s="19" t="s">
        <v>248</v>
      </c>
      <c r="T23" s="19" t="s">
        <v>286</v>
      </c>
    </row>
    <row r="24" spans="1:20" x14ac:dyDescent="0.2">
      <c r="A24" s="1">
        <v>45997</v>
      </c>
      <c r="B24" s="2">
        <v>0.91666666666666663</v>
      </c>
      <c r="C24" s="19" t="s">
        <v>17</v>
      </c>
      <c r="D24" s="19" t="s">
        <v>40</v>
      </c>
      <c r="E24" s="19" t="s">
        <v>17</v>
      </c>
      <c r="F24">
        <v>4</v>
      </c>
      <c r="G24">
        <v>3</v>
      </c>
      <c r="H24">
        <v>0.78990000000000005</v>
      </c>
      <c r="I24" s="19" t="s">
        <v>249</v>
      </c>
      <c r="J24" s="19" t="s">
        <v>40</v>
      </c>
      <c r="K24">
        <v>3</v>
      </c>
      <c r="L24">
        <v>2</v>
      </c>
      <c r="M24">
        <v>-0.33</v>
      </c>
      <c r="N24" s="19" t="s">
        <v>17</v>
      </c>
      <c r="O24" s="19" t="s">
        <v>288</v>
      </c>
      <c r="P24" s="19" t="s">
        <v>284</v>
      </c>
      <c r="Q24" s="19" t="s">
        <v>285</v>
      </c>
      <c r="R24" s="19" t="s">
        <v>248</v>
      </c>
      <c r="S24" s="19" t="s">
        <v>249</v>
      </c>
      <c r="T24" s="19" t="s">
        <v>286</v>
      </c>
    </row>
    <row r="25" spans="1:20" x14ac:dyDescent="0.2">
      <c r="A25" s="1">
        <v>45997</v>
      </c>
      <c r="B25" s="2">
        <v>0.79166666666666663</v>
      </c>
      <c r="C25" s="19" t="s">
        <v>16</v>
      </c>
      <c r="D25" s="19" t="s">
        <v>55</v>
      </c>
      <c r="E25" s="19" t="s">
        <v>16</v>
      </c>
      <c r="F25">
        <v>2</v>
      </c>
      <c r="G25">
        <v>0</v>
      </c>
      <c r="H25">
        <v>0.56730000000000003</v>
      </c>
      <c r="I25" s="19" t="s">
        <v>249</v>
      </c>
      <c r="J25" s="19" t="s">
        <v>55</v>
      </c>
      <c r="K25">
        <v>3</v>
      </c>
      <c r="L25">
        <v>2</v>
      </c>
      <c r="M25">
        <v>-0.92</v>
      </c>
      <c r="N25" s="19" t="s">
        <v>16</v>
      </c>
      <c r="O25" s="19" t="s">
        <v>284</v>
      </c>
      <c r="P25" s="19" t="s">
        <v>285</v>
      </c>
      <c r="Q25" s="19" t="s">
        <v>285</v>
      </c>
      <c r="R25" s="19" t="s">
        <v>248</v>
      </c>
      <c r="S25" s="19" t="s">
        <v>249</v>
      </c>
      <c r="T25" s="19" t="s">
        <v>286</v>
      </c>
    </row>
    <row r="26" spans="1:20" x14ac:dyDescent="0.2">
      <c r="A26" s="1">
        <v>45997</v>
      </c>
      <c r="B26" s="2">
        <v>0.79166666666666663</v>
      </c>
      <c r="C26" s="19" t="s">
        <v>21</v>
      </c>
      <c r="D26" s="19" t="s">
        <v>24</v>
      </c>
      <c r="E26" s="19" t="s">
        <v>21</v>
      </c>
      <c r="F26">
        <v>5</v>
      </c>
      <c r="G26">
        <v>4</v>
      </c>
      <c r="H26">
        <v>0.52739999999999998</v>
      </c>
      <c r="I26" s="19" t="s">
        <v>249</v>
      </c>
      <c r="J26" s="19" t="s">
        <v>21</v>
      </c>
      <c r="K26">
        <v>3</v>
      </c>
      <c r="L26">
        <v>2</v>
      </c>
      <c r="M26">
        <v>7.0000000000000007E-2</v>
      </c>
      <c r="N26" s="19" t="s">
        <v>21</v>
      </c>
      <c r="O26" s="19" t="s">
        <v>289</v>
      </c>
      <c r="P26" s="19" t="s">
        <v>287</v>
      </c>
      <c r="Q26" s="19" t="s">
        <v>285</v>
      </c>
      <c r="R26" s="19" t="s">
        <v>248</v>
      </c>
      <c r="S26" s="19" t="s">
        <v>248</v>
      </c>
      <c r="T26" s="19" t="s">
        <v>286</v>
      </c>
    </row>
    <row r="27" spans="1:20" x14ac:dyDescent="0.2">
      <c r="A27" s="1">
        <v>45997</v>
      </c>
      <c r="B27" s="2">
        <v>0.79166666666666663</v>
      </c>
      <c r="C27" s="19" t="s">
        <v>19</v>
      </c>
      <c r="D27" s="19" t="s">
        <v>18</v>
      </c>
      <c r="E27" s="19" t="s">
        <v>19</v>
      </c>
      <c r="F27">
        <v>4</v>
      </c>
      <c r="G27">
        <v>3</v>
      </c>
      <c r="H27">
        <v>0.60129999999999995</v>
      </c>
      <c r="I27" s="19" t="s">
        <v>249</v>
      </c>
      <c r="J27" s="19" t="s">
        <v>19</v>
      </c>
      <c r="K27">
        <v>3</v>
      </c>
      <c r="L27">
        <v>2</v>
      </c>
      <c r="M27">
        <v>0.33</v>
      </c>
      <c r="N27" s="19" t="s">
        <v>18</v>
      </c>
      <c r="O27" s="19" t="s">
        <v>287</v>
      </c>
      <c r="P27" s="19" t="s">
        <v>284</v>
      </c>
      <c r="Q27" s="19" t="s">
        <v>287</v>
      </c>
      <c r="R27" s="19" t="s">
        <v>249</v>
      </c>
      <c r="S27" s="19" t="s">
        <v>249</v>
      </c>
      <c r="T27" s="19" t="s">
        <v>286</v>
      </c>
    </row>
    <row r="28" spans="1:20" x14ac:dyDescent="0.2">
      <c r="A28" s="1">
        <v>45997</v>
      </c>
      <c r="B28" s="2">
        <v>0.64583333333333337</v>
      </c>
      <c r="C28" s="19" t="s">
        <v>11</v>
      </c>
      <c r="D28" s="19" t="s">
        <v>28</v>
      </c>
      <c r="E28" s="19" t="s">
        <v>11</v>
      </c>
      <c r="F28">
        <v>4</v>
      </c>
      <c r="G28">
        <v>3</v>
      </c>
      <c r="H28">
        <v>0.52759999999999996</v>
      </c>
      <c r="I28" s="19" t="s">
        <v>249</v>
      </c>
      <c r="J28" s="19" t="s">
        <v>28</v>
      </c>
      <c r="K28">
        <v>3</v>
      </c>
      <c r="L28">
        <v>2</v>
      </c>
      <c r="M28">
        <v>-0.02</v>
      </c>
      <c r="N28" s="19" t="s">
        <v>11</v>
      </c>
      <c r="O28" s="19" t="s">
        <v>292</v>
      </c>
      <c r="P28" s="19" t="s">
        <v>288</v>
      </c>
      <c r="Q28" s="19" t="s">
        <v>287</v>
      </c>
      <c r="R28" s="19" t="s">
        <v>248</v>
      </c>
      <c r="S28" s="19" t="s">
        <v>249</v>
      </c>
      <c r="T28" s="19" t="s">
        <v>286</v>
      </c>
    </row>
    <row r="29" spans="1:20" x14ac:dyDescent="0.2">
      <c r="A29" s="1">
        <v>45998</v>
      </c>
      <c r="B29" s="2">
        <v>0.54166666666666663</v>
      </c>
      <c r="C29" s="19" t="s">
        <v>27</v>
      </c>
      <c r="D29" s="19" t="s">
        <v>12</v>
      </c>
      <c r="E29" s="19" t="s">
        <v>27</v>
      </c>
      <c r="F29">
        <v>4</v>
      </c>
      <c r="G29">
        <v>3</v>
      </c>
      <c r="H29">
        <v>0.57799999999999996</v>
      </c>
      <c r="I29" s="19" t="s">
        <v>248</v>
      </c>
      <c r="J29" s="19" t="s">
        <v>12</v>
      </c>
      <c r="K29">
        <v>3</v>
      </c>
      <c r="L29">
        <v>2</v>
      </c>
      <c r="M29">
        <v>-1.6</v>
      </c>
      <c r="N29" s="19" t="s">
        <v>60</v>
      </c>
      <c r="O29" s="19" t="s">
        <v>60</v>
      </c>
      <c r="P29" s="19" t="s">
        <v>60</v>
      </c>
      <c r="Q29" s="19" t="s">
        <v>60</v>
      </c>
      <c r="R29" s="19" t="s">
        <v>60</v>
      </c>
      <c r="S29" s="19" t="s">
        <v>60</v>
      </c>
      <c r="T29" s="19" t="s">
        <v>281</v>
      </c>
    </row>
    <row r="30" spans="1:20" x14ac:dyDescent="0.2">
      <c r="A30" s="1">
        <v>45998</v>
      </c>
      <c r="B30" s="2">
        <v>0.83333333333333337</v>
      </c>
      <c r="C30" s="19" t="s">
        <v>31</v>
      </c>
      <c r="D30" s="19" t="s">
        <v>10</v>
      </c>
      <c r="E30" s="19" t="s">
        <v>31</v>
      </c>
      <c r="F30">
        <v>5</v>
      </c>
      <c r="G30">
        <v>4</v>
      </c>
      <c r="H30">
        <v>0.68179999999999996</v>
      </c>
      <c r="I30" s="19" t="s">
        <v>249</v>
      </c>
      <c r="J30" s="19" t="s">
        <v>31</v>
      </c>
      <c r="K30">
        <v>3</v>
      </c>
      <c r="L30">
        <v>2</v>
      </c>
      <c r="M30">
        <v>0.42</v>
      </c>
      <c r="N30" s="19" t="s">
        <v>60</v>
      </c>
      <c r="O30" s="19" t="s">
        <v>60</v>
      </c>
      <c r="P30" s="19" t="s">
        <v>60</v>
      </c>
      <c r="Q30" s="19" t="s">
        <v>60</v>
      </c>
      <c r="R30" s="19" t="s">
        <v>60</v>
      </c>
      <c r="S30" s="19" t="s">
        <v>60</v>
      </c>
      <c r="T30" s="19" t="s">
        <v>281</v>
      </c>
    </row>
    <row r="31" spans="1:20" x14ac:dyDescent="0.2">
      <c r="A31" s="1">
        <v>45998</v>
      </c>
      <c r="B31" s="2">
        <v>0.70833333333333337</v>
      </c>
      <c r="C31" s="19" t="s">
        <v>25</v>
      </c>
      <c r="D31" s="19" t="s">
        <v>33</v>
      </c>
      <c r="E31" s="19" t="s">
        <v>25</v>
      </c>
      <c r="F31">
        <v>4</v>
      </c>
      <c r="G31">
        <v>3</v>
      </c>
      <c r="H31">
        <v>0.6341</v>
      </c>
      <c r="I31" s="19" t="s">
        <v>249</v>
      </c>
      <c r="J31" s="19" t="s">
        <v>25</v>
      </c>
      <c r="K31">
        <v>3</v>
      </c>
      <c r="L31">
        <v>2</v>
      </c>
      <c r="M31">
        <v>1.1000000000000001</v>
      </c>
      <c r="N31" s="19" t="s">
        <v>60</v>
      </c>
      <c r="O31" s="19" t="s">
        <v>60</v>
      </c>
      <c r="P31" s="19" t="s">
        <v>60</v>
      </c>
      <c r="Q31" s="19" t="s">
        <v>60</v>
      </c>
      <c r="R31" s="19" t="s">
        <v>60</v>
      </c>
      <c r="S31" s="19" t="s">
        <v>60</v>
      </c>
      <c r="T31" s="19" t="s">
        <v>281</v>
      </c>
    </row>
    <row r="32" spans="1:20" x14ac:dyDescent="0.2">
      <c r="A32" s="1">
        <v>45998</v>
      </c>
      <c r="B32" s="2">
        <v>0.75</v>
      </c>
      <c r="C32" s="19" t="s">
        <v>39</v>
      </c>
      <c r="D32" s="19" t="s">
        <v>14</v>
      </c>
      <c r="E32" s="19" t="s">
        <v>39</v>
      </c>
      <c r="F32">
        <v>3</v>
      </c>
      <c r="G32">
        <v>2</v>
      </c>
      <c r="H32">
        <v>0.67190000000000005</v>
      </c>
      <c r="I32" s="19" t="s">
        <v>249</v>
      </c>
      <c r="J32" s="19" t="s">
        <v>39</v>
      </c>
      <c r="K32">
        <v>3</v>
      </c>
      <c r="L32">
        <v>2</v>
      </c>
      <c r="M32">
        <v>0.67</v>
      </c>
      <c r="N32" s="19" t="s">
        <v>60</v>
      </c>
      <c r="O32" s="19" t="s">
        <v>60</v>
      </c>
      <c r="P32" s="19" t="s">
        <v>60</v>
      </c>
      <c r="Q32" s="19" t="s">
        <v>60</v>
      </c>
      <c r="R32" s="19" t="s">
        <v>60</v>
      </c>
      <c r="S32" s="19" t="s">
        <v>60</v>
      </c>
      <c r="T32" s="19" t="s">
        <v>281</v>
      </c>
    </row>
    <row r="33" spans="1:20" x14ac:dyDescent="0.2">
      <c r="A33" s="1">
        <v>45998</v>
      </c>
      <c r="B33" s="2">
        <v>0.70833333333333337</v>
      </c>
      <c r="C33" s="19" t="s">
        <v>11</v>
      </c>
      <c r="D33" s="19" t="s">
        <v>30</v>
      </c>
      <c r="E33" s="19" t="s">
        <v>30</v>
      </c>
      <c r="F33">
        <v>2</v>
      </c>
      <c r="G33">
        <v>3</v>
      </c>
      <c r="H33">
        <v>0.82069999999999999</v>
      </c>
      <c r="I33" s="19" t="s">
        <v>249</v>
      </c>
      <c r="J33" s="19" t="s">
        <v>30</v>
      </c>
      <c r="K33">
        <v>3</v>
      </c>
      <c r="L33">
        <v>2</v>
      </c>
      <c r="M33">
        <v>-0.56999999999999995</v>
      </c>
      <c r="N33" s="19" t="s">
        <v>60</v>
      </c>
      <c r="O33" s="19" t="s">
        <v>60</v>
      </c>
      <c r="P33" s="19" t="s">
        <v>60</v>
      </c>
      <c r="Q33" s="19" t="s">
        <v>60</v>
      </c>
      <c r="R33" s="19" t="s">
        <v>60</v>
      </c>
      <c r="S33" s="19" t="s">
        <v>60</v>
      </c>
      <c r="T33" s="19" t="s">
        <v>281</v>
      </c>
    </row>
    <row r="34" spans="1:20" x14ac:dyDescent="0.2">
      <c r="A34" s="1">
        <v>45998</v>
      </c>
      <c r="B34" s="2">
        <v>0.79166666666666663</v>
      </c>
      <c r="C34" s="19" t="s">
        <v>18</v>
      </c>
      <c r="D34" s="19" t="s">
        <v>35</v>
      </c>
      <c r="E34" s="19" t="s">
        <v>18</v>
      </c>
      <c r="F34">
        <v>5</v>
      </c>
      <c r="G34">
        <v>3</v>
      </c>
      <c r="H34">
        <v>0.9365</v>
      </c>
      <c r="I34" s="19" t="s">
        <v>249</v>
      </c>
      <c r="J34" s="19" t="s">
        <v>18</v>
      </c>
      <c r="K34">
        <v>3</v>
      </c>
      <c r="L34">
        <v>2</v>
      </c>
      <c r="M34">
        <v>0.85</v>
      </c>
      <c r="N34" s="19" t="s">
        <v>60</v>
      </c>
      <c r="O34" s="19" t="s">
        <v>60</v>
      </c>
      <c r="P34" s="19" t="s">
        <v>60</v>
      </c>
      <c r="Q34" s="19" t="s">
        <v>60</v>
      </c>
      <c r="R34" s="19" t="s">
        <v>60</v>
      </c>
      <c r="S34" s="19" t="s">
        <v>60</v>
      </c>
      <c r="T34" s="19" t="s">
        <v>281</v>
      </c>
    </row>
    <row r="35" spans="1:20" x14ac:dyDescent="0.2">
      <c r="A35" s="1">
        <v>45998</v>
      </c>
      <c r="B35" s="2">
        <v>0.79166666666666663</v>
      </c>
      <c r="C35" s="19" t="s">
        <v>15</v>
      </c>
      <c r="D35" s="19" t="s">
        <v>20</v>
      </c>
      <c r="E35" s="19" t="s">
        <v>20</v>
      </c>
      <c r="F35">
        <v>1</v>
      </c>
      <c r="G35">
        <v>3</v>
      </c>
      <c r="H35">
        <v>0.82699999999999996</v>
      </c>
      <c r="I35" s="19" t="s">
        <v>249</v>
      </c>
      <c r="J35" s="19" t="s">
        <v>15</v>
      </c>
      <c r="K35">
        <v>3</v>
      </c>
      <c r="L35">
        <v>2</v>
      </c>
      <c r="M35">
        <v>0.12</v>
      </c>
      <c r="N35" s="19" t="s">
        <v>60</v>
      </c>
      <c r="O35" s="19" t="s">
        <v>60</v>
      </c>
      <c r="P35" s="19" t="s">
        <v>60</v>
      </c>
      <c r="Q35" s="19" t="s">
        <v>60</v>
      </c>
      <c r="R35" s="19" t="s">
        <v>60</v>
      </c>
      <c r="S35" s="19" t="s">
        <v>60</v>
      </c>
      <c r="T35" s="19" t="s">
        <v>281</v>
      </c>
    </row>
    <row r="36" spans="1:20" x14ac:dyDescent="0.2">
      <c r="A36" s="1">
        <v>45998</v>
      </c>
      <c r="B36" s="2">
        <v>0.79166666666666663</v>
      </c>
      <c r="C36" s="19" t="s">
        <v>22</v>
      </c>
      <c r="D36" s="19" t="s">
        <v>28</v>
      </c>
      <c r="E36" s="19" t="s">
        <v>22</v>
      </c>
      <c r="F36">
        <v>4</v>
      </c>
      <c r="G36">
        <v>3</v>
      </c>
      <c r="H36">
        <v>0.624</v>
      </c>
      <c r="I36" s="19" t="s">
        <v>249</v>
      </c>
      <c r="J36" s="19" t="s">
        <v>22</v>
      </c>
      <c r="K36">
        <v>3</v>
      </c>
      <c r="L36">
        <v>2</v>
      </c>
      <c r="M36">
        <v>1.26</v>
      </c>
      <c r="N36" s="19" t="s">
        <v>60</v>
      </c>
      <c r="O36" s="19" t="s">
        <v>60</v>
      </c>
      <c r="P36" s="19" t="s">
        <v>60</v>
      </c>
      <c r="Q36" s="19" t="s">
        <v>60</v>
      </c>
      <c r="R36" s="19" t="s">
        <v>60</v>
      </c>
      <c r="S36" s="19" t="s">
        <v>60</v>
      </c>
      <c r="T36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NHL2025-26Results</vt:lpstr>
      <vt:lpstr>NHL Model</vt:lpstr>
      <vt:lpstr>NHL HomeIce Model</vt:lpstr>
      <vt:lpstr>Standings</vt:lpstr>
      <vt:lpstr>ML Prediction Model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2025-12-07T15:56:40Z</dcterms:modified>
</cp:coreProperties>
</file>