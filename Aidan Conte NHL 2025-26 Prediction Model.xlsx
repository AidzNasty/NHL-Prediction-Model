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266" documentId="14_{BC0C37BD-5950-BD49-823D-87212FE79B51}" xr6:coauthVersionLast="47" xr6:coauthVersionMax="47" xr10:uidLastSave="{325932D6-1EB7-CD46-9F0F-18F7ADD4E98A}"/>
  <bookViews>
    <workbookView xWindow="-20" yWindow="66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'NHL2025-26PlayerStats'!$A$1:$AE$1009</definedName>
    <definedName name="ExternalData_1" localSheetId="0" hidden="1">'NHL2025-26Results'!$A$1:$J$1313</definedName>
    <definedName name="ExternalData_4" localSheetId="4" hidden="1">'ML Prediction Model'!$A$1:$T$433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44" i="1" l="1"/>
  <c r="E845" i="1"/>
  <c r="E846" i="1"/>
  <c r="H846" i="1" s="1"/>
  <c r="G844" i="1"/>
  <c r="H844" i="1"/>
  <c r="I844" i="1"/>
  <c r="J844" i="1" s="1"/>
  <c r="G845" i="1"/>
  <c r="I845" i="1"/>
  <c r="G846" i="1"/>
  <c r="I846" i="1"/>
  <c r="E843" i="1"/>
  <c r="H843" i="1" s="1"/>
  <c r="E834" i="1"/>
  <c r="E835" i="1"/>
  <c r="E836" i="1"/>
  <c r="E837" i="1"/>
  <c r="H837" i="1" s="1"/>
  <c r="E838" i="1"/>
  <c r="H838" i="1" s="1"/>
  <c r="E839" i="1"/>
  <c r="H839" i="1" s="1"/>
  <c r="E840" i="1"/>
  <c r="E841" i="1"/>
  <c r="E842" i="1"/>
  <c r="G834" i="1"/>
  <c r="I834" i="1"/>
  <c r="G835" i="1"/>
  <c r="I835" i="1"/>
  <c r="G836" i="1"/>
  <c r="I836" i="1"/>
  <c r="G837" i="1"/>
  <c r="I837" i="1"/>
  <c r="G838" i="1"/>
  <c r="I838" i="1"/>
  <c r="G839" i="1"/>
  <c r="I839" i="1"/>
  <c r="G840" i="1"/>
  <c r="I840" i="1"/>
  <c r="G841" i="1"/>
  <c r="H841" i="1"/>
  <c r="I841" i="1"/>
  <c r="G842" i="1"/>
  <c r="H842" i="1" s="1"/>
  <c r="I842" i="1"/>
  <c r="G843" i="1"/>
  <c r="I843" i="1"/>
  <c r="H845" i="1" l="1"/>
  <c r="J845" i="1" s="1"/>
  <c r="J846" i="1"/>
  <c r="H836" i="1"/>
  <c r="H835" i="1"/>
  <c r="J838" i="1"/>
  <c r="H834" i="1"/>
  <c r="J839" i="1"/>
  <c r="J837" i="1"/>
  <c r="J841" i="1"/>
  <c r="J835" i="1"/>
  <c r="J843" i="1"/>
  <c r="J834" i="1"/>
  <c r="H840" i="1"/>
  <c r="J840" i="1" s="1"/>
  <c r="J842" i="1"/>
  <c r="J836" i="1"/>
  <c r="E830" i="1"/>
  <c r="E831" i="1"/>
  <c r="E832" i="1"/>
  <c r="H832" i="1" s="1"/>
  <c r="E833" i="1"/>
  <c r="G830" i="1"/>
  <c r="I830" i="1"/>
  <c r="G831" i="1"/>
  <c r="I831" i="1"/>
  <c r="G832" i="1"/>
  <c r="I832" i="1"/>
  <c r="G833" i="1"/>
  <c r="I833" i="1"/>
  <c r="G1008" i="4"/>
  <c r="I1008" i="4"/>
  <c r="M1008" i="4"/>
  <c r="N1008" i="4" s="1"/>
  <c r="E824" i="1"/>
  <c r="E825" i="1"/>
  <c r="E826" i="1"/>
  <c r="E827" i="1"/>
  <c r="E828" i="1"/>
  <c r="E829" i="1"/>
  <c r="G824" i="1"/>
  <c r="I824" i="1"/>
  <c r="G825" i="1"/>
  <c r="I825" i="1"/>
  <c r="G826" i="1"/>
  <c r="I826" i="1"/>
  <c r="G827" i="1"/>
  <c r="I827" i="1"/>
  <c r="G828" i="1"/>
  <c r="I828" i="1"/>
  <c r="G829" i="1"/>
  <c r="I829" i="1"/>
  <c r="E815" i="1"/>
  <c r="E816" i="1"/>
  <c r="E817" i="1"/>
  <c r="E818" i="1"/>
  <c r="E819" i="1"/>
  <c r="E820" i="1"/>
  <c r="E821" i="1"/>
  <c r="E822" i="1"/>
  <c r="E823" i="1"/>
  <c r="G815" i="1"/>
  <c r="I815" i="1"/>
  <c r="G816" i="1"/>
  <c r="I816" i="1"/>
  <c r="G817" i="1"/>
  <c r="I817" i="1"/>
  <c r="G818" i="1"/>
  <c r="I818" i="1"/>
  <c r="G819" i="1"/>
  <c r="I819" i="1"/>
  <c r="G820" i="1"/>
  <c r="I820" i="1"/>
  <c r="G821" i="1"/>
  <c r="I821" i="1"/>
  <c r="G822" i="1"/>
  <c r="I822" i="1"/>
  <c r="G823" i="1"/>
  <c r="I823" i="1"/>
  <c r="E807" i="1"/>
  <c r="E808" i="1"/>
  <c r="E809" i="1"/>
  <c r="E810" i="1"/>
  <c r="E811" i="1"/>
  <c r="E812" i="1"/>
  <c r="E813" i="1"/>
  <c r="E814" i="1"/>
  <c r="G807" i="1"/>
  <c r="H807" i="1" s="1"/>
  <c r="I807" i="1"/>
  <c r="G808" i="1"/>
  <c r="I808" i="1"/>
  <c r="G809" i="1"/>
  <c r="I809" i="1"/>
  <c r="G810" i="1"/>
  <c r="I810" i="1"/>
  <c r="G811" i="1"/>
  <c r="I811" i="1"/>
  <c r="G812" i="1"/>
  <c r="I812" i="1"/>
  <c r="G813" i="1"/>
  <c r="I813" i="1"/>
  <c r="G814" i="1"/>
  <c r="I814" i="1"/>
  <c r="E799" i="1"/>
  <c r="E800" i="1"/>
  <c r="E801" i="1"/>
  <c r="E802" i="1"/>
  <c r="E803" i="1"/>
  <c r="E804" i="1"/>
  <c r="E805" i="1"/>
  <c r="E806" i="1"/>
  <c r="G799" i="1"/>
  <c r="I799" i="1"/>
  <c r="G800" i="1"/>
  <c r="I800" i="1"/>
  <c r="G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H795" i="1" s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H830" i="1" l="1"/>
  <c r="H833" i="1"/>
  <c r="J833" i="1" s="1"/>
  <c r="H831" i="1"/>
  <c r="J831" i="1"/>
  <c r="J830" i="1"/>
  <c r="J832" i="1"/>
  <c r="H829" i="1"/>
  <c r="J829" i="1" s="1"/>
  <c r="H800" i="1"/>
  <c r="J800" i="1" s="1"/>
  <c r="H808" i="1"/>
  <c r="J808" i="1" s="1"/>
  <c r="H827" i="1"/>
  <c r="J827" i="1" s="1"/>
  <c r="H824" i="1"/>
  <c r="J824" i="1" s="1"/>
  <c r="H823" i="1"/>
  <c r="J823" i="1" s="1"/>
  <c r="H815" i="1"/>
  <c r="J815" i="1" s="1"/>
  <c r="H803" i="1"/>
  <c r="J803" i="1" s="1"/>
  <c r="H825" i="1"/>
  <c r="J825" i="1" s="1"/>
  <c r="H828" i="1"/>
  <c r="J828" i="1" s="1"/>
  <c r="H826" i="1"/>
  <c r="J826" i="1" s="1"/>
  <c r="H811" i="1"/>
  <c r="J811" i="1" s="1"/>
  <c r="H809" i="1"/>
  <c r="J809" i="1" s="1"/>
  <c r="H812" i="1"/>
  <c r="J812" i="1" s="1"/>
  <c r="H821" i="1"/>
  <c r="J821" i="1" s="1"/>
  <c r="H817" i="1"/>
  <c r="J817" i="1" s="1"/>
  <c r="H816" i="1"/>
  <c r="J816" i="1" s="1"/>
  <c r="H819" i="1"/>
  <c r="J819" i="1" s="1"/>
  <c r="H820" i="1"/>
  <c r="J820" i="1" s="1"/>
  <c r="H822" i="1"/>
  <c r="J822" i="1" s="1"/>
  <c r="H818" i="1"/>
  <c r="J818" i="1" s="1"/>
  <c r="H801" i="1"/>
  <c r="J801" i="1" s="1"/>
  <c r="H814" i="1"/>
  <c r="J814" i="1" s="1"/>
  <c r="H813" i="1"/>
  <c r="J813" i="1" s="1"/>
  <c r="H802" i="1"/>
  <c r="J802" i="1" s="1"/>
  <c r="J807" i="1"/>
  <c r="H810" i="1"/>
  <c r="J810" i="1" s="1"/>
  <c r="H806" i="1"/>
  <c r="J806" i="1" s="1"/>
  <c r="H805" i="1"/>
  <c r="J805" i="1" s="1"/>
  <c r="H804" i="1"/>
  <c r="J804" i="1" s="1"/>
  <c r="H799" i="1"/>
  <c r="J799" i="1" s="1"/>
  <c r="H777" i="1"/>
  <c r="J777" i="1" s="1"/>
  <c r="H787" i="1"/>
  <c r="J787" i="1" s="1"/>
  <c r="H796" i="1"/>
  <c r="J796" i="1" s="1"/>
  <c r="H798" i="1"/>
  <c r="J798" i="1" s="1"/>
  <c r="H791" i="1"/>
  <c r="J791" i="1" s="1"/>
  <c r="H794" i="1"/>
  <c r="J794" i="1" s="1"/>
  <c r="H797" i="1"/>
  <c r="J797" i="1" s="1"/>
  <c r="H793" i="1"/>
  <c r="J793" i="1" s="1"/>
  <c r="J795" i="1"/>
  <c r="H789" i="1"/>
  <c r="J789" i="1" s="1"/>
  <c r="H792" i="1"/>
  <c r="J792" i="1" s="1"/>
  <c r="H786" i="1"/>
  <c r="J786" i="1" s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587" i="1" l="1"/>
  <c r="H729" i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J729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395" i="1" l="1"/>
  <c r="H428" i="1"/>
  <c r="H459" i="1"/>
  <c r="J459" i="1" s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 s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0" i="1" l="1"/>
  <c r="H293" i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J280" i="1" s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J1008" i="4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114" i="1" l="1"/>
  <c r="K1008" i="4"/>
  <c r="H75" i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7" i="4"/>
  <c r="J835" i="4"/>
  <c r="J843" i="4"/>
  <c r="J851" i="4"/>
  <c r="J859" i="4"/>
  <c r="J867" i="4"/>
  <c r="J875" i="4"/>
  <c r="K875" i="4" s="1"/>
  <c r="M875" i="4" s="1"/>
  <c r="J883" i="4"/>
  <c r="J891" i="4"/>
  <c r="J899" i="4"/>
  <c r="K899" i="4" s="1"/>
  <c r="M899" i="4" s="1"/>
  <c r="J907" i="4"/>
  <c r="J915" i="4"/>
  <c r="J923" i="4"/>
  <c r="J931" i="4"/>
  <c r="J939" i="4"/>
  <c r="J947" i="4"/>
  <c r="J955" i="4"/>
  <c r="K955" i="4" s="1"/>
  <c r="M955" i="4" s="1"/>
  <c r="J963" i="4"/>
  <c r="J971" i="4"/>
  <c r="K971" i="4" s="1"/>
  <c r="M971" i="4" s="1"/>
  <c r="J979" i="4"/>
  <c r="J987" i="4"/>
  <c r="J995" i="4"/>
  <c r="K995" i="4" s="1"/>
  <c r="M995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8" i="4"/>
  <c r="J836" i="4"/>
  <c r="K836" i="4" s="1"/>
  <c r="M836" i="4" s="1"/>
  <c r="J844" i="4"/>
  <c r="J852" i="4"/>
  <c r="K852" i="4" s="1"/>
  <c r="M852" i="4" s="1"/>
  <c r="J860" i="4"/>
  <c r="J868" i="4"/>
  <c r="J876" i="4"/>
  <c r="J884" i="4"/>
  <c r="J892" i="4"/>
  <c r="K892" i="4" s="1"/>
  <c r="M892" i="4" s="1"/>
  <c r="J900" i="4"/>
  <c r="J908" i="4"/>
  <c r="K908" i="4" s="1"/>
  <c r="M908" i="4" s="1"/>
  <c r="J916" i="4"/>
  <c r="K916" i="4" s="1"/>
  <c r="M916" i="4" s="1"/>
  <c r="J924" i="4"/>
  <c r="J932" i="4"/>
  <c r="J940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29" i="4"/>
  <c r="J837" i="4"/>
  <c r="J845" i="4"/>
  <c r="J853" i="4"/>
  <c r="J861" i="4"/>
  <c r="J869" i="4"/>
  <c r="J877" i="4"/>
  <c r="K877" i="4" s="1"/>
  <c r="M877" i="4" s="1"/>
  <c r="J885" i="4"/>
  <c r="J893" i="4"/>
  <c r="K893" i="4" s="1"/>
  <c r="M893" i="4" s="1"/>
  <c r="J901" i="4"/>
  <c r="J909" i="4"/>
  <c r="J917" i="4"/>
  <c r="J925" i="4"/>
  <c r="J933" i="4"/>
  <c r="J941" i="4"/>
  <c r="K941" i="4" s="1"/>
  <c r="M941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6" i="4"/>
  <c r="J834" i="4"/>
  <c r="J842" i="4"/>
  <c r="J850" i="4"/>
  <c r="J858" i="4"/>
  <c r="J866" i="4"/>
  <c r="J874" i="4"/>
  <c r="J882" i="4"/>
  <c r="K882" i="4" s="1"/>
  <c r="M882" i="4" s="1"/>
  <c r="J890" i="4"/>
  <c r="J898" i="4"/>
  <c r="J906" i="4"/>
  <c r="J914" i="4"/>
  <c r="K914" i="4" s="1"/>
  <c r="M914" i="4" s="1"/>
  <c r="J922" i="4"/>
  <c r="K922" i="4" s="1"/>
  <c r="M922" i="4" s="1"/>
  <c r="J930" i="4"/>
  <c r="J938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0" i="4"/>
  <c r="K830" i="4" s="1"/>
  <c r="M830" i="4" s="1"/>
  <c r="J846" i="4"/>
  <c r="J862" i="4"/>
  <c r="K862" i="4" s="1"/>
  <c r="M862" i="4" s="1"/>
  <c r="J878" i="4"/>
  <c r="J894" i="4"/>
  <c r="J910" i="4"/>
  <c r="J926" i="4"/>
  <c r="J942" i="4"/>
  <c r="J951" i="4"/>
  <c r="J960" i="4"/>
  <c r="J969" i="4"/>
  <c r="J978" i="4"/>
  <c r="J988" i="4"/>
  <c r="K988" i="4" s="1"/>
  <c r="M988" i="4" s="1"/>
  <c r="J997" i="4"/>
  <c r="J1005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1" i="4"/>
  <c r="J847" i="4"/>
  <c r="J863" i="4"/>
  <c r="K863" i="4" s="1"/>
  <c r="M863" i="4" s="1"/>
  <c r="J879" i="4"/>
  <c r="J895" i="4"/>
  <c r="K895" i="4" s="1"/>
  <c r="M895" i="4" s="1"/>
  <c r="J911" i="4"/>
  <c r="J927" i="4"/>
  <c r="J943" i="4"/>
  <c r="J952" i="4"/>
  <c r="J961" i="4"/>
  <c r="K961" i="4" s="1"/>
  <c r="M961" i="4" s="1"/>
  <c r="J970" i="4"/>
  <c r="J980" i="4"/>
  <c r="J989" i="4"/>
  <c r="J998" i="4"/>
  <c r="J1006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2" i="4"/>
  <c r="K832" i="4" s="1"/>
  <c r="M832" i="4" s="1"/>
  <c r="J848" i="4"/>
  <c r="J864" i="4"/>
  <c r="J880" i="4"/>
  <c r="J896" i="4"/>
  <c r="J912" i="4"/>
  <c r="J928" i="4"/>
  <c r="J944" i="4"/>
  <c r="J953" i="4"/>
  <c r="J962" i="4"/>
  <c r="J972" i="4"/>
  <c r="J981" i="4"/>
  <c r="J990" i="4"/>
  <c r="J999" i="4"/>
  <c r="J1007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41" i="4"/>
  <c r="J857" i="4"/>
  <c r="J873" i="4"/>
  <c r="K873" i="4" s="1"/>
  <c r="M873" i="4" s="1"/>
  <c r="J889" i="4"/>
  <c r="J905" i="4"/>
  <c r="J921" i="4"/>
  <c r="J937" i="4"/>
  <c r="K937" i="4" s="1"/>
  <c r="M937" i="4" s="1"/>
  <c r="J950" i="4"/>
  <c r="K950" i="4" s="1"/>
  <c r="M950" i="4" s="1"/>
  <c r="J959" i="4"/>
  <c r="J968" i="4"/>
  <c r="J977" i="4"/>
  <c r="J986" i="4"/>
  <c r="J996" i="4"/>
  <c r="J1004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49" i="4"/>
  <c r="J881" i="4"/>
  <c r="J913" i="4"/>
  <c r="J945" i="4"/>
  <c r="J964" i="4"/>
  <c r="J982" i="4"/>
  <c r="J1000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8" i="4"/>
  <c r="J949" i="4"/>
  <c r="K949" i="4" s="1"/>
  <c r="M949" i="4" s="1"/>
  <c r="J985" i="4"/>
  <c r="K985" i="4" s="1"/>
  <c r="M985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5" i="4"/>
  <c r="J973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39" i="4"/>
  <c r="J903" i="4"/>
  <c r="J957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4" i="4"/>
  <c r="J886" i="4"/>
  <c r="J918" i="4"/>
  <c r="K918" i="4" s="1"/>
  <c r="M918" i="4" s="1"/>
  <c r="J946" i="4"/>
  <c r="J965" i="4"/>
  <c r="J983" i="4"/>
  <c r="J1001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6" i="4"/>
  <c r="J920" i="4"/>
  <c r="K920" i="4" s="1"/>
  <c r="M920" i="4" s="1"/>
  <c r="J967" i="4"/>
  <c r="J1003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3" i="4"/>
  <c r="K833" i="4" s="1"/>
  <c r="M833" i="4" s="1"/>
  <c r="J954" i="4"/>
  <c r="K954" i="4" s="1"/>
  <c r="M954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0" i="4"/>
  <c r="K870" i="4" s="1"/>
  <c r="M870" i="4" s="1"/>
  <c r="J956" i="4"/>
  <c r="J992" i="4"/>
  <c r="K992" i="4" s="1"/>
  <c r="M992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1" i="4"/>
  <c r="J935" i="4"/>
  <c r="J975" i="4"/>
  <c r="J993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5" i="4"/>
  <c r="J887" i="4"/>
  <c r="J919" i="4"/>
  <c r="J948" i="4"/>
  <c r="J966" i="4"/>
  <c r="J984" i="4"/>
  <c r="J1002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7" i="4"/>
  <c r="J991" i="4"/>
  <c r="K991" i="4" s="1"/>
  <c r="M991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8" i="4"/>
  <c r="J934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0" i="4"/>
  <c r="J872" i="4"/>
  <c r="J904" i="4"/>
  <c r="J936" i="4"/>
  <c r="J958" i="4"/>
  <c r="J976" i="4"/>
  <c r="J994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29" i="4"/>
  <c r="J1057" i="4"/>
  <c r="J1121" i="4"/>
  <c r="J1201" i="4"/>
  <c r="J1281" i="4"/>
  <c r="J71" i="4"/>
  <c r="J521" i="4"/>
  <c r="J711" i="4"/>
  <c r="K711" i="4" s="1"/>
  <c r="M711" i="4" s="1"/>
  <c r="J807" i="4"/>
  <c r="J902" i="4"/>
  <c r="J974" i="4"/>
  <c r="K974" i="4" s="1"/>
  <c r="M974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L1008" i="4" s="1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39" i="4"/>
  <c r="L374" i="4"/>
  <c r="L1201" i="4"/>
  <c r="L226" i="4"/>
  <c r="L489" i="4"/>
  <c r="L1300" i="4"/>
  <c r="L1233" i="4"/>
  <c r="L1131" i="4"/>
  <c r="L849" i="4"/>
  <c r="L1119" i="4"/>
  <c r="L183" i="4"/>
  <c r="L1260" i="4"/>
  <c r="L1099" i="4"/>
  <c r="L300" i="4"/>
  <c r="L109" i="4"/>
  <c r="L1066" i="4"/>
  <c r="L786" i="4"/>
  <c r="L592" i="4"/>
  <c r="L1007" i="4"/>
  <c r="L1295" i="4"/>
  <c r="L1167" i="4"/>
  <c r="L1103" i="4"/>
  <c r="L1039" i="4"/>
  <c r="L1005" i="4"/>
  <c r="L669" i="4"/>
  <c r="L257" i="4"/>
  <c r="L994" i="4"/>
  <c r="L871" i="4"/>
  <c r="L712" i="4"/>
  <c r="L857" i="4"/>
  <c r="L1064" i="4"/>
  <c r="L1057" i="4"/>
  <c r="L147" i="4"/>
  <c r="L83" i="4"/>
  <c r="L210" i="4"/>
  <c r="L82" i="4"/>
  <c r="L168" i="4"/>
  <c r="L897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3" i="4"/>
  <c r="L770" i="4"/>
  <c r="L1257" i="4"/>
  <c r="L1231" i="4"/>
  <c r="L1237" i="4"/>
  <c r="L1264" i="4"/>
  <c r="L1220" i="4"/>
  <c r="L1092" i="4"/>
  <c r="L958" i="4"/>
  <c r="L1234" i="4"/>
  <c r="L1018" i="4"/>
  <c r="L334" i="4"/>
  <c r="L945" i="4"/>
  <c r="L690" i="4"/>
  <c r="L1149" i="4"/>
  <c r="L1085" i="4"/>
  <c r="L496" i="4"/>
  <c r="L1304" i="4"/>
  <c r="L880" i="4"/>
  <c r="L351" i="4"/>
  <c r="L943" i="4"/>
  <c r="L478" i="4"/>
  <c r="L601" i="4"/>
  <c r="L345" i="4"/>
  <c r="L513" i="4"/>
  <c r="L255" i="4"/>
  <c r="L649" i="4"/>
  <c r="L536" i="4"/>
  <c r="L408" i="4"/>
  <c r="L150" i="4"/>
  <c r="L828" i="4"/>
  <c r="L701" i="4"/>
  <c r="L503" i="4"/>
  <c r="L229" i="4"/>
  <c r="L859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5" i="4"/>
  <c r="L888" i="4"/>
  <c r="L913" i="4"/>
  <c r="L654" i="4"/>
  <c r="L1269" i="4"/>
  <c r="L1077" i="4"/>
  <c r="L810" i="4"/>
  <c r="L464" i="4"/>
  <c r="L1232" i="4"/>
  <c r="L864" i="4"/>
  <c r="L737" i="4"/>
  <c r="L575" i="4"/>
  <c r="L927" i="4"/>
  <c r="L800" i="4"/>
  <c r="L446" i="4"/>
  <c r="L188" i="4"/>
  <c r="L1166" i="4"/>
  <c r="L569" i="4"/>
  <c r="L313" i="4"/>
  <c r="L826" i="4"/>
  <c r="L699" i="4"/>
  <c r="L625" i="4"/>
  <c r="L901" i="4"/>
  <c r="L837" i="4"/>
  <c r="L134" i="4"/>
  <c r="L884" i="4"/>
  <c r="L615" i="4"/>
  <c r="L85" i="4"/>
  <c r="L915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2" i="4"/>
  <c r="L848" i="4"/>
  <c r="L721" i="4"/>
  <c r="L543" i="4"/>
  <c r="L285" i="4"/>
  <c r="L1255" i="4"/>
  <c r="L1063" i="4"/>
  <c r="L911" i="4"/>
  <c r="L652" i="4"/>
  <c r="L1286" i="4"/>
  <c r="L1094" i="4"/>
  <c r="L1030" i="4"/>
  <c r="L719" i="4"/>
  <c r="L23" i="4"/>
  <c r="L755" i="4"/>
  <c r="L691" i="4"/>
  <c r="L353" i="4"/>
  <c r="L829" i="4"/>
  <c r="L702" i="4"/>
  <c r="L504" i="4"/>
  <c r="L246" i="4"/>
  <c r="L876" i="4"/>
  <c r="L599" i="4"/>
  <c r="L69" i="4"/>
  <c r="L907" i="4"/>
  <c r="L843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2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1" i="4"/>
  <c r="L505" i="4"/>
  <c r="L938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2" i="4"/>
  <c r="L77" i="4"/>
  <c r="L1259" i="4"/>
  <c r="L1074" i="4"/>
  <c r="L840" i="4"/>
  <c r="L1185" i="4"/>
  <c r="L190" i="4"/>
  <c r="L1243" i="4"/>
  <c r="L1115" i="4"/>
  <c r="L760" i="4"/>
  <c r="L975" i="4"/>
  <c r="L329" i="4"/>
  <c r="L1082" i="4"/>
  <c r="L946" i="4"/>
  <c r="L1145" i="4"/>
  <c r="L368" i="4"/>
  <c r="L1208" i="4"/>
  <c r="L817" i="4"/>
  <c r="L221" i="4"/>
  <c r="L1303" i="4"/>
  <c r="L1175" i="4"/>
  <c r="L350" i="4"/>
  <c r="L942" i="4"/>
  <c r="L866" i="4"/>
  <c r="L191" i="4"/>
  <c r="L472" i="4"/>
  <c r="L860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7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8" i="4"/>
  <c r="L1196" i="4"/>
  <c r="L1050" i="4"/>
  <c r="L103" i="4"/>
  <c r="L1089" i="4"/>
  <c r="L1113" i="4"/>
  <c r="L982" i="4"/>
  <c r="L352" i="4"/>
  <c r="L1293" i="4"/>
  <c r="L1229" i="4"/>
  <c r="L1101" i="4"/>
  <c r="L1128" i="4"/>
  <c r="L999" i="4"/>
  <c r="L912" i="4"/>
  <c r="L415" i="4"/>
  <c r="L1287" i="4"/>
  <c r="L1095" i="4"/>
  <c r="L1031" i="4"/>
  <c r="L847" i="4"/>
  <c r="L720" i="4"/>
  <c r="L1254" i="4"/>
  <c r="L409" i="4"/>
  <c r="L287" i="4"/>
  <c r="L925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4" i="4"/>
  <c r="L722" i="4"/>
  <c r="L1093" i="4"/>
  <c r="L714" i="4"/>
  <c r="L1248" i="4"/>
  <c r="L1184" i="4"/>
  <c r="L896" i="4"/>
  <c r="L633" i="4"/>
  <c r="L1151" i="4"/>
  <c r="L510" i="4"/>
  <c r="L252" i="4"/>
  <c r="L1182" i="4"/>
  <c r="L894" i="4"/>
  <c r="L767" i="4"/>
  <c r="L631" i="4"/>
  <c r="L119" i="4"/>
  <c r="L779" i="4"/>
  <c r="L715" i="4"/>
  <c r="L853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5" i="4"/>
  <c r="L535" i="4"/>
  <c r="L111" i="4"/>
  <c r="L280" i="4"/>
  <c r="L281" i="4"/>
  <c r="L214" i="4"/>
  <c r="L870" i="4"/>
  <c r="N870" i="4" s="1"/>
  <c r="L1200" i="4"/>
  <c r="N1200" i="4" s="1"/>
  <c r="K9" i="4"/>
  <c r="M9" i="4" s="1"/>
  <c r="L1136" i="4"/>
  <c r="N1136" i="4" s="1"/>
  <c r="L1222" i="4"/>
  <c r="N1222" i="4" s="1"/>
  <c r="K599" i="4"/>
  <c r="M599" i="4" s="1"/>
  <c r="K907" i="4"/>
  <c r="M907" i="4" s="1"/>
  <c r="N907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4" i="4"/>
  <c r="M964" i="4" s="1"/>
  <c r="K1111" i="4"/>
  <c r="M1111" i="4" s="1"/>
  <c r="L1177" i="4"/>
  <c r="N1177" i="4" s="1"/>
  <c r="K786" i="4"/>
  <c r="M786" i="4" s="1"/>
  <c r="K840" i="4"/>
  <c r="M840" i="4" s="1"/>
  <c r="K1162" i="4"/>
  <c r="M1162" i="4" s="1"/>
  <c r="K824" i="4"/>
  <c r="M824" i="4" s="1"/>
  <c r="K415" i="4"/>
  <c r="M415" i="4" s="1"/>
  <c r="K994" i="4"/>
  <c r="M994" i="4" s="1"/>
  <c r="N994" i="4" s="1"/>
  <c r="K913" i="4"/>
  <c r="M913" i="4" s="1"/>
  <c r="N913" i="4" s="1"/>
  <c r="K896" i="4"/>
  <c r="M896" i="4" s="1"/>
  <c r="N896" i="4" s="1"/>
  <c r="L734" i="4"/>
  <c r="N734" i="4" s="1"/>
  <c r="K792" i="4"/>
  <c r="M792" i="4" s="1"/>
  <c r="K894" i="4"/>
  <c r="M894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4" i="4"/>
  <c r="M884" i="4" s="1"/>
  <c r="N884" i="4" s="1"/>
  <c r="K1257" i="4"/>
  <c r="M1257" i="4" s="1"/>
  <c r="N1257" i="4" s="1"/>
  <c r="K604" i="4"/>
  <c r="M604" i="4" s="1"/>
  <c r="L274" i="4"/>
  <c r="N274" i="4" s="1"/>
  <c r="K982" i="4"/>
  <c r="M982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1" i="4"/>
  <c r="N971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7" i="4"/>
  <c r="M947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7" i="4"/>
  <c r="M1007" i="4" s="1"/>
  <c r="N1007" i="4" s="1"/>
  <c r="L988" i="4"/>
  <c r="N988" i="4" s="1"/>
  <c r="K673" i="4"/>
  <c r="M673" i="4" s="1"/>
  <c r="L703" i="4"/>
  <c r="N703" i="4" s="1"/>
  <c r="K935" i="4"/>
  <c r="M935" i="4" s="1"/>
  <c r="L38" i="4"/>
  <c r="N38" i="4" s="1"/>
  <c r="L1305" i="4"/>
  <c r="N1305" i="4" s="1"/>
  <c r="K167" i="4"/>
  <c r="M167" i="4" s="1"/>
  <c r="K1095" i="4"/>
  <c r="M1095" i="4" s="1"/>
  <c r="L974" i="4"/>
  <c r="N974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8" i="4"/>
  <c r="M848" i="4" s="1"/>
  <c r="L1044" i="4"/>
  <c r="N1044" i="4" s="1"/>
  <c r="L441" i="4"/>
  <c r="N441" i="4" s="1"/>
  <c r="L1282" i="4"/>
  <c r="N1282" i="4" s="1"/>
  <c r="K912" i="4"/>
  <c r="M912" i="4" s="1"/>
  <c r="K103" i="4"/>
  <c r="M103" i="4" s="1"/>
  <c r="K601" i="4"/>
  <c r="M601" i="4" s="1"/>
  <c r="K828" i="4"/>
  <c r="M828" i="4" s="1"/>
  <c r="K1242" i="4"/>
  <c r="M1242" i="4" s="1"/>
  <c r="N1242" i="4" s="1"/>
  <c r="L1079" i="4"/>
  <c r="N1079" i="4" s="1"/>
  <c r="L916" i="4"/>
  <c r="N916" i="4" s="1"/>
  <c r="L1114" i="4"/>
  <c r="N1114" i="4" s="1"/>
  <c r="K586" i="4"/>
  <c r="M586" i="4" s="1"/>
  <c r="L545" i="4"/>
  <c r="N545" i="4" s="1"/>
  <c r="K150" i="4"/>
  <c r="M150" i="4" s="1"/>
  <c r="L830" i="4"/>
  <c r="N830" i="4" s="1"/>
  <c r="K214" i="4"/>
  <c r="M214" i="4" s="1"/>
  <c r="L81" i="4"/>
  <c r="N81" i="4" s="1"/>
  <c r="K461" i="4"/>
  <c r="M461" i="4" s="1"/>
  <c r="K335" i="4"/>
  <c r="M335" i="4" s="1"/>
  <c r="K958" i="4"/>
  <c r="M958" i="4" s="1"/>
  <c r="N958" i="4" s="1"/>
  <c r="K255" i="4"/>
  <c r="M255" i="4" s="1"/>
  <c r="L1241" i="4"/>
  <c r="N1241" i="4" s="1"/>
  <c r="K1089" i="4"/>
  <c r="M1089" i="4" s="1"/>
  <c r="K866" i="4"/>
  <c r="M866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3" i="4"/>
  <c r="M853" i="4" s="1"/>
  <c r="N853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1" i="4"/>
  <c r="M901" i="4" s="1"/>
  <c r="N901" i="4" s="1"/>
  <c r="K562" i="4"/>
  <c r="M562" i="4" s="1"/>
  <c r="K594" i="4"/>
  <c r="M594" i="4" s="1"/>
  <c r="N594" i="4" s="1"/>
  <c r="K806" i="4"/>
  <c r="M806" i="4" s="1"/>
  <c r="L321" i="4"/>
  <c r="N321" i="4" s="1"/>
  <c r="L873" i="4"/>
  <c r="N873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1" i="4"/>
  <c r="N991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0" i="4"/>
  <c r="N950" i="4" s="1"/>
  <c r="K1304" i="4"/>
  <c r="M1304" i="4" s="1"/>
  <c r="N1304" i="4" s="1"/>
  <c r="K1260" i="4"/>
  <c r="M1260" i="4" s="1"/>
  <c r="N1260" i="4" s="1"/>
  <c r="L992" i="4"/>
  <c r="N992" i="4" s="1"/>
  <c r="K1018" i="4"/>
  <c r="M1018" i="4" s="1"/>
  <c r="N1018" i="4" s="1"/>
  <c r="K225" i="4"/>
  <c r="M225" i="4" s="1"/>
  <c r="K82" i="4"/>
  <c r="M82" i="4" s="1"/>
  <c r="K458" i="4"/>
  <c r="M458" i="4" s="1"/>
  <c r="L908" i="4"/>
  <c r="N908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2" i="4"/>
  <c r="N832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2" i="4"/>
  <c r="N852" i="4" s="1"/>
  <c r="K171" i="4"/>
  <c r="M171" i="4" s="1"/>
  <c r="K530" i="4"/>
  <c r="M530" i="4" s="1"/>
  <c r="K147" i="4"/>
  <c r="M147" i="4" s="1"/>
  <c r="L146" i="4"/>
  <c r="N14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1" i="4"/>
  <c r="N941" i="4" s="1"/>
  <c r="K183" i="4"/>
  <c r="M183" i="4" s="1"/>
  <c r="L220" i="4"/>
  <c r="N220" i="4" s="1"/>
  <c r="L271" i="4"/>
  <c r="N271" i="4" s="1"/>
  <c r="K257" i="4"/>
  <c r="M257" i="4" s="1"/>
  <c r="K701" i="4"/>
  <c r="M701" i="4" s="1"/>
  <c r="K945" i="4"/>
  <c r="M945" i="4" s="1"/>
  <c r="N945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59" i="4"/>
  <c r="M859" i="4" s="1"/>
  <c r="N859" i="4" s="1"/>
  <c r="K649" i="4"/>
  <c r="M649" i="4" s="1"/>
  <c r="K719" i="4"/>
  <c r="M719" i="4" s="1"/>
  <c r="K714" i="4"/>
  <c r="M714" i="4" s="1"/>
  <c r="K705" i="4"/>
  <c r="M705" i="4" s="1"/>
  <c r="L613" i="4"/>
  <c r="N613" i="4" s="1"/>
  <c r="L1195" i="4"/>
  <c r="N1195" i="4" s="1"/>
  <c r="L1042" i="4"/>
  <c r="N1042" i="4" s="1"/>
  <c r="L985" i="4"/>
  <c r="N985" i="4" s="1"/>
  <c r="K626" i="4"/>
  <c r="M626" i="4" s="1"/>
  <c r="K203" i="4"/>
  <c r="M203" i="4" s="1"/>
  <c r="L1198" i="4"/>
  <c r="N1198" i="4" s="1"/>
  <c r="L893" i="4"/>
  <c r="N893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7" i="4"/>
  <c r="N937" i="4" s="1"/>
  <c r="L450" i="4"/>
  <c r="N450" i="4" s="1"/>
  <c r="L920" i="4"/>
  <c r="N920" i="4" s="1"/>
  <c r="L1306" i="4"/>
  <c r="N1306" i="4" s="1"/>
  <c r="K462" i="4"/>
  <c r="M462" i="4" s="1"/>
  <c r="K589" i="4"/>
  <c r="M589" i="4" s="1"/>
  <c r="K999" i="4"/>
  <c r="M999" i="4" s="1"/>
  <c r="N999" i="4" s="1"/>
  <c r="K826" i="4"/>
  <c r="M826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1" i="4"/>
  <c r="M871" i="4" s="1"/>
  <c r="N871" i="4" s="1"/>
  <c r="K350" i="4"/>
  <c r="M350" i="4" s="1"/>
  <c r="L1051" i="4"/>
  <c r="N1051" i="4" s="1"/>
  <c r="L56" i="4"/>
  <c r="N56" i="4" s="1"/>
  <c r="K494" i="4"/>
  <c r="M494" i="4" s="1"/>
  <c r="L323" i="4"/>
  <c r="N323" i="4" s="1"/>
  <c r="K915" i="4"/>
  <c r="M915" i="4" s="1"/>
  <c r="N915" i="4" s="1"/>
  <c r="K709" i="4"/>
  <c r="M709" i="4" s="1"/>
  <c r="L622" i="4"/>
  <c r="N622" i="4" s="1"/>
  <c r="K810" i="4"/>
  <c r="M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K293" i="4"/>
  <c r="M293" i="4" s="1"/>
  <c r="K865" i="4"/>
  <c r="M865" i="4" s="1"/>
  <c r="N865" i="4" s="1"/>
  <c r="L892" i="4"/>
  <c r="N892" i="4" s="1"/>
  <c r="K654" i="4"/>
  <c r="M654" i="4" s="1"/>
  <c r="K745" i="4"/>
  <c r="M745" i="4" s="1"/>
  <c r="L236" i="4"/>
  <c r="K379" i="4"/>
  <c r="M379" i="4" s="1"/>
  <c r="K948" i="4"/>
  <c r="M948" i="4" s="1"/>
  <c r="K353" i="4"/>
  <c r="M353" i="4" s="1"/>
  <c r="L922" i="4"/>
  <c r="N922" i="4" s="1"/>
  <c r="L1161" i="4"/>
  <c r="N1161" i="4" s="1"/>
  <c r="K864" i="4"/>
  <c r="M864" i="4" s="1"/>
  <c r="N864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7" i="4"/>
  <c r="M897" i="4" s="1"/>
  <c r="N897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7" i="4"/>
  <c r="M857" i="4" s="1"/>
  <c r="N857" i="4" s="1"/>
  <c r="L359" i="4"/>
  <c r="N359" i="4" s="1"/>
  <c r="K880" i="4"/>
  <c r="M880" i="4" s="1"/>
  <c r="N880" i="4" s="1"/>
  <c r="K1237" i="4"/>
  <c r="M1237" i="4" s="1"/>
  <c r="N1237" i="4" s="1"/>
  <c r="K876" i="4"/>
  <c r="M876" i="4" s="1"/>
  <c r="N876" i="4" s="1"/>
  <c r="L422" i="4"/>
  <c r="N422" i="4" s="1"/>
  <c r="K938" i="4"/>
  <c r="M938" i="4" s="1"/>
  <c r="N938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1" i="4"/>
  <c r="M951" i="4" s="1"/>
  <c r="N951" i="4" s="1"/>
  <c r="K254" i="4"/>
  <c r="M254" i="4" s="1"/>
  <c r="K114" i="4"/>
  <c r="M114" i="4" s="1"/>
  <c r="K575" i="4"/>
  <c r="M575" i="4" s="1"/>
  <c r="L661" i="4"/>
  <c r="N661" i="4" s="1"/>
  <c r="K334" i="4"/>
  <c r="M334" i="4" s="1"/>
  <c r="L995" i="4"/>
  <c r="N995" i="4" s="1"/>
  <c r="L402" i="4"/>
  <c r="N402" i="4" s="1"/>
  <c r="L1132" i="4"/>
  <c r="N1132" i="4" s="1"/>
  <c r="L877" i="4"/>
  <c r="N877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2" i="4"/>
  <c r="N882" i="4" s="1"/>
  <c r="K946" i="4"/>
  <c r="M946" i="4" s="1"/>
  <c r="N946" i="4" s="1"/>
  <c r="L833" i="4"/>
  <c r="N833" i="4" s="1"/>
  <c r="K83" i="4"/>
  <c r="M83" i="4" s="1"/>
  <c r="K812" i="4"/>
  <c r="M812" i="4" s="1"/>
  <c r="L914" i="4"/>
  <c r="N914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K531" i="4"/>
  <c r="M531" i="4" s="1"/>
  <c r="L358" i="4"/>
  <c r="N358" i="4" s="1"/>
  <c r="L1112" i="4"/>
  <c r="N1112" i="4" s="1"/>
  <c r="K888" i="4"/>
  <c r="M888" i="4" s="1"/>
  <c r="N888" i="4" s="1"/>
  <c r="K356" i="4"/>
  <c r="M356" i="4" s="1"/>
  <c r="K242" i="4"/>
  <c r="M242" i="4" s="1"/>
  <c r="K837" i="4"/>
  <c r="M837" i="4" s="1"/>
  <c r="K729" i="4"/>
  <c r="M729" i="4" s="1"/>
  <c r="K8" i="4"/>
  <c r="M8" i="4" s="1"/>
  <c r="L1181" i="4"/>
  <c r="N1181" i="4" s="1"/>
  <c r="L949" i="4"/>
  <c r="N949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3" i="4"/>
  <c r="M843" i="4" s="1"/>
  <c r="N843" i="4" s="1"/>
  <c r="L1285" i="4"/>
  <c r="N1285" i="4" s="1"/>
  <c r="K925" i="4"/>
  <c r="M925" i="4" s="1"/>
  <c r="N925" i="4" s="1"/>
  <c r="K1184" i="4"/>
  <c r="M1184" i="4" s="1"/>
  <c r="L1047" i="4"/>
  <c r="N1047" i="4" s="1"/>
  <c r="K409" i="4"/>
  <c r="M409" i="4" s="1"/>
  <c r="L899" i="4"/>
  <c r="N899" i="4" s="1"/>
  <c r="L590" i="4"/>
  <c r="N590" i="4" s="1"/>
  <c r="L875" i="4"/>
  <c r="N875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3" i="4"/>
  <c r="M933" i="4" s="1"/>
  <c r="N933" i="4" s="1"/>
  <c r="L1065" i="4"/>
  <c r="N1065" i="4" s="1"/>
  <c r="K690" i="4"/>
  <c r="M690" i="4" s="1"/>
  <c r="K872" i="4"/>
  <c r="M872" i="4" s="1"/>
  <c r="N872" i="4" s="1"/>
  <c r="L723" i="4"/>
  <c r="N723" i="4" s="1"/>
  <c r="K1125" i="4"/>
  <c r="M1125" i="4" s="1"/>
  <c r="N1125" i="4" s="1"/>
  <c r="L205" i="4"/>
  <c r="N205" i="4" s="1"/>
  <c r="K1002" i="4"/>
  <c r="M1002" i="4" s="1"/>
  <c r="N1002" i="4" s="1"/>
  <c r="K669" i="4"/>
  <c r="M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5" i="4"/>
  <c r="M1005" i="4" s="1"/>
  <c r="K939" i="4"/>
  <c r="M939" i="4" s="1"/>
  <c r="N939" i="4" s="1"/>
  <c r="K860" i="4"/>
  <c r="M860" i="4" s="1"/>
  <c r="N860" i="4" s="1"/>
  <c r="L213" i="4"/>
  <c r="N213" i="4" s="1"/>
  <c r="K176" i="4"/>
  <c r="M176" i="4" s="1"/>
  <c r="L448" i="4"/>
  <c r="N448" i="4" s="1"/>
  <c r="K790" i="4"/>
  <c r="M790" i="4" s="1"/>
  <c r="K849" i="4"/>
  <c r="M849" i="4" s="1"/>
  <c r="N849" i="4" s="1"/>
  <c r="L961" i="4"/>
  <c r="N961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5" i="4"/>
  <c r="N955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2" i="4"/>
  <c r="M942" i="4" s="1"/>
  <c r="N942" i="4" s="1"/>
  <c r="K1226" i="4"/>
  <c r="M1226" i="4" s="1"/>
  <c r="N1226" i="4" s="1"/>
  <c r="K1248" i="4"/>
  <c r="M1248" i="4" s="1"/>
  <c r="N1248" i="4" s="1"/>
  <c r="K62" i="4"/>
  <c r="M62" i="4" s="1"/>
  <c r="L918" i="4"/>
  <c r="N918" i="4" s="1"/>
  <c r="K1030" i="4"/>
  <c r="M1030" i="4" s="1"/>
  <c r="N1030" i="4" s="1"/>
  <c r="K1175" i="4"/>
  <c r="M1175" i="4" s="1"/>
  <c r="N1175" i="4" s="1"/>
  <c r="K975" i="4"/>
  <c r="M975" i="4" s="1"/>
  <c r="N975" i="4" s="1"/>
  <c r="K496" i="4"/>
  <c r="M496" i="4" s="1"/>
  <c r="L495" i="4"/>
  <c r="N495" i="4" s="1"/>
  <c r="L836" i="4"/>
  <c r="N836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K576" i="4"/>
  <c r="M576" i="4" s="1"/>
  <c r="L533" i="4"/>
  <c r="N533" i="4" s="1"/>
  <c r="K943" i="4"/>
  <c r="M943" i="4" s="1"/>
  <c r="N943" i="4" s="1"/>
  <c r="K829" i="4"/>
  <c r="M829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5" i="4"/>
  <c r="K835" i="4"/>
  <c r="M835" i="4" s="1"/>
  <c r="L867" i="4"/>
  <c r="K867" i="4"/>
  <c r="M867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5" i="4"/>
  <c r="K845" i="4"/>
  <c r="M845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7" i="4"/>
  <c r="M847" i="4" s="1"/>
  <c r="N847" i="4" s="1"/>
  <c r="L1236" i="4"/>
  <c r="N1236" i="4" s="1"/>
  <c r="L862" i="4"/>
  <c r="N862" i="4" s="1"/>
  <c r="L528" i="4"/>
  <c r="N528" i="4" s="1"/>
  <c r="L954" i="4"/>
  <c r="N954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5" i="4"/>
  <c r="K885" i="4"/>
  <c r="M885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69" i="4"/>
  <c r="K969" i="4"/>
  <c r="M969" i="4" s="1"/>
  <c r="L919" i="4"/>
  <c r="K919" i="4"/>
  <c r="M919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K568" i="4"/>
  <c r="M568" i="4" s="1"/>
  <c r="K144" i="4"/>
  <c r="M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3" i="4"/>
  <c r="N863" i="4" s="1"/>
  <c r="K656" i="4"/>
  <c r="M656" i="4" s="1"/>
  <c r="L751" i="4"/>
  <c r="N751" i="4" s="1"/>
  <c r="K720" i="4"/>
  <c r="M720" i="4" s="1"/>
  <c r="L67" i="4"/>
  <c r="N67" i="4" s="1"/>
  <c r="K962" i="4"/>
  <c r="M962" i="4" s="1"/>
  <c r="N962" i="4" s="1"/>
  <c r="L707" i="4"/>
  <c r="N707" i="4" s="1"/>
  <c r="L259" i="4"/>
  <c r="N259" i="4" s="1"/>
  <c r="L493" i="4"/>
  <c r="N493" i="4" s="1"/>
  <c r="L405" i="4"/>
  <c r="N405" i="4" s="1"/>
  <c r="L978" i="4"/>
  <c r="K978" i="4"/>
  <c r="M978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7" i="4"/>
  <c r="M917" i="4" s="1"/>
  <c r="L917" i="4"/>
  <c r="L773" i="4"/>
  <c r="K773" i="4"/>
  <c r="M773" i="4" s="1"/>
  <c r="L1176" i="4"/>
  <c r="K1176" i="4"/>
  <c r="M1176" i="4" s="1"/>
  <c r="L966" i="4"/>
  <c r="K966" i="4"/>
  <c r="M966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0" i="4"/>
  <c r="K960" i="4"/>
  <c r="M960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8" i="4"/>
  <c r="K838" i="4"/>
  <c r="M838" i="4" s="1"/>
  <c r="L566" i="4"/>
  <c r="K566" i="4"/>
  <c r="M566" i="4" s="1"/>
  <c r="L989" i="4"/>
  <c r="K989" i="4"/>
  <c r="M989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1" i="4"/>
  <c r="K861" i="4"/>
  <c r="M861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0" i="4"/>
  <c r="K900" i="4"/>
  <c r="M900" i="4" s="1"/>
  <c r="L841" i="4"/>
  <c r="K841" i="4"/>
  <c r="M841" i="4" s="1"/>
  <c r="L170" i="4"/>
  <c r="K170" i="4"/>
  <c r="M170" i="4" s="1"/>
  <c r="L1204" i="4"/>
  <c r="K1204" i="4"/>
  <c r="M1204" i="4" s="1"/>
  <c r="K854" i="4"/>
  <c r="M854" i="4" s="1"/>
  <c r="L854" i="4"/>
  <c r="K684" i="4"/>
  <c r="M684" i="4" s="1"/>
  <c r="L684" i="4"/>
  <c r="L1281" i="4"/>
  <c r="K1281" i="4"/>
  <c r="M1281" i="4" s="1"/>
  <c r="L262" i="4"/>
  <c r="K262" i="4"/>
  <c r="M262" i="4" s="1"/>
  <c r="L851" i="4"/>
  <c r="K851" i="4"/>
  <c r="M851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5" i="4"/>
  <c r="K965" i="4"/>
  <c r="M965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8" i="4"/>
  <c r="K898" i="4"/>
  <c r="M898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6" i="4"/>
  <c r="K856" i="4"/>
  <c r="M856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8" i="4"/>
  <c r="M928" i="4" s="1"/>
  <c r="L928" i="4"/>
  <c r="K979" i="4"/>
  <c r="M979" i="4" s="1"/>
  <c r="L979" i="4"/>
  <c r="L423" i="4"/>
  <c r="K423" i="4"/>
  <c r="M423" i="4" s="1"/>
  <c r="L970" i="4"/>
  <c r="K970" i="4"/>
  <c r="M970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3" i="4"/>
  <c r="K973" i="4"/>
  <c r="M973" i="4" s="1"/>
  <c r="L209" i="4"/>
  <c r="K209" i="4"/>
  <c r="M209" i="4" s="1"/>
  <c r="L643" i="4"/>
  <c r="K643" i="4"/>
  <c r="M643" i="4" s="1"/>
  <c r="L956" i="4"/>
  <c r="K956" i="4"/>
  <c r="M956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7" i="4"/>
  <c r="K827" i="4"/>
  <c r="M827" i="4" s="1"/>
  <c r="L253" i="4"/>
  <c r="K253" i="4"/>
  <c r="M253" i="4" s="1"/>
  <c r="K91" i="4"/>
  <c r="M91" i="4" s="1"/>
  <c r="L890" i="4"/>
  <c r="K890" i="4"/>
  <c r="M890" i="4" s="1"/>
  <c r="N890" i="4" s="1"/>
  <c r="L72" i="4"/>
  <c r="K72" i="4"/>
  <c r="M72" i="4" s="1"/>
  <c r="L1004" i="4"/>
  <c r="K1004" i="4"/>
  <c r="M1004" i="4" s="1"/>
  <c r="K497" i="4"/>
  <c r="M497" i="4" s="1"/>
  <c r="L497" i="4"/>
  <c r="K14" i="4"/>
  <c r="M14" i="4" s="1"/>
  <c r="L14" i="4"/>
  <c r="L858" i="4"/>
  <c r="K858" i="4"/>
  <c r="M858" i="4" s="1"/>
  <c r="K850" i="4"/>
  <c r="M850" i="4" s="1"/>
  <c r="L850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6" i="4"/>
  <c r="K886" i="4"/>
  <c r="M886" i="4" s="1"/>
  <c r="L940" i="4"/>
  <c r="K940" i="4"/>
  <c r="M940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5" i="4"/>
  <c r="N895" i="4" s="1"/>
  <c r="K664" i="4"/>
  <c r="M664" i="4" s="1"/>
  <c r="K760" i="4"/>
  <c r="M760" i="4" s="1"/>
  <c r="K243" i="4"/>
  <c r="M243" i="4" s="1"/>
  <c r="K627" i="4"/>
  <c r="M627" i="4" s="1"/>
  <c r="K419" i="4"/>
  <c r="M419" i="4" s="1"/>
  <c r="L834" i="4"/>
  <c r="K834" i="4"/>
  <c r="M834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0" i="4"/>
  <c r="K910" i="4"/>
  <c r="M910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1" i="4"/>
  <c r="K1001" i="4"/>
  <c r="M1001" i="4" s="1"/>
  <c r="L695" i="4"/>
  <c r="K695" i="4"/>
  <c r="M695" i="4" s="1"/>
  <c r="K1311" i="4"/>
  <c r="M1311" i="4" s="1"/>
  <c r="L1311" i="4"/>
  <c r="L931" i="4"/>
  <c r="K931" i="4"/>
  <c r="M931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3" i="4"/>
  <c r="K883" i="4"/>
  <c r="M883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3" i="4"/>
  <c r="K1003" i="4"/>
  <c r="M1003" i="4" s="1"/>
  <c r="N1003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8" i="4"/>
  <c r="K868" i="4"/>
  <c r="M868" i="4" s="1"/>
  <c r="L1006" i="4"/>
  <c r="K1006" i="4"/>
  <c r="M1006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3" i="4"/>
  <c r="K953" i="4"/>
  <c r="M953" i="4" s="1"/>
  <c r="L591" i="4"/>
  <c r="K591" i="4"/>
  <c r="M591" i="4" s="1"/>
  <c r="K1265" i="4"/>
  <c r="M1265" i="4" s="1"/>
  <c r="L1265" i="4"/>
  <c r="L889" i="4"/>
  <c r="K889" i="4"/>
  <c r="M889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4" i="4"/>
  <c r="K934" i="4"/>
  <c r="M934" i="4" s="1"/>
  <c r="K821" i="4"/>
  <c r="M821" i="4" s="1"/>
  <c r="L821" i="4"/>
  <c r="K878" i="4"/>
  <c r="M878" i="4" s="1"/>
  <c r="L878" i="4"/>
  <c r="L1271" i="4"/>
  <c r="K1271" i="4"/>
  <c r="M1271" i="4" s="1"/>
  <c r="L1239" i="4"/>
  <c r="K1239" i="4"/>
  <c r="M1239" i="4" s="1"/>
  <c r="L881" i="4"/>
  <c r="K881" i="4"/>
  <c r="M881" i="4" s="1"/>
  <c r="L844" i="4"/>
  <c r="K844" i="4"/>
  <c r="M844" i="4" s="1"/>
  <c r="L401" i="4"/>
  <c r="K401" i="4"/>
  <c r="M401" i="4" s="1"/>
  <c r="L538" i="4"/>
  <c r="K538" i="4"/>
  <c r="M538" i="4" s="1"/>
  <c r="L932" i="4"/>
  <c r="K932" i="4"/>
  <c r="M932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79" i="4"/>
  <c r="K879" i="4"/>
  <c r="M879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4" i="4"/>
  <c r="K924" i="4"/>
  <c r="M924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1" i="4"/>
  <c r="K891" i="4"/>
  <c r="M891" i="4" s="1"/>
  <c r="L769" i="4"/>
  <c r="K769" i="4"/>
  <c r="M769" i="4" s="1"/>
  <c r="L1117" i="4"/>
  <c r="K1117" i="4"/>
  <c r="M1117" i="4" s="1"/>
  <c r="K874" i="4"/>
  <c r="M874" i="4" s="1"/>
  <c r="L874" i="4"/>
  <c r="L921" i="4"/>
  <c r="K921" i="4"/>
  <c r="M921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7" i="4"/>
  <c r="K967" i="4"/>
  <c r="M967" i="4" s="1"/>
  <c r="L463" i="4"/>
  <c r="K463" i="4"/>
  <c r="M463" i="4" s="1"/>
  <c r="L26" i="4"/>
  <c r="K26" i="4"/>
  <c r="M26" i="4" s="1"/>
  <c r="L959" i="4"/>
  <c r="K959" i="4"/>
  <c r="M959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4" i="4"/>
  <c r="K904" i="4"/>
  <c r="M904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0" i="4"/>
  <c r="M1000" i="4" s="1"/>
  <c r="L1000" i="4"/>
  <c r="L998" i="4"/>
  <c r="K998" i="4"/>
  <c r="M998" i="4" s="1"/>
  <c r="L1019" i="4"/>
  <c r="K1019" i="4"/>
  <c r="M1019" i="4" s="1"/>
  <c r="L952" i="4"/>
  <c r="K952" i="4"/>
  <c r="M952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2" i="4"/>
  <c r="K902" i="4"/>
  <c r="M902" i="4" s="1"/>
  <c r="L842" i="4"/>
  <c r="K842" i="4"/>
  <c r="M842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5" i="4"/>
  <c r="K855" i="4"/>
  <c r="M855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6" i="4"/>
  <c r="K976" i="4"/>
  <c r="M976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6" i="4"/>
  <c r="K906" i="4"/>
  <c r="M906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3" i="4"/>
  <c r="K993" i="4"/>
  <c r="M993" i="4" s="1"/>
  <c r="L968" i="4"/>
  <c r="K968" i="4"/>
  <c r="M968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7" i="4"/>
  <c r="K977" i="4"/>
  <c r="M977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3" i="4"/>
  <c r="K923" i="4"/>
  <c r="M923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39" i="4"/>
  <c r="K839" i="4"/>
  <c r="M839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6" i="4"/>
  <c r="K846" i="4"/>
  <c r="M846" i="4" s="1"/>
  <c r="L571" i="4"/>
  <c r="K571" i="4"/>
  <c r="M571" i="4" s="1"/>
  <c r="L936" i="4"/>
  <c r="K936" i="4"/>
  <c r="M936" i="4" s="1"/>
  <c r="L113" i="4"/>
  <c r="K113" i="4"/>
  <c r="M113" i="4" s="1"/>
  <c r="L108" i="4"/>
  <c r="K108" i="4"/>
  <c r="M108" i="4" s="1"/>
  <c r="L1146" i="4"/>
  <c r="K1146" i="4"/>
  <c r="M1146" i="4" s="1"/>
  <c r="L909" i="4"/>
  <c r="K909" i="4"/>
  <c r="M909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3" i="4"/>
  <c r="M983" i="4" s="1"/>
  <c r="L983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5" i="4"/>
  <c r="K905" i="4"/>
  <c r="M905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6" i="4"/>
  <c r="K986" i="4"/>
  <c r="M986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1" i="4"/>
  <c r="M911" i="4" s="1"/>
  <c r="N911" i="4" s="1"/>
  <c r="K632" i="4"/>
  <c r="M632" i="4" s="1"/>
  <c r="L903" i="4"/>
  <c r="K903" i="4"/>
  <c r="M903" i="4" s="1"/>
  <c r="N903" i="4" s="1"/>
  <c r="L831" i="4"/>
  <c r="K831" i="4"/>
  <c r="M831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6" i="4"/>
  <c r="K926" i="4"/>
  <c r="M926" i="4" s="1"/>
  <c r="N926" i="4" s="1"/>
  <c r="L1126" i="4"/>
  <c r="K1126" i="4"/>
  <c r="M1126" i="4" s="1"/>
  <c r="K944" i="4"/>
  <c r="M944" i="4" s="1"/>
  <c r="L944" i="4"/>
  <c r="L78" i="4"/>
  <c r="K78" i="4"/>
  <c r="M78" i="4" s="1"/>
  <c r="L634" i="4"/>
  <c r="K634" i="4"/>
  <c r="M634" i="4" s="1"/>
  <c r="L997" i="4"/>
  <c r="K997" i="4"/>
  <c r="M997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0" i="4"/>
  <c r="K990" i="4"/>
  <c r="M990" i="4" s="1"/>
  <c r="N990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K927" i="4"/>
  <c r="M927" i="4" s="1"/>
  <c r="N927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0" i="4"/>
  <c r="M980" i="4" s="1"/>
  <c r="L980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6" i="4"/>
  <c r="K996" i="4"/>
  <c r="M996" i="4" s="1"/>
  <c r="K984" i="4"/>
  <c r="M984" i="4" s="1"/>
  <c r="L984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1" i="4"/>
  <c r="K981" i="4"/>
  <c r="M981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29" i="4"/>
  <c r="K929" i="4"/>
  <c r="M929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7" i="4"/>
  <c r="K887" i="4"/>
  <c r="M887" i="4" s="1"/>
  <c r="L488" i="4"/>
  <c r="K488" i="4"/>
  <c r="M488" i="4" s="1"/>
  <c r="L416" i="4"/>
  <c r="K416" i="4"/>
  <c r="M416" i="4" s="1"/>
  <c r="L208" i="4"/>
  <c r="K208" i="4"/>
  <c r="M208" i="4" s="1"/>
  <c r="L972" i="4"/>
  <c r="K972" i="4"/>
  <c r="M972" i="4" s="1"/>
  <c r="L76" i="4"/>
  <c r="K76" i="4"/>
  <c r="M76" i="4" s="1"/>
  <c r="L1230" i="4"/>
  <c r="K1230" i="4"/>
  <c r="M1230" i="4" s="1"/>
  <c r="L957" i="4"/>
  <c r="K957" i="4"/>
  <c r="M957" i="4" s="1"/>
  <c r="K1297" i="4"/>
  <c r="M1297" i="4" s="1"/>
  <c r="L1297" i="4"/>
  <c r="L987" i="4"/>
  <c r="K987" i="4"/>
  <c r="M987" i="4" s="1"/>
  <c r="L1087" i="4"/>
  <c r="K1087" i="4"/>
  <c r="M1087" i="4" s="1"/>
  <c r="L302" i="4"/>
  <c r="K302" i="4"/>
  <c r="M302" i="4" s="1"/>
  <c r="L189" i="4"/>
  <c r="K189" i="4"/>
  <c r="M189" i="4" s="1"/>
  <c r="L869" i="4"/>
  <c r="K869" i="4"/>
  <c r="M869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3" i="4"/>
  <c r="M963" i="4" s="1"/>
  <c r="L963" i="4"/>
  <c r="L100" i="4"/>
  <c r="K100" i="4"/>
  <c r="M100" i="4" s="1"/>
  <c r="L930" i="4"/>
  <c r="K930" i="4"/>
  <c r="M930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840" i="4" l="1"/>
  <c r="N831" i="4"/>
  <c r="N400" i="4"/>
  <c r="N770" i="4"/>
  <c r="N826" i="4"/>
  <c r="N705" i="4"/>
  <c r="N755" i="4"/>
  <c r="N144" i="4"/>
  <c r="N806" i="4"/>
  <c r="N824" i="4"/>
  <c r="N811" i="4"/>
  <c r="N828" i="4"/>
  <c r="N808" i="4"/>
  <c r="N759" i="4"/>
  <c r="N669" i="4"/>
  <c r="N786" i="4"/>
  <c r="N817" i="4"/>
  <c r="N794" i="4"/>
  <c r="N678" i="4"/>
  <c r="N810" i="4"/>
  <c r="N798" i="4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7" i="4"/>
  <c r="N1126" i="4"/>
  <c r="N509" i="4"/>
  <c r="N736" i="4"/>
  <c r="N790" i="4"/>
  <c r="N812" i="4"/>
  <c r="N948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2" i="4"/>
  <c r="N511" i="4"/>
  <c r="N626" i="4"/>
  <c r="N604" i="4"/>
  <c r="N128" i="4"/>
  <c r="N420" i="4"/>
  <c r="N419" i="4"/>
  <c r="N406" i="4"/>
  <c r="N382" i="4"/>
  <c r="N163" i="4"/>
  <c r="N457" i="4"/>
  <c r="N1258" i="4"/>
  <c r="N829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7" i="4"/>
  <c r="N1247" i="4"/>
  <c r="N478" i="4"/>
  <c r="N461" i="4"/>
  <c r="N1243" i="4"/>
  <c r="N318" i="4"/>
  <c r="N1131" i="4"/>
  <c r="N984" i="4"/>
  <c r="N1286" i="4"/>
  <c r="N1068" i="4"/>
  <c r="N848" i="4"/>
  <c r="N1005" i="4"/>
  <c r="N1066" i="4"/>
  <c r="N398" i="4"/>
  <c r="N396" i="4"/>
  <c r="N376" i="4"/>
  <c r="N410" i="4"/>
  <c r="N672" i="4"/>
  <c r="N385" i="4"/>
  <c r="N379" i="4"/>
  <c r="N610" i="4"/>
  <c r="N460" i="4"/>
  <c r="N524" i="4"/>
  <c r="N883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2" i="4"/>
  <c r="N866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6" i="4"/>
  <c r="N1207" i="4"/>
  <c r="N418" i="4"/>
  <c r="N1001" i="4"/>
  <c r="N519" i="4"/>
  <c r="N764" i="4"/>
  <c r="N1261" i="4"/>
  <c r="N940" i="4"/>
  <c r="N1004" i="4"/>
  <c r="N572" i="4"/>
  <c r="N1046" i="4"/>
  <c r="N1212" i="4"/>
  <c r="N1144" i="4"/>
  <c r="N963" i="4"/>
  <c r="N616" i="4"/>
  <c r="N1297" i="4"/>
  <c r="N758" i="4"/>
  <c r="N459" i="4"/>
  <c r="N762" i="4"/>
  <c r="N597" i="4"/>
  <c r="N980" i="4"/>
  <c r="N527" i="4"/>
  <c r="N754" i="4"/>
  <c r="N1084" i="4"/>
  <c r="N552" i="4"/>
  <c r="N1265" i="4"/>
  <c r="N795" i="4"/>
  <c r="N983" i="4"/>
  <c r="N417" i="4"/>
  <c r="N874" i="4"/>
  <c r="N733" i="4"/>
  <c r="N878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7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4" i="4"/>
  <c r="N77" i="4"/>
  <c r="N329" i="4"/>
  <c r="N780" i="4"/>
  <c r="N766" i="4"/>
  <c r="N361" i="4"/>
  <c r="N526" i="4"/>
  <c r="N1000" i="4"/>
  <c r="N821" i="4"/>
  <c r="N979" i="4"/>
  <c r="N684" i="4"/>
  <c r="N805" i="4"/>
  <c r="N548" i="4"/>
  <c r="N1284" i="4"/>
  <c r="N935" i="4"/>
  <c r="N629" i="4"/>
  <c r="N411" i="4"/>
  <c r="N481" i="4"/>
  <c r="N580" i="4"/>
  <c r="N1017" i="4"/>
  <c r="N522" i="4"/>
  <c r="N835" i="4"/>
  <c r="N381" i="4"/>
  <c r="N845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69" i="4"/>
  <c r="N987" i="4"/>
  <c r="N488" i="4"/>
  <c r="N1053" i="4"/>
  <c r="N726" i="4"/>
  <c r="N774" i="4"/>
  <c r="N607" i="4"/>
  <c r="N674" i="4"/>
  <c r="N1274" i="4"/>
  <c r="N953" i="4"/>
  <c r="N1275" i="4"/>
  <c r="N692" i="4"/>
  <c r="N501" i="4"/>
  <c r="N1109" i="4"/>
  <c r="N1279" i="4"/>
  <c r="N827" i="4"/>
  <c r="N1104" i="4"/>
  <c r="N1216" i="4"/>
  <c r="N523" i="4"/>
  <c r="N965" i="4"/>
  <c r="N1014" i="4"/>
  <c r="N851" i="4"/>
  <c r="N900" i="4"/>
  <c r="N1134" i="4"/>
  <c r="N838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19" i="4"/>
  <c r="N563" i="4"/>
  <c r="N1210" i="4"/>
  <c r="N867" i="4"/>
  <c r="N1190" i="4"/>
  <c r="N537" i="4"/>
  <c r="N813" i="4"/>
  <c r="N905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6" i="4"/>
  <c r="N392" i="4"/>
  <c r="N1024" i="4"/>
  <c r="N617" i="4"/>
  <c r="N789" i="4"/>
  <c r="N772" i="4"/>
  <c r="N630" i="4"/>
  <c r="N602" i="4"/>
  <c r="N704" i="4"/>
  <c r="N967" i="4"/>
  <c r="N1098" i="4"/>
  <c r="N1117" i="4"/>
  <c r="N1027" i="4"/>
  <c r="N326" i="4"/>
  <c r="N421" i="4"/>
  <c r="N1267" i="4"/>
  <c r="N738" i="4"/>
  <c r="N640" i="4"/>
  <c r="N932" i="4"/>
  <c r="N881" i="4"/>
  <c r="N591" i="4"/>
  <c r="N1023" i="4"/>
  <c r="N1159" i="4"/>
  <c r="N484" i="4"/>
  <c r="N944" i="4"/>
  <c r="N680" i="4"/>
  <c r="N1288" i="4"/>
  <c r="N1152" i="4"/>
  <c r="N1168" i="4"/>
  <c r="N747" i="4"/>
  <c r="N972" i="4"/>
  <c r="N887" i="4"/>
  <c r="N929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09" i="4"/>
  <c r="N936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8" i="4"/>
  <c r="N1072" i="4"/>
  <c r="N906" i="4"/>
  <c r="N541" i="4"/>
  <c r="N756" i="4"/>
  <c r="N624" i="4"/>
  <c r="N842" i="4"/>
  <c r="N639" i="4"/>
  <c r="N952" i="4"/>
  <c r="N407" i="4"/>
  <c r="N1312" i="4"/>
  <c r="N581" i="4"/>
  <c r="N1118" i="4"/>
  <c r="N957" i="4"/>
  <c r="N750" i="4"/>
  <c r="N796" i="4"/>
  <c r="N646" i="4"/>
  <c r="N981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3" i="4"/>
  <c r="N1135" i="4"/>
  <c r="N1052" i="4"/>
  <c r="N1251" i="4"/>
  <c r="N698" i="4"/>
  <c r="N377" i="4"/>
  <c r="N1138" i="4"/>
  <c r="N993" i="4"/>
  <c r="N1139" i="4"/>
  <c r="N1278" i="4"/>
  <c r="N820" i="4"/>
  <c r="N930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6" i="4"/>
  <c r="N1309" i="4"/>
  <c r="N1221" i="4"/>
  <c r="N1256" i="4"/>
  <c r="N440" i="4"/>
  <c r="N386" i="4"/>
  <c r="N986" i="4"/>
  <c r="N818" i="4"/>
  <c r="N447" i="4"/>
  <c r="N765" i="4"/>
  <c r="N846" i="4"/>
  <c r="N839" i="4"/>
  <c r="N588" i="4"/>
  <c r="N1266" i="4"/>
  <c r="N977" i="4"/>
  <c r="N917" i="4"/>
  <c r="N574" i="4"/>
  <c r="N1283" i="4"/>
  <c r="N727" i="4"/>
  <c r="N456" i="4"/>
  <c r="N1174" i="4"/>
  <c r="N487" i="4"/>
  <c r="N681" i="4"/>
  <c r="N429" i="4"/>
  <c r="N320" i="4"/>
  <c r="N855" i="4"/>
  <c r="N771" i="4"/>
  <c r="N1223" i="4"/>
  <c r="N395" i="4"/>
  <c r="N998" i="4"/>
  <c r="N1157" i="4"/>
  <c r="N508" i="4"/>
  <c r="N567" i="4"/>
  <c r="N463" i="4"/>
  <c r="N697" i="4"/>
  <c r="N1141" i="4"/>
  <c r="N924" i="4"/>
  <c r="N425" i="4"/>
  <c r="N1067" i="4"/>
  <c r="N1294" i="4"/>
  <c r="N1127" i="4"/>
  <c r="N793" i="4"/>
  <c r="N844" i="4"/>
  <c r="N1311" i="4"/>
  <c r="N1097" i="4"/>
  <c r="N606" i="4"/>
  <c r="N687" i="4"/>
  <c r="N1080" i="4"/>
  <c r="N717" i="4"/>
  <c r="N677" i="4"/>
  <c r="N956" i="4"/>
  <c r="N725" i="4"/>
  <c r="N1048" i="4"/>
  <c r="N423" i="4"/>
  <c r="N515" i="4"/>
  <c r="N502" i="4"/>
  <c r="N898" i="4"/>
  <c r="N412" i="4"/>
  <c r="N1205" i="4"/>
  <c r="N1186" i="4"/>
  <c r="N1281" i="4"/>
  <c r="N671" i="4"/>
  <c r="N989" i="4"/>
  <c r="N807" i="4"/>
  <c r="N1172" i="4"/>
  <c r="N1143" i="4"/>
  <c r="N540" i="4"/>
  <c r="N670" i="4"/>
  <c r="N573" i="4"/>
  <c r="N1291" i="4"/>
  <c r="N1178" i="4"/>
  <c r="N966" i="4"/>
  <c r="N777" i="4"/>
  <c r="N403" i="4"/>
  <c r="N1016" i="4"/>
  <c r="N551" i="4"/>
  <c r="N969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4" i="4"/>
  <c r="N497" i="4"/>
  <c r="N1130" i="4"/>
  <c r="N643" i="4"/>
  <c r="N554" i="4"/>
  <c r="N492" i="4"/>
  <c r="N1032" i="4"/>
  <c r="N327" i="4"/>
  <c r="N775" i="4"/>
  <c r="N612" i="4"/>
  <c r="N841" i="4"/>
  <c r="N1070" i="4"/>
  <c r="N566" i="4"/>
  <c r="N665" i="4"/>
  <c r="N1302" i="4"/>
  <c r="N710" i="4"/>
  <c r="N689" i="4"/>
  <c r="N822" i="4"/>
  <c r="N319" i="4"/>
  <c r="N1176" i="4"/>
  <c r="N1062" i="4"/>
  <c r="N663" i="4"/>
  <c r="N978" i="4"/>
  <c r="N1059" i="4"/>
  <c r="N1137" i="4"/>
  <c r="N322" i="4"/>
  <c r="N885" i="4"/>
  <c r="N486" i="4"/>
  <c r="N782" i="4"/>
  <c r="N449" i="4"/>
  <c r="N529" i="4"/>
  <c r="N1013" i="4"/>
  <c r="N904" i="4"/>
  <c r="N1307" i="4"/>
  <c r="N959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4" i="4"/>
  <c r="N468" i="4"/>
  <c r="N850" i="4"/>
  <c r="N1111" i="4"/>
  <c r="N694" i="4"/>
  <c r="N438" i="4"/>
  <c r="N868" i="4"/>
  <c r="N451" i="4"/>
  <c r="N1253" i="4"/>
  <c r="N1021" i="4"/>
  <c r="N931" i="4"/>
  <c r="N582" i="4"/>
  <c r="N1296" i="4"/>
  <c r="N886" i="4"/>
  <c r="N428" i="4"/>
  <c r="N858" i="4"/>
  <c r="N928" i="4"/>
  <c r="N854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4" i="4"/>
  <c r="N431" i="4"/>
  <c r="N823" i="4"/>
  <c r="N479" i="4"/>
  <c r="N696" i="4"/>
  <c r="N902" i="4"/>
  <c r="N1252" i="4"/>
  <c r="N1019" i="4"/>
  <c r="N682" i="4"/>
  <c r="N550" i="4"/>
  <c r="N316" i="4"/>
  <c r="N1122" i="4"/>
  <c r="N1227" i="4"/>
  <c r="N921" i="4"/>
  <c r="N891" i="4"/>
  <c r="N662" i="4"/>
  <c r="N380" i="4"/>
  <c r="N1194" i="4"/>
  <c r="N1015" i="4"/>
  <c r="N1124" i="4"/>
  <c r="N879" i="4"/>
  <c r="N753" i="4"/>
  <c r="N346" i="4"/>
  <c r="N401" i="4"/>
  <c r="N1271" i="4"/>
  <c r="N1193" i="4"/>
  <c r="N889" i="4"/>
  <c r="N785" i="4"/>
  <c r="N609" i="4"/>
  <c r="N910" i="4"/>
  <c r="N1108" i="4"/>
  <c r="N595" i="4"/>
  <c r="N685" i="4"/>
  <c r="N757" i="4"/>
  <c r="N973" i="4"/>
  <c r="N970" i="4"/>
  <c r="N332" i="4"/>
  <c r="N856" i="4"/>
  <c r="N477" i="4"/>
  <c r="N399" i="4"/>
  <c r="N1206" i="4"/>
  <c r="N1204" i="4"/>
  <c r="N861" i="4"/>
  <c r="N799" i="4"/>
  <c r="N1199" i="4"/>
  <c r="N1011" i="4"/>
  <c r="N532" i="4"/>
  <c r="N1203" i="4"/>
  <c r="N455" i="4"/>
  <c r="N960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<sst xmlns="http://schemas.openxmlformats.org/spreadsheetml/2006/main" count="25341" uniqueCount="2951">
  <si>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</si>
  <si>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</si>
  <si>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</si>
  <si>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</si>
  <si>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</si>
  <si>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</si>
  <si>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</si>
  <si>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</si>
  <si>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</si>
  <si>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</si>
  <si>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</si>
  <si>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</si>
  <si>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</si>
  <si>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</si>
  <si>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</si>
  <si>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</si>
  <si>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</si>
  <si>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</si>
  <si>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</si>
  <si>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</si>
  <si>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</si>
  <si>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</si>
  <si>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</si>
  <si>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</si>
  <si>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</si>
  <si>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</si>
  <si>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</si>
  <si>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</si>
  <si>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</si>
  <si>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</si>
  <si>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</si>
  <si>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</si>
  <si>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</si>
  <si>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</si>
  <si>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</si>
  <si>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</si>
  <si>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</si>
  <si>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</si>
  <si>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</si>
  <si>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</si>
  <si>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</si>
  <si>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</si>
  <si>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</si>
  <si>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</si>
  <si>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</si>
  <si>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</si>
  <si>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</si>
  <si>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</si>
  <si>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</si>
  <si>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</si>
  <si>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</si>
  <si>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</si>
  <si>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</si>
  <si>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</si>
  <si>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</si>
  <si>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</si>
  <si>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</si>
  <si>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</si>
  <si>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</si>
  <si>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</si>
  <si>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</si>
  <si>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</si>
  <si>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</si>
  <si>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</si>
  <si>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</si>
  <si>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</si>
  <si>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</si>
  <si>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</si>
  <si>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</si>
  <si>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</si>
  <si>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</si>
  <si>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</si>
  <si>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</si>
  <si>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</si>
  <si>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</si>
  <si>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</si>
  <si>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</si>
  <si>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</si>
  <si>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</si>
  <si>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</si>
  <si>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</si>
  <si>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</si>
  <si>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</si>
  <si>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</si>
  <si>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</si>
  <si>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</si>
  <si>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</si>
  <si>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</si>
  <si>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</si>
  <si>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</si>
  <si>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</si>
  <si>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</si>
  <si>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</si>
  <si>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</si>
  <si>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</si>
  <si>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</si>
  <si>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</si>
  <si>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</si>
  <si>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</si>
  <si>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</si>
  <si>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</si>
  <si>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</si>
  <si>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</si>
  <si>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</si>
  <si>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</si>
  <si>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</si>
  <si>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</si>
  <si>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</si>
  <si>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</si>
  <si>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</si>
  <si>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</si>
  <si>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</si>
  <si>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</si>
  <si>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</si>
  <si>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</si>
  <si>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</si>
  <si>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</si>
  <si>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</si>
  <si>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</si>
  <si>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</si>
  <si>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</si>
  <si>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</si>
  <si>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</si>
  <si>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</si>
  <si>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</si>
  <si>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</si>
  <si>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</si>
  <si>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</si>
  <si>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</si>
  <si>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</si>
  <si>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</si>
  <si>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</si>
  <si>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</si>
  <si>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</si>
  <si>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</si>
  <si>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</si>
  <si>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</si>
  <si>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</si>
  <si>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</si>
  <si>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</si>
  <si>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</si>
  <si>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</si>
  <si>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</si>
  <si>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</si>
  <si>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</si>
  <si>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</si>
  <si>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</si>
  <si>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</si>
  <si>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</si>
  <si>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</si>
  <si>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</si>
  <si>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</si>
  <si>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</si>
  <si>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</si>
  <si>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</si>
  <si>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</si>
  <si>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</si>
  <si>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</si>
  <si>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</si>
  <si>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</si>
  <si>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</si>
  <si>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</si>
  <si>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</si>
  <si>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</si>
  <si>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</si>
  <si>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</si>
  <si>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</si>
  <si>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</si>
  <si>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</si>
  <si>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</si>
  <si>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</si>
  <si>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</si>
  <si>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</si>
  <si>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</si>
  <si>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</si>
  <si>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</si>
  <si>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</si>
  <si>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</si>
  <si>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</si>
  <si>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</si>
  <si>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</si>
  <si>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</si>
  <si>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</si>
  <si>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</si>
  <si>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</si>
  <si>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</si>
  <si>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</si>
  <si>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</si>
  <si>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</si>
  <si>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</si>
  <si>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</si>
  <si>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</si>
  <si>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</si>
  <si>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</si>
  <si>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</si>
  <si>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</si>
  <si>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</si>
  <si>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</si>
  <si>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</si>
  <si>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</si>
  <si>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</si>
  <si>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</si>
  <si>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</si>
  <si>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</si>
  <si>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</si>
  <si>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</si>
  <si>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</si>
  <si>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</si>
  <si>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</si>
  <si>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</si>
  <si>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</si>
  <si>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</si>
  <si>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</si>
  <si>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</si>
  <si>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</si>
  <si>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</si>
  <si>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</si>
  <si>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</si>
  <si>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</si>
  <si>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</si>
  <si>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</si>
  <si>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</si>
  <si>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</si>
  <si>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</si>
  <si>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</si>
  <si>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</si>
  <si>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</si>
  <si>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</si>
  <si>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</si>
  <si>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</si>
  <si>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</si>
  <si>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</si>
  <si>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</si>
  <si>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</si>
  <si>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</si>
  <si>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</si>
  <si>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</si>
  <si>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</si>
  <si>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</si>
  <si>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</si>
  <si>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</si>
  <si>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</si>
  <si>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</si>
  <si>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</si>
  <si>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</si>
  <si>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</si>
  <si>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</si>
  <si>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</si>
  <si>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</si>
  <si>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</si>
  <si>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</si>
  <si>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</si>
  <si>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</si>
  <si>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</si>
  <si>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</si>
  <si>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</si>
  <si>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</si>
  <si>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</si>
  <si>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</si>
  <si>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</si>
  <si>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</si>
  <si>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</si>
  <si>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</si>
  <si>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</si>
  <si>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</si>
  <si>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</si>
  <si>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</si>
  <si>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</si>
  <si>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</si>
  <si>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</si>
  <si>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</si>
  <si>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</si>
  <si>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</si>
  <si>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</si>
  <si>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</si>
  <si>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</si>
  <si>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</si>
  <si>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</si>
  <si>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</si>
  <si>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</si>
  <si>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</si>
  <si>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</si>
  <si>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</si>
  <si>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</si>
  <si>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</si>
  <si>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</si>
  <si>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</si>
  <si>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</si>
  <si>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</si>
  <si>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</si>
  <si>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</si>
  <si>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</si>
  <si>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</si>
  <si>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</si>
  <si>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</si>
  <si>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</si>
  <si>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</si>
  <si>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</si>
  <si>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</si>
  <si>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</si>
  <si>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</si>
  <si>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</si>
  <si>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</si>
  <si>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</si>
  <si>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</si>
  <si>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</si>
  <si>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</si>
  <si>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</si>
  <si>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</si>
  <si>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</si>
  <si>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</si>
  <si>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</si>
  <si>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</si>
  <si>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</si>
  <si>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</si>
  <si>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</si>
  <si>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</si>
  <si>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</si>
  <si>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</si>
  <si>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</si>
  <si>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</si>
  <si>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</si>
  <si>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</si>
  <si>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</si>
  <si>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</si>
  <si>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</si>
  <si>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</si>
  <si>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</si>
  <si>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</si>
  <si>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</si>
  <si>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</si>
  <si>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</si>
  <si>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</si>
  <si>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</si>
  <si>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</si>
  <si>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</si>
  <si>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</si>
  <si>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</si>
  <si>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</si>
  <si>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</si>
  <si>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</si>
  <si>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</si>
  <si>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</si>
  <si>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</si>
  <si>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</si>
  <si>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</si>
  <si>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</si>
  <si>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</si>
  <si>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</si>
  <si>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</si>
  <si>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</si>
  <si>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</si>
  <si>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</si>
  <si>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</si>
  <si>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</si>
  <si>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</si>
  <si>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</si>
  <si>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</si>
  <si>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</si>
  <si>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</si>
  <si>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</si>
  <si>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</si>
  <si>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</si>
  <si>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</si>
  <si>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</si>
  <si>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</si>
  <si>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</si>
  <si>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</si>
  <si>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</si>
  <si>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</si>
  <si>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</si>
  <si>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</si>
  <si>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</si>
  <si>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</si>
  <si>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</si>
  <si>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</si>
  <si>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</si>
  <si>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</si>
  <si>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</si>
  <si>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</si>
  <si>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</si>
  <si>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</si>
  <si>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</si>
  <si>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</si>
  <si>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</si>
  <si>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</si>
  <si>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</si>
  <si>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</si>
  <si>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</si>
  <si>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</si>
  <si>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</si>
  <si>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</si>
  <si>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</si>
  <si>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</si>
  <si>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</si>
  <si>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</si>
  <si>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</si>
  <si>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</si>
  <si>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</si>
  <si>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</si>
  <si>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</si>
  <si>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</si>
  <si>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</si>
  <si>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</si>
  <si>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</si>
  <si>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</si>
  <si>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</si>
  <si>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</si>
  <si>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</si>
  <si>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</si>
  <si>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</si>
  <si>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</si>
  <si>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</si>
  <si>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</si>
  <si>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</si>
  <si>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</si>
  <si>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</si>
  <si>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</si>
  <si>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</si>
  <si>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</si>
  <si>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</si>
  <si>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</si>
  <si>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</si>
  <si>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</si>
  <si>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</si>
  <si>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</si>
  <si>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</si>
  <si>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</si>
  <si>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</si>
  <si>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</si>
  <si>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</si>
  <si>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</si>
  <si>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</si>
  <si>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</si>
  <si>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</si>
  <si>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</si>
  <si>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</si>
  <si>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</si>
  <si>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</si>
  <si>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</si>
  <si>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</si>
  <si>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</si>
  <si>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</si>
  <si>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</si>
  <si>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</si>
  <si>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</si>
  <si>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</si>
  <si>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</si>
  <si>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</si>
  <si>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</si>
  <si>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</si>
  <si>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</si>
  <si>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</si>
  <si>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</si>
  <si>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</si>
  <si>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</si>
  <si>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</si>
  <si>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</si>
  <si>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</si>
  <si>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</si>
  <si>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</si>
  <si>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</si>
  <si>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</si>
  <si>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</si>
  <si>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</si>
  <si>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</si>
  <si>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</si>
  <si>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</si>
  <si>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</si>
  <si>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</si>
  <si>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</si>
  <si>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</si>
  <si>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</si>
  <si>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</si>
  <si>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</si>
  <si>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</si>
  <si>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</si>
  <si>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</si>
  <si>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</si>
  <si>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</si>
  <si>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</si>
  <si>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</si>
  <si>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</si>
  <si>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</si>
  <si>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</si>
  <si>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</si>
  <si>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</si>
  <si>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</si>
  <si>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</si>
  <si>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</si>
  <si>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</si>
  <si>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</si>
  <si>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</si>
  <si>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</si>
  <si>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</si>
  <si>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</si>
  <si>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</si>
  <si>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</si>
  <si>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</si>
  <si>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</si>
  <si>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</si>
  <si>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</si>
  <si>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</si>
  <si>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</si>
  <si>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</si>
  <si>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</si>
  <si>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</si>
  <si>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</si>
  <si>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</si>
  <si>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</si>
  <si>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</si>
  <si>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</si>
  <si>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</si>
  <si>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</si>
  <si>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</si>
  <si>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</si>
  <si>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</si>
  <si>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</si>
  <si>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</si>
  <si>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</si>
  <si>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</si>
  <si>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</si>
  <si>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</si>
  <si>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</si>
  <si>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</si>
  <si>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</si>
  <si>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</si>
  <si>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</si>
  <si>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</si>
  <si>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</si>
  <si>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</si>
  <si>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</si>
  <si>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</si>
  <si>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</si>
  <si>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</si>
  <si>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</si>
  <si>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</si>
  <si>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</si>
  <si>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</si>
  <si>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</si>
  <si>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</si>
  <si>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</si>
  <si>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</si>
  <si>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</si>
  <si>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</si>
  <si>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</si>
  <si>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</si>
  <si>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</si>
  <si>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</si>
  <si>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</si>
  <si>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</si>
  <si>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</si>
  <si>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</si>
  <si>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</si>
  <si>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</si>
  <si>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</si>
  <si>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</si>
  <si>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</si>
  <si>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</si>
  <si>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</si>
  <si>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</si>
  <si>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</si>
  <si>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</si>
  <si>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</si>
  <si>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</si>
  <si>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</si>
  <si>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</si>
  <si>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</si>
  <si>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</si>
  <si>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</si>
  <si>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</si>
  <si>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</si>
  <si>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</si>
  <si>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</si>
  <si>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</si>
  <si>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</si>
  <si>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</si>
  <si>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</si>
  <si>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</si>
  <si>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</si>
  <si>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</si>
  <si>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</si>
  <si>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</si>
  <si>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</si>
  <si>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</si>
  <si>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</si>
  <si>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</si>
  <si>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</si>
  <si>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</si>
  <si>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</si>
  <si>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</si>
  <si>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</si>
  <si>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</si>
  <si>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</si>
  <si>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</si>
  <si>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</si>
  <si>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</si>
  <si>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</si>
  <si>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</si>
  <si>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</si>
  <si>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</si>
  <si>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</si>
  <si>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</si>
  <si>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</si>
  <si>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</si>
  <si>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</si>
  <si>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</si>
  <si>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</si>
  <si>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</si>
  <si>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</si>
  <si>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</si>
  <si>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</si>
  <si>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</si>
  <si>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</si>
  <si>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</si>
  <si>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</si>
  <si>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</si>
  <si>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</si>
  <si>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</si>
  <si>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</si>
  <si>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</si>
  <si>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</si>
  <si>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</si>
  <si>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</si>
  <si>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</si>
  <si>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</si>
  <si>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</si>
  <si>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</si>
  <si>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</si>
  <si>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</si>
  <si>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</si>
  <si>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</si>
  <si>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</si>
  <si>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</si>
  <si>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</si>
  <si>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</si>
  <si>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</si>
  <si>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</si>
  <si>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</si>
  <si>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</si>
  <si>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</si>
  <si>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</si>
  <si>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</si>
  <si>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</si>
  <si>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</si>
  <si>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</si>
  <si>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</si>
  <si>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</si>
  <si>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</si>
  <si>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</si>
  <si>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</si>
  <si>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</si>
  <si>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</si>
  <si>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</si>
  <si>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</si>
  <si>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</si>
  <si>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</si>
  <si>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</si>
  <si>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</si>
  <si>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</si>
  <si>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</si>
  <si>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</si>
  <si>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</si>
  <si>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</si>
  <si>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</si>
  <si>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</si>
  <si>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</si>
  <si>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</si>
  <si>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</si>
  <si>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</si>
  <si>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</si>
  <si>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</si>
  <si>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</si>
  <si>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</si>
  <si>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</si>
  <si>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</si>
  <si>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</si>
  <si>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</si>
  <si>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</si>
  <si>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</si>
  <si>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</si>
  <si>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</si>
  <si>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</si>
  <si>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</si>
  <si>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</si>
  <si>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</si>
  <si>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</si>
  <si>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</si>
  <si>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</si>
  <si>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</si>
  <si>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</si>
  <si>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</si>
  <si>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</si>
  <si>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</si>
  <si>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</si>
  <si>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</si>
  <si>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</si>
  <si>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</si>
  <si>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</si>
  <si>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</si>
  <si>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</si>
  <si>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</si>
  <si>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</si>
  <si>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</si>
  <si>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</si>
  <si>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</si>
  <si>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</si>
  <si>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</si>
  <si>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</si>
  <si>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</si>
  <si>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</si>
  <si>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</si>
  <si>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</si>
  <si>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</si>
  <si>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</si>
  <si>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</si>
  <si>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</si>
  <si>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</si>
  <si>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</si>
  <si>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</si>
  <si>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</si>
  <si>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</si>
  <si>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</si>
  <si>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</si>
  <si>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</si>
  <si>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</si>
  <si>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</si>
  <si>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</si>
  <si>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</si>
  <si>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</si>
  <si>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</si>
  <si>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</si>
  <si>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</si>
  <si>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</si>
  <si>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</si>
  <si>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</si>
  <si>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</si>
  <si>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</si>
  <si>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</si>
  <si>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</si>
  <si>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</si>
  <si>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</si>
  <si>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</si>
  <si>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</si>
  <si>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</si>
  <si>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</si>
  <si>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</si>
  <si>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</si>
  <si>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</si>
  <si>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</si>
  <si>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</si>
  <si>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</si>
  <si>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</si>
  <si>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</si>
  <si>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</si>
  <si>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</si>
  <si>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</si>
  <si>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</si>
  <si>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</si>
  <si>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</si>
  <si>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</si>
  <si>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</si>
  <si>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</si>
  <si>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</si>
  <si>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</si>
  <si>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</si>
  <si>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</si>
  <si>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</si>
  <si>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</si>
  <si>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</si>
  <si>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</si>
  <si>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</si>
  <si>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</si>
  <si>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</si>
  <si>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</si>
  <si>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</si>
  <si>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</si>
  <si>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</si>
  <si>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</si>
  <si>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</si>
  <si>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</si>
  <si>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</si>
  <si>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</si>
  <si>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</si>
  <si>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</si>
  <si>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</si>
  <si>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</si>
  <si>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</si>
  <si>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</si>
  <si>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</si>
  <si>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</si>
  <si>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</si>
  <si>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</si>
  <si>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</si>
  <si>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</si>
  <si>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</si>
  <si>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</si>
  <si>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</si>
  <si>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</si>
  <si>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</si>
  <si>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</si>
  <si>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</si>
  <si>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</si>
  <si>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</si>
  <si>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</si>
  <si>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</si>
  <si>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</si>
  <si>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</si>
  <si>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</si>
  <si>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</si>
  <si>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Nick Cousins</t>
  </si>
  <si>
    <t>10:37</t>
  </si>
  <si>
    <t>Kirby Dach</t>
  </si>
  <si>
    <t>14:01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</si>
  <si>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</si>
  <si>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</si>
  <si>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</si>
  <si>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</si>
  <si>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</si>
  <si>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</si>
  <si>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</si>
  <si>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</si>
  <si>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</si>
  <si>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</si>
  <si>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</si>
  <si>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</si>
  <si>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</si>
  <si>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</si>
  <si>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</si>
  <si>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</si>
  <si>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</si>
  <si>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</si>
  <si>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</si>
  <si>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</si>
  <si>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</si>
  <si>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</si>
  <si>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</si>
  <si>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</si>
  <si>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</si>
  <si>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</si>
  <si>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</si>
  <si>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</si>
  <si>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</si>
  <si>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</si>
  <si>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</si>
  <si>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</si>
  <si>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</si>
  <si>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</si>
  <si>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</si>
  <si>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</si>
  <si>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</si>
  <si>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</si>
  <si>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</si>
  <si>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</si>
  <si>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</si>
  <si>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</si>
  <si>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</si>
  <si>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</si>
  <si>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</si>
  <si>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</si>
  <si>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</si>
  <si>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</si>
  <si>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</si>
  <si>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</si>
  <si>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</si>
  <si>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</si>
  <si>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</si>
  <si>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</si>
  <si>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</si>
  <si>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</si>
  <si>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</si>
  <si>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</si>
  <si>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</si>
  <si>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</si>
  <si>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</si>
  <si>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</si>
  <si>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</si>
  <si>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</si>
  <si>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Emil Martinsen Lilleberg</t>
  </si>
  <si>
    <t>Jared McCann</t>
  </si>
  <si>
    <t>Ryan McDonagh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</si>
  <si>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</si>
  <si>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</si>
  <si>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</si>
  <si>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</si>
  <si>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</si>
  <si>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</si>
  <si>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</si>
  <si>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</si>
  <si>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</si>
  <si>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</si>
  <si>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</si>
  <si>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</si>
  <si>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</si>
  <si>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</si>
  <si>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</si>
  <si>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</si>
  <si>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</si>
  <si>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</si>
  <si>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</si>
  <si>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</si>
  <si>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</si>
  <si>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</si>
  <si>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</si>
  <si>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</si>
  <si>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</si>
  <si>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</si>
  <si>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</si>
  <si>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</si>
  <si>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</si>
  <si>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</si>
  <si>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</si>
  <si>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</si>
  <si>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</si>
  <si>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</si>
  <si>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</si>
  <si>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</si>
  <si>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</si>
  <si>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</si>
  <si>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</si>
  <si>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</si>
  <si>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</si>
  <si>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</si>
  <si>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</si>
  <si>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</si>
  <si>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</si>
  <si>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</si>
  <si>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</si>
  <si>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</si>
  <si>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</si>
  <si>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</si>
  <si>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</si>
  <si>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</si>
  <si>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</si>
  <si>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</si>
  <si>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</si>
  <si>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</si>
  <si>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</si>
  <si>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</si>
  <si>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</si>
  <si>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</si>
  <si>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</si>
  <si>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</si>
  <si>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</si>
  <si>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</si>
  <si>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</si>
  <si>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</si>
  <si>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</si>
  <si>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</si>
  <si>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</si>
  <si>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</si>
  <si>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</si>
  <si>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</si>
  <si>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</si>
  <si>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</si>
  <si>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</si>
  <si>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</si>
  <si>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</si>
  <si>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</si>
  <si>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15:08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</si>
  <si>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</si>
  <si>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</si>
  <si>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</si>
  <si>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</si>
  <si>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</si>
  <si>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</si>
  <si>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</si>
  <si>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</si>
  <si>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</si>
  <si>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</si>
  <si>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</si>
  <si>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</si>
  <si>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</si>
  <si>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</si>
  <si>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</si>
  <si>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</si>
  <si>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</si>
  <si>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</si>
  <si>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</si>
  <si>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</si>
  <si>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</si>
  <si>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</si>
  <si>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</si>
  <si>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</si>
  <si>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</si>
  <si>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</si>
  <si>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</si>
  <si>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</si>
  <si>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</si>
  <si>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</si>
  <si>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</si>
  <si>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</si>
  <si>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</si>
  <si>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</si>
  <si>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</si>
  <si>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</si>
  <si>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</si>
  <si>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</si>
  <si>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</si>
  <si>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</si>
  <si>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</si>
  <si>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</si>
  <si>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</si>
  <si>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</si>
  <si>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</si>
  <si>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</si>
  <si>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</si>
  <si>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</si>
  <si>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</si>
  <si>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</si>
  <si>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</si>
  <si>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</si>
  <si>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</si>
  <si>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</si>
  <si>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</si>
  <si>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</si>
  <si>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</si>
  <si>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</si>
  <si>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</si>
  <si>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</si>
  <si>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</si>
  <si>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</si>
  <si>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</si>
  <si>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</si>
  <si>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</si>
  <si>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</si>
  <si>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</si>
  <si>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</si>
  <si>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</si>
  <si>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</si>
  <si>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</si>
  <si>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</si>
  <si>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</si>
  <si>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</si>
  <si>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</si>
  <si>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</si>
  <si>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</si>
  <si>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</si>
  <si>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</si>
  <si>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</si>
  <si>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</si>
  <si>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</si>
  <si>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</si>
  <si>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</si>
  <si>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</si>
  <si>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</si>
  <si>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</si>
  <si>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</si>
  <si>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</si>
  <si>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</si>
  <si>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</si>
  <si>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</si>
  <si>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</si>
  <si>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</si>
  <si>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</si>
  <si>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</si>
  <si>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</si>
  <si>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</si>
  <si>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</si>
  <si>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</si>
  <si>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</si>
  <si>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</si>
  <si>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</si>
  <si>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</si>
  <si>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</si>
  <si>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</si>
  <si>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</si>
  <si>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</si>
  <si>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</si>
  <si>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</si>
  <si>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</si>
  <si>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</si>
  <si>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</si>
  <si>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</si>
  <si>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</si>
  <si>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</si>
  <si>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</si>
  <si>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</si>
  <si>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</si>
  <si>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</si>
  <si>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</si>
  <si>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</si>
  <si>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</si>
  <si>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</si>
  <si>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</si>
  <si>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</si>
  <si>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</si>
  <si>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</si>
  <si>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</si>
  <si>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</si>
  <si>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</si>
  <si>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</si>
  <si>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</si>
  <si>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</si>
  <si>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</si>
  <si>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</si>
  <si>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</si>
  <si>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Vincent Desharnais</t>
  </si>
  <si>
    <t>Sam Dickinson</t>
  </si>
  <si>
    <t>Curtis Douglas</t>
  </si>
  <si>
    <t>Matt Duchene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</si>
  <si>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</si>
  <si>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</si>
  <si>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</si>
  <si>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</si>
  <si>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</si>
  <si>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</si>
  <si>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</si>
  <si>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</si>
  <si>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</si>
  <si>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</si>
  <si>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</si>
  <si>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</si>
  <si>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</si>
  <si>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</si>
  <si>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</si>
  <si>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</si>
  <si>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</si>
  <si>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</si>
  <si>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</si>
  <si>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</si>
  <si>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</si>
  <si>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</si>
  <si>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</si>
  <si>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</si>
  <si>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</si>
  <si>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</si>
  <si>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</si>
  <si>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</si>
  <si>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</si>
  <si>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</si>
  <si>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</si>
  <si>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</si>
  <si>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</si>
  <si>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</si>
  <si>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</si>
  <si>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Donovan Sebrango</t>
  </si>
  <si>
    <t>30:27</t>
  </si>
  <si>
    <t>15:14</t>
  </si>
  <si>
    <t>Jonas Siegenthaler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</si>
  <si>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</si>
  <si>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</si>
  <si>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</si>
  <si>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</si>
  <si>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</si>
  <si>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</si>
  <si>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</si>
  <si>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</si>
  <si>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</si>
  <si>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</si>
  <si>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</si>
  <si>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</si>
  <si>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</si>
  <si>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</si>
  <si>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</si>
  <si>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</si>
  <si>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</si>
  <si>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</si>
  <si>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</si>
  <si>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</si>
  <si>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</si>
  <si>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</si>
  <si>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</si>
  <si>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</si>
  <si>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</si>
  <si>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</si>
  <si>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</si>
  <si>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</si>
  <si>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</si>
  <si>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</si>
  <si>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</si>
  <si>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</si>
  <si>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</si>
  <si>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</si>
  <si>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</si>
  <si>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</si>
  <si>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</si>
  <si>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</si>
  <si>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</si>
  <si>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</si>
  <si>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</si>
  <si>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</si>
  <si>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</si>
  <si>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</si>
  <si>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</si>
  <si>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</si>
  <si>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</si>
  <si>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</si>
  <si>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</si>
  <si>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</si>
  <si>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</si>
  <si>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</si>
  <si>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</si>
  <si>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</si>
  <si>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</si>
  <si>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</si>
  <si>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</si>
  <si>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</si>
  <si>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</si>
  <si>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</si>
  <si>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</si>
  <si>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</si>
  <si>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</si>
  <si>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</si>
  <si>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</si>
  <si>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</si>
  <si>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</si>
  <si>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</si>
  <si>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</si>
  <si>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</si>
  <si>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</si>
  <si>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</si>
  <si>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</si>
  <si>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</si>
  <si>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</si>
  <si>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</si>
  <si>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</si>
  <si>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</si>
  <si>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</si>
  <si>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</si>
  <si>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</si>
  <si>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</si>
  <si>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</si>
  <si>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</si>
  <si>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</si>
  <si>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</si>
  <si>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</si>
  <si>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</si>
  <si>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</si>
  <si>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</si>
  <si>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</si>
  <si>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</si>
  <si>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</si>
  <si>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</si>
  <si>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</si>
  <si>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</si>
  <si>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</si>
  <si>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</si>
  <si>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</si>
  <si>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</si>
  <si>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</si>
  <si>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</si>
  <si>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</si>
  <si>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</si>
  <si>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</si>
  <si>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</si>
  <si>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</si>
  <si>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</si>
  <si>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</si>
  <si>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</si>
  <si>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</si>
  <si>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</si>
  <si>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</si>
  <si>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</si>
  <si>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</si>
  <si>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</si>
  <si>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</si>
  <si>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</si>
  <si>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</si>
  <si>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</si>
  <si>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</si>
  <si>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</si>
  <si>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</si>
  <si>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</si>
  <si>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</si>
  <si>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</si>
  <si>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</si>
  <si>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</si>
  <si>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</si>
  <si>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</si>
  <si>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</si>
  <si>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</si>
  <si>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</si>
  <si>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</si>
  <si>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</si>
  <si>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</si>
  <si>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</si>
  <si>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</si>
  <si>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</si>
  <si>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</si>
  <si>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</si>
  <si>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</si>
  <si>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</si>
  <si>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</si>
  <si>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</si>
  <si>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</si>
  <si>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</si>
  <si>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</si>
  <si>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</si>
  <si>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</si>
  <si>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</si>
  <si>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</si>
  <si>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</si>
  <si>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</si>
  <si>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</si>
  <si>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</si>
  <si>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</si>
  <si>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</si>
  <si>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</si>
  <si>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</si>
  <si>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</si>
  <si>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</si>
  <si>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</si>
  <si>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</si>
  <si>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</si>
  <si>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</si>
  <si>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</si>
  <si>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</si>
  <si>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</si>
  <si>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</si>
  <si>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</si>
  <si>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</si>
  <si>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</si>
  <si>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</si>
  <si>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</si>
  <si>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</si>
  <si>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</si>
  <si>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</si>
  <si>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</si>
  <si>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</si>
  <si>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</si>
  <si>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</si>
  <si>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</si>
  <si>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</si>
  <si>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</si>
  <si>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</si>
  <si>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</si>
  <si>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</si>
  <si>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</si>
  <si>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</si>
  <si>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</si>
  <si>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</si>
  <si>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</si>
  <si>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</si>
  <si>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</si>
  <si>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</si>
  <si>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</si>
  <si>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</si>
  <si>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</si>
  <si>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</si>
  <si>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</si>
  <si>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</si>
  <si>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</si>
  <si>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</si>
  <si>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</si>
  <si>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</si>
  <si>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</si>
  <si>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</si>
  <si>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</si>
  <si>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</si>
  <si>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</si>
  <si>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</si>
  <si>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</si>
  <si>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</si>
  <si>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</si>
  <si>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</si>
  <si>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</si>
  <si>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</si>
  <si>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</si>
  <si>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</si>
  <si>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</si>
  <si>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</si>
  <si>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</si>
  <si>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</si>
  <si>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</si>
  <si>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</si>
  <si>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</si>
  <si>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</si>
  <si>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</si>
  <si>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</si>
  <si>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</si>
  <si>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</si>
  <si>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</si>
  <si>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</si>
  <si>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</si>
  <si>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</si>
  <si>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</si>
  <si>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</si>
  <si>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</si>
  <si>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</si>
  <si>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</si>
  <si>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</si>
  <si>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</si>
  <si>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</si>
  <si>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</si>
  <si>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</si>
  <si>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</si>
  <si>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</si>
  <si>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</si>
  <si>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</si>
  <si>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</si>
  <si>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</si>
  <si>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</si>
  <si>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</si>
  <si>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</si>
  <si>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</si>
  <si>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</si>
  <si>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</si>
  <si>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</si>
  <si>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</si>
  <si>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</si>
  <si>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</si>
  <si>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</si>
  <si>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</si>
  <si>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</si>
  <si>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</si>
  <si>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</si>
  <si>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</si>
  <si>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</si>
  <si>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</si>
  <si>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</si>
  <si>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</si>
  <si>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</si>
  <si>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</si>
  <si>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</si>
  <si>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</si>
  <si>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</si>
  <si>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</si>
  <si>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</si>
  <si>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</si>
  <si>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</si>
  <si>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</si>
  <si>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</si>
  <si>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</si>
  <si>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</si>
  <si>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</si>
  <si>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</si>
  <si>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</si>
  <si>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</si>
  <si>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</si>
  <si>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</si>
  <si>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</si>
  <si>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</si>
  <si>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</si>
  <si>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</si>
  <si>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</si>
  <si>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</si>
  <si>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</si>
  <si>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</si>
  <si>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</si>
  <si>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</si>
  <si>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</si>
  <si>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</si>
  <si>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</si>
  <si>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</si>
  <si>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</si>
  <si>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</si>
  <si>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</si>
  <si>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</si>
  <si>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</si>
  <si>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</si>
  <si>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</si>
  <si>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</si>
  <si>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</si>
  <si>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</si>
  <si>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</si>
  <si>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</si>
  <si>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</si>
  <si>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</si>
  <si>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</si>
  <si>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</si>
  <si>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</si>
  <si>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</si>
  <si>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</si>
  <si>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</si>
  <si>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</si>
  <si>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</si>
  <si>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</si>
  <si>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</si>
  <si>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</si>
  <si>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</si>
  <si>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</si>
  <si>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</si>
  <si>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</si>
  <si>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</si>
  <si>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</si>
  <si>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</si>
  <si>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</si>
  <si>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</si>
  <si>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</si>
  <si>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</si>
  <si>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</si>
  <si>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</si>
  <si>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</si>
  <si>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</si>
  <si>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</si>
  <si>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</si>
  <si>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</si>
  <si>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</si>
  <si>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</si>
  <si>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</si>
  <si>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</si>
  <si>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</si>
  <si>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18:38</t>
  </si>
  <si>
    <t>16:01</t>
  </si>
  <si>
    <t>14:39</t>
  </si>
  <si>
    <t>9:08</t>
  </si>
  <si>
    <t>20:48</t>
  </si>
  <si>
    <t>8:43</t>
  </si>
  <si>
    <t>143:18</t>
  </si>
  <si>
    <t>13:02</t>
  </si>
  <si>
    <t>Nils Hglander</t>
  </si>
  <si>
    <t>21:07</t>
  </si>
  <si>
    <t>18:21</t>
  </si>
  <si>
    <t>16:53</t>
  </si>
  <si>
    <t>13:38</t>
  </si>
  <si>
    <t>15:30</t>
  </si>
  <si>
    <t>379:36</t>
  </si>
  <si>
    <t>21:05</t>
  </si>
  <si>
    <t>21:03</t>
  </si>
  <si>
    <t>11:27</t>
  </si>
  <si>
    <t>17:21</t>
  </si>
  <si>
    <t>16:52</t>
  </si>
  <si>
    <t>12:13</t>
  </si>
  <si>
    <t>Vyacheslav Buteyets</t>
  </si>
  <si>
    <t>Ty Murchison</t>
  </si>
  <si>
    <t>22:43</t>
  </si>
  <si>
    <t>20:01</t>
  </si>
  <si>
    <t>16:47</t>
  </si>
  <si>
    <t>12:09</t>
  </si>
  <si>
    <t>489:40</t>
  </si>
  <si>
    <t>16:19</t>
  </si>
  <si>
    <t>73:16</t>
  </si>
  <si>
    <t>Hunter Brzustewicz</t>
  </si>
  <si>
    <t>15:47</t>
  </si>
  <si>
    <t>8.0</t>
  </si>
  <si>
    <t>17:52</t>
  </si>
  <si>
    <t>18:28</t>
  </si>
  <si>
    <t>16:07</t>
  </si>
  <si>
    <t>713:08</t>
  </si>
  <si>
    <t>27:26</t>
  </si>
  <si>
    <t>18:09</t>
  </si>
  <si>
    <t>14:48</t>
  </si>
  <si>
    <t>572:19</t>
  </si>
  <si>
    <t>12:26</t>
  </si>
  <si>
    <t>445:59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</si>
  <si>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</si>
  <si>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</si>
  <si>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</si>
  <si>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</si>
  <si>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</si>
  <si>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</si>
  <si>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</si>
  <si>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</si>
  <si>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</si>
  <si>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</si>
  <si>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</si>
  <si>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</si>
  <si>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</si>
  <si>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</si>
  <si>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</si>
  <si>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</si>
  <si>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</si>
  <si>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</si>
  <si>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496:54</t>
  </si>
  <si>
    <t>14:24</t>
  </si>
  <si>
    <t>15:26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</si>
  <si>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</si>
  <si>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</si>
  <si>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</si>
  <si>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</si>
  <si>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</si>
  <si>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</si>
  <si>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</si>
  <si>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</si>
  <si>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</si>
  <si>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</si>
  <si>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</si>
  <si>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</si>
  <si>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</si>
  <si>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</si>
  <si>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</si>
  <si>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</si>
  <si>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</si>
  <si>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</si>
  <si>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</si>
  <si>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</si>
  <si>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</si>
  <si>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</si>
  <si>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</si>
  <si>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</si>
  <si>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</si>
  <si>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</si>
  <si>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</si>
  <si>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</si>
  <si>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</si>
  <si>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</si>
  <si>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</si>
  <si>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</si>
  <si>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</si>
  <si>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</si>
  <si>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491:34</t>
  </si>
  <si>
    <t>634:48</t>
  </si>
  <si>
    <t>151:41</t>
  </si>
  <si>
    <t>48:32</t>
  </si>
  <si>
    <t>45:40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</si>
  <si>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</si>
  <si>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</si>
  <si>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</si>
  <si>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</si>
  <si>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</si>
  <si>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</si>
  <si>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</si>
  <si>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</si>
  <si>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</si>
  <si>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18:18</t>
  </si>
  <si>
    <t>20:56</t>
  </si>
  <si>
    <t>18:15</t>
  </si>
  <si>
    <t>17:44</t>
  </si>
  <si>
    <t>17:28</t>
  </si>
  <si>
    <t>15:39</t>
  </si>
  <si>
    <t>15:29</t>
  </si>
  <si>
    <t>16:04</t>
  </si>
  <si>
    <t>18:42</t>
  </si>
  <si>
    <t>13:30</t>
  </si>
  <si>
    <t>14:12</t>
  </si>
  <si>
    <t>17:32</t>
  </si>
  <si>
    <t>15:34</t>
  </si>
  <si>
    <t>13:29</t>
  </si>
  <si>
    <t>13:33</t>
  </si>
  <si>
    <t>16:23</t>
  </si>
  <si>
    <t>11:52</t>
  </si>
  <si>
    <t>9:57</t>
  </si>
  <si>
    <t>14:32</t>
  </si>
  <si>
    <t>298:42</t>
  </si>
  <si>
    <t>10:18</t>
  </si>
  <si>
    <t>12:14</t>
  </si>
  <si>
    <t>11:34</t>
  </si>
  <si>
    <t>9:37</t>
  </si>
  <si>
    <t>Denver Barkey</t>
  </si>
  <si>
    <t>13:08</t>
  </si>
  <si>
    <t>69:08</t>
  </si>
  <si>
    <t>490:09</t>
  </si>
  <si>
    <t>54:28</t>
  </si>
  <si>
    <t>Ivan Miroshnichenko</t>
  </si>
  <si>
    <t>8:12</t>
  </si>
  <si>
    <t>95:03</t>
  </si>
  <si>
    <t>24:11</t>
  </si>
  <si>
    <t>17:58</t>
  </si>
  <si>
    <t>13:13</t>
  </si>
  <si>
    <t>11:51</t>
  </si>
  <si>
    <t>12:54</t>
  </si>
  <si>
    <t>16:56</t>
  </si>
  <si>
    <t>13:14</t>
  </si>
  <si>
    <t>178:57</t>
  </si>
  <si>
    <t>22:56</t>
  </si>
  <si>
    <t>9:31</t>
  </si>
  <si>
    <t>9:46</t>
  </si>
  <si>
    <t>9:19</t>
  </si>
  <si>
    <t>12:32</t>
  </si>
  <si>
    <t>109:25</t>
  </si>
  <si>
    <t>13:41</t>
  </si>
  <si>
    <t>Connor Ingram</t>
  </si>
  <si>
    <t>9:39</t>
  </si>
  <si>
    <t>16:30</t>
  </si>
  <si>
    <t>22:06</t>
  </si>
  <si>
    <t>360:04</t>
  </si>
  <si>
    <t>256:55</t>
  </si>
  <si>
    <t>13:36</t>
  </si>
  <si>
    <t>114:04</t>
  </si>
  <si>
    <t>19:46</t>
  </si>
  <si>
    <t>16:59</t>
  </si>
  <si>
    <t>14:35</t>
  </si>
  <si>
    <t>18:43</t>
  </si>
  <si>
    <t>15:42</t>
  </si>
  <si>
    <t>12:57</t>
  </si>
  <si>
    <t>11:07</t>
  </si>
  <si>
    <t>308:05</t>
  </si>
  <si>
    <t>9:01</t>
  </si>
  <si>
    <t>94:48</t>
  </si>
  <si>
    <t>83:31</t>
  </si>
  <si>
    <t>11:56</t>
  </si>
  <si>
    <t>Pheonix Copley</t>
  </si>
  <si>
    <t>58:34</t>
  </si>
  <si>
    <t>17:38</t>
  </si>
  <si>
    <t>20:55</t>
  </si>
  <si>
    <t>11:23</t>
  </si>
  <si>
    <t>10:20</t>
  </si>
  <si>
    <t>606:26</t>
  </si>
  <si>
    <t>22:35</t>
  </si>
  <si>
    <t>14:04</t>
  </si>
  <si>
    <t>12:23</t>
  </si>
  <si>
    <t>11:54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</si>
  <si>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</si>
  <si>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</si>
  <si>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</si>
  <si>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</si>
  <si>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</si>
  <si>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</si>
  <si>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</si>
  <si>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</si>
  <si>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Xavier Bourgault</t>
  </si>
  <si>
    <t>59:00</t>
  </si>
  <si>
    <t>1665:51</t>
  </si>
  <si>
    <t>59:30</t>
  </si>
  <si>
    <t>22:27</t>
  </si>
  <si>
    <t>16:54</t>
  </si>
  <si>
    <t>443:33</t>
  </si>
  <si>
    <t>11:03</t>
  </si>
  <si>
    <t>73:49</t>
  </si>
  <si>
    <t>197:42</t>
  </si>
  <si>
    <t>Maxim Groshev</t>
  </si>
  <si>
    <t>57:07</t>
  </si>
  <si>
    <t>19:47</t>
  </si>
  <si>
    <t>22:11</t>
  </si>
  <si>
    <t>18:45</t>
  </si>
  <si>
    <t>20:14</t>
  </si>
  <si>
    <t>17:16</t>
  </si>
  <si>
    <t>18:59</t>
  </si>
  <si>
    <t>20:30</t>
  </si>
  <si>
    <t>19:23</t>
  </si>
  <si>
    <t>17:59</t>
  </si>
  <si>
    <t>20:43</t>
  </si>
  <si>
    <t>17:39</t>
  </si>
  <si>
    <t>16:37</t>
  </si>
  <si>
    <t>23:45</t>
  </si>
  <si>
    <t>22:47</t>
  </si>
  <si>
    <t>18:49</t>
  </si>
  <si>
    <t>15:13</t>
  </si>
  <si>
    <t>15:31</t>
  </si>
  <si>
    <t>18:36</t>
  </si>
  <si>
    <t>16:50</t>
  </si>
  <si>
    <t>15:05</t>
  </si>
  <si>
    <t>14:07</t>
  </si>
  <si>
    <t>16:25</t>
  </si>
  <si>
    <t>19:20</t>
  </si>
  <si>
    <t>15:37</t>
  </si>
  <si>
    <t>11:48</t>
  </si>
  <si>
    <t>13:42</t>
  </si>
  <si>
    <t>457:19</t>
  </si>
  <si>
    <t>149:37</t>
  </si>
  <si>
    <t>21:47</t>
  </si>
  <si>
    <t>21:58</t>
  </si>
  <si>
    <t>23:29</t>
  </si>
  <si>
    <t>22:28</t>
  </si>
  <si>
    <t>12:02</t>
  </si>
  <si>
    <t>20:12</t>
  </si>
  <si>
    <t>14:27</t>
  </si>
  <si>
    <t>17:00</t>
  </si>
  <si>
    <t>12:44</t>
  </si>
  <si>
    <t>12:01</t>
  </si>
  <si>
    <t>14:06</t>
  </si>
  <si>
    <t>12:41</t>
  </si>
  <si>
    <t>14:53</t>
  </si>
  <si>
    <t>20:29</t>
  </si>
  <si>
    <t>539:23</t>
  </si>
  <si>
    <t>12:18</t>
  </si>
  <si>
    <t>17:35</t>
  </si>
  <si>
    <t>20:23</t>
  </si>
  <si>
    <t>15:11</t>
  </si>
  <si>
    <t>14:25</t>
  </si>
  <si>
    <t>14:45</t>
  </si>
  <si>
    <t>11:05</t>
  </si>
  <si>
    <t>21:18</t>
  </si>
  <si>
    <t>13:04</t>
  </si>
  <si>
    <t>13:59</t>
  </si>
  <si>
    <t>10:17</t>
  </si>
  <si>
    <t>790:06</t>
  </si>
  <si>
    <t>91:49</t>
  </si>
  <si>
    <t>60:34</t>
  </si>
  <si>
    <t>12:42</t>
  </si>
  <si>
    <t>166:10</t>
  </si>
  <si>
    <t>14:10</t>
  </si>
  <si>
    <t>64:17</t>
  </si>
  <si>
    <t>4:01</t>
  </si>
  <si>
    <t>8:35</t>
  </si>
  <si>
    <t>137:56</t>
  </si>
  <si>
    <t>Marcus Hgberg</t>
  </si>
  <si>
    <t>18:46</t>
  </si>
  <si>
    <t>23:34</t>
  </si>
  <si>
    <t>939:36</t>
  </si>
  <si>
    <t>17:17</t>
  </si>
  <si>
    <t>13:19</t>
  </si>
  <si>
    <t>12:46</t>
  </si>
  <si>
    <t>11:39</t>
  </si>
  <si>
    <t>11:45</t>
  </si>
  <si>
    <t>128:18</t>
  </si>
  <si>
    <t>Justin Dowling</t>
  </si>
  <si>
    <t>Jaycob Megna</t>
  </si>
  <si>
    <t>856:52</t>
  </si>
  <si>
    <t>17:06</t>
  </si>
  <si>
    <t>16:35</t>
  </si>
  <si>
    <t>17:29</t>
  </si>
  <si>
    <t>15:46</t>
  </si>
  <si>
    <t>14:23</t>
  </si>
  <si>
    <t>12:55</t>
  </si>
  <si>
    <t>16:10</t>
  </si>
  <si>
    <t>893:15</t>
  </si>
  <si>
    <t>22:20</t>
  </si>
  <si>
    <t>20:59</t>
  </si>
  <si>
    <t>14:22</t>
  </si>
  <si>
    <t>309:29</t>
  </si>
  <si>
    <t>20:20</t>
  </si>
  <si>
    <t>378:05</t>
  </si>
  <si>
    <t>342:07</t>
  </si>
  <si>
    <t>10:19</t>
  </si>
  <si>
    <t>9:38</t>
  </si>
  <si>
    <t>195:33</t>
  </si>
  <si>
    <t>9:03</t>
  </si>
  <si>
    <t>245:29</t>
  </si>
  <si>
    <t>183:03</t>
  </si>
  <si>
    <t>31:59</t>
  </si>
  <si>
    <t>59:05</t>
  </si>
  <si>
    <t>57:32</t>
  </si>
  <si>
    <t>Matt Benning</t>
  </si>
  <si>
    <t>Cole McWard</t>
  </si>
  <si>
    <t>60:25</t>
  </si>
  <si>
    <t>649:39</t>
  </si>
  <si>
    <t>18:26</t>
  </si>
  <si>
    <t>12:03</t>
  </si>
  <si>
    <t>19:44</t>
  </si>
  <si>
    <t>16:31</t>
  </si>
  <si>
    <t>342:29</t>
  </si>
  <si>
    <t>60:05</t>
  </si>
  <si>
    <t>17:57</t>
  </si>
  <si>
    <t>21:26</t>
  </si>
  <si>
    <t>19:28</t>
  </si>
  <si>
    <t>800:34</t>
  </si>
  <si>
    <t>18:33</t>
  </si>
  <si>
    <t>707:10</t>
  </si>
  <si>
    <t>17:02</t>
  </si>
  <si>
    <t>17:31</t>
  </si>
  <si>
    <t>21:19</t>
  </si>
  <si>
    <t>685:33</t>
  </si>
  <si>
    <t>18:19</t>
  </si>
  <si>
    <t>20:16</t>
  </si>
  <si>
    <t>604:57</t>
  </si>
  <si>
    <t>594:49</t>
  </si>
  <si>
    <t>12:24</t>
  </si>
  <si>
    <t>11:00</t>
  </si>
  <si>
    <t>21:20</t>
  </si>
  <si>
    <t>10:57</t>
  </si>
  <si>
    <t>281:53</t>
  </si>
  <si>
    <t>169:02</t>
  </si>
  <si>
    <t>9:13</t>
  </si>
  <si>
    <t>264:35</t>
  </si>
  <si>
    <t>54:48</t>
  </si>
  <si>
    <t>Anton Blidh</t>
  </si>
  <si>
    <t>236:45</t>
  </si>
  <si>
    <t>10:29</t>
  </si>
  <si>
    <t>515:53</t>
  </si>
  <si>
    <t>51:35</t>
  </si>
  <si>
    <t>Hunter Shepard</t>
  </si>
  <si>
    <t>35:47</t>
  </si>
  <si>
    <t>2006:00</t>
  </si>
  <si>
    <t>55:06</t>
  </si>
  <si>
    <t>17:51</t>
  </si>
  <si>
    <t>266:17</t>
  </si>
  <si>
    <t>8:18</t>
  </si>
  <si>
    <t>Brett Leason</t>
  </si>
  <si>
    <t>Andre Lee</t>
  </si>
  <si>
    <t>William Stromgren</t>
  </si>
  <si>
    <t>Taylor Ward</t>
  </si>
  <si>
    <t>748:10</t>
  </si>
  <si>
    <t>23:24</t>
  </si>
  <si>
    <t>480:40</t>
  </si>
  <si>
    <t>12:12</t>
  </si>
  <si>
    <t>14:26</t>
  </si>
  <si>
    <t>7:17</t>
  </si>
  <si>
    <t>12:56</t>
  </si>
  <si>
    <t>11:09</t>
  </si>
  <si>
    <t>446:40</t>
  </si>
  <si>
    <t>541:11</t>
  </si>
  <si>
    <t>16:55</t>
  </si>
  <si>
    <t>108:11</t>
  </si>
  <si>
    <t>193:52</t>
  </si>
  <si>
    <t>8:05</t>
  </si>
  <si>
    <t>Dylan Coghlan</t>
  </si>
  <si>
    <t>59:56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</si>
  <si>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</si>
  <si>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</si>
  <si>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</si>
  <si>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</si>
  <si>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</si>
  <si>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</si>
  <si>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</si>
  <si>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</si>
  <si>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</si>
  <si>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</si>
  <si>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15:35</t>
  </si>
  <si>
    <t>93:03</t>
  </si>
  <si>
    <t>Drew Commesso</t>
  </si>
  <si>
    <t>Kevin Korchinski</t>
  </si>
  <si>
    <t>22:21</t>
  </si>
  <si>
    <t>796:20</t>
  </si>
  <si>
    <t>774:21</t>
  </si>
  <si>
    <t>771:44</t>
  </si>
  <si>
    <t>748:47</t>
  </si>
  <si>
    <t>23:51</t>
  </si>
  <si>
    <t>22:49</t>
  </si>
  <si>
    <t>580:15</t>
  </si>
  <si>
    <t>11:16</t>
  </si>
  <si>
    <t>397:49</t>
  </si>
  <si>
    <t>57:34</t>
  </si>
  <si>
    <t>1115:52</t>
  </si>
  <si>
    <t>55:48</t>
  </si>
  <si>
    <t>122:16</t>
  </si>
  <si>
    <t>27:57</t>
  </si>
  <si>
    <t>59:09</t>
  </si>
  <si>
    <t>120:00</t>
  </si>
  <si>
    <t>54:15</t>
  </si>
  <si>
    <t>Spencer Martin</t>
  </si>
  <si>
    <t>59:55</t>
  </si>
  <si>
    <t>T.J. Tynan</t>
  </si>
  <si>
    <t>8:13</t>
  </si>
  <si>
    <t>Sandis Vilmanis</t>
  </si>
  <si>
    <t>10.0</t>
  </si>
  <si>
    <t>394:57</t>
  </si>
  <si>
    <t>291:56</t>
  </si>
  <si>
    <t>Johnathan Kovacevic</t>
  </si>
  <si>
    <t>206:22</t>
  </si>
  <si>
    <t>58:51</t>
  </si>
  <si>
    <t>667:20</t>
  </si>
  <si>
    <t>22:26</t>
  </si>
  <si>
    <t>895:59</t>
  </si>
  <si>
    <t>21:08</t>
  </si>
  <si>
    <t>992:51</t>
  </si>
  <si>
    <t>843:34</t>
  </si>
  <si>
    <t>11:53</t>
  </si>
  <si>
    <t>186:23</t>
  </si>
  <si>
    <t>137:50</t>
  </si>
  <si>
    <t>880:42</t>
  </si>
  <si>
    <t>236:34</t>
  </si>
  <si>
    <t>127:17</t>
  </si>
  <si>
    <t>7:04</t>
  </si>
  <si>
    <t>20:54</t>
  </si>
  <si>
    <t>20:46</t>
  </si>
  <si>
    <t>20:15</t>
  </si>
  <si>
    <t>19:09</t>
  </si>
  <si>
    <t>19:43</t>
  </si>
  <si>
    <t>21:52</t>
  </si>
  <si>
    <t>24:32</t>
  </si>
  <si>
    <t>17:40</t>
  </si>
  <si>
    <t>16:45</t>
  </si>
  <si>
    <t>16:36</t>
  </si>
  <si>
    <t>24:09</t>
  </si>
  <si>
    <t>15:03</t>
  </si>
  <si>
    <t>789:06</t>
  </si>
  <si>
    <t>23:54</t>
  </si>
  <si>
    <t>21:45</t>
  </si>
  <si>
    <t>14:21</t>
  </si>
  <si>
    <t>16:48</t>
  </si>
  <si>
    <t>16:05</t>
  </si>
  <si>
    <t>15:27</t>
  </si>
  <si>
    <t>608:16</t>
  </si>
  <si>
    <t>17:37</t>
  </si>
  <si>
    <t>23:50</t>
  </si>
  <si>
    <t>15:01</t>
  </si>
  <si>
    <t>20:57</t>
  </si>
  <si>
    <t>16:18</t>
  </si>
  <si>
    <t>12:33</t>
  </si>
  <si>
    <t>13:48</t>
  </si>
  <si>
    <t>18:48</t>
  </si>
  <si>
    <t>19:10</t>
  </si>
  <si>
    <t>18:55</t>
  </si>
  <si>
    <t>14:14</t>
  </si>
  <si>
    <t>22:05</t>
  </si>
  <si>
    <t>22:00</t>
  </si>
  <si>
    <t>17:45</t>
  </si>
  <si>
    <t>20:31</t>
  </si>
  <si>
    <t>12:07</t>
  </si>
  <si>
    <t>20:47</t>
  </si>
  <si>
    <t>14:50</t>
  </si>
  <si>
    <t>13:12</t>
  </si>
  <si>
    <t>14:37</t>
  </si>
  <si>
    <t>355:27</t>
  </si>
  <si>
    <t>943:31</t>
  </si>
  <si>
    <t>17:05</t>
  </si>
  <si>
    <t>Egor Chinakhov</t>
  </si>
  <si>
    <t>911:36</t>
  </si>
  <si>
    <t>103:10</t>
  </si>
  <si>
    <t>11:38</t>
  </si>
  <si>
    <t>16:17</t>
  </si>
  <si>
    <t>11:10</t>
  </si>
  <si>
    <t>11:28</t>
  </si>
  <si>
    <t>14:41</t>
  </si>
  <si>
    <t>20:51</t>
  </si>
  <si>
    <t>11:18</t>
  </si>
  <si>
    <t>14:42</t>
  </si>
  <si>
    <t>11:14</t>
  </si>
  <si>
    <t>10:27</t>
  </si>
  <si>
    <t>10:40</t>
  </si>
  <si>
    <t>10:50</t>
  </si>
  <si>
    <t>255:42</t>
  </si>
  <si>
    <t>13:17</t>
  </si>
  <si>
    <t>9:43</t>
  </si>
  <si>
    <t>57:51</t>
  </si>
  <si>
    <t>25:12</t>
  </si>
  <si>
    <t>8:24</t>
  </si>
  <si>
    <t>57:21</t>
  </si>
  <si>
    <t>59:08</t>
  </si>
  <si>
    <t>56:12</t>
  </si>
  <si>
    <t>32:57</t>
  </si>
  <si>
    <t>8:14</t>
  </si>
  <si>
    <t>18:52</t>
  </si>
  <si>
    <t>979:28</t>
  </si>
  <si>
    <t>18:57</t>
  </si>
  <si>
    <t>16:06</t>
  </si>
  <si>
    <t>21:29</t>
  </si>
  <si>
    <t>22:29</t>
  </si>
  <si>
    <t>18:35</t>
  </si>
  <si>
    <t>24:14</t>
  </si>
  <si>
    <t>303:09</t>
  </si>
  <si>
    <t>13:51</t>
  </si>
  <si>
    <t>14:30</t>
  </si>
  <si>
    <t>429:06</t>
  </si>
  <si>
    <t>16:43</t>
  </si>
  <si>
    <t>518:00</t>
  </si>
  <si>
    <t>14:17</t>
  </si>
  <si>
    <t>484:04</t>
  </si>
  <si>
    <t>15:45</t>
  </si>
  <si>
    <t>185:52</t>
  </si>
  <si>
    <t>18:04</t>
  </si>
  <si>
    <t>146:16</t>
  </si>
  <si>
    <t>8:08</t>
  </si>
  <si>
    <t>58:32</t>
  </si>
  <si>
    <t>57:45</t>
  </si>
  <si>
    <t>20:11</t>
  </si>
  <si>
    <t>956:24</t>
  </si>
  <si>
    <t>19:45</t>
  </si>
  <si>
    <t>20:06</t>
  </si>
  <si>
    <t>686:28</t>
  </si>
  <si>
    <t>15:18</t>
  </si>
  <si>
    <t>16:42</t>
  </si>
  <si>
    <t>22:34</t>
  </si>
  <si>
    <t>17:11</t>
  </si>
  <si>
    <t>22:15</t>
  </si>
  <si>
    <t>20:25</t>
  </si>
  <si>
    <t>21:36</t>
  </si>
  <si>
    <t>16:08</t>
  </si>
  <si>
    <t>19:39</t>
  </si>
  <si>
    <t>18:17</t>
  </si>
  <si>
    <t>17:43</t>
  </si>
  <si>
    <t>18:14</t>
  </si>
  <si>
    <t>23:02</t>
  </si>
  <si>
    <t>14:31</t>
  </si>
  <si>
    <t>13:55</t>
  </si>
  <si>
    <t>20:26</t>
  </si>
  <si>
    <t>12:05</t>
  </si>
  <si>
    <t>13:58</t>
  </si>
  <si>
    <t>966:54</t>
  </si>
  <si>
    <t>20:09</t>
  </si>
  <si>
    <t>13:47</t>
  </si>
  <si>
    <t>20:27</t>
  </si>
  <si>
    <t>10:30</t>
  </si>
  <si>
    <t>176:56</t>
  </si>
  <si>
    <t>110:39</t>
  </si>
  <si>
    <t>8:31</t>
  </si>
  <si>
    <t>253:24</t>
  </si>
  <si>
    <t>8:45</t>
  </si>
  <si>
    <t>247:45</t>
  </si>
  <si>
    <t>313:01</t>
  </si>
  <si>
    <t>58:03</t>
  </si>
  <si>
    <t>10:48</t>
  </si>
  <si>
    <t>346:24</t>
  </si>
  <si>
    <t>281:27</t>
  </si>
  <si>
    <t>14:00</t>
  </si>
  <si>
    <t>51:18</t>
  </si>
  <si>
    <t>595:11</t>
  </si>
  <si>
    <t>59:31</t>
  </si>
  <si>
    <t>26:48</t>
  </si>
  <si>
    <t>Tanner Laczynski</t>
  </si>
  <si>
    <t>David Spacek</t>
  </si>
  <si>
    <t>20:35</t>
  </si>
  <si>
    <t>704:45</t>
  </si>
  <si>
    <t>19:52</t>
  </si>
  <si>
    <t>21:35</t>
  </si>
  <si>
    <t>16:24</t>
  </si>
  <si>
    <t>22:30</t>
  </si>
  <si>
    <t>19:31</t>
  </si>
  <si>
    <t>18:41</t>
  </si>
  <si>
    <t>11:12</t>
  </si>
  <si>
    <t>20:13</t>
  </si>
  <si>
    <t>11:31</t>
  </si>
  <si>
    <t>457:23</t>
  </si>
  <si>
    <t>10:28</t>
  </si>
  <si>
    <t>332:35</t>
  </si>
  <si>
    <t>10:09</t>
  </si>
  <si>
    <t>228:47</t>
  </si>
  <si>
    <t>198:20</t>
  </si>
  <si>
    <t>58:49</t>
  </si>
  <si>
    <t>82:07</t>
  </si>
  <si>
    <t>19:13</t>
  </si>
  <si>
    <t>18:51</t>
  </si>
  <si>
    <t>18:05</t>
  </si>
  <si>
    <t>24:31</t>
  </si>
  <si>
    <t>873:09</t>
  </si>
  <si>
    <t>1163:19</t>
  </si>
  <si>
    <t>14:58</t>
  </si>
  <si>
    <t>885:51</t>
  </si>
  <si>
    <t>602:28</t>
  </si>
  <si>
    <t>16:16</t>
  </si>
  <si>
    <t>791:51</t>
  </si>
  <si>
    <t>18:31</t>
  </si>
  <si>
    <t>12:39</t>
  </si>
  <si>
    <t>15:10</t>
  </si>
  <si>
    <t>22:07</t>
  </si>
  <si>
    <t>821:55</t>
  </si>
  <si>
    <t>632:48</t>
  </si>
  <si>
    <t>20:21</t>
  </si>
  <si>
    <t>366:19</t>
  </si>
  <si>
    <t>441:02</t>
  </si>
  <si>
    <t>11:35</t>
  </si>
  <si>
    <t>564:36</t>
  </si>
  <si>
    <t>15:59</t>
  </si>
  <si>
    <t>773:30</t>
  </si>
  <si>
    <t>10:49</t>
  </si>
  <si>
    <t>19:02</t>
  </si>
  <si>
    <t>882:04</t>
  </si>
  <si>
    <t>262:37</t>
  </si>
  <si>
    <t>9:41</t>
  </si>
  <si>
    <t>257:46</t>
  </si>
  <si>
    <t>10:36</t>
  </si>
  <si>
    <t>229:47</t>
  </si>
  <si>
    <t>9:59</t>
  </si>
  <si>
    <t>71:59</t>
  </si>
  <si>
    <t>56:17</t>
  </si>
  <si>
    <t>345:20</t>
  </si>
  <si>
    <t>291:41</t>
  </si>
  <si>
    <t>18:24</t>
  </si>
  <si>
    <t>58:18</t>
  </si>
  <si>
    <t>Tobias Bjrnfot</t>
  </si>
  <si>
    <t>120:01</t>
  </si>
  <si>
    <t>30:00</t>
  </si>
  <si>
    <t>51:29</t>
  </si>
  <si>
    <t>1094:29</t>
  </si>
  <si>
    <t>54:43</t>
  </si>
  <si>
    <t>22:32</t>
  </si>
  <si>
    <t>737:58</t>
  </si>
  <si>
    <t>20:52</t>
  </si>
  <si>
    <t>22:55</t>
  </si>
  <si>
    <t>13:10</t>
  </si>
  <si>
    <t>520:11</t>
  </si>
  <si>
    <t>58:28</t>
  </si>
  <si>
    <t>58:59</t>
  </si>
  <si>
    <t>James Reimer</t>
  </si>
  <si>
    <t>24:03</t>
  </si>
  <si>
    <t>24:26</t>
  </si>
  <si>
    <t>802:50</t>
  </si>
  <si>
    <t>855:46</t>
  </si>
  <si>
    <t>1129:53</t>
  </si>
  <si>
    <t>23:04</t>
  </si>
  <si>
    <t>1056:28</t>
  </si>
  <si>
    <t>22:58</t>
  </si>
  <si>
    <t>21:23</t>
  </si>
  <si>
    <t>12:52</t>
  </si>
  <si>
    <t>516:32</t>
  </si>
  <si>
    <t>236:48</t>
  </si>
  <si>
    <t>15:02</t>
  </si>
  <si>
    <t>524:14</t>
  </si>
  <si>
    <t>10:55</t>
  </si>
  <si>
    <t>185:03</t>
  </si>
  <si>
    <t>162:17</t>
  </si>
  <si>
    <t>Alex Barr-Boulet</t>
  </si>
  <si>
    <t>3:46</t>
  </si>
  <si>
    <t>58:56</t>
  </si>
  <si>
    <t>54:12</t>
  </si>
  <si>
    <t>7:45</t>
  </si>
  <si>
    <t>21:30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</si>
  <si>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</si>
  <si>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</si>
  <si>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</si>
  <si>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</si>
  <si>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</si>
  <si>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</si>
  <si>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</si>
  <si>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</si>
  <si>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Matthew Tkachuk</t>
  </si>
  <si>
    <t>1006:00</t>
  </si>
  <si>
    <t>1198:13</t>
  </si>
  <si>
    <t>18:07</t>
  </si>
  <si>
    <t>22:24</t>
  </si>
  <si>
    <t>658:22</t>
  </si>
  <si>
    <t>23:03</t>
  </si>
  <si>
    <t>19:24</t>
  </si>
  <si>
    <t>19:38</t>
  </si>
  <si>
    <t>542:32</t>
  </si>
  <si>
    <t>667:48</t>
  </si>
  <si>
    <t>794:24</t>
  </si>
  <si>
    <t>546:19</t>
  </si>
  <si>
    <t>10:33</t>
  </si>
  <si>
    <t>413:14</t>
  </si>
  <si>
    <t>297:34</t>
  </si>
  <si>
    <t>249:54</t>
  </si>
  <si>
    <t>11:41</t>
  </si>
  <si>
    <t>419:36</t>
  </si>
  <si>
    <t>223:48</t>
  </si>
  <si>
    <t>7:42</t>
  </si>
  <si>
    <t>756:06</t>
  </si>
  <si>
    <t>50:24</t>
  </si>
  <si>
    <t>996:09</t>
  </si>
  <si>
    <t>55:21</t>
  </si>
  <si>
    <t>101:11</t>
  </si>
  <si>
    <t>981:14</t>
  </si>
  <si>
    <t>17:03</t>
  </si>
  <si>
    <t>812:45</t>
  </si>
  <si>
    <t>932:22</t>
  </si>
  <si>
    <t>796:41</t>
  </si>
  <si>
    <t>19:30</t>
  </si>
  <si>
    <t>525:06</t>
  </si>
  <si>
    <t>621:09</t>
  </si>
  <si>
    <t>16:58</t>
  </si>
  <si>
    <t>368:33</t>
  </si>
  <si>
    <t>1083:44</t>
  </si>
  <si>
    <t>16:49</t>
  </si>
  <si>
    <t>999:48</t>
  </si>
  <si>
    <t>360:46</t>
  </si>
  <si>
    <t>16:51</t>
  </si>
  <si>
    <t>8:54</t>
  </si>
  <si>
    <t>58:38</t>
  </si>
  <si>
    <t>294:06</t>
  </si>
  <si>
    <t>55:53</t>
  </si>
  <si>
    <t>57:57</t>
  </si>
  <si>
    <t>1738:44</t>
  </si>
  <si>
    <t>Martin Pospisil</t>
  </si>
  <si>
    <t>19:35</t>
  </si>
  <si>
    <t>13:32</t>
  </si>
  <si>
    <t>792:40</t>
  </si>
  <si>
    <t>15:56</t>
  </si>
  <si>
    <t>848:37</t>
  </si>
  <si>
    <t>792:38</t>
  </si>
  <si>
    <t>585:50</t>
  </si>
  <si>
    <t>445:41</t>
  </si>
  <si>
    <t>536:21</t>
  </si>
  <si>
    <t>335:54</t>
  </si>
  <si>
    <t>409:03</t>
  </si>
  <si>
    <t>565:19</t>
  </si>
  <si>
    <t>200:39</t>
  </si>
  <si>
    <t>8:22</t>
  </si>
  <si>
    <t>358:15</t>
  </si>
  <si>
    <t>1339:02</t>
  </si>
  <si>
    <t>58:13</t>
  </si>
  <si>
    <t>215:25</t>
  </si>
  <si>
    <t>1322:20</t>
  </si>
  <si>
    <t>57:30</t>
  </si>
  <si>
    <t>1263:17</t>
  </si>
  <si>
    <t>29:55</t>
  </si>
  <si>
    <t>1179:49</t>
  </si>
  <si>
    <t>19:36</t>
  </si>
  <si>
    <t>21:43</t>
  </si>
  <si>
    <t>23:41</t>
  </si>
  <si>
    <t>22:18</t>
  </si>
  <si>
    <t>688:12</t>
  </si>
  <si>
    <t>13:18</t>
  </si>
  <si>
    <t>16:12</t>
  </si>
  <si>
    <t>418:36</t>
  </si>
  <si>
    <t>630:43</t>
  </si>
  <si>
    <t>455:14</t>
  </si>
  <si>
    <t>330:26</t>
  </si>
  <si>
    <t>13:35</t>
  </si>
  <si>
    <t>453:13</t>
  </si>
  <si>
    <t>7:15</t>
  </si>
  <si>
    <t>1316:06</t>
  </si>
  <si>
    <t>57:13</t>
  </si>
  <si>
    <t>Jonas Rndbjerg</t>
  </si>
  <si>
    <t>59:44</t>
  </si>
  <si>
    <t>939:03</t>
  </si>
  <si>
    <t>55:14</t>
  </si>
  <si>
    <t>927:22</t>
  </si>
  <si>
    <t>57:58</t>
  </si>
  <si>
    <t>759:33</t>
  </si>
  <si>
    <t>1029:04</t>
  </si>
  <si>
    <t>27:47</t>
  </si>
  <si>
    <t>980:43</t>
  </si>
  <si>
    <t>880:07</t>
  </si>
  <si>
    <t>867:57</t>
  </si>
  <si>
    <t>837:17</t>
  </si>
  <si>
    <t>24:04</t>
  </si>
  <si>
    <t>861:03</t>
  </si>
  <si>
    <t>23:44</t>
  </si>
  <si>
    <t>730:46</t>
  </si>
  <si>
    <t>543:52</t>
  </si>
  <si>
    <t>856:29</t>
  </si>
  <si>
    <t>999:53</t>
  </si>
  <si>
    <t>953:13</t>
  </si>
  <si>
    <t>781:40</t>
  </si>
  <si>
    <t>867:46</t>
  </si>
  <si>
    <t>833:48</t>
  </si>
  <si>
    <t>883:37</t>
  </si>
  <si>
    <t>721:26</t>
  </si>
  <si>
    <t>23:00</t>
  </si>
  <si>
    <t>487:55</t>
  </si>
  <si>
    <t>1100:45</t>
  </si>
  <si>
    <t>1164:30</t>
  </si>
  <si>
    <t>897:03</t>
  </si>
  <si>
    <t>606:27</t>
  </si>
  <si>
    <t>536:10</t>
  </si>
  <si>
    <t>470:03</t>
  </si>
  <si>
    <t>11:33</t>
  </si>
  <si>
    <t>561:13</t>
  </si>
  <si>
    <t>346:12</t>
  </si>
  <si>
    <t>252:00</t>
  </si>
  <si>
    <t>16:00</t>
  </si>
  <si>
    <t>446:57</t>
  </si>
  <si>
    <t>289:05</t>
  </si>
  <si>
    <t>456:40</t>
  </si>
  <si>
    <t>282:51</t>
  </si>
  <si>
    <t>254:16</t>
  </si>
  <si>
    <t>102:35</t>
  </si>
  <si>
    <t>334:33</t>
  </si>
  <si>
    <t>318:32</t>
  </si>
  <si>
    <t>235:33</t>
  </si>
  <si>
    <t>58:57</t>
  </si>
  <si>
    <t>1397:52</t>
  </si>
  <si>
    <t>60:47</t>
  </si>
  <si>
    <t>1949:48</t>
  </si>
  <si>
    <t>575:44</t>
  </si>
  <si>
    <t>1002:10</t>
  </si>
  <si>
    <t>1267:26</t>
  </si>
  <si>
    <t>Isaiah George</t>
  </si>
  <si>
    <t>2078:25</t>
  </si>
  <si>
    <t>59:23</t>
  </si>
  <si>
    <t>1534:56</t>
  </si>
  <si>
    <t>54:49</t>
  </si>
  <si>
    <t>1091:03</t>
  </si>
  <si>
    <t>57:25</t>
  </si>
  <si>
    <t>1898:47</t>
  </si>
  <si>
    <t>Simon Lundmark</t>
  </si>
  <si>
    <t>1231:56</t>
  </si>
  <si>
    <t>998:33</t>
  </si>
  <si>
    <t>25:02</t>
  </si>
  <si>
    <t>945:14</t>
  </si>
  <si>
    <t>979:48</t>
  </si>
  <si>
    <t>1017:58</t>
  </si>
  <si>
    <t>758:12</t>
  </si>
  <si>
    <t>1089:18</t>
  </si>
  <si>
    <t>912:53</t>
  </si>
  <si>
    <t>844:52</t>
  </si>
  <si>
    <t>691:08</t>
  </si>
  <si>
    <t>951:43</t>
  </si>
  <si>
    <t>479:04</t>
  </si>
  <si>
    <t>1083:33</t>
  </si>
  <si>
    <t>795:18</t>
  </si>
  <si>
    <t>840:52</t>
  </si>
  <si>
    <t>742:51</t>
  </si>
  <si>
    <t>590:52</t>
  </si>
  <si>
    <t>717:52</t>
  </si>
  <si>
    <t>881:37</t>
  </si>
  <si>
    <t>768:09</t>
  </si>
  <si>
    <t>723:09</t>
  </si>
  <si>
    <t>980:32</t>
  </si>
  <si>
    <t>408:13</t>
  </si>
  <si>
    <t>693:48</t>
  </si>
  <si>
    <t>967:53</t>
  </si>
  <si>
    <t>1208:03</t>
  </si>
  <si>
    <t>23:14</t>
  </si>
  <si>
    <t>1042:41</t>
  </si>
  <si>
    <t>579:15</t>
  </si>
  <si>
    <t>470:20</t>
  </si>
  <si>
    <t>171:38</t>
  </si>
  <si>
    <t>1109:15</t>
  </si>
  <si>
    <t>540:29</t>
  </si>
  <si>
    <t>546:24</t>
  </si>
  <si>
    <t>501:48</t>
  </si>
  <si>
    <t>176:11</t>
  </si>
  <si>
    <t>8:23</t>
  </si>
  <si>
    <t>649:58</t>
  </si>
  <si>
    <t>977:23</t>
  </si>
  <si>
    <t>95:19</t>
  </si>
  <si>
    <t>265:42</t>
  </si>
  <si>
    <t>266:02</t>
  </si>
  <si>
    <t>958:48</t>
  </si>
  <si>
    <t>409:56</t>
  </si>
  <si>
    <t>716:05</t>
  </si>
  <si>
    <t>1743:43</t>
  </si>
  <si>
    <t>58:07</t>
  </si>
  <si>
    <t>103:00</t>
  </si>
  <si>
    <t>235:31</t>
  </si>
  <si>
    <t>219:35</t>
  </si>
  <si>
    <t>1585:26</t>
  </si>
  <si>
    <t>1999:02</t>
  </si>
  <si>
    <t>458:57</t>
  </si>
  <si>
    <t>39:27</t>
  </si>
  <si>
    <t>30:34</t>
  </si>
  <si>
    <t>1967:07</t>
  </si>
  <si>
    <t>650:28</t>
  </si>
  <si>
    <t>77:25</t>
  </si>
  <si>
    <t>38:43</t>
  </si>
  <si>
    <t>995:36</t>
  </si>
  <si>
    <t>2179:43</t>
  </si>
  <si>
    <t>1243:28</t>
  </si>
  <si>
    <t>951:41</t>
  </si>
  <si>
    <t>1075:35</t>
  </si>
  <si>
    <t>1125:54</t>
  </si>
  <si>
    <t>985:08</t>
  </si>
  <si>
    <t>1211:10</t>
  </si>
  <si>
    <t>1009:20</t>
  </si>
  <si>
    <t>1085:31</t>
  </si>
  <si>
    <t>961:48</t>
  </si>
  <si>
    <t>1088:58</t>
  </si>
  <si>
    <t>1106:50</t>
  </si>
  <si>
    <t>966:44</t>
  </si>
  <si>
    <t>1063:22</t>
  </si>
  <si>
    <t>1087:20</t>
  </si>
  <si>
    <t>1333:53</t>
  </si>
  <si>
    <t>24:42</t>
  </si>
  <si>
    <t>1040:21</t>
  </si>
  <si>
    <t>985:54</t>
  </si>
  <si>
    <t>1048:24</t>
  </si>
  <si>
    <t>975:01</t>
  </si>
  <si>
    <t>975:32</t>
  </si>
  <si>
    <t>1263:43</t>
  </si>
  <si>
    <t>1042:57</t>
  </si>
  <si>
    <t>705:01</t>
  </si>
  <si>
    <t>1046:13</t>
  </si>
  <si>
    <t>1017:21</t>
  </si>
  <si>
    <t>814:41</t>
  </si>
  <si>
    <t>1109:07</t>
  </si>
  <si>
    <t>836:50</t>
  </si>
  <si>
    <t>916:26</t>
  </si>
  <si>
    <t>892:17</t>
  </si>
  <si>
    <t>1333:18</t>
  </si>
  <si>
    <t>620:10</t>
  </si>
  <si>
    <t>28:11</t>
  </si>
  <si>
    <t>904:51</t>
  </si>
  <si>
    <t>1092:08</t>
  </si>
  <si>
    <t>1045:47</t>
  </si>
  <si>
    <t>869:32</t>
  </si>
  <si>
    <t>899:52</t>
  </si>
  <si>
    <t>910:50</t>
  </si>
  <si>
    <t>973:25</t>
  </si>
  <si>
    <t>953:16</t>
  </si>
  <si>
    <t>957:33</t>
  </si>
  <si>
    <t>1148:19</t>
  </si>
  <si>
    <t>817:36</t>
  </si>
  <si>
    <t>917:22</t>
  </si>
  <si>
    <t>945:55</t>
  </si>
  <si>
    <t>1172:56</t>
  </si>
  <si>
    <t>1275:36</t>
  </si>
  <si>
    <t>968:11</t>
  </si>
  <si>
    <t>969:01</t>
  </si>
  <si>
    <t>1324:50</t>
  </si>
  <si>
    <t>25:59</t>
  </si>
  <si>
    <t>841:46</t>
  </si>
  <si>
    <t>960:08</t>
  </si>
  <si>
    <t>902:22</t>
  </si>
  <si>
    <t>916:29</t>
  </si>
  <si>
    <t>978:12</t>
  </si>
  <si>
    <t>1101:38</t>
  </si>
  <si>
    <t>914:21</t>
  </si>
  <si>
    <t>1216:47</t>
  </si>
  <si>
    <t>851:02</t>
  </si>
  <si>
    <t>918:01</t>
  </si>
  <si>
    <t>769:33</t>
  </si>
  <si>
    <t>1021:32</t>
  </si>
  <si>
    <t>835:16</t>
  </si>
  <si>
    <t>751:54</t>
  </si>
  <si>
    <t>997:04</t>
  </si>
  <si>
    <t>1373:52</t>
  </si>
  <si>
    <t>25:27</t>
  </si>
  <si>
    <t>1291:43</t>
  </si>
  <si>
    <t>24:22</t>
  </si>
  <si>
    <t>684:54</t>
  </si>
  <si>
    <t>915:44</t>
  </si>
  <si>
    <t>839:20</t>
  </si>
  <si>
    <t>832:38</t>
  </si>
  <si>
    <t>937:07</t>
  </si>
  <si>
    <t>706:49</t>
  </si>
  <si>
    <t>781:04</t>
  </si>
  <si>
    <t>1014:16</t>
  </si>
  <si>
    <t>921:15</t>
  </si>
  <si>
    <t>807:27</t>
  </si>
  <si>
    <t>1056:56</t>
  </si>
  <si>
    <t>1299:44</t>
  </si>
  <si>
    <t>876:42</t>
  </si>
  <si>
    <t>934:29</t>
  </si>
  <si>
    <t>887:52</t>
  </si>
  <si>
    <t>863:25</t>
  </si>
  <si>
    <t>1208:54</t>
  </si>
  <si>
    <t>926:47</t>
  </si>
  <si>
    <t>1091:26</t>
  </si>
  <si>
    <t>1344:33</t>
  </si>
  <si>
    <t>24:54</t>
  </si>
  <si>
    <t>1227:16</t>
  </si>
  <si>
    <t>63:57</t>
  </si>
  <si>
    <t>1137:24</t>
  </si>
  <si>
    <t>1300:21</t>
  </si>
  <si>
    <t>955:46</t>
  </si>
  <si>
    <t>666:13</t>
  </si>
  <si>
    <t>812:04</t>
  </si>
  <si>
    <t>1148:37</t>
  </si>
  <si>
    <t>987:14</t>
  </si>
  <si>
    <t>820:46</t>
  </si>
  <si>
    <t>676:06</t>
  </si>
  <si>
    <t>921:01</t>
  </si>
  <si>
    <t>1128:53</t>
  </si>
  <si>
    <t>831:27</t>
  </si>
  <si>
    <t>643:24</t>
  </si>
  <si>
    <t>774:00</t>
  </si>
  <si>
    <t>819:14</t>
  </si>
  <si>
    <t>792:14</t>
  </si>
  <si>
    <t>977:02</t>
  </si>
  <si>
    <t>966:39</t>
  </si>
  <si>
    <t>1006:45</t>
  </si>
  <si>
    <t>757:13</t>
  </si>
  <si>
    <t>798:04</t>
  </si>
  <si>
    <t>705:23</t>
  </si>
  <si>
    <t>900:22</t>
  </si>
  <si>
    <t>796:31</t>
  </si>
  <si>
    <t>889:10</t>
  </si>
  <si>
    <t>519:30</t>
  </si>
  <si>
    <t>605:37</t>
  </si>
  <si>
    <t>851:44</t>
  </si>
  <si>
    <t>1128:15</t>
  </si>
  <si>
    <t>657:40</t>
  </si>
  <si>
    <t>1241:40</t>
  </si>
  <si>
    <t>24:50</t>
  </si>
  <si>
    <t>460:18</t>
  </si>
  <si>
    <t>561:20</t>
  </si>
  <si>
    <t>972:59</t>
  </si>
  <si>
    <t>1169:13</t>
  </si>
  <si>
    <t>969:09</t>
  </si>
  <si>
    <t>1192:19</t>
  </si>
  <si>
    <t>858:34</t>
  </si>
  <si>
    <t>886:06</t>
  </si>
  <si>
    <t>639:35</t>
  </si>
  <si>
    <t>829:45</t>
  </si>
  <si>
    <t>567:35</t>
  </si>
  <si>
    <t>691:53</t>
  </si>
  <si>
    <t>1081:37</t>
  </si>
  <si>
    <t>659:37</t>
  </si>
  <si>
    <t>621:17</t>
  </si>
  <si>
    <t>722:53</t>
  </si>
  <si>
    <t>717:11</t>
  </si>
  <si>
    <t>696:07</t>
  </si>
  <si>
    <t>1093:07</t>
  </si>
  <si>
    <t>827:59</t>
  </si>
  <si>
    <t>886:33</t>
  </si>
  <si>
    <t>808:11</t>
  </si>
  <si>
    <t>735:33</t>
  </si>
  <si>
    <t>709:33</t>
  </si>
  <si>
    <t>662:56</t>
  </si>
  <si>
    <t>839:13</t>
  </si>
  <si>
    <t>1171:45</t>
  </si>
  <si>
    <t>765:36</t>
  </si>
  <si>
    <t>752:59</t>
  </si>
  <si>
    <t>797:25</t>
  </si>
  <si>
    <t>1145:20</t>
  </si>
  <si>
    <t>851:43</t>
  </si>
  <si>
    <t>546:00</t>
  </si>
  <si>
    <t>693:49</t>
  </si>
  <si>
    <t>977:05</t>
  </si>
  <si>
    <t>1258:22</t>
  </si>
  <si>
    <t>742:40</t>
  </si>
  <si>
    <t>617:01</t>
  </si>
  <si>
    <t>680:58</t>
  </si>
  <si>
    <t>640:16</t>
  </si>
  <si>
    <t>723:12</t>
  </si>
  <si>
    <t>1035:54</t>
  </si>
  <si>
    <t>986:51</t>
  </si>
  <si>
    <t>23:30</t>
  </si>
  <si>
    <t>947:38</t>
  </si>
  <si>
    <t>23:07</t>
  </si>
  <si>
    <t>756:35</t>
  </si>
  <si>
    <t>770:50</t>
  </si>
  <si>
    <t>740:05</t>
  </si>
  <si>
    <t>723:07</t>
  </si>
  <si>
    <t>863:23</t>
  </si>
  <si>
    <t>667:07</t>
  </si>
  <si>
    <t>508:10</t>
  </si>
  <si>
    <t>637:46</t>
  </si>
  <si>
    <t>821:25</t>
  </si>
  <si>
    <t>1023:11</t>
  </si>
  <si>
    <t>1168:34</t>
  </si>
  <si>
    <t>880:30</t>
  </si>
  <si>
    <t>661:23</t>
  </si>
  <si>
    <t>812:50</t>
  </si>
  <si>
    <t>851:18</t>
  </si>
  <si>
    <t>713:16</t>
  </si>
  <si>
    <t>650:04</t>
  </si>
  <si>
    <t>789:47</t>
  </si>
  <si>
    <t>615:41</t>
  </si>
  <si>
    <t>757:26</t>
  </si>
  <si>
    <t>1138:47</t>
  </si>
  <si>
    <t>489:59</t>
  </si>
  <si>
    <t>571:06</t>
  </si>
  <si>
    <t>834:19</t>
  </si>
  <si>
    <t>733:29</t>
  </si>
  <si>
    <t>731:40</t>
  </si>
  <si>
    <t>907:24</t>
  </si>
  <si>
    <t>754:53</t>
  </si>
  <si>
    <t>1067:39</t>
  </si>
  <si>
    <t>555:53</t>
  </si>
  <si>
    <t>656:45</t>
  </si>
  <si>
    <t>922:44</t>
  </si>
  <si>
    <t>511:09</t>
  </si>
  <si>
    <t>681:24</t>
  </si>
  <si>
    <t>547:52</t>
  </si>
  <si>
    <t>571:48</t>
  </si>
  <si>
    <t>1122:52</t>
  </si>
  <si>
    <t>653:48</t>
  </si>
  <si>
    <t>607:42</t>
  </si>
  <si>
    <t>636:48</t>
  </si>
  <si>
    <t>880:04</t>
  </si>
  <si>
    <t>742:19</t>
  </si>
  <si>
    <t>1127:26</t>
  </si>
  <si>
    <t>1089:53</t>
  </si>
  <si>
    <t>1122:54</t>
  </si>
  <si>
    <t>843:21</t>
  </si>
  <si>
    <t>1151:07</t>
  </si>
  <si>
    <t>1038:30</t>
  </si>
  <si>
    <t>972:20</t>
  </si>
  <si>
    <t>573:04</t>
  </si>
  <si>
    <t>541:37</t>
  </si>
  <si>
    <t>1153:41</t>
  </si>
  <si>
    <t>808:03</t>
  </si>
  <si>
    <t>681:38</t>
  </si>
  <si>
    <t>586:00</t>
  </si>
  <si>
    <t>714:47</t>
  </si>
  <si>
    <t>751:22</t>
  </si>
  <si>
    <t>1095:31</t>
  </si>
  <si>
    <t>536:07</t>
  </si>
  <si>
    <t>664:53</t>
  </si>
  <si>
    <t>1085:06</t>
  </si>
  <si>
    <t>709:38</t>
  </si>
  <si>
    <t>613:58</t>
  </si>
  <si>
    <t>510:06</t>
  </si>
  <si>
    <t>385:37</t>
  </si>
  <si>
    <t>599:57</t>
  </si>
  <si>
    <t>440:49</t>
  </si>
  <si>
    <t>620:50</t>
  </si>
  <si>
    <t>453:51</t>
  </si>
  <si>
    <t>631:38</t>
  </si>
  <si>
    <t>667:09</t>
  </si>
  <si>
    <t>546:04</t>
  </si>
  <si>
    <t>621:15</t>
  </si>
  <si>
    <t>627:40</t>
  </si>
  <si>
    <t>439:41</t>
  </si>
  <si>
    <t>493:30</t>
  </si>
  <si>
    <t>985:45</t>
  </si>
  <si>
    <t>716:39</t>
  </si>
  <si>
    <t>721:10</t>
  </si>
  <si>
    <t>1091:17</t>
  </si>
  <si>
    <t>573:27</t>
  </si>
  <si>
    <t>959:50</t>
  </si>
  <si>
    <t>590:26</t>
  </si>
  <si>
    <t>646:26</t>
  </si>
  <si>
    <t>1063:14</t>
  </si>
  <si>
    <t>494:09</t>
  </si>
  <si>
    <t>1030:36</t>
  </si>
  <si>
    <t>714:36</t>
  </si>
  <si>
    <t>587:57</t>
  </si>
  <si>
    <t>885:57</t>
  </si>
  <si>
    <t>1132:48</t>
  </si>
  <si>
    <t>577:28</t>
  </si>
  <si>
    <t>547:15</t>
  </si>
  <si>
    <t>1195:59</t>
  </si>
  <si>
    <t>509:50</t>
  </si>
  <si>
    <t>763:34</t>
  </si>
  <si>
    <t>758:32</t>
  </si>
  <si>
    <t>268:52</t>
  </si>
  <si>
    <t>676:04</t>
  </si>
  <si>
    <t>492:22</t>
  </si>
  <si>
    <t>1140:12</t>
  </si>
  <si>
    <t>609:04</t>
  </si>
  <si>
    <t>942:04</t>
  </si>
  <si>
    <t>658:29</t>
  </si>
  <si>
    <t>898:50</t>
  </si>
  <si>
    <t>823:55</t>
  </si>
  <si>
    <t>431:35</t>
  </si>
  <si>
    <t>485:20</t>
  </si>
  <si>
    <t>365:19</t>
  </si>
  <si>
    <t>459:59</t>
  </si>
  <si>
    <t>417:02</t>
  </si>
  <si>
    <t>355:36</t>
  </si>
  <si>
    <t>433:00</t>
  </si>
  <si>
    <t>253:15</t>
  </si>
  <si>
    <t>675:29</t>
  </si>
  <si>
    <t>578:33</t>
  </si>
  <si>
    <t>511:35</t>
  </si>
  <si>
    <t>788:03</t>
  </si>
  <si>
    <t>578:16</t>
  </si>
  <si>
    <t>411:51</t>
  </si>
  <si>
    <t>676:43</t>
  </si>
  <si>
    <t>482:25</t>
  </si>
  <si>
    <t>828:31</t>
  </si>
  <si>
    <t>500:11</t>
  </si>
  <si>
    <t>1120:23</t>
  </si>
  <si>
    <t>773:10</t>
  </si>
  <si>
    <t>691:26</t>
  </si>
  <si>
    <t>676:44</t>
  </si>
  <si>
    <t>822:13</t>
  </si>
  <si>
    <t>376:14</t>
  </si>
  <si>
    <t>1039:44</t>
  </si>
  <si>
    <t>588:43</t>
  </si>
  <si>
    <t>592:48</t>
  </si>
  <si>
    <t>203:56</t>
  </si>
  <si>
    <t>785:18</t>
  </si>
  <si>
    <t>977:18</t>
  </si>
  <si>
    <t>731:41</t>
  </si>
  <si>
    <t>861:47</t>
  </si>
  <si>
    <t>1045:13</t>
  </si>
  <si>
    <t>199:13</t>
  </si>
  <si>
    <t>363:18</t>
  </si>
  <si>
    <t>590:05</t>
  </si>
  <si>
    <t>529:11</t>
  </si>
  <si>
    <t>887:59</t>
  </si>
  <si>
    <t>662:04</t>
  </si>
  <si>
    <t>617:44</t>
  </si>
  <si>
    <t>423:25</t>
  </si>
  <si>
    <t>470:52</t>
  </si>
  <si>
    <t>438:28</t>
  </si>
  <si>
    <t>653:19</t>
  </si>
  <si>
    <t>575:01</t>
  </si>
  <si>
    <t>1052:26</t>
  </si>
  <si>
    <t>535:57</t>
  </si>
  <si>
    <t>1071:31</t>
  </si>
  <si>
    <t>841:47</t>
  </si>
  <si>
    <t>738:42</t>
  </si>
  <si>
    <t>766:46</t>
  </si>
  <si>
    <t>473:34</t>
  </si>
  <si>
    <t>386:25</t>
  </si>
  <si>
    <t>645:18</t>
  </si>
  <si>
    <t>372:46</t>
  </si>
  <si>
    <t>530:43</t>
  </si>
  <si>
    <t>379:09</t>
  </si>
  <si>
    <t>865:19</t>
  </si>
  <si>
    <t>311:15</t>
  </si>
  <si>
    <t>598:26</t>
  </si>
  <si>
    <t>1053:17</t>
  </si>
  <si>
    <t>328:48</t>
  </si>
  <si>
    <t>593:36</t>
  </si>
  <si>
    <t>239:00</t>
  </si>
  <si>
    <t>418:46</t>
  </si>
  <si>
    <t>166:54</t>
  </si>
  <si>
    <t>449:12</t>
  </si>
  <si>
    <t>277:36</t>
  </si>
  <si>
    <t>595:06</t>
  </si>
  <si>
    <t>346:33</t>
  </si>
  <si>
    <t>527:09</t>
  </si>
  <si>
    <t>450:48</t>
  </si>
  <si>
    <t>618:14</t>
  </si>
  <si>
    <t>326:33</t>
  </si>
  <si>
    <t>590:46</t>
  </si>
  <si>
    <t>279:49</t>
  </si>
  <si>
    <t>296:56</t>
  </si>
  <si>
    <t>564:11</t>
  </si>
  <si>
    <t>388:46</t>
  </si>
  <si>
    <t>555:24</t>
  </si>
  <si>
    <t>584:51</t>
  </si>
  <si>
    <t>396:46</t>
  </si>
  <si>
    <t>154:57</t>
  </si>
  <si>
    <t>492:28</t>
  </si>
  <si>
    <t>10:03</t>
  </si>
  <si>
    <t>62:21</t>
  </si>
  <si>
    <t>180:25</t>
  </si>
  <si>
    <t>7:31</t>
  </si>
  <si>
    <t>265:55</t>
  </si>
  <si>
    <t>345:15</t>
  </si>
  <si>
    <t>283:00</t>
  </si>
  <si>
    <t>132:48</t>
  </si>
  <si>
    <t>112:04</t>
  </si>
  <si>
    <t>799:09</t>
  </si>
  <si>
    <t>95:35</t>
  </si>
  <si>
    <t>433:17</t>
  </si>
  <si>
    <t>272:42</t>
  </si>
  <si>
    <t>143:31</t>
  </si>
  <si>
    <t>397:58</t>
  </si>
  <si>
    <t>160:28</t>
  </si>
  <si>
    <t>8:27</t>
  </si>
  <si>
    <t>562:50</t>
  </si>
  <si>
    <t>234:56</t>
  </si>
  <si>
    <t>61:04</t>
  </si>
  <si>
    <t>279:59</t>
  </si>
  <si>
    <t>10:00</t>
  </si>
  <si>
    <t>261:00</t>
  </si>
  <si>
    <t>346:53</t>
  </si>
  <si>
    <t>8:04</t>
  </si>
  <si>
    <t>93:07</t>
  </si>
  <si>
    <t>174:04</t>
  </si>
  <si>
    <t>79:01</t>
  </si>
  <si>
    <t>72:09</t>
  </si>
  <si>
    <t>319:43</t>
  </si>
  <si>
    <t>207:28</t>
  </si>
  <si>
    <t>115:33</t>
  </si>
  <si>
    <t>74:41</t>
  </si>
  <si>
    <t>213:45</t>
  </si>
  <si>
    <t>382:44</t>
  </si>
  <si>
    <t>260:29</t>
  </si>
  <si>
    <t>2347:51</t>
  </si>
  <si>
    <t>58:42</t>
  </si>
  <si>
    <t>94:53</t>
  </si>
  <si>
    <t>540:06</t>
  </si>
  <si>
    <t>1655:30</t>
  </si>
  <si>
    <t>55:11</t>
  </si>
  <si>
    <t>2121:41</t>
  </si>
  <si>
    <t>250:08</t>
  </si>
  <si>
    <t>55:39</t>
  </si>
  <si>
    <t>26:35</t>
  </si>
  <si>
    <t>1934:53</t>
  </si>
  <si>
    <t>1180:36</t>
  </si>
  <si>
    <t>56:13</t>
  </si>
  <si>
    <t>8:00</t>
  </si>
  <si>
    <t>295:00</t>
  </si>
  <si>
    <t>2156:44</t>
  </si>
  <si>
    <t>1626:55</t>
  </si>
  <si>
    <t>56:06</t>
  </si>
  <si>
    <t>2008:05</t>
  </si>
  <si>
    <t>59:04</t>
  </si>
  <si>
    <t>945:50</t>
  </si>
  <si>
    <t>55:38</t>
  </si>
  <si>
    <t>1567:10</t>
  </si>
  <si>
    <t>2245:06</t>
  </si>
  <si>
    <t>819:22</t>
  </si>
  <si>
    <t>1971:15</t>
  </si>
  <si>
    <t>121:09</t>
  </si>
  <si>
    <t>1530:05</t>
  </si>
  <si>
    <t>1752:40</t>
  </si>
  <si>
    <t>54:46</t>
  </si>
  <si>
    <t>146:40</t>
  </si>
  <si>
    <t>1380:18</t>
  </si>
  <si>
    <t>57:31</t>
  </si>
  <si>
    <t>Andreas Englund</t>
  </si>
  <si>
    <t>7:43</t>
  </si>
  <si>
    <t>1344:37</t>
  </si>
  <si>
    <t>1138:04</t>
  </si>
  <si>
    <t>56:54</t>
  </si>
  <si>
    <t>1977:58</t>
  </si>
  <si>
    <t>51:00</t>
  </si>
  <si>
    <t>662:06</t>
  </si>
  <si>
    <t>1293:18</t>
  </si>
  <si>
    <t>56:14</t>
  </si>
  <si>
    <t>482:33</t>
  </si>
  <si>
    <t>53:37</t>
  </si>
  <si>
    <t>266:18</t>
  </si>
  <si>
    <t>1134:32</t>
  </si>
  <si>
    <t>54:02</t>
  </si>
  <si>
    <t>1186:58</t>
  </si>
  <si>
    <t>56:31</t>
  </si>
  <si>
    <t>136:24</t>
  </si>
  <si>
    <t>91:50</t>
  </si>
  <si>
    <t>56:00</t>
  </si>
  <si>
    <t>146:54</t>
  </si>
  <si>
    <t>Josh Samanski</t>
  </si>
  <si>
    <t>2367:53</t>
  </si>
  <si>
    <t>1851:52</t>
  </si>
  <si>
    <t>2117:38</t>
  </si>
  <si>
    <t>370:45</t>
  </si>
  <si>
    <t>52:58</t>
  </si>
  <si>
    <t>1329:18</t>
  </si>
  <si>
    <t>1294:42</t>
  </si>
  <si>
    <t>1128:35</t>
  </si>
  <si>
    <t>1070:01</t>
  </si>
  <si>
    <t>1275:31</t>
  </si>
  <si>
    <t>26:34</t>
  </si>
  <si>
    <t>1280:02</t>
  </si>
  <si>
    <t>25:06</t>
  </si>
  <si>
    <t>1090:47</t>
  </si>
  <si>
    <t>1106:43</t>
  </si>
  <si>
    <t>961:05</t>
  </si>
  <si>
    <t>973:06</t>
  </si>
  <si>
    <t>893:34</t>
  </si>
  <si>
    <t>1081:00</t>
  </si>
  <si>
    <t>902:32</t>
  </si>
  <si>
    <t>1326:49</t>
  </si>
  <si>
    <t>912:58</t>
  </si>
  <si>
    <t>977:27</t>
  </si>
  <si>
    <t>917:27</t>
  </si>
  <si>
    <t>918:37</t>
  </si>
  <si>
    <t>1274:22</t>
  </si>
  <si>
    <t>975:12</t>
  </si>
  <si>
    <t>793:54</t>
  </si>
  <si>
    <t>928:45</t>
  </si>
  <si>
    <t>20:38</t>
  </si>
  <si>
    <t>909:51</t>
  </si>
  <si>
    <t>855:59</t>
  </si>
  <si>
    <t>567:06</t>
  </si>
  <si>
    <t>837:31</t>
  </si>
  <si>
    <t>920:32</t>
  </si>
  <si>
    <t>824:42</t>
  </si>
  <si>
    <t>837:24</t>
  </si>
  <si>
    <t>747:27</t>
  </si>
  <si>
    <t>849:53</t>
  </si>
  <si>
    <t>923:01</t>
  </si>
  <si>
    <t>805:45</t>
  </si>
  <si>
    <t>679:29</t>
  </si>
  <si>
    <t>797:30</t>
  </si>
  <si>
    <t>640:37</t>
  </si>
  <si>
    <t>856:39</t>
  </si>
  <si>
    <t>689:58</t>
  </si>
  <si>
    <t>672:15</t>
  </si>
  <si>
    <t>180:41</t>
  </si>
  <si>
    <t>982:24</t>
  </si>
  <si>
    <t>890:54</t>
  </si>
  <si>
    <t>699:17</t>
  </si>
  <si>
    <t>1251:18</t>
  </si>
  <si>
    <t>696:27</t>
  </si>
  <si>
    <t>834:34</t>
  </si>
  <si>
    <t>1031:52</t>
  </si>
  <si>
    <t>742:43</t>
  </si>
  <si>
    <t>1047:43</t>
  </si>
  <si>
    <t>926:04</t>
  </si>
  <si>
    <t>911:48</t>
  </si>
  <si>
    <t>1077:30</t>
  </si>
  <si>
    <t>823:37</t>
  </si>
  <si>
    <t>627:24</t>
  </si>
  <si>
    <t>1044:34</t>
  </si>
  <si>
    <t>1040:49</t>
  </si>
  <si>
    <t>1299:22</t>
  </si>
  <si>
    <t>1332:23</t>
  </si>
  <si>
    <t>25:37</t>
  </si>
  <si>
    <t>753:28</t>
  </si>
  <si>
    <t>765:26</t>
  </si>
  <si>
    <t>704:51</t>
  </si>
  <si>
    <t>841:25</t>
  </si>
  <si>
    <t>613:04</t>
  </si>
  <si>
    <t>562:14</t>
  </si>
  <si>
    <t>608:52</t>
  </si>
  <si>
    <t>431:01</t>
  </si>
  <si>
    <t>661:51</t>
  </si>
  <si>
    <t>389:31</t>
  </si>
  <si>
    <t>638:59</t>
  </si>
  <si>
    <t>425:46</t>
  </si>
  <si>
    <t>801:55</t>
  </si>
  <si>
    <t>747:09</t>
  </si>
  <si>
    <t>1094:44</t>
  </si>
  <si>
    <t>271:46</t>
  </si>
  <si>
    <t>7:09</t>
  </si>
  <si>
    <t>411:26</t>
  </si>
  <si>
    <t>566:06</t>
  </si>
  <si>
    <t>317:12</t>
  </si>
  <si>
    <t>536:49</t>
  </si>
  <si>
    <t>1106:25</t>
  </si>
  <si>
    <t>476:55</t>
  </si>
  <si>
    <t>309:12</t>
  </si>
  <si>
    <t>808:29</t>
  </si>
  <si>
    <t>903:10</t>
  </si>
  <si>
    <t>989:18</t>
  </si>
  <si>
    <t>465:05</t>
  </si>
  <si>
    <t>409:17</t>
  </si>
  <si>
    <t>229:29</t>
  </si>
  <si>
    <t>399:24</t>
  </si>
  <si>
    <t>330:55</t>
  </si>
  <si>
    <t>248:16</t>
  </si>
  <si>
    <t>179:25</t>
  </si>
  <si>
    <t>290:27</t>
  </si>
  <si>
    <t>130:38</t>
  </si>
  <si>
    <t>1067:50</t>
  </si>
  <si>
    <t>Keaton Middleton</t>
  </si>
  <si>
    <t>10:23</t>
  </si>
  <si>
    <t>138:14</t>
  </si>
  <si>
    <t>201:09</t>
  </si>
  <si>
    <t>1105:00</t>
  </si>
  <si>
    <t>55:15</t>
  </si>
  <si>
    <t>290:39</t>
  </si>
  <si>
    <t>48:27</t>
  </si>
  <si>
    <t>44:19</t>
  </si>
  <si>
    <t>294:59</t>
  </si>
  <si>
    <t>1322:16</t>
  </si>
  <si>
    <t>60:06</t>
  </si>
  <si>
    <t>1690:33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</si>
</sst>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  <xf numFmtId="14" fontId="0" fillId="0" borderId="0" xfId="0" applyNumberFormat="1" applyFont="1" applyFill="1"/>
    <xf numFmtId="164" fontId="0" fillId="0" borderId="0" xfId="0" applyNumberFormat="1" applyFont="1" applyFill="1"/>
    <xf numFmtId="0" fontId="0" fillId="0" borderId="0" xfId="0" applyNumberFormat="1" applyFont="1" applyFill="1"/>
    <xf numFmtId="0" fontId="0" fillId="0" borderId="0" xfId="0" applyNumberFormat="1" applyFill="1"/>
    <xf numFmtId="9" fontId="0" fillId="0" borderId="0" xfId="1" applyNumberFormat="1" applyFont="1"/>
    <xf numFmtId="0" fontId="0" fillId="0" borderId="0" xfId="0" applyFont="1" applyFill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433" tableType="queryTable" totalsRowShown="0">
  <autoFilter ref="A1:T433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009" tableType="queryTable" totalsRowShown="0">
  <autoFilter ref="A1:AE1009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817" zoomScale="90" zoomScaleNormal="120" workbookViewId="0">
      <selection activeCell="F830" sqref="F830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C811">
        <v>3</v>
      </c>
      <c r="D811" t="s">
        <v>21</v>
      </c>
      <c r="E811">
        <v>4</v>
      </c>
      <c r="F811" t="s">
        <v>60</v>
      </c>
      <c r="G811" t="s">
        <v>21</v>
      </c>
      <c r="H811" t="s">
        <v>18</v>
      </c>
      <c r="I811">
        <v>4</v>
      </c>
      <c r="J811">
        <v>3</v>
      </c>
    </row>
    <row r="812" spans="1:10" x14ac:dyDescent="0.2">
      <c r="A812" t="s">
        <v>102</v>
      </c>
      <c r="B812" t="s">
        <v>37</v>
      </c>
      <c r="C812">
        <v>5</v>
      </c>
      <c r="D812" t="s">
        <v>28</v>
      </c>
      <c r="E812">
        <v>8</v>
      </c>
      <c r="F812" t="s">
        <v>60</v>
      </c>
      <c r="G812" t="s">
        <v>28</v>
      </c>
      <c r="H812" t="s">
        <v>37</v>
      </c>
      <c r="I812">
        <v>8</v>
      </c>
      <c r="J812">
        <v>5</v>
      </c>
    </row>
    <row r="813" spans="1:10" x14ac:dyDescent="0.2">
      <c r="A813" t="s">
        <v>102</v>
      </c>
      <c r="B813" t="s">
        <v>22</v>
      </c>
      <c r="C813">
        <v>5</v>
      </c>
      <c r="D813" t="s">
        <v>17</v>
      </c>
      <c r="E813">
        <v>6</v>
      </c>
      <c r="F813" t="s">
        <v>62</v>
      </c>
      <c r="G813" t="s">
        <v>17</v>
      </c>
      <c r="H813" t="s">
        <v>22</v>
      </c>
      <c r="I813">
        <v>6</v>
      </c>
      <c r="J813">
        <v>5</v>
      </c>
    </row>
    <row r="814" spans="1:10" x14ac:dyDescent="0.2">
      <c r="A814" t="s">
        <v>102</v>
      </c>
      <c r="B814" t="s">
        <v>11</v>
      </c>
      <c r="C814">
        <v>4</v>
      </c>
      <c r="D814" t="s">
        <v>34</v>
      </c>
      <c r="E814">
        <v>3</v>
      </c>
      <c r="F814" t="s">
        <v>62</v>
      </c>
      <c r="G814" t="s">
        <v>11</v>
      </c>
      <c r="H814" t="s">
        <v>34</v>
      </c>
      <c r="I814">
        <v>4</v>
      </c>
      <c r="J814">
        <v>3</v>
      </c>
    </row>
    <row r="815" spans="1:10" x14ac:dyDescent="0.2">
      <c r="A815" t="s">
        <v>102</v>
      </c>
      <c r="B815" t="s">
        <v>55</v>
      </c>
      <c r="C815">
        <v>5</v>
      </c>
      <c r="D815" t="s">
        <v>29</v>
      </c>
      <c r="E815">
        <v>2</v>
      </c>
      <c r="F815" t="s">
        <v>60</v>
      </c>
      <c r="G815" t="s">
        <v>55</v>
      </c>
      <c r="H815" t="s">
        <v>29</v>
      </c>
      <c r="I815">
        <v>5</v>
      </c>
      <c r="J815">
        <v>2</v>
      </c>
    </row>
    <row r="816" spans="1:10" x14ac:dyDescent="0.2">
      <c r="A816" t="s">
        <v>102</v>
      </c>
      <c r="B816" t="s">
        <v>23</v>
      </c>
      <c r="C816">
        <v>5</v>
      </c>
      <c r="D816" t="s">
        <v>30</v>
      </c>
      <c r="E816">
        <v>0</v>
      </c>
      <c r="F816" t="s">
        <v>60</v>
      </c>
      <c r="G816" t="s">
        <v>23</v>
      </c>
      <c r="H816" t="s">
        <v>30</v>
      </c>
      <c r="I816">
        <v>5</v>
      </c>
      <c r="J816">
        <v>0</v>
      </c>
    </row>
    <row r="817" spans="1:10" x14ac:dyDescent="0.2">
      <c r="A817" t="s">
        <v>102</v>
      </c>
      <c r="B817" t="s">
        <v>25</v>
      </c>
      <c r="C817">
        <v>4</v>
      </c>
      <c r="D817" t="s">
        <v>36</v>
      </c>
      <c r="E817">
        <v>1</v>
      </c>
      <c r="F817" t="s">
        <v>60</v>
      </c>
      <c r="G817" t="s">
        <v>25</v>
      </c>
      <c r="H817" t="s">
        <v>36</v>
      </c>
      <c r="I817">
        <v>4</v>
      </c>
      <c r="J817">
        <v>1</v>
      </c>
    </row>
    <row r="818" spans="1:10" x14ac:dyDescent="0.2">
      <c r="A818" t="s">
        <v>102</v>
      </c>
      <c r="B818" t="s">
        <v>13</v>
      </c>
      <c r="C818">
        <v>5</v>
      </c>
      <c r="D818" t="s">
        <v>35</v>
      </c>
      <c r="E818">
        <v>4</v>
      </c>
      <c r="F818" t="s">
        <v>61</v>
      </c>
      <c r="G818" t="s">
        <v>13</v>
      </c>
      <c r="H818" t="s">
        <v>35</v>
      </c>
      <c r="I818">
        <v>5</v>
      </c>
      <c r="J818">
        <v>4</v>
      </c>
    </row>
    <row r="819" spans="1:10" x14ac:dyDescent="0.2">
      <c r="A819" t="s">
        <v>102</v>
      </c>
      <c r="B819" t="s">
        <v>26</v>
      </c>
      <c r="C819">
        <v>5</v>
      </c>
      <c r="D819" t="s">
        <v>40</v>
      </c>
      <c r="E819">
        <v>1</v>
      </c>
      <c r="F819" t="s">
        <v>60</v>
      </c>
      <c r="G819" t="s">
        <v>26</v>
      </c>
      <c r="H819" t="s">
        <v>40</v>
      </c>
      <c r="I819">
        <v>5</v>
      </c>
      <c r="J819">
        <v>1</v>
      </c>
    </row>
    <row r="820" spans="1:10" x14ac:dyDescent="0.2">
      <c r="A820" t="s">
        <v>103</v>
      </c>
      <c r="B820" t="s">
        <v>31</v>
      </c>
      <c r="C820">
        <v>4</v>
      </c>
      <c r="D820" t="s">
        <v>16</v>
      </c>
      <c r="E820">
        <v>3</v>
      </c>
      <c r="F820" t="s">
        <v>62</v>
      </c>
      <c r="G820" t="s">
        <v>31</v>
      </c>
      <c r="H820" t="s">
        <v>16</v>
      </c>
      <c r="I820">
        <v>4</v>
      </c>
      <c r="J820">
        <v>3</v>
      </c>
    </row>
    <row r="821" spans="1:10" x14ac:dyDescent="0.2">
      <c r="A821" t="s">
        <v>103</v>
      </c>
      <c r="B821" t="s">
        <v>11</v>
      </c>
      <c r="C821">
        <v>5</v>
      </c>
      <c r="D821" t="s">
        <v>10</v>
      </c>
      <c r="E821">
        <v>1</v>
      </c>
      <c r="F821" t="s">
        <v>60</v>
      </c>
      <c r="G821" t="s">
        <v>11</v>
      </c>
      <c r="H821" t="s">
        <v>10</v>
      </c>
      <c r="I821">
        <v>5</v>
      </c>
      <c r="J821">
        <v>1</v>
      </c>
    </row>
    <row r="822" spans="1:10" x14ac:dyDescent="0.2">
      <c r="A822" t="s">
        <v>103</v>
      </c>
      <c r="B822" t="s">
        <v>20</v>
      </c>
      <c r="C822">
        <v>1</v>
      </c>
      <c r="D822" t="s">
        <v>36</v>
      </c>
      <c r="E822">
        <v>7</v>
      </c>
      <c r="F822" t="s">
        <v>60</v>
      </c>
      <c r="G822" t="s">
        <v>36</v>
      </c>
      <c r="H822" t="s">
        <v>20</v>
      </c>
      <c r="I822">
        <v>7</v>
      </c>
      <c r="J822">
        <v>1</v>
      </c>
    </row>
    <row r="823" spans="1:10" x14ac:dyDescent="0.2">
      <c r="A823" t="s">
        <v>103</v>
      </c>
      <c r="B823" t="s">
        <v>24</v>
      </c>
      <c r="C823">
        <v>2</v>
      </c>
      <c r="D823" t="s">
        <v>32</v>
      </c>
      <c r="E823">
        <v>4</v>
      </c>
      <c r="F823" t="s">
        <v>60</v>
      </c>
      <c r="G823" t="s">
        <v>32</v>
      </c>
      <c r="H823" t="s">
        <v>24</v>
      </c>
      <c r="I823">
        <v>4</v>
      </c>
      <c r="J823">
        <v>2</v>
      </c>
    </row>
    <row r="824" spans="1:10" x14ac:dyDescent="0.2">
      <c r="A824" t="s">
        <v>103</v>
      </c>
      <c r="B824" t="s">
        <v>12</v>
      </c>
      <c r="C824">
        <v>4</v>
      </c>
      <c r="D824" t="s">
        <v>19</v>
      </c>
      <c r="E824">
        <v>1</v>
      </c>
      <c r="F824" t="s">
        <v>60</v>
      </c>
      <c r="G824" t="s">
        <v>12</v>
      </c>
      <c r="H824" t="s">
        <v>19</v>
      </c>
      <c r="I824">
        <v>4</v>
      </c>
      <c r="J824">
        <v>1</v>
      </c>
    </row>
    <row r="825" spans="1:10" x14ac:dyDescent="0.2">
      <c r="A825" t="s">
        <v>103</v>
      </c>
      <c r="B825" t="s">
        <v>14</v>
      </c>
      <c r="C825">
        <v>3</v>
      </c>
      <c r="D825" t="s">
        <v>38</v>
      </c>
      <c r="E825">
        <v>2</v>
      </c>
      <c r="F825" t="s">
        <v>60</v>
      </c>
      <c r="G825" t="s">
        <v>14</v>
      </c>
      <c r="H825" t="s">
        <v>38</v>
      </c>
      <c r="I825">
        <v>3</v>
      </c>
      <c r="J825">
        <v>2</v>
      </c>
    </row>
    <row r="826" spans="1:10" x14ac:dyDescent="0.2">
      <c r="A826" t="s">
        <v>104</v>
      </c>
      <c r="B826" t="s">
        <v>31</v>
      </c>
      <c r="C826">
        <v>4</v>
      </c>
      <c r="D826" t="s">
        <v>17</v>
      </c>
      <c r="E826">
        <v>7</v>
      </c>
      <c r="F826" t="s">
        <v>60</v>
      </c>
      <c r="G826" t="s">
        <v>17</v>
      </c>
      <c r="H826" t="s">
        <v>31</v>
      </c>
      <c r="I826">
        <v>7</v>
      </c>
      <c r="J826">
        <v>4</v>
      </c>
    </row>
    <row r="827" spans="1:10" x14ac:dyDescent="0.2">
      <c r="A827" t="s">
        <v>104</v>
      </c>
      <c r="B827" t="s">
        <v>21</v>
      </c>
      <c r="C827">
        <v>3</v>
      </c>
      <c r="D827" t="s">
        <v>15</v>
      </c>
      <c r="E827">
        <v>4</v>
      </c>
      <c r="F827" t="s">
        <v>62</v>
      </c>
      <c r="G827" t="s">
        <v>15</v>
      </c>
      <c r="H827" t="s">
        <v>21</v>
      </c>
      <c r="I827">
        <v>4</v>
      </c>
      <c r="J827">
        <v>3</v>
      </c>
    </row>
    <row r="828" spans="1:10" x14ac:dyDescent="0.2">
      <c r="A828" t="s">
        <v>104</v>
      </c>
      <c r="B828" t="s">
        <v>30</v>
      </c>
      <c r="C828">
        <v>4</v>
      </c>
      <c r="D828" t="s">
        <v>27</v>
      </c>
      <c r="E828">
        <v>0</v>
      </c>
      <c r="F828" t="s">
        <v>60</v>
      </c>
      <c r="G828" t="s">
        <v>30</v>
      </c>
      <c r="H828" t="s">
        <v>27</v>
      </c>
      <c r="I828">
        <v>4</v>
      </c>
      <c r="J828">
        <v>0</v>
      </c>
    </row>
    <row r="829" spans="1:10" x14ac:dyDescent="0.2">
      <c r="A829" t="s">
        <v>104</v>
      </c>
      <c r="B829" t="s">
        <v>55</v>
      </c>
      <c r="C829">
        <v>0</v>
      </c>
      <c r="D829" t="s">
        <v>37</v>
      </c>
      <c r="E829">
        <v>2</v>
      </c>
      <c r="F829" t="s">
        <v>60</v>
      </c>
      <c r="G829" t="s">
        <v>37</v>
      </c>
      <c r="H829" t="s">
        <v>55</v>
      </c>
      <c r="I829">
        <v>2</v>
      </c>
      <c r="J829">
        <v>0</v>
      </c>
    </row>
    <row r="830" spans="1:10" x14ac:dyDescent="0.2">
      <c r="A830" t="s">
        <v>105</v>
      </c>
      <c r="B830" t="s">
        <v>29</v>
      </c>
      <c r="C830">
        <v>2</v>
      </c>
      <c r="D830" t="s">
        <v>21</v>
      </c>
      <c r="E830">
        <v>3</v>
      </c>
      <c r="F830" t="s">
        <v>62</v>
      </c>
      <c r="G830" t="s">
        <v>21</v>
      </c>
      <c r="H830" t="s">
        <v>29</v>
      </c>
      <c r="I830">
        <v>3</v>
      </c>
      <c r="J830">
        <v>2</v>
      </c>
    </row>
    <row r="831" spans="1:10" x14ac:dyDescent="0.2">
      <c r="A831" t="s">
        <v>105</v>
      </c>
      <c r="B831" t="s">
        <v>13</v>
      </c>
      <c r="C831">
        <v>3</v>
      </c>
      <c r="D831" t="s">
        <v>26</v>
      </c>
      <c r="E831">
        <v>1</v>
      </c>
      <c r="F831" t="s">
        <v>60</v>
      </c>
      <c r="G831" t="s">
        <v>13</v>
      </c>
      <c r="H831" t="s">
        <v>26</v>
      </c>
      <c r="I831">
        <v>3</v>
      </c>
      <c r="J831">
        <v>1</v>
      </c>
    </row>
    <row r="832" spans="1:10" x14ac:dyDescent="0.2">
      <c r="A832" t="s">
        <v>105</v>
      </c>
      <c r="B832" t="s">
        <v>55</v>
      </c>
      <c r="C832">
        <v>4</v>
      </c>
      <c r="D832" t="s">
        <v>11</v>
      </c>
      <c r="E832">
        <v>3</v>
      </c>
      <c r="F832" t="s">
        <v>60</v>
      </c>
      <c r="G832" t="s">
        <v>55</v>
      </c>
      <c r="H832" t="s">
        <v>11</v>
      </c>
      <c r="I832">
        <v>4</v>
      </c>
      <c r="J832">
        <v>3</v>
      </c>
    </row>
    <row r="833" spans="1:10" x14ac:dyDescent="0.2">
      <c r="A833" t="s">
        <v>105</v>
      </c>
      <c r="B833" t="s">
        <v>10</v>
      </c>
      <c r="C833">
        <v>3</v>
      </c>
      <c r="D833" t="s">
        <v>34</v>
      </c>
      <c r="E833">
        <v>4</v>
      </c>
      <c r="F833" t="s">
        <v>61</v>
      </c>
      <c r="G833" t="s">
        <v>34</v>
      </c>
      <c r="H833" t="s">
        <v>10</v>
      </c>
      <c r="I833">
        <v>4</v>
      </c>
      <c r="J833">
        <v>3</v>
      </c>
    </row>
    <row r="834" spans="1:10" x14ac:dyDescent="0.2">
      <c r="A834" t="s">
        <v>105</v>
      </c>
      <c r="B834" t="s">
        <v>20</v>
      </c>
      <c r="C834">
        <v>2</v>
      </c>
      <c r="D834" t="s">
        <v>18</v>
      </c>
      <c r="E834">
        <v>3</v>
      </c>
      <c r="F834" t="s">
        <v>62</v>
      </c>
      <c r="G834" t="s">
        <v>18</v>
      </c>
      <c r="H834" t="s">
        <v>20</v>
      </c>
      <c r="I834">
        <v>3</v>
      </c>
      <c r="J834">
        <v>2</v>
      </c>
    </row>
    <row r="835" spans="1:10" x14ac:dyDescent="0.2">
      <c r="A835" t="s">
        <v>105</v>
      </c>
      <c r="B835" t="s">
        <v>40</v>
      </c>
      <c r="C835">
        <v>4</v>
      </c>
      <c r="D835" t="s">
        <v>24</v>
      </c>
      <c r="E835">
        <v>3</v>
      </c>
      <c r="F835" t="s">
        <v>60</v>
      </c>
      <c r="G835" t="s">
        <v>40</v>
      </c>
      <c r="H835" t="s">
        <v>24</v>
      </c>
      <c r="I835">
        <v>4</v>
      </c>
      <c r="J835">
        <v>3</v>
      </c>
    </row>
    <row r="836" spans="1:10" x14ac:dyDescent="0.2">
      <c r="A836" t="s">
        <v>105</v>
      </c>
      <c r="B836" t="s">
        <v>22</v>
      </c>
      <c r="C836">
        <v>1</v>
      </c>
      <c r="D836" t="s">
        <v>32</v>
      </c>
      <c r="E836">
        <v>5</v>
      </c>
      <c r="F836" t="s">
        <v>60</v>
      </c>
      <c r="G836" t="s">
        <v>32</v>
      </c>
      <c r="H836" t="s">
        <v>22</v>
      </c>
      <c r="I836">
        <v>5</v>
      </c>
      <c r="J836">
        <v>1</v>
      </c>
    </row>
    <row r="837" spans="1:10" x14ac:dyDescent="0.2">
      <c r="A837" t="s">
        <v>105</v>
      </c>
      <c r="B837" t="s">
        <v>39</v>
      </c>
      <c r="C837">
        <v>4</v>
      </c>
      <c r="D837" t="s">
        <v>35</v>
      </c>
      <c r="E837">
        <v>3</v>
      </c>
      <c r="F837" t="s">
        <v>60</v>
      </c>
      <c r="G837" t="s">
        <v>39</v>
      </c>
      <c r="H837" t="s">
        <v>35</v>
      </c>
      <c r="I837">
        <v>4</v>
      </c>
      <c r="J837">
        <v>3</v>
      </c>
    </row>
    <row r="838" spans="1:10" x14ac:dyDescent="0.2">
      <c r="A838" t="s">
        <v>105</v>
      </c>
      <c r="B838" t="s">
        <v>23</v>
      </c>
      <c r="C838">
        <v>7</v>
      </c>
      <c r="D838" t="s">
        <v>19</v>
      </c>
      <c r="E838">
        <v>4</v>
      </c>
      <c r="F838" t="s">
        <v>60</v>
      </c>
      <c r="G838" t="s">
        <v>23</v>
      </c>
      <c r="H838" t="s">
        <v>19</v>
      </c>
      <c r="I838">
        <v>7</v>
      </c>
      <c r="J838">
        <v>4</v>
      </c>
    </row>
    <row r="839" spans="1:10" x14ac:dyDescent="0.2">
      <c r="A839" t="s">
        <v>105</v>
      </c>
      <c r="B839" t="s">
        <v>33</v>
      </c>
      <c r="C839">
        <v>5</v>
      </c>
      <c r="D839" t="s">
        <v>38</v>
      </c>
      <c r="E839">
        <v>2</v>
      </c>
      <c r="F839" t="s">
        <v>60</v>
      </c>
      <c r="G839" t="s">
        <v>33</v>
      </c>
      <c r="H839" t="s">
        <v>38</v>
      </c>
      <c r="I839">
        <v>5</v>
      </c>
      <c r="J839">
        <v>2</v>
      </c>
    </row>
    <row r="840" spans="1:10" x14ac:dyDescent="0.2">
      <c r="A840" t="s">
        <v>106</v>
      </c>
      <c r="B840" t="s">
        <v>27</v>
      </c>
      <c r="C840">
        <v>3</v>
      </c>
      <c r="D840" t="s">
        <v>28</v>
      </c>
      <c r="E840">
        <v>5</v>
      </c>
      <c r="F840" t="s">
        <v>60</v>
      </c>
      <c r="G840" t="s">
        <v>28</v>
      </c>
      <c r="H840" t="s">
        <v>27</v>
      </c>
      <c r="I840">
        <v>5</v>
      </c>
      <c r="J840">
        <v>3</v>
      </c>
    </row>
    <row r="841" spans="1:10" x14ac:dyDescent="0.2">
      <c r="A841" t="s">
        <v>106</v>
      </c>
      <c r="B841" t="s">
        <v>15</v>
      </c>
      <c r="C841">
        <v>2</v>
      </c>
      <c r="D841" t="s">
        <v>30</v>
      </c>
      <c r="E841">
        <v>5</v>
      </c>
      <c r="F841" t="s">
        <v>60</v>
      </c>
      <c r="G841" t="s">
        <v>30</v>
      </c>
      <c r="H841" t="s">
        <v>15</v>
      </c>
      <c r="I841">
        <v>5</v>
      </c>
      <c r="J841">
        <v>2</v>
      </c>
    </row>
    <row r="842" spans="1:10" x14ac:dyDescent="0.2">
      <c r="A842" t="s">
        <v>106</v>
      </c>
      <c r="B842" t="s">
        <v>12</v>
      </c>
      <c r="C842">
        <v>2</v>
      </c>
      <c r="D842" t="s">
        <v>36</v>
      </c>
      <c r="E842">
        <v>5</v>
      </c>
      <c r="F842" t="s">
        <v>60</v>
      </c>
      <c r="G842" t="s">
        <v>36</v>
      </c>
      <c r="H842" t="s">
        <v>12</v>
      </c>
      <c r="I842">
        <v>5</v>
      </c>
      <c r="J842">
        <v>2</v>
      </c>
    </row>
    <row r="843" spans="1:10" x14ac:dyDescent="0.2">
      <c r="A843" t="s">
        <v>107</v>
      </c>
      <c r="B843" t="s">
        <v>27</v>
      </c>
      <c r="D843" t="s">
        <v>21</v>
      </c>
      <c r="F843" t="s">
        <v>60</v>
      </c>
    </row>
    <row r="844" spans="1:10" x14ac:dyDescent="0.2">
      <c r="A844" t="s">
        <v>107</v>
      </c>
      <c r="B844" t="s">
        <v>13</v>
      </c>
      <c r="D844" t="s">
        <v>23</v>
      </c>
      <c r="F844" t="s">
        <v>60</v>
      </c>
    </row>
    <row r="845" spans="1:10" x14ac:dyDescent="0.2">
      <c r="A845" t="s">
        <v>107</v>
      </c>
      <c r="B845" t="s">
        <v>55</v>
      </c>
      <c r="D845" t="s">
        <v>25</v>
      </c>
      <c r="F845" t="s">
        <v>60</v>
      </c>
    </row>
    <row r="846" spans="1:10" x14ac:dyDescent="0.2">
      <c r="A846" t="s">
        <v>107</v>
      </c>
      <c r="B846" t="s">
        <v>22</v>
      </c>
      <c r="D846" t="s">
        <v>26</v>
      </c>
      <c r="F846" t="s">
        <v>60</v>
      </c>
    </row>
    <row r="847" spans="1:10" x14ac:dyDescent="0.2">
      <c r="A847" t="s">
        <v>107</v>
      </c>
      <c r="B847" t="s">
        <v>33</v>
      </c>
      <c r="D847" t="s">
        <v>17</v>
      </c>
      <c r="F847" t="s">
        <v>60</v>
      </c>
    </row>
    <row r="848" spans="1:10" x14ac:dyDescent="0.2">
      <c r="A848" t="s">
        <v>107</v>
      </c>
      <c r="B848" t="s">
        <v>16</v>
      </c>
      <c r="D848" t="s">
        <v>34</v>
      </c>
      <c r="F848" t="s">
        <v>60</v>
      </c>
    </row>
    <row r="849" spans="1:6" x14ac:dyDescent="0.2">
      <c r="A849" t="s">
        <v>107</v>
      </c>
      <c r="B849" t="s">
        <v>12</v>
      </c>
      <c r="D849" t="s">
        <v>18</v>
      </c>
      <c r="F849" t="s">
        <v>60</v>
      </c>
    </row>
    <row r="850" spans="1:6" x14ac:dyDescent="0.2">
      <c r="A850" t="s">
        <v>107</v>
      </c>
      <c r="B850" t="s">
        <v>29</v>
      </c>
      <c r="D850" t="s">
        <v>24</v>
      </c>
      <c r="F850" t="s">
        <v>60</v>
      </c>
    </row>
    <row r="851" spans="1:6" x14ac:dyDescent="0.2">
      <c r="A851" t="s">
        <v>107</v>
      </c>
      <c r="B851" t="s">
        <v>30</v>
      </c>
      <c r="D851" t="s">
        <v>15</v>
      </c>
      <c r="F851" t="s">
        <v>60</v>
      </c>
    </row>
    <row r="852" spans="1:6" x14ac:dyDescent="0.2">
      <c r="A852" t="s">
        <v>107</v>
      </c>
      <c r="B852" t="s">
        <v>10</v>
      </c>
      <c r="D852" t="s">
        <v>14</v>
      </c>
      <c r="F852" t="s">
        <v>60</v>
      </c>
    </row>
    <row r="853" spans="1:6" x14ac:dyDescent="0.2">
      <c r="A853" t="s">
        <v>107</v>
      </c>
      <c r="B853" t="s">
        <v>19</v>
      </c>
      <c r="D853" t="s">
        <v>32</v>
      </c>
      <c r="F853" t="s">
        <v>60</v>
      </c>
    </row>
    <row r="854" spans="1:6" x14ac:dyDescent="0.2">
      <c r="A854" t="s">
        <v>107</v>
      </c>
      <c r="B854" t="s">
        <v>11</v>
      </c>
      <c r="D854" t="s">
        <v>35</v>
      </c>
      <c r="F854" t="s">
        <v>60</v>
      </c>
    </row>
    <row r="855" spans="1:6" x14ac:dyDescent="0.2">
      <c r="A855" t="s">
        <v>107</v>
      </c>
      <c r="B855" t="s">
        <v>40</v>
      </c>
      <c r="D855" t="s">
        <v>37</v>
      </c>
      <c r="F855" t="s">
        <v>60</v>
      </c>
    </row>
    <row r="856" spans="1:6" x14ac:dyDescent="0.2">
      <c r="A856" t="s">
        <v>107</v>
      </c>
      <c r="B856" t="s">
        <v>31</v>
      </c>
      <c r="D856" t="s">
        <v>38</v>
      </c>
      <c r="F856" t="s">
        <v>60</v>
      </c>
    </row>
    <row r="857" spans="1:6" x14ac:dyDescent="0.2">
      <c r="A857" t="s">
        <v>107</v>
      </c>
      <c r="B857" t="s">
        <v>39</v>
      </c>
      <c r="D857" t="s">
        <v>20</v>
      </c>
      <c r="F857" t="s">
        <v>60</v>
      </c>
    </row>
    <row r="858" spans="1:6" x14ac:dyDescent="0.2">
      <c r="A858" t="s">
        <v>108</v>
      </c>
      <c r="B858" t="s">
        <v>28</v>
      </c>
      <c r="D858" t="s">
        <v>10</v>
      </c>
      <c r="F858" t="s">
        <v>60</v>
      </c>
    </row>
    <row r="859" spans="1:6" x14ac:dyDescent="0.2">
      <c r="A859" t="s">
        <v>109</v>
      </c>
      <c r="B859" t="s">
        <v>18</v>
      </c>
      <c r="D859" t="s">
        <v>23</v>
      </c>
      <c r="F859" t="s">
        <v>60</v>
      </c>
    </row>
    <row r="860" spans="1:6" x14ac:dyDescent="0.2">
      <c r="A860" t="s">
        <v>109</v>
      </c>
      <c r="B860" t="s">
        <v>33</v>
      </c>
      <c r="D860" t="s">
        <v>16</v>
      </c>
      <c r="F860" t="s">
        <v>60</v>
      </c>
    </row>
    <row r="861" spans="1:6" x14ac:dyDescent="0.2">
      <c r="A861" t="s">
        <v>109</v>
      </c>
      <c r="B861" t="s">
        <v>12</v>
      </c>
      <c r="D861" t="s">
        <v>26</v>
      </c>
      <c r="F861" t="s">
        <v>60</v>
      </c>
    </row>
    <row r="862" spans="1:6" x14ac:dyDescent="0.2">
      <c r="A862" t="s">
        <v>109</v>
      </c>
      <c r="B862" t="s">
        <v>34</v>
      </c>
      <c r="D862" t="s">
        <v>17</v>
      </c>
      <c r="F862" t="s">
        <v>60</v>
      </c>
    </row>
    <row r="863" spans="1:6" x14ac:dyDescent="0.2">
      <c r="A863" t="s">
        <v>109</v>
      </c>
      <c r="B863" t="s">
        <v>40</v>
      </c>
      <c r="D863" t="s">
        <v>11</v>
      </c>
      <c r="F863" t="s">
        <v>60</v>
      </c>
    </row>
    <row r="864" spans="1:6" x14ac:dyDescent="0.2">
      <c r="A864" t="s">
        <v>109</v>
      </c>
      <c r="B864" t="s">
        <v>29</v>
      </c>
      <c r="D864" t="s">
        <v>30</v>
      </c>
      <c r="F864" t="s">
        <v>60</v>
      </c>
    </row>
    <row r="865" spans="1:6" x14ac:dyDescent="0.2">
      <c r="A865" t="s">
        <v>109</v>
      </c>
      <c r="B865" t="s">
        <v>24</v>
      </c>
      <c r="D865" t="s">
        <v>36</v>
      </c>
      <c r="F865" t="s">
        <v>60</v>
      </c>
    </row>
    <row r="866" spans="1:6" x14ac:dyDescent="0.2">
      <c r="A866" t="s">
        <v>109</v>
      </c>
      <c r="B866" t="s">
        <v>13</v>
      </c>
      <c r="D866" t="s">
        <v>27</v>
      </c>
      <c r="F866" t="s">
        <v>60</v>
      </c>
    </row>
    <row r="867" spans="1:6" x14ac:dyDescent="0.2">
      <c r="A867" t="s">
        <v>109</v>
      </c>
      <c r="B867" t="s">
        <v>15</v>
      </c>
      <c r="D867" t="s">
        <v>14</v>
      </c>
      <c r="F867" t="s">
        <v>60</v>
      </c>
    </row>
    <row r="868" spans="1:6" x14ac:dyDescent="0.2">
      <c r="A868" t="s">
        <v>109</v>
      </c>
      <c r="B868" t="s">
        <v>28</v>
      </c>
      <c r="D868" t="s">
        <v>35</v>
      </c>
      <c r="F868" t="s">
        <v>60</v>
      </c>
    </row>
    <row r="869" spans="1:6" x14ac:dyDescent="0.2">
      <c r="A869" t="s">
        <v>109</v>
      </c>
      <c r="B869" t="s">
        <v>39</v>
      </c>
      <c r="D869" t="s">
        <v>55</v>
      </c>
      <c r="F869" t="s">
        <v>60</v>
      </c>
    </row>
    <row r="870" spans="1:6" x14ac:dyDescent="0.2">
      <c r="A870" t="s">
        <v>109</v>
      </c>
      <c r="B870" t="s">
        <v>19</v>
      </c>
      <c r="D870" t="s">
        <v>38</v>
      </c>
      <c r="F870" t="s">
        <v>60</v>
      </c>
    </row>
    <row r="871" spans="1:6" x14ac:dyDescent="0.2">
      <c r="A871" t="s">
        <v>109</v>
      </c>
      <c r="B871" t="s">
        <v>32</v>
      </c>
      <c r="D871" t="s">
        <v>20</v>
      </c>
      <c r="F871" t="s">
        <v>60</v>
      </c>
    </row>
    <row r="872" spans="1:6" x14ac:dyDescent="0.2">
      <c r="A872" t="s">
        <v>109</v>
      </c>
      <c r="B872" t="s">
        <v>25</v>
      </c>
      <c r="D872" t="s">
        <v>22</v>
      </c>
      <c r="F872" t="s">
        <v>60</v>
      </c>
    </row>
    <row r="873" spans="1:6" x14ac:dyDescent="0.2">
      <c r="A873" t="s">
        <v>110</v>
      </c>
      <c r="B873" t="s">
        <v>20</v>
      </c>
      <c r="D873" t="s">
        <v>31</v>
      </c>
      <c r="F873" t="s">
        <v>60</v>
      </c>
    </row>
    <row r="874" spans="1:6" x14ac:dyDescent="0.2">
      <c r="A874" t="s">
        <v>110</v>
      </c>
      <c r="B874" t="s">
        <v>13</v>
      </c>
      <c r="D874" t="s">
        <v>25</v>
      </c>
      <c r="F874" t="s">
        <v>60</v>
      </c>
    </row>
    <row r="875" spans="1:6" x14ac:dyDescent="0.2">
      <c r="A875" t="s">
        <v>110</v>
      </c>
      <c r="B875" t="s">
        <v>21</v>
      </c>
      <c r="D875" t="s">
        <v>37</v>
      </c>
      <c r="F875" t="s">
        <v>60</v>
      </c>
    </row>
    <row r="876" spans="1:6" x14ac:dyDescent="0.2">
      <c r="A876" t="s">
        <v>111</v>
      </c>
      <c r="B876" t="s">
        <v>19</v>
      </c>
      <c r="D876" t="s">
        <v>16</v>
      </c>
      <c r="F876" t="s">
        <v>60</v>
      </c>
    </row>
    <row r="877" spans="1:6" x14ac:dyDescent="0.2">
      <c r="A877" t="s">
        <v>111</v>
      </c>
      <c r="B877" t="s">
        <v>33</v>
      </c>
      <c r="D877" t="s">
        <v>10</v>
      </c>
      <c r="F877" t="s">
        <v>60</v>
      </c>
    </row>
    <row r="878" spans="1:6" x14ac:dyDescent="0.2">
      <c r="A878" t="s">
        <v>111</v>
      </c>
      <c r="B878" t="s">
        <v>26</v>
      </c>
      <c r="D878" t="s">
        <v>12</v>
      </c>
      <c r="F878" t="s">
        <v>60</v>
      </c>
    </row>
    <row r="879" spans="1:6" x14ac:dyDescent="0.2">
      <c r="A879" t="s">
        <v>111</v>
      </c>
      <c r="B879" t="s">
        <v>40</v>
      </c>
      <c r="D879" t="s">
        <v>39</v>
      </c>
      <c r="F879" t="s">
        <v>60</v>
      </c>
    </row>
    <row r="880" spans="1:6" x14ac:dyDescent="0.2">
      <c r="A880" t="s">
        <v>111</v>
      </c>
      <c r="B880" t="s">
        <v>23</v>
      </c>
      <c r="D880" t="s">
        <v>11</v>
      </c>
      <c r="F880" t="s">
        <v>60</v>
      </c>
    </row>
    <row r="881" spans="1:6" x14ac:dyDescent="0.2">
      <c r="A881" t="s">
        <v>111</v>
      </c>
      <c r="B881" t="s">
        <v>18</v>
      </c>
      <c r="D881" t="s">
        <v>34</v>
      </c>
      <c r="F881" t="s">
        <v>60</v>
      </c>
    </row>
    <row r="882" spans="1:6" x14ac:dyDescent="0.2">
      <c r="A882" t="s">
        <v>111</v>
      </c>
      <c r="B882" t="s">
        <v>35</v>
      </c>
      <c r="D882" t="s">
        <v>29</v>
      </c>
      <c r="F882" t="s">
        <v>60</v>
      </c>
    </row>
    <row r="883" spans="1:6" x14ac:dyDescent="0.2">
      <c r="A883" t="s">
        <v>111</v>
      </c>
      <c r="B883" t="s">
        <v>36</v>
      </c>
      <c r="D883" t="s">
        <v>14</v>
      </c>
      <c r="F883" t="s">
        <v>60</v>
      </c>
    </row>
    <row r="884" spans="1:6" x14ac:dyDescent="0.2">
      <c r="A884" t="s">
        <v>111</v>
      </c>
      <c r="B884" t="s">
        <v>38</v>
      </c>
      <c r="D884" t="s">
        <v>55</v>
      </c>
      <c r="F884" t="s">
        <v>60</v>
      </c>
    </row>
    <row r="885" spans="1:6" x14ac:dyDescent="0.2">
      <c r="A885" t="s">
        <v>111</v>
      </c>
      <c r="B885" t="s">
        <v>30</v>
      </c>
      <c r="D885" t="s">
        <v>22</v>
      </c>
      <c r="F885" t="s">
        <v>60</v>
      </c>
    </row>
    <row r="886" spans="1:6" x14ac:dyDescent="0.2">
      <c r="A886" t="s">
        <v>112</v>
      </c>
      <c r="B886" t="s">
        <v>32</v>
      </c>
      <c r="D886" t="s">
        <v>31</v>
      </c>
      <c r="F886" t="s">
        <v>60</v>
      </c>
    </row>
    <row r="887" spans="1:6" x14ac:dyDescent="0.2">
      <c r="A887" t="s">
        <v>112</v>
      </c>
      <c r="B887" t="s">
        <v>36</v>
      </c>
      <c r="D887" t="s">
        <v>25</v>
      </c>
      <c r="F887" t="s">
        <v>60</v>
      </c>
    </row>
    <row r="888" spans="1:6" x14ac:dyDescent="0.2">
      <c r="A888" t="s">
        <v>112</v>
      </c>
      <c r="B888" t="s">
        <v>19</v>
      </c>
      <c r="D888" t="s">
        <v>17</v>
      </c>
      <c r="F888" t="s">
        <v>60</v>
      </c>
    </row>
    <row r="889" spans="1:6" x14ac:dyDescent="0.2">
      <c r="A889" t="s">
        <v>112</v>
      </c>
      <c r="B889" t="s">
        <v>28</v>
      </c>
      <c r="D889" t="s">
        <v>24</v>
      </c>
      <c r="F889" t="s">
        <v>60</v>
      </c>
    </row>
    <row r="890" spans="1:6" x14ac:dyDescent="0.2">
      <c r="A890" t="s">
        <v>112</v>
      </c>
      <c r="B890" t="s">
        <v>14</v>
      </c>
      <c r="D890" t="s">
        <v>30</v>
      </c>
      <c r="F890" t="s">
        <v>60</v>
      </c>
    </row>
    <row r="891" spans="1:6" x14ac:dyDescent="0.2">
      <c r="A891" t="s">
        <v>112</v>
      </c>
      <c r="B891" t="s">
        <v>22</v>
      </c>
      <c r="D891" t="s">
        <v>27</v>
      </c>
      <c r="F891" t="s">
        <v>60</v>
      </c>
    </row>
    <row r="892" spans="1:6" x14ac:dyDescent="0.2">
      <c r="A892" t="s">
        <v>112</v>
      </c>
      <c r="B892" t="s">
        <v>23</v>
      </c>
      <c r="D892" t="s">
        <v>37</v>
      </c>
      <c r="F892" t="s">
        <v>60</v>
      </c>
    </row>
    <row r="893" spans="1:6" x14ac:dyDescent="0.2">
      <c r="A893" t="s">
        <v>113</v>
      </c>
      <c r="B893" t="s">
        <v>10</v>
      </c>
      <c r="D893" t="s">
        <v>28</v>
      </c>
      <c r="F893" t="s">
        <v>60</v>
      </c>
    </row>
    <row r="894" spans="1:6" x14ac:dyDescent="0.2">
      <c r="A894" t="s">
        <v>113</v>
      </c>
      <c r="B894" t="s">
        <v>17</v>
      </c>
      <c r="D894" t="s">
        <v>16</v>
      </c>
      <c r="F894" t="s">
        <v>60</v>
      </c>
    </row>
    <row r="895" spans="1:6" x14ac:dyDescent="0.2">
      <c r="A895" t="s">
        <v>113</v>
      </c>
      <c r="B895" t="s">
        <v>33</v>
      </c>
      <c r="D895" t="s">
        <v>12</v>
      </c>
      <c r="F895" t="s">
        <v>60</v>
      </c>
    </row>
    <row r="896" spans="1:6" x14ac:dyDescent="0.2">
      <c r="A896" t="s">
        <v>113</v>
      </c>
      <c r="B896" t="s">
        <v>35</v>
      </c>
      <c r="D896" t="s">
        <v>39</v>
      </c>
      <c r="F896" t="s">
        <v>60</v>
      </c>
    </row>
    <row r="897" spans="1:6" x14ac:dyDescent="0.2">
      <c r="A897" t="s">
        <v>113</v>
      </c>
      <c r="B897" t="s">
        <v>21</v>
      </c>
      <c r="D897" t="s">
        <v>11</v>
      </c>
      <c r="F897" t="s">
        <v>60</v>
      </c>
    </row>
    <row r="898" spans="1:6" x14ac:dyDescent="0.2">
      <c r="A898" t="s">
        <v>113</v>
      </c>
      <c r="B898" t="s">
        <v>32</v>
      </c>
      <c r="D898" t="s">
        <v>13</v>
      </c>
      <c r="F898" t="s">
        <v>60</v>
      </c>
    </row>
    <row r="899" spans="1:6" x14ac:dyDescent="0.2">
      <c r="A899" t="s">
        <v>113</v>
      </c>
      <c r="B899" t="s">
        <v>34</v>
      </c>
      <c r="D899" t="s">
        <v>29</v>
      </c>
      <c r="F899" t="s">
        <v>60</v>
      </c>
    </row>
    <row r="900" spans="1:6" x14ac:dyDescent="0.2">
      <c r="A900" t="s">
        <v>113</v>
      </c>
      <c r="B900" t="s">
        <v>26</v>
      </c>
      <c r="D900" t="s">
        <v>55</v>
      </c>
      <c r="F900" t="s">
        <v>60</v>
      </c>
    </row>
    <row r="901" spans="1:6" x14ac:dyDescent="0.2">
      <c r="A901" t="s">
        <v>113</v>
      </c>
      <c r="B901" t="s">
        <v>38</v>
      </c>
      <c r="D901" t="s">
        <v>20</v>
      </c>
      <c r="F901" t="s">
        <v>60</v>
      </c>
    </row>
    <row r="902" spans="1:6" x14ac:dyDescent="0.2">
      <c r="A902" t="s">
        <v>113</v>
      </c>
      <c r="B902" t="s">
        <v>18</v>
      </c>
      <c r="D902" t="s">
        <v>40</v>
      </c>
      <c r="F902" t="s">
        <v>60</v>
      </c>
    </row>
    <row r="903" spans="1:6" x14ac:dyDescent="0.2">
      <c r="A903" t="s">
        <v>114</v>
      </c>
      <c r="B903" t="s">
        <v>14</v>
      </c>
      <c r="D903" t="s">
        <v>23</v>
      </c>
      <c r="F903" t="s">
        <v>60</v>
      </c>
    </row>
    <row r="904" spans="1:6" x14ac:dyDescent="0.2">
      <c r="A904" t="s">
        <v>114</v>
      </c>
      <c r="B904" t="s">
        <v>30</v>
      </c>
      <c r="D904" t="s">
        <v>24</v>
      </c>
      <c r="F904" t="s">
        <v>60</v>
      </c>
    </row>
    <row r="905" spans="1:6" x14ac:dyDescent="0.2">
      <c r="A905" t="s">
        <v>114</v>
      </c>
      <c r="B905" t="s">
        <v>25</v>
      </c>
      <c r="D905" t="s">
        <v>15</v>
      </c>
      <c r="F905" t="s">
        <v>60</v>
      </c>
    </row>
    <row r="906" spans="1:6" x14ac:dyDescent="0.2">
      <c r="A906" t="s">
        <v>114</v>
      </c>
      <c r="B906" t="s">
        <v>36</v>
      </c>
      <c r="D906" t="s">
        <v>27</v>
      </c>
      <c r="F906" t="s">
        <v>60</v>
      </c>
    </row>
    <row r="907" spans="1:6" x14ac:dyDescent="0.2">
      <c r="A907" t="s">
        <v>114</v>
      </c>
      <c r="B907" t="s">
        <v>11</v>
      </c>
      <c r="D907" t="s">
        <v>37</v>
      </c>
      <c r="F907" t="s">
        <v>60</v>
      </c>
    </row>
    <row r="908" spans="1:6" x14ac:dyDescent="0.2">
      <c r="A908" t="s">
        <v>114</v>
      </c>
      <c r="B908" t="s">
        <v>13</v>
      </c>
      <c r="D908" t="s">
        <v>20</v>
      </c>
      <c r="F908" t="s">
        <v>60</v>
      </c>
    </row>
    <row r="909" spans="1:6" x14ac:dyDescent="0.2">
      <c r="A909" t="s">
        <v>114</v>
      </c>
      <c r="B909" t="s">
        <v>29</v>
      </c>
      <c r="D909" t="s">
        <v>22</v>
      </c>
      <c r="F909" t="s">
        <v>60</v>
      </c>
    </row>
    <row r="910" spans="1:6" x14ac:dyDescent="0.2">
      <c r="A910" t="s">
        <v>115</v>
      </c>
      <c r="B910" t="s">
        <v>17</v>
      </c>
      <c r="D910" t="s">
        <v>31</v>
      </c>
      <c r="F910" t="s">
        <v>60</v>
      </c>
    </row>
    <row r="911" spans="1:6" x14ac:dyDescent="0.2">
      <c r="A911" t="s">
        <v>115</v>
      </c>
      <c r="B911" t="s">
        <v>32</v>
      </c>
      <c r="D911" t="s">
        <v>39</v>
      </c>
      <c r="F911" t="s">
        <v>60</v>
      </c>
    </row>
    <row r="912" spans="1:6" x14ac:dyDescent="0.2">
      <c r="A912" t="s">
        <v>115</v>
      </c>
      <c r="B912" t="s">
        <v>20</v>
      </c>
      <c r="D912" t="s">
        <v>13</v>
      </c>
      <c r="F912" t="s">
        <v>60</v>
      </c>
    </row>
    <row r="913" spans="1:6" x14ac:dyDescent="0.2">
      <c r="A913" t="s">
        <v>115</v>
      </c>
      <c r="B913" t="s">
        <v>23</v>
      </c>
      <c r="D913" t="s">
        <v>24</v>
      </c>
      <c r="F913" t="s">
        <v>60</v>
      </c>
    </row>
    <row r="914" spans="1:6" x14ac:dyDescent="0.2">
      <c r="A914" t="s">
        <v>115</v>
      </c>
      <c r="B914" t="s">
        <v>19</v>
      </c>
      <c r="D914" t="s">
        <v>37</v>
      </c>
      <c r="F914" t="s">
        <v>60</v>
      </c>
    </row>
    <row r="915" spans="1:6" x14ac:dyDescent="0.2">
      <c r="A915" t="s">
        <v>115</v>
      </c>
      <c r="B915" t="s">
        <v>12</v>
      </c>
      <c r="D915" t="s">
        <v>55</v>
      </c>
      <c r="F915" t="s">
        <v>60</v>
      </c>
    </row>
    <row r="916" spans="1:6" x14ac:dyDescent="0.2">
      <c r="A916" t="s">
        <v>115</v>
      </c>
      <c r="B916" t="s">
        <v>40</v>
      </c>
      <c r="D916" t="s">
        <v>38</v>
      </c>
      <c r="F916" t="s">
        <v>60</v>
      </c>
    </row>
    <row r="917" spans="1:6" x14ac:dyDescent="0.2">
      <c r="A917" t="s">
        <v>115</v>
      </c>
      <c r="B917" t="s">
        <v>27</v>
      </c>
      <c r="D917" t="s">
        <v>22</v>
      </c>
      <c r="F917" t="s">
        <v>60</v>
      </c>
    </row>
    <row r="918" spans="1:6" x14ac:dyDescent="0.2">
      <c r="A918" t="s">
        <v>116</v>
      </c>
      <c r="B918" t="s">
        <v>28</v>
      </c>
      <c r="D918" t="s">
        <v>21</v>
      </c>
      <c r="F918" t="s">
        <v>60</v>
      </c>
    </row>
    <row r="919" spans="1:6" x14ac:dyDescent="0.2">
      <c r="A919" t="s">
        <v>116</v>
      </c>
      <c r="B919" t="s">
        <v>37</v>
      </c>
      <c r="D919" t="s">
        <v>25</v>
      </c>
      <c r="F919" t="s">
        <v>60</v>
      </c>
    </row>
    <row r="920" spans="1:6" x14ac:dyDescent="0.2">
      <c r="A920" t="s">
        <v>116</v>
      </c>
      <c r="B920" t="s">
        <v>34</v>
      </c>
      <c r="D920" t="s">
        <v>12</v>
      </c>
      <c r="F920" t="s">
        <v>60</v>
      </c>
    </row>
    <row r="921" spans="1:6" x14ac:dyDescent="0.2">
      <c r="A921" t="s">
        <v>116</v>
      </c>
      <c r="B921" t="s">
        <v>19</v>
      </c>
      <c r="D921" t="s">
        <v>11</v>
      </c>
      <c r="F921" t="s">
        <v>60</v>
      </c>
    </row>
    <row r="922" spans="1:6" x14ac:dyDescent="0.2">
      <c r="A922" t="s">
        <v>116</v>
      </c>
      <c r="B922" t="s">
        <v>17</v>
      </c>
      <c r="D922" t="s">
        <v>13</v>
      </c>
      <c r="F922" t="s">
        <v>60</v>
      </c>
    </row>
    <row r="923" spans="1:6" x14ac:dyDescent="0.2">
      <c r="A923" t="s">
        <v>116</v>
      </c>
      <c r="B923" t="s">
        <v>30</v>
      </c>
      <c r="D923" t="s">
        <v>18</v>
      </c>
      <c r="F923" t="s">
        <v>60</v>
      </c>
    </row>
    <row r="924" spans="1:6" x14ac:dyDescent="0.2">
      <c r="A924" t="s">
        <v>116</v>
      </c>
      <c r="B924" t="s">
        <v>10</v>
      </c>
      <c r="D924" t="s">
        <v>29</v>
      </c>
      <c r="F924" t="s">
        <v>60</v>
      </c>
    </row>
    <row r="925" spans="1:6" x14ac:dyDescent="0.2">
      <c r="A925" t="s">
        <v>116</v>
      </c>
      <c r="B925" t="s">
        <v>27</v>
      </c>
      <c r="D925" t="s">
        <v>15</v>
      </c>
      <c r="F925" t="s">
        <v>60</v>
      </c>
    </row>
    <row r="926" spans="1:6" x14ac:dyDescent="0.2">
      <c r="A926" t="s">
        <v>116</v>
      </c>
      <c r="B926" t="s">
        <v>26</v>
      </c>
      <c r="D926" t="s">
        <v>36</v>
      </c>
      <c r="F926" t="s">
        <v>60</v>
      </c>
    </row>
    <row r="927" spans="1:6" x14ac:dyDescent="0.2">
      <c r="A927" t="s">
        <v>116</v>
      </c>
      <c r="B927" t="s">
        <v>24</v>
      </c>
      <c r="D927" t="s">
        <v>14</v>
      </c>
      <c r="F927" t="s">
        <v>60</v>
      </c>
    </row>
    <row r="928" spans="1:6" x14ac:dyDescent="0.2">
      <c r="A928" t="s">
        <v>116</v>
      </c>
      <c r="B928" t="s">
        <v>16</v>
      </c>
      <c r="D928" t="s">
        <v>33</v>
      </c>
      <c r="F928" t="s">
        <v>60</v>
      </c>
    </row>
    <row r="929" spans="1:6" x14ac:dyDescent="0.2">
      <c r="A929" t="s">
        <v>116</v>
      </c>
      <c r="B929" t="s">
        <v>32</v>
      </c>
      <c r="D929" t="s">
        <v>35</v>
      </c>
      <c r="F929" t="s">
        <v>60</v>
      </c>
    </row>
    <row r="930" spans="1:6" x14ac:dyDescent="0.2">
      <c r="A930" t="s">
        <v>117</v>
      </c>
      <c r="B930" t="s">
        <v>40</v>
      </c>
      <c r="D930" t="s">
        <v>31</v>
      </c>
      <c r="F930" t="s">
        <v>60</v>
      </c>
    </row>
    <row r="931" spans="1:6" x14ac:dyDescent="0.2">
      <c r="A931" t="s">
        <v>117</v>
      </c>
      <c r="B931" t="s">
        <v>23</v>
      </c>
      <c r="D931" t="s">
        <v>11</v>
      </c>
      <c r="F931" t="s">
        <v>60</v>
      </c>
    </row>
    <row r="932" spans="1:6" x14ac:dyDescent="0.2">
      <c r="A932" t="s">
        <v>117</v>
      </c>
      <c r="B932" t="s">
        <v>34</v>
      </c>
      <c r="D932" t="s">
        <v>55</v>
      </c>
      <c r="F932" t="s">
        <v>60</v>
      </c>
    </row>
    <row r="933" spans="1:6" x14ac:dyDescent="0.2">
      <c r="A933" t="s">
        <v>117</v>
      </c>
      <c r="B933" t="s">
        <v>20</v>
      </c>
      <c r="D933" t="s">
        <v>22</v>
      </c>
      <c r="F933" t="s">
        <v>60</v>
      </c>
    </row>
    <row r="934" spans="1:6" x14ac:dyDescent="0.2">
      <c r="A934" t="s">
        <v>118</v>
      </c>
      <c r="B934" t="s">
        <v>26</v>
      </c>
      <c r="D934" t="s">
        <v>25</v>
      </c>
      <c r="F934" t="s">
        <v>60</v>
      </c>
    </row>
    <row r="935" spans="1:6" x14ac:dyDescent="0.2">
      <c r="A935" t="s">
        <v>118</v>
      </c>
      <c r="B935" t="s">
        <v>30</v>
      </c>
      <c r="D935" t="s">
        <v>28</v>
      </c>
      <c r="F935" t="s">
        <v>60</v>
      </c>
    </row>
    <row r="936" spans="1:6" x14ac:dyDescent="0.2">
      <c r="A936" t="s">
        <v>118</v>
      </c>
      <c r="B936" t="s">
        <v>10</v>
      </c>
      <c r="D936" t="s">
        <v>12</v>
      </c>
      <c r="F936" t="s">
        <v>60</v>
      </c>
    </row>
    <row r="937" spans="1:6" x14ac:dyDescent="0.2">
      <c r="A937" t="s">
        <v>118</v>
      </c>
      <c r="B937" t="s">
        <v>29</v>
      </c>
      <c r="D937" t="s">
        <v>39</v>
      </c>
      <c r="F937" t="s">
        <v>60</v>
      </c>
    </row>
    <row r="938" spans="1:6" x14ac:dyDescent="0.2">
      <c r="A938" t="s">
        <v>118</v>
      </c>
      <c r="B938" t="s">
        <v>16</v>
      </c>
      <c r="D938" t="s">
        <v>13</v>
      </c>
      <c r="F938" t="s">
        <v>60</v>
      </c>
    </row>
    <row r="939" spans="1:6" x14ac:dyDescent="0.2">
      <c r="A939" t="s">
        <v>118</v>
      </c>
      <c r="B939" t="s">
        <v>22</v>
      </c>
      <c r="D939" t="s">
        <v>18</v>
      </c>
      <c r="F939" t="s">
        <v>60</v>
      </c>
    </row>
    <row r="940" spans="1:6" x14ac:dyDescent="0.2">
      <c r="A940" t="s">
        <v>118</v>
      </c>
      <c r="B940" t="s">
        <v>14</v>
      </c>
      <c r="D940" t="s">
        <v>15</v>
      </c>
      <c r="F940" t="s">
        <v>60</v>
      </c>
    </row>
    <row r="941" spans="1:6" x14ac:dyDescent="0.2">
      <c r="A941" t="s">
        <v>118</v>
      </c>
      <c r="B941" t="s">
        <v>21</v>
      </c>
      <c r="D941" t="s">
        <v>27</v>
      </c>
      <c r="F941" t="s">
        <v>60</v>
      </c>
    </row>
    <row r="942" spans="1:6" x14ac:dyDescent="0.2">
      <c r="A942" t="s">
        <v>118</v>
      </c>
      <c r="B942" t="s">
        <v>38</v>
      </c>
      <c r="D942" t="s">
        <v>32</v>
      </c>
      <c r="F942" t="s">
        <v>60</v>
      </c>
    </row>
    <row r="943" spans="1:6" x14ac:dyDescent="0.2">
      <c r="A943" t="s">
        <v>118</v>
      </c>
      <c r="B943" t="s">
        <v>17</v>
      </c>
      <c r="D943" t="s">
        <v>33</v>
      </c>
      <c r="F943" t="s">
        <v>60</v>
      </c>
    </row>
    <row r="944" spans="1:6" x14ac:dyDescent="0.2">
      <c r="A944" t="s">
        <v>118</v>
      </c>
      <c r="B944" t="s">
        <v>24</v>
      </c>
      <c r="D944" t="s">
        <v>35</v>
      </c>
      <c r="F944" t="s">
        <v>60</v>
      </c>
    </row>
    <row r="945" spans="1:6" x14ac:dyDescent="0.2">
      <c r="A945" t="s">
        <v>118</v>
      </c>
      <c r="B945" t="s">
        <v>23</v>
      </c>
      <c r="D945" t="s">
        <v>37</v>
      </c>
      <c r="F945" t="s">
        <v>60</v>
      </c>
    </row>
    <row r="946" spans="1:6" x14ac:dyDescent="0.2">
      <c r="A946" t="s">
        <v>118</v>
      </c>
      <c r="B946" t="s">
        <v>36</v>
      </c>
      <c r="D946" t="s">
        <v>19</v>
      </c>
      <c r="F946" t="s">
        <v>60</v>
      </c>
    </row>
    <row r="947" spans="1:6" x14ac:dyDescent="0.2">
      <c r="A947" t="s">
        <v>119</v>
      </c>
      <c r="B947" t="s">
        <v>16</v>
      </c>
      <c r="D947" t="s">
        <v>31</v>
      </c>
      <c r="F947" t="s">
        <v>60</v>
      </c>
    </row>
    <row r="948" spans="1:6" x14ac:dyDescent="0.2">
      <c r="A948" t="s">
        <v>119</v>
      </c>
      <c r="B948" t="s">
        <v>35</v>
      </c>
      <c r="D948" t="s">
        <v>34</v>
      </c>
      <c r="F948" t="s">
        <v>60</v>
      </c>
    </row>
    <row r="949" spans="1:6" x14ac:dyDescent="0.2">
      <c r="A949" t="s">
        <v>119</v>
      </c>
      <c r="B949" t="s">
        <v>11</v>
      </c>
      <c r="D949" t="s">
        <v>30</v>
      </c>
      <c r="F949" t="s">
        <v>60</v>
      </c>
    </row>
    <row r="950" spans="1:6" x14ac:dyDescent="0.2">
      <c r="A950" t="s">
        <v>119</v>
      </c>
      <c r="B950" t="s">
        <v>20</v>
      </c>
      <c r="D950" t="s">
        <v>14</v>
      </c>
      <c r="F950" t="s">
        <v>60</v>
      </c>
    </row>
    <row r="951" spans="1:6" x14ac:dyDescent="0.2">
      <c r="A951" t="s">
        <v>119</v>
      </c>
      <c r="B951" t="s">
        <v>40</v>
      </c>
      <c r="D951" t="s">
        <v>33</v>
      </c>
      <c r="F951" t="s">
        <v>60</v>
      </c>
    </row>
    <row r="952" spans="1:6" x14ac:dyDescent="0.2">
      <c r="A952" t="s">
        <v>119</v>
      </c>
      <c r="B952" t="s">
        <v>10</v>
      </c>
      <c r="D952" t="s">
        <v>55</v>
      </c>
      <c r="F952" t="s">
        <v>60</v>
      </c>
    </row>
    <row r="953" spans="1:6" x14ac:dyDescent="0.2">
      <c r="A953" t="s">
        <v>120</v>
      </c>
      <c r="B953" t="s">
        <v>12</v>
      </c>
      <c r="D953" t="s">
        <v>13</v>
      </c>
      <c r="F953" t="s">
        <v>60</v>
      </c>
    </row>
    <row r="954" spans="1:6" x14ac:dyDescent="0.2">
      <c r="A954" t="s">
        <v>120</v>
      </c>
      <c r="B954" t="s">
        <v>26</v>
      </c>
      <c r="D954" t="s">
        <v>29</v>
      </c>
      <c r="F954" t="s">
        <v>60</v>
      </c>
    </row>
    <row r="955" spans="1:6" x14ac:dyDescent="0.2">
      <c r="A955" t="s">
        <v>120</v>
      </c>
      <c r="B955" t="s">
        <v>28</v>
      </c>
      <c r="D955" t="s">
        <v>15</v>
      </c>
      <c r="F955" t="s">
        <v>60</v>
      </c>
    </row>
    <row r="956" spans="1:6" x14ac:dyDescent="0.2">
      <c r="A956" t="s">
        <v>120</v>
      </c>
      <c r="B956" t="s">
        <v>25</v>
      </c>
      <c r="D956" t="s">
        <v>32</v>
      </c>
      <c r="F956" t="s">
        <v>60</v>
      </c>
    </row>
    <row r="957" spans="1:6" x14ac:dyDescent="0.2">
      <c r="A957" t="s">
        <v>120</v>
      </c>
      <c r="B957" t="s">
        <v>27</v>
      </c>
      <c r="D957" t="s">
        <v>19</v>
      </c>
      <c r="F957" t="s">
        <v>60</v>
      </c>
    </row>
    <row r="958" spans="1:6" x14ac:dyDescent="0.2">
      <c r="A958" t="s">
        <v>120</v>
      </c>
      <c r="B958" t="s">
        <v>39</v>
      </c>
      <c r="D958" t="s">
        <v>38</v>
      </c>
      <c r="F958" t="s">
        <v>60</v>
      </c>
    </row>
    <row r="959" spans="1:6" x14ac:dyDescent="0.2">
      <c r="A959" t="s">
        <v>121</v>
      </c>
      <c r="B959" t="s">
        <v>12</v>
      </c>
      <c r="D959" t="s">
        <v>31</v>
      </c>
      <c r="F959" t="s">
        <v>60</v>
      </c>
    </row>
    <row r="960" spans="1:6" x14ac:dyDescent="0.2">
      <c r="A960" t="s">
        <v>121</v>
      </c>
      <c r="B960" t="s">
        <v>14</v>
      </c>
      <c r="D960" t="s">
        <v>21</v>
      </c>
      <c r="F960" t="s">
        <v>60</v>
      </c>
    </row>
    <row r="961" spans="1:6" x14ac:dyDescent="0.2">
      <c r="A961" t="s">
        <v>121</v>
      </c>
      <c r="B961" t="s">
        <v>20</v>
      </c>
      <c r="D961" t="s">
        <v>23</v>
      </c>
      <c r="F961" t="s">
        <v>60</v>
      </c>
    </row>
    <row r="962" spans="1:6" x14ac:dyDescent="0.2">
      <c r="A962" t="s">
        <v>121</v>
      </c>
      <c r="B962" t="s">
        <v>29</v>
      </c>
      <c r="D962" t="s">
        <v>28</v>
      </c>
      <c r="F962" t="s">
        <v>60</v>
      </c>
    </row>
    <row r="963" spans="1:6" x14ac:dyDescent="0.2">
      <c r="A963" t="s">
        <v>121</v>
      </c>
      <c r="B963" t="s">
        <v>39</v>
      </c>
      <c r="D963" t="s">
        <v>16</v>
      </c>
      <c r="F963" t="s">
        <v>60</v>
      </c>
    </row>
    <row r="964" spans="1:6" x14ac:dyDescent="0.2">
      <c r="A964" t="s">
        <v>121</v>
      </c>
      <c r="B964" t="s">
        <v>36</v>
      </c>
      <c r="D964" t="s">
        <v>17</v>
      </c>
      <c r="F964" t="s">
        <v>60</v>
      </c>
    </row>
    <row r="965" spans="1:6" x14ac:dyDescent="0.2">
      <c r="A965" t="s">
        <v>121</v>
      </c>
      <c r="B965" t="s">
        <v>37</v>
      </c>
      <c r="D965" t="s">
        <v>34</v>
      </c>
      <c r="F965" t="s">
        <v>60</v>
      </c>
    </row>
    <row r="966" spans="1:6" x14ac:dyDescent="0.2">
      <c r="A966" t="s">
        <v>121</v>
      </c>
      <c r="B966" t="s">
        <v>11</v>
      </c>
      <c r="D966" t="s">
        <v>24</v>
      </c>
      <c r="F966" t="s">
        <v>60</v>
      </c>
    </row>
    <row r="967" spans="1:6" x14ac:dyDescent="0.2">
      <c r="A967" t="s">
        <v>121</v>
      </c>
      <c r="B967" t="s">
        <v>18</v>
      </c>
      <c r="D967" t="s">
        <v>33</v>
      </c>
      <c r="F967" t="s">
        <v>60</v>
      </c>
    </row>
    <row r="968" spans="1:6" x14ac:dyDescent="0.2">
      <c r="A968" t="s">
        <v>121</v>
      </c>
      <c r="B968" t="s">
        <v>10</v>
      </c>
      <c r="D968" t="s">
        <v>40</v>
      </c>
      <c r="F968" t="s">
        <v>60</v>
      </c>
    </row>
    <row r="969" spans="1:6" x14ac:dyDescent="0.2">
      <c r="A969" t="s">
        <v>121</v>
      </c>
      <c r="B969" t="s">
        <v>55</v>
      </c>
      <c r="D969" t="s">
        <v>22</v>
      </c>
      <c r="F969" t="s">
        <v>60</v>
      </c>
    </row>
    <row r="970" spans="1:6" x14ac:dyDescent="0.2">
      <c r="A970" t="s">
        <v>122</v>
      </c>
      <c r="B970" t="s">
        <v>30</v>
      </c>
      <c r="D970" t="s">
        <v>31</v>
      </c>
      <c r="F970" t="s">
        <v>60</v>
      </c>
    </row>
    <row r="971" spans="1:6" x14ac:dyDescent="0.2">
      <c r="A971" t="s">
        <v>122</v>
      </c>
      <c r="B971" t="s">
        <v>20</v>
      </c>
      <c r="D971" t="s">
        <v>26</v>
      </c>
      <c r="F971" t="s">
        <v>60</v>
      </c>
    </row>
    <row r="972" spans="1:6" x14ac:dyDescent="0.2">
      <c r="A972" t="s">
        <v>122</v>
      </c>
      <c r="B972" t="s">
        <v>19</v>
      </c>
      <c r="D972" t="s">
        <v>24</v>
      </c>
      <c r="F972" t="s">
        <v>60</v>
      </c>
    </row>
    <row r="973" spans="1:6" x14ac:dyDescent="0.2">
      <c r="A973" t="s">
        <v>122</v>
      </c>
      <c r="B973" t="s">
        <v>35</v>
      </c>
      <c r="D973" t="s">
        <v>32</v>
      </c>
      <c r="F973" t="s">
        <v>60</v>
      </c>
    </row>
    <row r="974" spans="1:6" x14ac:dyDescent="0.2">
      <c r="A974" t="s">
        <v>122</v>
      </c>
      <c r="B974" t="s">
        <v>25</v>
      </c>
      <c r="D974" t="s">
        <v>38</v>
      </c>
      <c r="F974" t="s">
        <v>60</v>
      </c>
    </row>
    <row r="975" spans="1:6" x14ac:dyDescent="0.2">
      <c r="A975" t="s">
        <v>123</v>
      </c>
      <c r="B975" t="s">
        <v>11</v>
      </c>
      <c r="D975" t="s">
        <v>28</v>
      </c>
      <c r="F975" t="s">
        <v>60</v>
      </c>
    </row>
    <row r="976" spans="1:6" x14ac:dyDescent="0.2">
      <c r="A976" t="s">
        <v>123</v>
      </c>
      <c r="B976" t="s">
        <v>36</v>
      </c>
      <c r="D976" t="s">
        <v>16</v>
      </c>
      <c r="F976" t="s">
        <v>60</v>
      </c>
    </row>
    <row r="977" spans="1:6" x14ac:dyDescent="0.2">
      <c r="A977" t="s">
        <v>123</v>
      </c>
      <c r="B977" t="s">
        <v>30</v>
      </c>
      <c r="D977" t="s">
        <v>13</v>
      </c>
      <c r="F977" t="s">
        <v>60</v>
      </c>
    </row>
    <row r="978" spans="1:6" x14ac:dyDescent="0.2">
      <c r="A978" t="s">
        <v>123</v>
      </c>
      <c r="B978" t="s">
        <v>21</v>
      </c>
      <c r="D978" t="s">
        <v>29</v>
      </c>
      <c r="F978" t="s">
        <v>60</v>
      </c>
    </row>
    <row r="979" spans="1:6" x14ac:dyDescent="0.2">
      <c r="A979" t="s">
        <v>123</v>
      </c>
      <c r="B979" t="s">
        <v>19</v>
      </c>
      <c r="D979" t="s">
        <v>15</v>
      </c>
      <c r="F979" t="s">
        <v>60</v>
      </c>
    </row>
    <row r="980" spans="1:6" x14ac:dyDescent="0.2">
      <c r="A980" t="s">
        <v>123</v>
      </c>
      <c r="B980" t="s">
        <v>55</v>
      </c>
      <c r="D980" t="s">
        <v>27</v>
      </c>
      <c r="F980" t="s">
        <v>60</v>
      </c>
    </row>
    <row r="981" spans="1:6" x14ac:dyDescent="0.2">
      <c r="A981" t="s">
        <v>123</v>
      </c>
      <c r="B981" t="s">
        <v>23</v>
      </c>
      <c r="D981" t="s">
        <v>14</v>
      </c>
      <c r="F981" t="s">
        <v>60</v>
      </c>
    </row>
    <row r="982" spans="1:6" x14ac:dyDescent="0.2">
      <c r="A982" t="s">
        <v>123</v>
      </c>
      <c r="B982" t="s">
        <v>37</v>
      </c>
      <c r="D982" t="s">
        <v>40</v>
      </c>
      <c r="F982" t="s">
        <v>60</v>
      </c>
    </row>
    <row r="983" spans="1:6" x14ac:dyDescent="0.2">
      <c r="A983" t="s">
        <v>124</v>
      </c>
      <c r="B983" t="s">
        <v>18</v>
      </c>
      <c r="D983" t="s">
        <v>31</v>
      </c>
      <c r="F983" t="s">
        <v>60</v>
      </c>
    </row>
    <row r="984" spans="1:6" x14ac:dyDescent="0.2">
      <c r="A984" t="s">
        <v>124</v>
      </c>
      <c r="B984" t="s">
        <v>38</v>
      </c>
      <c r="D984" t="s">
        <v>10</v>
      </c>
      <c r="F984" t="s">
        <v>60</v>
      </c>
    </row>
    <row r="985" spans="1:6" x14ac:dyDescent="0.2">
      <c r="A985" t="s">
        <v>124</v>
      </c>
      <c r="B985" t="s">
        <v>12</v>
      </c>
      <c r="D985" t="s">
        <v>39</v>
      </c>
      <c r="F985" t="s">
        <v>60</v>
      </c>
    </row>
    <row r="986" spans="1:6" x14ac:dyDescent="0.2">
      <c r="A986" t="s">
        <v>124</v>
      </c>
      <c r="B986" t="s">
        <v>11</v>
      </c>
      <c r="D986" t="s">
        <v>26</v>
      </c>
      <c r="F986" t="s">
        <v>60</v>
      </c>
    </row>
    <row r="987" spans="1:6" x14ac:dyDescent="0.2">
      <c r="A987" t="s">
        <v>124</v>
      </c>
      <c r="B987" t="s">
        <v>25</v>
      </c>
      <c r="D987" t="s">
        <v>17</v>
      </c>
      <c r="F987" t="s">
        <v>60</v>
      </c>
    </row>
    <row r="988" spans="1:6" x14ac:dyDescent="0.2">
      <c r="A988" t="s">
        <v>124</v>
      </c>
      <c r="B988" t="s">
        <v>35</v>
      </c>
      <c r="D988" t="s">
        <v>33</v>
      </c>
      <c r="F988" t="s">
        <v>60</v>
      </c>
    </row>
    <row r="989" spans="1:6" x14ac:dyDescent="0.2">
      <c r="A989" t="s">
        <v>124</v>
      </c>
      <c r="B989" t="s">
        <v>34</v>
      </c>
      <c r="D989" t="s">
        <v>20</v>
      </c>
      <c r="F989" t="s">
        <v>60</v>
      </c>
    </row>
    <row r="990" spans="1:6" x14ac:dyDescent="0.2">
      <c r="A990" t="s">
        <v>125</v>
      </c>
      <c r="B990" t="s">
        <v>22</v>
      </c>
      <c r="D990" t="s">
        <v>21</v>
      </c>
      <c r="F990" t="s">
        <v>60</v>
      </c>
    </row>
    <row r="991" spans="1:6" x14ac:dyDescent="0.2">
      <c r="A991" t="s">
        <v>125</v>
      </c>
      <c r="B991" t="s">
        <v>29</v>
      </c>
      <c r="D991" t="s">
        <v>23</v>
      </c>
      <c r="F991" t="s">
        <v>60</v>
      </c>
    </row>
    <row r="992" spans="1:6" x14ac:dyDescent="0.2">
      <c r="A992" t="s">
        <v>125</v>
      </c>
      <c r="B992" t="s">
        <v>55</v>
      </c>
      <c r="D992" t="s">
        <v>28</v>
      </c>
      <c r="F992" t="s">
        <v>60</v>
      </c>
    </row>
    <row r="993" spans="1:6" x14ac:dyDescent="0.2">
      <c r="A993" t="s">
        <v>125</v>
      </c>
      <c r="B993" t="s">
        <v>25</v>
      </c>
      <c r="D993" t="s">
        <v>16</v>
      </c>
      <c r="F993" t="s">
        <v>60</v>
      </c>
    </row>
    <row r="994" spans="1:6" x14ac:dyDescent="0.2">
      <c r="A994" t="s">
        <v>125</v>
      </c>
      <c r="B994" t="s">
        <v>18</v>
      </c>
      <c r="D994" t="s">
        <v>13</v>
      </c>
      <c r="F994" t="s">
        <v>60</v>
      </c>
    </row>
    <row r="995" spans="1:6" x14ac:dyDescent="0.2">
      <c r="A995" t="s">
        <v>125</v>
      </c>
      <c r="B995" t="s">
        <v>15</v>
      </c>
      <c r="D995" t="s">
        <v>24</v>
      </c>
      <c r="F995" t="s">
        <v>60</v>
      </c>
    </row>
    <row r="996" spans="1:6" x14ac:dyDescent="0.2">
      <c r="A996" t="s">
        <v>125</v>
      </c>
      <c r="B996" t="s">
        <v>27</v>
      </c>
      <c r="D996" t="s">
        <v>14</v>
      </c>
      <c r="F996" t="s">
        <v>60</v>
      </c>
    </row>
    <row r="997" spans="1:6" x14ac:dyDescent="0.2">
      <c r="A997" t="s">
        <v>125</v>
      </c>
      <c r="B997" t="s">
        <v>36</v>
      </c>
      <c r="D997" t="s">
        <v>32</v>
      </c>
      <c r="F997" t="s">
        <v>60</v>
      </c>
    </row>
    <row r="998" spans="1:6" x14ac:dyDescent="0.2">
      <c r="A998" t="s">
        <v>125</v>
      </c>
      <c r="B998" t="s">
        <v>30</v>
      </c>
      <c r="D998" t="s">
        <v>33</v>
      </c>
      <c r="F998" t="s">
        <v>60</v>
      </c>
    </row>
    <row r="999" spans="1:6" x14ac:dyDescent="0.2">
      <c r="A999" t="s">
        <v>125</v>
      </c>
      <c r="B999" t="s">
        <v>37</v>
      </c>
      <c r="D999" t="s">
        <v>19</v>
      </c>
      <c r="F999" t="s">
        <v>60</v>
      </c>
    </row>
    <row r="1000" spans="1:6" x14ac:dyDescent="0.2">
      <c r="A1000" t="s">
        <v>125</v>
      </c>
      <c r="B1000" t="s">
        <v>38</v>
      </c>
      <c r="D1000" t="s">
        <v>40</v>
      </c>
      <c r="F1000" t="s">
        <v>60</v>
      </c>
    </row>
    <row r="1001" spans="1:6" x14ac:dyDescent="0.2">
      <c r="A1001" t="s">
        <v>126</v>
      </c>
      <c r="B1001" t="s">
        <v>35</v>
      </c>
      <c r="D1001" t="s">
        <v>31</v>
      </c>
      <c r="F1001" t="s">
        <v>60</v>
      </c>
    </row>
    <row r="1002" spans="1:6" x14ac:dyDescent="0.2">
      <c r="A1002" t="s">
        <v>126</v>
      </c>
      <c r="B1002" t="s">
        <v>37</v>
      </c>
      <c r="D1002" t="s">
        <v>23</v>
      </c>
      <c r="F1002" t="s">
        <v>60</v>
      </c>
    </row>
    <row r="1003" spans="1:6" x14ac:dyDescent="0.2">
      <c r="A1003" t="s">
        <v>126</v>
      </c>
      <c r="B1003" t="s">
        <v>34</v>
      </c>
      <c r="D1003" t="s">
        <v>12</v>
      </c>
      <c r="F1003" t="s">
        <v>60</v>
      </c>
    </row>
    <row r="1004" spans="1:6" x14ac:dyDescent="0.2">
      <c r="A1004" t="s">
        <v>126</v>
      </c>
      <c r="B1004" t="s">
        <v>10</v>
      </c>
      <c r="D1004" t="s">
        <v>39</v>
      </c>
      <c r="F1004" t="s">
        <v>60</v>
      </c>
    </row>
    <row r="1005" spans="1:6" x14ac:dyDescent="0.2">
      <c r="A1005" t="s">
        <v>126</v>
      </c>
      <c r="B1005" t="s">
        <v>26</v>
      </c>
      <c r="D1005" t="s">
        <v>24</v>
      </c>
      <c r="F1005" t="s">
        <v>60</v>
      </c>
    </row>
    <row r="1006" spans="1:6" x14ac:dyDescent="0.2">
      <c r="A1006" t="s">
        <v>126</v>
      </c>
      <c r="B1006" t="s">
        <v>21</v>
      </c>
      <c r="D1006" t="s">
        <v>14</v>
      </c>
      <c r="F1006" t="s">
        <v>60</v>
      </c>
    </row>
    <row r="1007" spans="1:6" x14ac:dyDescent="0.2">
      <c r="A1007" t="s">
        <v>126</v>
      </c>
      <c r="B1007" t="s">
        <v>17</v>
      </c>
      <c r="D1007" t="s">
        <v>20</v>
      </c>
      <c r="F1007" t="s">
        <v>60</v>
      </c>
    </row>
    <row r="1008" spans="1:6" x14ac:dyDescent="0.2">
      <c r="A1008" t="s">
        <v>127</v>
      </c>
      <c r="B1008" t="s">
        <v>13</v>
      </c>
      <c r="D1008" t="s">
        <v>28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topLeftCell="A2"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0.10813046190310195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5182.9637499028258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0.51451712830731977</v>
      </c>
      <c r="J6">
        <f>(Table3[[#This Row],[HomeMargin]]-Table3[[#This Row],[HomeForecast]])^2</f>
        <v>0.23569361870697142</v>
      </c>
    </row>
    <row r="7" spans="1:10" x14ac:dyDescent="0.2">
      <c r="A7" s="4" t="s">
        <v>31</v>
      </c>
      <c r="B7">
        <v>-0.39000953236289804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-1.4064256690490091</v>
      </c>
      <c r="J7">
        <f>(Table3[[#This Row],[HomeMargin]]-Table3[[#This Row],[HomeForecast]])^2</f>
        <v>2.5394791482658983</v>
      </c>
    </row>
    <row r="8" spans="1:10" x14ac:dyDescent="0.2">
      <c r="A8" s="4" t="s">
        <v>21</v>
      </c>
      <c r="B8">
        <v>-2.9858233272404857E-2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-0.51616445755570228</v>
      </c>
      <c r="J8">
        <f>(Table3[[#This Row],[HomeMargin]]-Table3[[#This Row],[HomeForecast]])^2</f>
        <v>6.1694390019095575</v>
      </c>
    </row>
    <row r="9" spans="1:10" x14ac:dyDescent="0.2">
      <c r="A9" s="4" t="s">
        <v>23</v>
      </c>
      <c r="B9">
        <v>0.12350258496936412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0.76480564961679809</v>
      </c>
      <c r="J9">
        <f>(Table3[[#This Row],[HomeMargin]]-Table3[[#This Row],[HomeForecast]])^2</f>
        <v>3.1145389809193689</v>
      </c>
    </row>
    <row r="10" spans="1:10" x14ac:dyDescent="0.2">
      <c r="A10" s="4" t="s">
        <v>16</v>
      </c>
      <c r="B10">
        <v>-0.77822387693813933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-8.529152857477576E-2</v>
      </c>
      <c r="J10">
        <f>(Table3[[#This Row],[HomeMargin]]-Table3[[#This Row],[HomeForecast]])^2</f>
        <v>9.5190238162952756</v>
      </c>
    </row>
    <row r="11" spans="1:10" x14ac:dyDescent="0.2">
      <c r="A11" s="4" t="s">
        <v>25</v>
      </c>
      <c r="B11">
        <v>0.31465989886768042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0.35935550885409473</v>
      </c>
      <c r="J11">
        <f>(Table3[[#This Row],[HomeMargin]]-Table3[[#This Row],[HomeForecast]])^2</f>
        <v>1.8478473994519748</v>
      </c>
    </row>
    <row r="12" spans="1:10" x14ac:dyDescent="0.2">
      <c r="A12" s="4" t="s">
        <v>10</v>
      </c>
      <c r="B12">
        <v>-0.75050764651940183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1.30042447460804E-2</v>
      </c>
      <c r="J12">
        <f>(Table3[[#This Row],[HomeMargin]]-Table3[[#This Row],[HomeForecast]])^2</f>
        <v>4.0521860893657369</v>
      </c>
    </row>
    <row r="13" spans="1:10" x14ac:dyDescent="0.2">
      <c r="A13" s="4" t="s">
        <v>12</v>
      </c>
      <c r="B13">
        <v>1.1504937678265921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0.82877987515009888</v>
      </c>
      <c r="J13">
        <f>(Table3[[#This Row],[HomeMargin]]-Table3[[#This Row],[HomeForecast]])^2</f>
        <v>2.9316331153615729E-2</v>
      </c>
    </row>
    <row r="14" spans="1:10" x14ac:dyDescent="0.2">
      <c r="A14" s="4" t="s">
        <v>28</v>
      </c>
      <c r="B14">
        <v>-0.36066890819319958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0.85589135527528581</v>
      </c>
      <c r="J14">
        <f>(Table3[[#This Row],[HomeMargin]]-Table3[[#This Row],[HomeForecast]])^2</f>
        <v>23.579680854237257</v>
      </c>
    </row>
    <row r="15" spans="1:10" x14ac:dyDescent="0.2">
      <c r="A15" s="4" t="s">
        <v>39</v>
      </c>
      <c r="B15">
        <v>0.24554986733769732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0.97292380349541507</v>
      </c>
      <c r="J15">
        <f>(Table3[[#This Row],[HomeMargin]]-Table3[[#This Row],[HomeForecast]])^2</f>
        <v>4.1090379064354954</v>
      </c>
    </row>
    <row r="16" spans="1:10" x14ac:dyDescent="0.2">
      <c r="A16" s="4" t="s">
        <v>26</v>
      </c>
      <c r="B16">
        <v>-0.1792260169918948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1.1179992622577273</v>
      </c>
      <c r="J16">
        <f>(Table3[[#This Row],[HomeMargin]]-Table3[[#This Row],[HomeForecast]])^2</f>
        <v>1.3923825893367901E-2</v>
      </c>
    </row>
    <row r="17" spans="1:10" x14ac:dyDescent="0.2">
      <c r="A17" s="4" t="s">
        <v>17</v>
      </c>
      <c r="B17">
        <v>-0.12154868922444324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0.11677610927718481</v>
      </c>
      <c r="J17">
        <f>(Table3[[#This Row],[HomeMargin]]-Table3[[#This Row],[HomeForecast]])^2</f>
        <v>16.947845533915391</v>
      </c>
    </row>
    <row r="18" spans="1:10" x14ac:dyDescent="0.2">
      <c r="A18" s="4" t="s">
        <v>11</v>
      </c>
      <c r="B18">
        <v>-0.34412098011518399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0.16148264583909355</v>
      </c>
      <c r="J18">
        <f>(Table3[[#This Row],[HomeMargin]]-Table3[[#This Row],[HomeForecast]])^2</f>
        <v>0.70311135322900697</v>
      </c>
    </row>
    <row r="19" spans="1:10" x14ac:dyDescent="0.2">
      <c r="A19" s="4" t="s">
        <v>13</v>
      </c>
      <c r="B19">
        <v>-0.36406236312551898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-0.25704085149405359</v>
      </c>
      <c r="J19">
        <f>(Table3[[#This Row],[HomeMargin]]-Table3[[#This Row],[HomeForecast]])^2</f>
        <v>1.5801517023248954</v>
      </c>
    </row>
    <row r="20" spans="1:10" x14ac:dyDescent="0.2">
      <c r="A20" s="4" t="s">
        <v>34</v>
      </c>
      <c r="B20">
        <v>4.6716977502832858E-2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0.17805734739507581</v>
      </c>
      <c r="J20">
        <f>(Table3[[#This Row],[HomeMargin]]-Table3[[#This Row],[HomeForecast]])^2</f>
        <v>0.6755897241712191</v>
      </c>
    </row>
    <row r="21" spans="1:10" x14ac:dyDescent="0.2">
      <c r="A21" s="4" t="s">
        <v>18</v>
      </c>
      <c r="B21">
        <v>-0.18787166436597766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7.1526280680561993E-2</v>
      </c>
      <c r="J21">
        <f>(Table3[[#This Row],[HomeMargin]]-Table3[[#This Row],[HomeForecast]])^2</f>
        <v>3.7190108861057469</v>
      </c>
    </row>
    <row r="22" spans="1:10" x14ac:dyDescent="0.2">
      <c r="A22" s="4" t="s">
        <v>29</v>
      </c>
      <c r="B22">
        <v>-0.72584022159035511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-0.24811627251064994</v>
      </c>
      <c r="J22">
        <f>(Table3[[#This Row],[HomeMargin]]-Table3[[#This Row],[HomeForecast]])^2</f>
        <v>0.56532913966327925</v>
      </c>
    </row>
    <row r="23" spans="1:10" x14ac:dyDescent="0.2">
      <c r="A23" s="4" t="s">
        <v>24</v>
      </c>
      <c r="B23">
        <v>-0.55013344272463272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-1.1748145505314378</v>
      </c>
      <c r="J23">
        <f>(Table3[[#This Row],[HomeMargin]]-Table3[[#This Row],[HomeForecast]])^2</f>
        <v>14.632043722826007</v>
      </c>
    </row>
    <row r="24" spans="1:10" x14ac:dyDescent="0.2">
      <c r="A24" s="4" t="s">
        <v>30</v>
      </c>
      <c r="B24">
        <v>-6.98902744359894E-2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0.98618713852532636</v>
      </c>
      <c r="J24">
        <f>(Table3[[#This Row],[HomeMargin]]-Table3[[#This Row],[HomeForecast]])^2</f>
        <v>3.9449393492434246</v>
      </c>
    </row>
    <row r="25" spans="1:10" x14ac:dyDescent="0.2">
      <c r="A25" s="4" t="s">
        <v>15</v>
      </c>
      <c r="B25">
        <v>-0.62425830840281982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-0.3800881787052599</v>
      </c>
      <c r="J25">
        <f>(Table3[[#This Row],[HomeMargin]]-Table3[[#This Row],[HomeForecast]])^2</f>
        <v>19.185172453233562</v>
      </c>
    </row>
    <row r="26" spans="1:10" x14ac:dyDescent="0.2">
      <c r="A26" s="4" t="s">
        <v>36</v>
      </c>
      <c r="B26">
        <v>-0.179282670690569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-0.5572397723383522</v>
      </c>
      <c r="J26">
        <f>(Table3[[#This Row],[HomeMargin]]-Table3[[#This Row],[HomeForecast]])^2</f>
        <v>0.19603661919899418</v>
      </c>
    </row>
    <row r="27" spans="1:10" x14ac:dyDescent="0.2">
      <c r="A27" s="4" t="s">
        <v>27</v>
      </c>
      <c r="B27">
        <v>-0.39747316405117561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-4.5230356338667024E-2</v>
      </c>
      <c r="J27">
        <f>(Table3[[#This Row],[HomeMargin]]-Table3[[#This Row],[HomeForecast]])^2</f>
        <v>4.1829672104891911</v>
      </c>
    </row>
    <row r="28" spans="1:10" x14ac:dyDescent="0.2">
      <c r="A28" s="4" t="s">
        <v>14</v>
      </c>
      <c r="B28">
        <v>3.6611055984458557E-5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0.82026352482195797</v>
      </c>
      <c r="J28">
        <f>(Table3[[#This Row],[HomeMargin]]-Table3[[#This Row],[HomeForecast]])^2</f>
        <v>3.2305200509426917E-2</v>
      </c>
    </row>
    <row r="29" spans="1:10" x14ac:dyDescent="0.2">
      <c r="A29" s="4" t="s">
        <v>33</v>
      </c>
      <c r="B29">
        <v>-0.46908405058827807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0.56613461989666958</v>
      </c>
      <c r="J29">
        <f>(Table3[[#This Row],[HomeMargin]]-Table3[[#This Row],[HomeForecast]])^2</f>
        <v>6.5850468874322239</v>
      </c>
    </row>
    <row r="30" spans="1:10" x14ac:dyDescent="0.2">
      <c r="A30" s="4" t="s">
        <v>32</v>
      </c>
      <c r="B30">
        <v>-0.42661371358543798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-0.4545055202503222</v>
      </c>
      <c r="J30">
        <f>(Table3[[#This Row],[HomeMargin]]-Table3[[#This Row],[HomeForecast]])^2</f>
        <v>0.29756422743737165</v>
      </c>
    </row>
    <row r="31" spans="1:10" x14ac:dyDescent="0.2">
      <c r="A31" s="4" t="s">
        <v>35</v>
      </c>
      <c r="B31">
        <v>-1.236228034931707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1.0130743623919969</v>
      </c>
      <c r="J31">
        <f>(Table3[[#This Row],[HomeMargin]]-Table3[[#This Row],[HomeForecast]])^2</f>
        <v>4.0524683885199444</v>
      </c>
    </row>
    <row r="32" spans="1:10" x14ac:dyDescent="0.2">
      <c r="A32" s="4" t="s">
        <v>37</v>
      </c>
      <c r="B32">
        <v>0.6987740059316554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0.31019809975506252</v>
      </c>
      <c r="J32">
        <f>(Table3[[#This Row],[HomeMargin]]-Table3[[#This Row],[HomeForecast]])^2</f>
        <v>7.2350342625612756</v>
      </c>
    </row>
    <row r="33" spans="1:10" x14ac:dyDescent="0.2">
      <c r="A33" s="4" t="s">
        <v>19</v>
      </c>
      <c r="B33">
        <v>-0.38129365484385536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1.25302429022516</v>
      </c>
      <c r="J33">
        <f>(Table3[[#This Row],[HomeMargin]]-Table3[[#This Row],[HomeForecast]])^2</f>
        <v>0.55797271099362589</v>
      </c>
    </row>
    <row r="34" spans="1:10" x14ac:dyDescent="0.2">
      <c r="A34" t="s">
        <v>55</v>
      </c>
      <c r="B34">
        <v>0.14062496747196682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-5.6707847521513061E-2</v>
      </c>
      <c r="J34">
        <f>(Table3[[#This Row],[HomeMargin]]-Table3[[#This Row],[HomeForecast]])^2</f>
        <v>16.456878560142627</v>
      </c>
    </row>
    <row r="35" spans="1:10" x14ac:dyDescent="0.2">
      <c r="A35" s="4" t="s">
        <v>38</v>
      </c>
      <c r="B35">
        <v>-1.2664425175465013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0.51551634759913445</v>
      </c>
      <c r="J35">
        <f>(Table3[[#This Row],[HomeMargin]]-Table3[[#This Row],[HomeForecast]])^2</f>
        <v>12.358855190236756</v>
      </c>
    </row>
    <row r="36" spans="1:10" x14ac:dyDescent="0.2">
      <c r="A36" s="4" t="s">
        <v>20</v>
      </c>
      <c r="B36">
        <v>-0.11283731617452618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-0.75833472715922001</v>
      </c>
      <c r="J36">
        <f>(Table3[[#This Row],[HomeMargin]]-Table3[[#This Row],[HomeForecast]])^2</f>
        <v>5.8402104097208633E-2</v>
      </c>
    </row>
    <row r="37" spans="1:10" x14ac:dyDescent="0.2">
      <c r="A37" s="4" t="s">
        <v>22</v>
      </c>
      <c r="B37">
        <v>-0.12498445042942641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0.16322463789653896</v>
      </c>
      <c r="J37">
        <f>(Table3[[#This Row],[HomeMargin]]-Table3[[#This Row],[HomeForecast]])^2</f>
        <v>4.6795408340026112</v>
      </c>
    </row>
    <row r="38" spans="1:10" x14ac:dyDescent="0.2">
      <c r="A38" s="4" t="s">
        <v>40</v>
      </c>
      <c r="B38">
        <v>-0.41982036690375685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0.73242538136190627</v>
      </c>
      <c r="J38">
        <f>(Table3[[#This Row],[HomeMargin]]-Table3[[#This Row],[HomeForecast]])^2</f>
        <v>32.860700752882202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-0.20564593550780985</v>
      </c>
      <c r="J39">
        <f>(Table3[[#This Row],[HomeMargin]]-Table3[[#This Row],[HomeForecast]])^2</f>
        <v>1.4535821218065024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2.9055943677721907E-2</v>
      </c>
      <c r="J40">
        <f>(Table3[[#This Row],[HomeMargin]]-Table3[[#This Row],[HomeForecast]])^2</f>
        <v>1.0589561352184464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1.3570379105593902</v>
      </c>
      <c r="J41">
        <f>(Table3[[#This Row],[HomeMargin]]-Table3[[#This Row],[HomeForecast]])^2</f>
        <v>11.269703532932956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5.2372458124864074E-2</v>
      </c>
      <c r="J42">
        <f>(Table3[[#This Row],[HomeMargin]]-Table3[[#This Row],[HomeForecast]])^2</f>
        <v>0.89799795812031236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-0.39114339607029147</v>
      </c>
      <c r="J43">
        <f>(Table3[[#This Row],[HomeMargin]]-Table3[[#This Row],[HomeForecast]])^2</f>
        <v>0.37070636414881797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-0.62050177730095835</v>
      </c>
      <c r="J44">
        <f>(Table3[[#This Row],[HomeMargin]]-Table3[[#This Row],[HomeForecast]])^2</f>
        <v>0.14401890103173143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-0.91886072095412596</v>
      </c>
      <c r="J45">
        <f>(Table3[[#This Row],[HomeMargin]]-Table3[[#This Row],[HomeForecast]])^2</f>
        <v>1.1688621406958324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0.29759499643453508</v>
      </c>
      <c r="J46">
        <f>(Table3[[#This Row],[HomeMargin]]-Table3[[#This Row],[HomeForecast]])^2</f>
        <v>1.683752774771941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-0.78300215208826673</v>
      </c>
      <c r="J47">
        <f>(Table3[[#This Row],[HomeMargin]]-Table3[[#This Row],[HomeForecast]])^2</f>
        <v>7.7451009785279235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0.5189098025314538</v>
      </c>
      <c r="J48">
        <f>(Table3[[#This Row],[HomeMargin]]-Table3[[#This Row],[HomeForecast]])^2</f>
        <v>0.23144777810032477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0.4580605543708694</v>
      </c>
      <c r="J49">
        <f>(Table3[[#This Row],[HomeMargin]]-Table3[[#This Row],[HomeForecast]])^2</f>
        <v>11.958182797695764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0.65468801280288802</v>
      </c>
      <c r="J50">
        <f>(Table3[[#This Row],[HomeMargin]]-Table3[[#This Row],[HomeForecast]])^2</f>
        <v>13.35674447092512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5.4778277967110323E-2</v>
      </c>
      <c r="J51">
        <f>(Table3[[#This Row],[HomeMargin]]-Table3[[#This Row],[HomeForecast]])^2</f>
        <v>8.6743309919343794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-9.3937175948858614E-2</v>
      </c>
      <c r="J52">
        <f>(Table3[[#This Row],[HomeMargin]]-Table3[[#This Row],[HomeForecast]])^2</f>
        <v>0.82094984112752956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7.7915979288307735E-2</v>
      </c>
      <c r="J53">
        <f>(Table3[[#This Row],[HomeMargin]]-Table3[[#This Row],[HomeForecast]])^2</f>
        <v>9.473566775558302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-0.28191568151578056</v>
      </c>
      <c r="J54">
        <f>(Table3[[#This Row],[HomeMargin]]-Table3[[#This Row],[HomeForecast]])^2</f>
        <v>1.6433078145160682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-0.5572560988605112</v>
      </c>
      <c r="J55">
        <f>(Table3[[#This Row],[HomeMargin]]-Table3[[#This Row],[HomeForecast]])^2</f>
        <v>2.0815099642751913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0.30696335173796641</v>
      </c>
      <c r="J56">
        <f>(Table3[[#This Row],[HomeMargin]]-Table3[[#This Row],[HomeForecast]])^2</f>
        <v>7.252446388882408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0.34687251112256229</v>
      </c>
      <c r="J57">
        <f>(Table3[[#This Row],[HomeMargin]]-Table3[[#This Row],[HomeForecast]])^2</f>
        <v>0.42657551672734745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-0.39457915727527465</v>
      </c>
      <c r="J58">
        <f>(Table3[[#This Row],[HomeMargin]]-Table3[[#This Row],[HomeForecast]])^2</f>
        <v>2.5773760822549674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-0.67561348755285655</v>
      </c>
      <c r="J59">
        <f>(Table3[[#This Row],[HomeMargin]]-Table3[[#This Row],[HomeForecast]])^2</f>
        <v>11.051545684140482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0.45267702864960169</v>
      </c>
      <c r="J60">
        <f>(Table3[[#This Row],[HomeMargin]]-Table3[[#This Row],[HomeForecast]])^2</f>
        <v>6.4888543203694216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-0.71562799445797987</v>
      </c>
      <c r="J61">
        <f>(Table3[[#This Row],[HomeMargin]]-Table3[[#This Row],[HomeForecast]])^2</f>
        <v>2.9433794153679105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0.41091571756303502</v>
      </c>
      <c r="J62">
        <f>(Table3[[#This Row],[HomeMargin]]-Table3[[#This Row],[HomeForecast]])^2</f>
        <v>12.881525986436065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0.27302542502639116</v>
      </c>
      <c r="J63">
        <f>(Table3[[#This Row],[HomeMargin]]-Table3[[#This Row],[HomeForecast]])^2</f>
        <v>7.4363903325524952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-0.37758992650920309</v>
      </c>
      <c r="J64">
        <f>(Table3[[#This Row],[HomeMargin]]-Table3[[#This Row],[HomeForecast]])^2</f>
        <v>21.366674887509195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1.026979306313208</v>
      </c>
      <c r="J65">
        <f>(Table3[[#This Row],[HomeMargin]]-Table3[[#This Row],[HomeForecast]])^2</f>
        <v>0.94676927034272595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-0.59653896932747652</v>
      </c>
      <c r="J66">
        <f>(Table3[[#This Row],[HomeMargin]]-Table3[[#This Row],[HomeForecast]])^2</f>
        <v>5.7766249259614275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-1.4030322141166898</v>
      </c>
      <c r="J67">
        <f>(Table3[[#This Row],[HomeMargin]]-Table3[[#This Row],[HomeForecast]])^2</f>
        <v>2.5503061091490422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1.6201228467873006</v>
      </c>
      <c r="J68">
        <f>(Table3[[#This Row],[HomeMargin]]-Table3[[#This Row],[HomeForecast]])^2</f>
        <v>13.105289425831389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-0.25596851227840151</v>
      </c>
      <c r="J69">
        <f>(Table3[[#This Row],[HomeMargin]]-Table3[[#This Row],[HomeForecast]])^2</f>
        <v>3.0416458301644123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0.64609901912747936</v>
      </c>
      <c r="J70">
        <f>(Table3[[#This Row],[HomeMargin]]-Table3[[#This Row],[HomeForecast]])^2</f>
        <v>0.12524590426253221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-9.7882000706346783E-2</v>
      </c>
      <c r="J71">
        <f>(Table3[[#This Row],[HomeMargin]]-Table3[[#This Row],[HomeForecast]])^2</f>
        <v>4.4011088888876646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0.15978887669155578</v>
      </c>
      <c r="J72">
        <f>(Table3[[#This Row],[HomeMargin]]-Table3[[#This Row],[HomeForecast]])^2</f>
        <v>3.3863769783481259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0.35546150479797095</v>
      </c>
      <c r="J73">
        <f>(Table3[[#This Row],[HomeMargin]]-Table3[[#This Row],[HomeForecast]])^2</f>
        <v>0.41542987179729596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0.13047766475568318</v>
      </c>
      <c r="J74">
        <f>(Table3[[#This Row],[HomeMargin]]-Table3[[#This Row],[HomeForecast]])^2</f>
        <v>9.7998904095341963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0.3510951154620664</v>
      </c>
      <c r="J75">
        <f>(Table3[[#This Row],[HomeMargin]]-Table3[[#This Row],[HomeForecast]])^2</f>
        <v>0.42107754917718893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2.515137900098063E-2</v>
      </c>
      <c r="J76">
        <f>(Table3[[#This Row],[HomeMargin]]-Table3[[#This Row],[HomeForecast]])^2</f>
        <v>0.95032983386368974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0.62406533293020139</v>
      </c>
      <c r="J77">
        <f>(Table3[[#This Row],[HomeMargin]]-Table3[[#This Row],[HomeForecast]])^2</f>
        <v>2.6375882056256863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-0.76986956102044823</v>
      </c>
      <c r="J78">
        <f>(Table3[[#This Row],[HomeMargin]]-Table3[[#This Row],[HomeForecast]])^2</f>
        <v>3.1324382630267142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0.71783947996334685</v>
      </c>
      <c r="J79">
        <f>(Table3[[#This Row],[HomeMargin]]-Table3[[#This Row],[HomeForecast]])^2</f>
        <v>5.2082566392139666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-6.3570966029157322E-2</v>
      </c>
      <c r="J80">
        <f>(Table3[[#This Row],[HomeMargin]]-Table3[[#This Row],[HomeForecast]])^2</f>
        <v>16.512608995955141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0.57575402698764999</v>
      </c>
      <c r="J81">
        <f>(Table3[[#This Row],[HomeMargin]]-Table3[[#This Row],[HomeForecast]])^2</f>
        <v>5.8769685376665945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-0.95131245222175309</v>
      </c>
      <c r="J82">
        <f>(Table3[[#This Row],[HomeMargin]]-Table3[[#This Row],[HomeForecast]])^2</f>
        <v>3.8076202861956716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1.288482463002099</v>
      </c>
      <c r="J83">
        <f>(Table3[[#This Row],[HomeMargin]]-Table3[[#This Row],[HomeForecast]])^2</f>
        <v>2.9292922794513614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-0.57059180009009747</v>
      </c>
      <c r="J84">
        <f>(Table3[[#This Row],[HomeMargin]]-Table3[[#This Row],[HomeForecast]])^2</f>
        <v>0.18439140214986283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0.54451710593994407</v>
      </c>
      <c r="J85">
        <f>(Table3[[#This Row],[HomeMargin]]-Table3[[#This Row],[HomeForecast]])^2</f>
        <v>2.3855330905411005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-0.32045429159708755</v>
      </c>
      <c r="J86">
        <f>(Table3[[#This Row],[HomeMargin]]-Table3[[#This Row],[HomeForecast]])^2</f>
        <v>5.3845081193913416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-1.2619343514776449E-3</v>
      </c>
      <c r="J87">
        <f>(Table3[[#This Row],[HomeMargin]]-Table3[[#This Row],[HomeForecast]])^2</f>
        <v>0.99747772377535204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-0.33605967965090655</v>
      </c>
      <c r="J88">
        <f>(Table3[[#This Row],[HomeMargin]]-Table3[[#This Row],[HomeForecast]])^2</f>
        <v>1.785055467588883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-0.36099019974116059</v>
      </c>
      <c r="J89">
        <f>(Table3[[#This Row],[HomeMargin]]-Table3[[#This Row],[HomeForecast]])^2</f>
        <v>6.9643727258621988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-1.3736474403663022</v>
      </c>
      <c r="J90">
        <f>(Table3[[#This Row],[HomeMargin]]-Table3[[#This Row],[HomeForecast]])^2</f>
        <v>11.381497051890102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0.15345052064468456</v>
      </c>
      <c r="J91">
        <f>(Table3[[#This Row],[HomeMargin]]-Table3[[#This Row],[HomeForecast]])^2</f>
        <v>1.3304481035754938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0.77351702266671507</v>
      </c>
      <c r="J92">
        <f>(Table3[[#This Row],[HomeMargin]]-Table3[[#This Row],[HomeForecast]])^2</f>
        <v>17.863158357688032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0.4141503165897002</v>
      </c>
      <c r="J93">
        <f>(Table3[[#This Row],[HomeMargin]]-Table3[[#This Row],[HomeForecast]])^2</f>
        <v>6.6866185851931483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-0.25236765225340185</v>
      </c>
      <c r="J94">
        <f>(Table3[[#This Row],[HomeMargin]]-Table3[[#This Row],[HomeForecast]])^2</f>
        <v>1.568424736410698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5.045313413565039E-2</v>
      </c>
      <c r="J95">
        <f>(Table3[[#This Row],[HomeMargin]]-Table3[[#This Row],[HomeForecast]])^2</f>
        <v>3.8007329822015081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0.27861366264747361</v>
      </c>
      <c r="J96">
        <f>(Table3[[#This Row],[HomeMargin]]-Table3[[#This Row],[HomeForecast]])^2</f>
        <v>0.52039824771889309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1.2495885290201769</v>
      </c>
      <c r="J97">
        <f>(Table3[[#This Row],[HomeMargin]]-Table3[[#This Row],[HomeForecast]])^2</f>
        <v>5.060648549899164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-0.25027304813128054</v>
      </c>
      <c r="J98">
        <f>(Table3[[#This Row],[HomeMargin]]-Table3[[#This Row],[HomeForecast]])^2</f>
        <v>0.56209050235836122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-0.20324378743223981</v>
      </c>
      <c r="J99">
        <f>(Table3[[#This Row],[HomeMargin]]-Table3[[#This Row],[HomeForecast]])^2</f>
        <v>4.854283186858761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-0.56284482400255076</v>
      </c>
      <c r="J100">
        <f>(Table3[[#This Row],[HomeMargin]]-Table3[[#This Row],[HomeForecast]])^2</f>
        <v>2.0654149998962592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0.13727101143736431</v>
      </c>
      <c r="J101">
        <f>(Table3[[#This Row],[HomeMargin]]-Table3[[#This Row],[HomeForecast]])^2</f>
        <v>8.1952172619568522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-0.31936675313910468</v>
      </c>
      <c r="J102">
        <f>(Table3[[#This Row],[HomeMargin]]-Table3[[#This Row],[HomeForecast]])^2</f>
        <v>11.01819564184524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0.4223932087458811</v>
      </c>
      <c r="J103">
        <f>(Table3[[#This Row],[HomeMargin]]-Table3[[#This Row],[HomeForecast]])^2</f>
        <v>2.0232024402864037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0.71434923743399881</v>
      </c>
      <c r="J104">
        <f>(Table3[[#This Row],[HomeMargin]]-Table3[[#This Row],[HomeForecast]])^2</f>
        <v>22.225088732494527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-0.22770022732435513</v>
      </c>
      <c r="J105">
        <f>(Table3[[#This Row],[HomeMargin]]-Table3[[#This Row],[HomeForecast]])^2</f>
        <v>7.6856460295774314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0.50732423805539062</v>
      </c>
      <c r="J106">
        <f>(Table3[[#This Row],[HomeMargin]]-Table3[[#This Row],[HomeForecast]])^2</f>
        <v>0.24272940640770141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5.0396480436976199E-2</v>
      </c>
      <c r="J107">
        <f>(Table3[[#This Row],[HomeMargin]]-Table3[[#This Row],[HomeForecast]])^2</f>
        <v>1.1033327661143868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1.3746095905055877</v>
      </c>
      <c r="J108">
        <f>(Table3[[#This Row],[HomeMargin]]-Table3[[#This Row],[HomeForecast]])^2</f>
        <v>6.8926748022652369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-0.76403520990308593</v>
      </c>
      <c r="J109">
        <f>(Table3[[#This Row],[HomeMargin]]-Table3[[#This Row],[HomeForecast]])^2</f>
        <v>5.5679382165480712E-2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0.2769702497838793</v>
      </c>
      <c r="J110">
        <f>(Table3[[#This Row],[HomeMargin]]-Table3[[#This Row],[HomeForecast]])^2</f>
        <v>10.73853401796862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-0.90173833845152329</v>
      </c>
      <c r="J111">
        <f>(Table3[[#This Row],[HomeMargin]]-Table3[[#This Row],[HomeForecast]])^2</f>
        <v>3.61660870793636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0.40975972505911351</v>
      </c>
      <c r="J112">
        <f>(Table3[[#This Row],[HomeMargin]]-Table3[[#This Row],[HomeForecast]])^2</f>
        <v>6.70934468192584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0.41085906386436088</v>
      </c>
      <c r="J113">
        <f>(Table3[[#This Row],[HomeMargin]]-Table3[[#This Row],[HomeForecast]])^2</f>
        <v>2.5253689149020557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-0.4822217506690597</v>
      </c>
      <c r="J114">
        <f>(Table3[[#This Row],[HomeMargin]]-Table3[[#This Row],[HomeForecast]])^2</f>
        <v>0.2680943154802134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-0.48871995832436366</v>
      </c>
      <c r="J115">
        <f>(Table3[[#This Row],[HomeMargin]]-Table3[[#This Row],[HomeForecast]])^2</f>
        <v>12.171166947610748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0.46828176099359514</v>
      </c>
      <c r="J116">
        <f>(Table3[[#This Row],[HomeMargin]]-Table3[[#This Row],[HomeForecast]])^2</f>
        <v>6.0924148516536425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0.9439643308620137</v>
      </c>
      <c r="J117">
        <f>(Table3[[#This Row],[HomeMargin]]-Table3[[#This Row],[HomeForecast]])^2</f>
        <v>3.7789973196637963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0.71774269236631827</v>
      </c>
      <c r="J118">
        <f>(Table3[[#This Row],[HomeMargin]]-Table3[[#This Row],[HomeForecast]])^2</f>
        <v>2.9506399571778883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0.17445343704463637</v>
      </c>
      <c r="J119">
        <f>(Table3[[#This Row],[HomeMargin]]-Table3[[#This Row],[HomeForecast]])^2</f>
        <v>0.68152712760741418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-0.23602712926806652</v>
      </c>
      <c r="J120">
        <f>(Table3[[#This Row],[HomeMargin]]-Table3[[#This Row],[HomeForecast]])^2</f>
        <v>3.1116002886782588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0.64873275785924811</v>
      </c>
      <c r="J121">
        <f>(Table3[[#This Row],[HomeMargin]]-Table3[[#This Row],[HomeForecast]])^2</f>
        <v>0.12338867540116961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0.21746620445900736</v>
      </c>
      <c r="J122">
        <f>(Table3[[#This Row],[HomeMargin]]-Table3[[#This Row],[HomeForecast]])^2</f>
        <v>22.872629505491737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-4.7043795911439812E-2</v>
      </c>
      <c r="J123">
        <f>(Table3[[#This Row],[HomeMargin]]-Table3[[#This Row],[HomeForecast]])^2</f>
        <v>0.90812552691087756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0.32632095526370858</v>
      </c>
      <c r="J124">
        <f>(Table3[[#This Row],[HomeMargin]]-Table3[[#This Row],[HomeForecast]])^2</f>
        <v>0.4538434553168022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-1.2687225405005718</v>
      </c>
      <c r="J125">
        <f>(Table3[[#This Row],[HomeMargin]]-Table3[[#This Row],[HomeForecast]])^2</f>
        <v>2.9973216417707942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1.5574121143541593</v>
      </c>
      <c r="J126">
        <f>(Table3[[#This Row],[HomeMargin]]-Table3[[#This Row],[HomeForecast]])^2</f>
        <v>6.5403567226454111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0.11492380858478307</v>
      </c>
      <c r="J127">
        <f>(Table3[[#This Row],[HomeMargin]]-Table3[[#This Row],[HomeForecast]])^2</f>
        <v>9.702750333288332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0.61292670171632135</v>
      </c>
      <c r="J128">
        <f>(Table3[[#This Row],[HomeMargin]]-Table3[[#This Row],[HomeForecast]])^2</f>
        <v>1.9239723348115629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-0.12755399586067123</v>
      </c>
      <c r="J129">
        <f>(Table3[[#This Row],[HomeMargin]]-Table3[[#This Row],[HomeForecast]])^2</f>
        <v>14.995838054974655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2.708106976674729E-2</v>
      </c>
      <c r="J130">
        <f>(Table3[[#This Row],[HomeMargin]]-Table3[[#This Row],[HomeForecast]])^2</f>
        <v>3.8924091052727219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0.46653397193748442</v>
      </c>
      <c r="J131">
        <f>(Table3[[#This Row],[HomeMargin]]-Table3[[#This Row],[HomeForecast]])^2</f>
        <v>2.3515180592218279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-1.0722215391958949</v>
      </c>
      <c r="J132">
        <f>(Table3[[#This Row],[HomeMargin]]-Table3[[#This Row],[HomeForecast]])^2</f>
        <v>4.2941021075074035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3.9020430373118864E-2</v>
      </c>
      <c r="J133">
        <f>(Table3[[#This Row],[HomeMargin]]-Table3[[#This Row],[HomeForecast]])^2</f>
        <v>0.92348173324026572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1.1651324798429141</v>
      </c>
      <c r="J134">
        <f>(Table3[[#This Row],[HomeMargin]]-Table3[[#This Row],[HomeForecast]])^2</f>
        <v>0.69700377621324217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-0.12315320203755588</v>
      </c>
      <c r="J135">
        <f>(Table3[[#This Row],[HomeMargin]]-Table3[[#This Row],[HomeForecast]])^2</f>
        <v>9.7540859233974384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1.4222471933968001E-2</v>
      </c>
      <c r="J136">
        <f>(Table3[[#This Row],[HomeMargin]]-Table3[[#This Row],[HomeForecast]])^2</f>
        <v>16.113982054179655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-0.25364739656173418</v>
      </c>
      <c r="J137">
        <f>(Table3[[#This Row],[HomeMargin]]-Table3[[#This Row],[HomeForecast]])^2</f>
        <v>1.5716317949060137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-0.21945242771208429</v>
      </c>
      <c r="J138">
        <f>(Table3[[#This Row],[HomeMargin]]-Table3[[#This Row],[HomeForecast]])^2</f>
        <v>1.4870642234528963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0.46883598115228597</v>
      </c>
      <c r="J139">
        <f>(Table3[[#This Row],[HomeMargin]]-Table3[[#This Row],[HomeForecast]])^2</f>
        <v>2.1574791395275987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-0.19693456245789281</v>
      </c>
      <c r="J140">
        <f>(Table3[[#This Row],[HomeMargin]]-Table3[[#This Row],[HomeForecast]])^2</f>
        <v>1.4326523468062675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1.1969140001976553</v>
      </c>
      <c r="J141">
        <f>(Table3[[#This Row],[HomeMargin]]-Table3[[#This Row],[HomeForecast]])^2</f>
        <v>3.8775123473842175E-2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-0.39666577791011753</v>
      </c>
      <c r="J142">
        <f>(Table3[[#This Row],[HomeMargin]]-Table3[[#This Row],[HomeForecast]])^2</f>
        <v>1.9506752951852735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-0.97044039127742154</v>
      </c>
      <c r="J143">
        <f>(Table3[[#This Row],[HomeMargin]]-Table3[[#This Row],[HomeForecast]])^2</f>
        <v>8.7377046783193634E-4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0.16242868216424455</v>
      </c>
      <c r="J144">
        <f>(Table3[[#This Row],[HomeMargin]]-Table3[[#This Row],[HomeForecast]])^2</f>
        <v>37.975527262760544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-4.583510663221757E-2</v>
      </c>
      <c r="J145">
        <f>(Table3[[#This Row],[HomeMargin]]-Table3[[#This Row],[HomeForecast]])^2</f>
        <v>16.368781710057732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-0.27831482149078091</v>
      </c>
      <c r="J146">
        <f>(Table3[[#This Row],[HomeMargin]]-Table3[[#This Row],[HomeForecast]])^2</f>
        <v>2.9641998538983216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0.62393148999421288</v>
      </c>
      <c r="J147">
        <f>(Table3[[#This Row],[HomeMargin]]-Table3[[#This Row],[HomeForecast]])^2</f>
        <v>2.6371534841948248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-1.5924967486481227</v>
      </c>
      <c r="J148">
        <f>(Table3[[#This Row],[HomeMargin]]-Table3[[#This Row],[HomeForecast]])^2</f>
        <v>6.7210393917510878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-0.86325962702495052</v>
      </c>
      <c r="J149">
        <f>(Table3[[#This Row],[HomeMargin]]-Table3[[#This Row],[HomeForecast]])^2</f>
        <v>1.8697929601355644E-2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0.91974178400928353</v>
      </c>
      <c r="J150">
        <f>(Table3[[#This Row],[HomeMargin]]-Table3[[#This Row],[HomeForecast]])^2</f>
        <v>6.4413812340124981E-3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-1.0367633664189559</v>
      </c>
      <c r="J151">
        <f>(Table3[[#This Row],[HomeMargin]]-Table3[[#This Row],[HomeForecast]])^2</f>
        <v>4.1484050107862789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-0.4523148724726217</v>
      </c>
      <c r="J152">
        <f>(Table3[[#This Row],[HomeMargin]]-Table3[[#This Row],[HomeForecast]])^2</f>
        <v>0.29995899891468064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-4.1293975515062184E-2</v>
      </c>
      <c r="J153">
        <f>(Table3[[#This Row],[HomeMargin]]-Table3[[#This Row],[HomeForecast]])^2</f>
        <v>25.414644947564458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1.3443951078907934</v>
      </c>
      <c r="J154">
        <f>(Table3[[#This Row],[HomeMargin]]-Table3[[#This Row],[HomeForecast]])^2</f>
        <v>2.7410275587759374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0.14816250306668649</v>
      </c>
      <c r="J155">
        <f>(Table3[[#This Row],[HomeMargin]]-Table3[[#This Row],[HomeForecast]])^2</f>
        <v>8.1329771089148668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0.59230195506566563</v>
      </c>
      <c r="J156">
        <f>(Table3[[#This Row],[HomeMargin]]-Table3[[#This Row],[HomeForecast]])^2</f>
        <v>2.5354255161059411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0.53562767694530855</v>
      </c>
      <c r="J157">
        <f>(Table3[[#This Row],[HomeMargin]]-Table3[[#This Row],[HomeForecast]])^2</f>
        <v>12.500663069981679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-0.46309451392573087</v>
      </c>
      <c r="J158">
        <f>(Table3[[#This Row],[HomeMargin]]-Table3[[#This Row],[HomeForecast]])^2</f>
        <v>19.919212640233958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1.8087576724543268</v>
      </c>
      <c r="J159">
        <f>(Table3[[#This Row],[HomeMargin]]-Table3[[#This Row],[HomeForecast]])^2</f>
        <v>4.8015429380277794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0.47866477967022569</v>
      </c>
      <c r="J160">
        <f>(Table3[[#This Row],[HomeMargin]]-Table3[[#This Row],[HomeForecast]])^2</f>
        <v>0.27179041195629433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-0.15404319479330811</v>
      </c>
      <c r="J161">
        <f>(Table3[[#This Row],[HomeMargin]]-Table3[[#This Row],[HomeForecast]])^2</f>
        <v>9.9479884746219795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0.15401901415081598</v>
      </c>
      <c r="J162">
        <f>(Table3[[#This Row],[HomeMargin]]-Table3[[#This Row],[HomeForecast]])^2</f>
        <v>1.3317598850216212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0.57466780630969172</v>
      </c>
      <c r="J163">
        <f>(Table3[[#This Row],[HomeMargin]]-Table3[[#This Row],[HomeForecast]])^2</f>
        <v>2.4795787002281768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-1.3164837656189086</v>
      </c>
      <c r="J164">
        <f>(Table3[[#This Row],[HomeMargin]]-Table3[[#This Row],[HomeForecast]])^2</f>
        <v>2.8342269114246901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-0.28937931320405813</v>
      </c>
      <c r="J165">
        <f>(Table3[[#This Row],[HomeMargin]]-Table3[[#This Row],[HomeForecast]])^2</f>
        <v>1.6624990133185684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-0.13061158731635839</v>
      </c>
      <c r="J166">
        <f>(Table3[[#This Row],[HomeMargin]]-Table3[[#This Row],[HomeForecast]])^2</f>
        <v>0.75583621210858198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3.1087744403428541E-3</v>
      </c>
      <c r="J167">
        <f>(Table3[[#This Row],[HomeMargin]]-Table3[[#This Row],[HomeForecast]])^2</f>
        <v>1.0062272133592067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-0.94887155603671014</v>
      </c>
      <c r="J168">
        <f>(Table3[[#This Row],[HomeMargin]]-Table3[[#This Row],[HomeForecast]])^2</f>
        <v>4.207127893635267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0.50506068399738591</v>
      </c>
      <c r="J169">
        <f>(Table3[[#This Row],[HomeMargin]]-Table3[[#This Row],[HomeForecast]])^2</f>
        <v>0.24496492652513549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-0.53405374724057941</v>
      </c>
      <c r="J170">
        <f>(Table3[[#This Row],[HomeMargin]]-Table3[[#This Row],[HomeForecast]])^2</f>
        <v>2.1489984159793876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0.12875520855375772</v>
      </c>
      <c r="J171">
        <f>(Table3[[#This Row],[HomeMargin]]-Table3[[#This Row],[HomeForecast]])^2</f>
        <v>8.2440466524071745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-4.5230356338667024E-2</v>
      </c>
      <c r="J172">
        <f>(Table3[[#This Row],[HomeMargin]]-Table3[[#This Row],[HomeForecast]])^2</f>
        <v>1.092506497811857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0.49268063520677174</v>
      </c>
      <c r="J173">
        <f>(Table3[[#This Row],[HomeMargin]]-Table3[[#This Row],[HomeForecast]])^2</f>
        <v>12.301289126653575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0.61084008108147847</v>
      </c>
      <c r="J174">
        <f>(Table3[[#This Row],[HomeMargin]]-Table3[[#This Row],[HomeForecast]])^2</f>
        <v>2.5948057668185842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-7.6705884230522242E-2</v>
      </c>
      <c r="J175">
        <f>(Table3[[#This Row],[HomeMargin]]-Table3[[#This Row],[HomeForecast]])^2</f>
        <v>0.85247202421454171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0.15481082834995036</v>
      </c>
      <c r="J176">
        <f>(Table3[[#This Row],[HomeMargin]]-Table3[[#This Row],[HomeForecast]])^2</f>
        <v>9.9528313626741003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0.70707166815067224</v>
      </c>
      <c r="J177">
        <f>(Table3[[#This Row],[HomeMargin]]-Table3[[#This Row],[HomeForecast]])^2</f>
        <v>8.5807007600029891E-2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0.43649751944228143</v>
      </c>
      <c r="J178">
        <f>(Table3[[#This Row],[HomeMargin]]-Table3[[#This Row],[HomeForecast]])^2</f>
        <v>6.5715449678255764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0.18917985403945659</v>
      </c>
      <c r="J179">
        <f>(Table3[[#This Row],[HomeMargin]]-Table3[[#This Row],[HomeForecast]])^2</f>
        <v>7.90070989293765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0.13834494451789636</v>
      </c>
      <c r="J180">
        <f>(Table3[[#This Row],[HomeMargin]]-Table3[[#This Row],[HomeForecast]])^2</f>
        <v>1.2958292127094526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0.56135460049705999</v>
      </c>
      <c r="J181">
        <f>(Table3[[#This Row],[HomeMargin]]-Table3[[#This Row],[HomeForecast]])^2</f>
        <v>0.19240978650509385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0.43881774151874692</v>
      </c>
      <c r="J182">
        <f>(Table3[[#This Row],[HomeMargin]]-Table3[[#This Row],[HomeForecast]])^2</f>
        <v>6.5596545611591317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-0.1026530534679013</v>
      </c>
      <c r="J183">
        <f>(Table3[[#This Row],[HomeMargin]]-Table3[[#This Row],[HomeForecast]])^2</f>
        <v>9.6264559701936925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-1.1552006220980162</v>
      </c>
      <c r="J184">
        <f>(Table3[[#This Row],[HomeMargin]]-Table3[[#This Row],[HomeForecast]])^2</f>
        <v>0.71368598890357882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5.3036285909664943E-2</v>
      </c>
      <c r="J185">
        <f>(Table3[[#This Row],[HomeMargin]]-Table3[[#This Row],[HomeForecast]])^2</f>
        <v>4.214957991261751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-0.23638767023698332</v>
      </c>
      <c r="J186">
        <f>(Table3[[#This Row],[HomeMargin]]-Table3[[#This Row],[HomeForecast]])^2</f>
        <v>1.5286544711140355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0.35661749730189246</v>
      </c>
      <c r="J187">
        <f>(Table3[[#This Row],[HomeMargin]]-Table3[[#This Row],[HomeForecast]])^2</f>
        <v>0.4139410447780803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0.98368958864160927</v>
      </c>
      <c r="J188">
        <f>(Table3[[#This Row],[HomeMargin]]-Table3[[#This Row],[HomeForecast]])^2</f>
        <v>2.6602951867992137E-4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0.73708941919806059</v>
      </c>
      <c r="J189">
        <f>(Table3[[#This Row],[HomeMargin]]-Table3[[#This Row],[HomeForecast]])^2</f>
        <v>6.9121973497613107E-2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-0.4815403855497794</v>
      </c>
      <c r="J190">
        <f>(Table3[[#This Row],[HomeMargin]]-Table3[[#This Row],[HomeForecast]])^2</f>
        <v>2.1949619140149892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0.29420154150221567</v>
      </c>
      <c r="J191">
        <f>(Table3[[#This Row],[HomeMargin]]-Table3[[#This Row],[HomeForecast]])^2</f>
        <v>10.851763796035574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1.4212899569524362</v>
      </c>
      <c r="J192">
        <f>(Table3[[#This Row],[HomeMargin]]-Table3[[#This Row],[HomeForecast]])^2</f>
        <v>2.4923254000192405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9.9541468227693289E-2</v>
      </c>
      <c r="J193">
        <f>(Table3[[#This Row],[HomeMargin]]-Table3[[#This Row],[HomeForecast]])^2</f>
        <v>0.81082556744153833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0.16051411725088616</v>
      </c>
      <c r="J194">
        <f>(Table3[[#This Row],[HomeMargin]]-Table3[[#This Row],[HomeForecast]])^2</f>
        <v>3.3837083128332868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9.1950952695781685E-2</v>
      </c>
      <c r="J195">
        <f>(Table3[[#This Row],[HomeMargin]]-Table3[[#This Row],[HomeForecast]])^2</f>
        <v>9.5601606938763517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0.30577505672048377</v>
      </c>
      <c r="J196">
        <f>(Table3[[#This Row],[HomeMargin]]-Table3[[#This Row],[HomeForecast]])^2</f>
        <v>1.7050484987533827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-1.5114473565117681</v>
      </c>
      <c r="J197">
        <f>(Table3[[#This Row],[HomeMargin]]-Table3[[#This Row],[HomeForecast]])^2</f>
        <v>6.3073678245299476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-0.31172651605663937</v>
      </c>
      <c r="J198">
        <f>(Table3[[#This Row],[HomeMargin]]-Table3[[#This Row],[HomeForecast]])^2</f>
        <v>10.967532517152646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0.26825437226483662</v>
      </c>
      <c r="J199">
        <f>(Table3[[#This Row],[HomeMargin]]-Table3[[#This Row],[HomeForecast]])^2</f>
        <v>7.4624341746501823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0.39890909566031213</v>
      </c>
      <c r="J200">
        <f>(Table3[[#This Row],[HomeMargin]]-Table3[[#This Row],[HomeForecast]])^2</f>
        <v>0.36131027527990384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0.48888117479006565</v>
      </c>
      <c r="J201">
        <f>(Table3[[#This Row],[HomeMargin]]-Table3[[#This Row],[HomeForecast]])^2</f>
        <v>2.2167671526442461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-0.18172757169328133</v>
      </c>
      <c r="J202">
        <f>(Table3[[#This Row],[HomeMargin]]-Table3[[#This Row],[HomeForecast]])^2</f>
        <v>0.66956976692697401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-0.45001857655658661</v>
      </c>
      <c r="J203">
        <f>(Table3[[#This Row],[HomeMargin]]-Table3[[#This Row],[HomeForecast]])^2</f>
        <v>2.4024424130196702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0.64873275785924811</v>
      </c>
      <c r="J204">
        <f>(Table3[[#This Row],[HomeMargin]]-Table3[[#This Row],[HomeForecast]])^2</f>
        <v>2.7183197068381619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0.43202439483706578</v>
      </c>
      <c r="J205">
        <f>(Table3[[#This Row],[HomeMargin]]-Table3[[#This Row],[HomeForecast]])^2</f>
        <v>2.4585474983860696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-1.0065488838041616</v>
      </c>
      <c r="J206">
        <f>(Table3[[#This Row],[HomeMargin]]-Table3[[#This Row],[HomeForecast]])^2</f>
        <v>4.0262384230957275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-0.27319980399673788</v>
      </c>
      <c r="J207">
        <f>(Table3[[#This Row],[HomeMargin]]-Table3[[#This Row],[HomeForecast]])^2</f>
        <v>1.6210377408973315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6.2241909655387895E-2</v>
      </c>
      <c r="J208">
        <f>(Table3[[#This Row],[HomeMargin]]-Table3[[#This Row],[HomeForecast]])^2</f>
        <v>15.505938778074448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9.1008079400499237E-2</v>
      </c>
      <c r="J209">
        <f>(Table3[[#This Row],[HomeMargin]]-Table3[[#This Row],[HomeForecast]])^2</f>
        <v>1.190298629317166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0.55985022379803873</v>
      </c>
      <c r="J210">
        <f>(Table3[[#This Row],[HomeMargin]]-Table3[[#This Row],[HomeForecast]])^2</f>
        <v>0.19373182549063658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0.47522901846524251</v>
      </c>
      <c r="J211">
        <f>(Table3[[#This Row],[HomeMargin]]-Table3[[#This Row],[HomeForecast]])^2</f>
        <v>0.2753845830609527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0.1638884656813398</v>
      </c>
      <c r="J212">
        <f>(Table3[[#This Row],[HomeMargin]]-Table3[[#This Row],[HomeForecast]])^2</f>
        <v>8.0435286350953454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0.88068766099628992</v>
      </c>
      <c r="J213">
        <f>(Table3[[#This Row],[HomeMargin]]-Table3[[#This Row],[HomeForecast]])^2</f>
        <v>1.4235434238536238E-2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0.31773196158829992</v>
      </c>
      <c r="J214">
        <f>(Table3[[#This Row],[HomeMargin]]-Table3[[#This Row],[HomeForecast]])^2</f>
        <v>1.7364175225913485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6.8098420739517412E-2</v>
      </c>
      <c r="J215">
        <f>(Table3[[#This Row],[HomeMargin]]-Table3[[#This Row],[HomeForecast]])^2</f>
        <v>1.1408342363862511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-0.8307877453673983</v>
      </c>
      <c r="J216">
        <f>(Table3[[#This Row],[HomeMargin]]-Table3[[#This Row],[HomeForecast]])^2</f>
        <v>4.7054818056482546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0.17451916272047058</v>
      </c>
      <c r="J217">
        <f>(Table3[[#This Row],[HomeMargin]]-Table3[[#This Row],[HomeForecast]])^2</f>
        <v>0.68141861271571302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-0.30942450684183781</v>
      </c>
      <c r="J218">
        <f>(Table3[[#This Row],[HomeMargin]]-Table3[[#This Row],[HomeForecast]])^2</f>
        <v>18.571139580169017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0.15060079890594202</v>
      </c>
      <c r="J219">
        <f>(Table3[[#This Row],[HomeMargin]]-Table3[[#This Row],[HomeForecast]])^2</f>
        <v>26.528688589690528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-0.41378816041272026</v>
      </c>
      <c r="J220">
        <f>(Table3[[#This Row],[HomeMargin]]-Table3[[#This Row],[HomeForecast]])^2</f>
        <v>5.8263732833486239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-0.4078044091239974</v>
      </c>
      <c r="J221">
        <f>(Table3[[#This Row],[HomeMargin]]-Table3[[#This Row],[HomeForecast]])^2</f>
        <v>6.719477981356988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1.2193740464053826</v>
      </c>
      <c r="J222">
        <f>(Table3[[#This Row],[HomeMargin]]-Table3[[#This Row],[HomeForecast]])^2</f>
        <v>14.293132600993209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0.25755489932126607</v>
      </c>
      <c r="J223">
        <f>(Table3[[#This Row],[HomeMargin]]-Table3[[#This Row],[HomeForecast]])^2</f>
        <v>0.55122472752185536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1.4678610818041731</v>
      </c>
      <c r="J224">
        <f>(Table3[[#This Row],[HomeMargin]]-Table3[[#This Row],[HomeForecast]])^2</f>
        <v>19.961782646300357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0.37607338326794948</v>
      </c>
      <c r="J225">
        <f>(Table3[[#This Row],[HomeMargin]]-Table3[[#This Row],[HomeForecast]])^2</f>
        <v>0.38928442306670308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0.74368986160369732</v>
      </c>
      <c r="J226">
        <f>(Table3[[#This Row],[HomeMargin]]-Table3[[#This Row],[HomeForecast]])^2</f>
        <v>7.5278340566669169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8.8189078892766948E-2</v>
      </c>
      <c r="J227">
        <f>(Table3[[#This Row],[HomeMargin]]-Table3[[#This Row],[HomeForecast]])^2</f>
        <v>9.5369117869925564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-0.25413131645555309</v>
      </c>
      <c r="J228">
        <f>(Table3[[#This Row],[HomeMargin]]-Table3[[#This Row],[HomeForecast]])^2</f>
        <v>1.5728453589145384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-0.22023659563607756</v>
      </c>
      <c r="J229">
        <f>(Table3[[#This Row],[HomeMargin]]-Table3[[#This Row],[HomeForecast]])^2</f>
        <v>3.1675577755130586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0.2331515233885128</v>
      </c>
      <c r="J230">
        <f>(Table3[[#This Row],[HomeMargin]]-Table3[[#This Row],[HomeForecast]])^2</f>
        <v>3.1217535393043327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-0.70348086020307965</v>
      </c>
      <c r="J231">
        <f>(Table3[[#This Row],[HomeMargin]]-Table3[[#This Row],[HomeForecast]])^2</f>
        <v>5.2740001594535864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8.041423148436444E-2</v>
      </c>
      <c r="J232">
        <f>(Table3[[#This Row],[HomeMargin]]-Table3[[#This Row],[HomeForecast]])^2</f>
        <v>16.649780300500137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0.55316275331402698</v>
      </c>
      <c r="J233">
        <f>(Table3[[#This Row],[HomeMargin]]-Table3[[#This Row],[HomeForecast]])^2</f>
        <v>12.624965551538118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-8.4767900357203066E-3</v>
      </c>
      <c r="J234">
        <f>(Table3[[#This Row],[HomeMargin]]-Table3[[#This Row],[HomeForecast]])^2</f>
        <v>8.9492111157549878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5.8866778218580718E-2</v>
      </c>
      <c r="J235">
        <f>(Table3[[#This Row],[HomeMargin]]-Table3[[#This Row],[HomeForecast]])^2</f>
        <v>0.88573174114067399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0.29928777580141824</v>
      </c>
      <c r="J236">
        <f>(Table3[[#This Row],[HomeMargin]]-Table3[[#This Row],[HomeForecast]])^2</f>
        <v>7.2938465179356502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-1.1639119951479333</v>
      </c>
      <c r="J237">
        <f>(Table3[[#This Row],[HomeMargin]]-Table3[[#This Row],[HomeForecast]])^2</f>
        <v>46.732099210082303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-0.22036616993484254</v>
      </c>
      <c r="J238">
        <f>(Table3[[#This Row],[HomeMargin]]-Table3[[#This Row],[HomeForecast]])^2</f>
        <v>17.811490608330491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-0.44203959187751524</v>
      </c>
      <c r="J239">
        <f>(Table3[[#This Row],[HomeMargin]]-Table3[[#This Row],[HomeForecast]])^2</f>
        <v>2.0794781845422707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-0.86325962702495052</v>
      </c>
      <c r="J240">
        <f>(Table3[[#This Row],[HomeMargin]]-Table3[[#This Row],[HomeForecast]])^2</f>
        <v>1.8697929601355644E-2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-0.44623757206372849</v>
      </c>
      <c r="J241">
        <f>(Table3[[#This Row],[HomeMargin]]-Table3[[#This Row],[HomeForecast]])^2</f>
        <v>20.736752250084042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-0.11006003145750468</v>
      </c>
      <c r="J242">
        <f>(Table3[[#This Row],[HomeMargin]]-Table3[[#This Row],[HomeForecast]])^2</f>
        <v>0.79199314760941764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-1.6832608569992136E-2</v>
      </c>
      <c r="J243">
        <f>(Table3[[#This Row],[HomeMargin]]-Table3[[#This Row],[HomeForecast]])^2</f>
        <v>4.0676137709912394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-0.70148385944316693</v>
      </c>
      <c r="J244">
        <f>(Table3[[#This Row],[HomeMargin]]-Table3[[#This Row],[HomeForecast]])^2</f>
        <v>8.9111886172946908E-2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0.93188891826418374</v>
      </c>
      <c r="J245">
        <f>(Table3[[#This Row],[HomeMargin]]-Table3[[#This Row],[HomeForecast]])^2</f>
        <v>4.639119455223043E-3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-0.24330495966834856</v>
      </c>
      <c r="J246">
        <f>(Table3[[#This Row],[HomeMargin]]-Table3[[#This Row],[HomeForecast]])^2</f>
        <v>3.0859774647258225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-0.79764314745019971</v>
      </c>
      <c r="J247">
        <f>(Table3[[#This Row],[HomeMargin]]-Table3[[#This Row],[HomeForecast]])^2</f>
        <v>3.2315208855746604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0.38530267809147378</v>
      </c>
      <c r="J248">
        <f>(Table3[[#This Row],[HomeMargin]]-Table3[[#This Row],[HomeForecast]])^2</f>
        <v>1.9190635099274098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0.13794129644396075</v>
      </c>
      <c r="J249">
        <f>(Table3[[#This Row],[HomeMargin]]-Table3[[#This Row],[HomeForecast]])^2</f>
        <v>8.1913800226008764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0.78029404282623727</v>
      </c>
      <c r="J250">
        <f>(Table3[[#This Row],[HomeMargin]]-Table3[[#This Row],[HomeForecast]])^2</f>
        <v>4.8270707617639262E-2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0.67941209143060899</v>
      </c>
      <c r="J251">
        <f>(Table3[[#This Row],[HomeMargin]]-Table3[[#This Row],[HomeForecast]])^2</f>
        <v>21.896897521426986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0.93307131634407414</v>
      </c>
      <c r="J252">
        <f>(Table3[[#This Row],[HomeMargin]]-Table3[[#This Row],[HomeForecast]])^2</f>
        <v>1.1383368160077669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-0.21177717625943387</v>
      </c>
      <c r="J253">
        <f>(Table3[[#This Row],[HomeMargin]]-Table3[[#This Row],[HomeForecast]])^2</f>
        <v>4.8919582774221544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0.47222943608460538</v>
      </c>
      <c r="J254">
        <f>(Table3[[#This Row],[HomeMargin]]-Table3[[#This Row],[HomeForecast]])^2</f>
        <v>2.1674595124739948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-0.58782309180843384</v>
      </c>
      <c r="J255">
        <f>(Table3[[#This Row],[HomeMargin]]-Table3[[#This Row],[HomeForecast]])^2</f>
        <v>0.16988980364635875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-2.3088058234699913</v>
      </c>
      <c r="J256">
        <f>(Table3[[#This Row],[HomeMargin]]-Table3[[#This Row],[HomeForecast]])^2</f>
        <v>1.712972683548962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0.34725068087185829</v>
      </c>
      <c r="J257">
        <f>(Table3[[#This Row],[HomeMargin]]-Table3[[#This Row],[HomeForecast]])^2</f>
        <v>0.42608167362225258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-0.37211270638554139</v>
      </c>
      <c r="J258">
        <f>(Table3[[#This Row],[HomeMargin]]-Table3[[#This Row],[HomeForecast]])^2</f>
        <v>0.39424245348248937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0.20971237509063723</v>
      </c>
      <c r="J259">
        <f>(Table3[[#This Row],[HomeMargin]]-Table3[[#This Row],[HomeForecast]])^2</f>
        <v>7.7857050297223322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0.33941412584375974</v>
      </c>
      <c r="J260">
        <f>(Table3[[#This Row],[HomeMargin]]-Table3[[#This Row],[HomeForecast]])^2</f>
        <v>1.794030200509803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0.45956588347455246</v>
      </c>
      <c r="J261">
        <f>(Table3[[#This Row],[HomeMargin]]-Table3[[#This Row],[HomeForecast]])^2</f>
        <v>2.3729372673555362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0.54777481120020877</v>
      </c>
      <c r="J262">
        <f>(Table3[[#This Row],[HomeMargin]]-Table3[[#This Row],[HomeForecast]])^2</f>
        <v>12.586706110986677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1.6486337620925922</v>
      </c>
      <c r="J263">
        <f>(Table3[[#This Row],[HomeMargin]]-Table3[[#This Row],[HomeForecast]])^2</f>
        <v>1.8261907089560208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0.62393148999421288</v>
      </c>
      <c r="J264">
        <f>(Table3[[#This Row],[HomeMargin]]-Table3[[#This Row],[HomeForecast]])^2</f>
        <v>2.6371534841948248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0.28432116066264329</v>
      </c>
      <c r="J265">
        <f>(Table3[[#This Row],[HomeMargin]]-Table3[[#This Row],[HomeForecast]])^2</f>
        <v>18.355407807701699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-0.31670207612516438</v>
      </c>
      <c r="J266">
        <f>(Table3[[#This Row],[HomeMargin]]-Table3[[#This Row],[HomeForecast]])^2</f>
        <v>0.46689605277166057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4.2185656510863534E-2</v>
      </c>
      <c r="J267">
        <f>(Table3[[#This Row],[HomeMargin]]-Table3[[#This Row],[HomeForecast]])^2</f>
        <v>1.0861509426369798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-0.34987369609046559</v>
      </c>
      <c r="J268">
        <f>(Table3[[#This Row],[HomeMargin]]-Table3[[#This Row],[HomeForecast]])^2</f>
        <v>1.8221589953969346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-0.73849168873964244</v>
      </c>
      <c r="J269">
        <f>(Table3[[#This Row],[HomeMargin]]-Table3[[#This Row],[HomeForecast]])^2</f>
        <v>1.5914032193789591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-9.2243741891667175E-2</v>
      </c>
      <c r="J270">
        <f>(Table3[[#This Row],[HomeMargin]]-Table3[[#This Row],[HomeForecast]])^2</f>
        <v>0.82402142413484214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-0.16779401292363044</v>
      </c>
      <c r="J271">
        <f>(Table3[[#This Row],[HomeMargin]]-Table3[[#This Row],[HomeForecast]])^2</f>
        <v>0.69256680492575462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1.4311627762375771</v>
      </c>
      <c r="J272">
        <f>(Table3[[#This Row],[HomeMargin]]-Table3[[#This Row],[HomeForecast]])^2</f>
        <v>29.497529101988665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0.12525284440570467</v>
      </c>
      <c r="J273">
        <f>(Table3[[#This Row],[HomeMargin]]-Table3[[#This Row],[HomeForecast]])^2</f>
        <v>8.2641712085974923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-0.13098975706565441</v>
      </c>
      <c r="J274">
        <f>(Table3[[#This Row],[HomeMargin]]-Table3[[#This Row],[HomeForecast]])^2</f>
        <v>1.2791378305874279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-0.20100936444675932</v>
      </c>
      <c r="J275">
        <f>(Table3[[#This Row],[HomeMargin]]-Table3[[#This Row],[HomeForecast]])^2</f>
        <v>4.8444422223823276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1.1351216447603301</v>
      </c>
      <c r="J276">
        <f>(Table3[[#This Row],[HomeMargin]]-Table3[[#This Row],[HomeForecast]])^2</f>
        <v>3.4777712798414164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0.3189139772741052</v>
      </c>
      <c r="J277">
        <f>(Table3[[#This Row],[HomeMargin]]-Table3[[#This Row],[HomeForecast]])^2</f>
        <v>7.1882222612561559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-0.11100606778265565</v>
      </c>
      <c r="J278">
        <f>(Table3[[#This Row],[HomeMargin]]-Table3[[#This Row],[HomeForecast]])^2</f>
        <v>9.6783587537805023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-0.32529106980057304</v>
      </c>
      <c r="J279">
        <f>(Table3[[#This Row],[HomeMargin]]-Table3[[#This Row],[HomeForecast]])^2</f>
        <v>44.551739302883973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-4.1293975515062184E-2</v>
      </c>
      <c r="J280">
        <f>(Table3[[#This Row],[HomeMargin]]-Table3[[#This Row],[HomeForecast]])^2</f>
        <v>4.1668810944740873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0.1013371152214208</v>
      </c>
      <c r="J281">
        <f>(Table3[[#This Row],[HomeMargin]]-Table3[[#This Row],[HomeForecast]])^2</f>
        <v>3.6049207500357161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9.0899170184765565E-2</v>
      </c>
      <c r="J282">
        <f>(Table3[[#This Row],[HomeMargin]]-Table3[[#This Row],[HomeForecast]])^2</f>
        <v>1.1900609995098104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6.5183420164565173E-2</v>
      </c>
      <c r="J283">
        <f>(Table3[[#This Row],[HomeMargin]]-Table3[[#This Row],[HomeForecast]])^2</f>
        <v>1.1346157185934804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1.6892328783172836</v>
      </c>
      <c r="J284">
        <f>(Table3[[#This Row],[HomeMargin]]-Table3[[#This Row],[HomeForecast]])^2</f>
        <v>0.47504196055352749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-0.61774637074323757</v>
      </c>
      <c r="J285">
        <f>(Table3[[#This Row],[HomeMargin]]-Table3[[#This Row],[HomeForecast]])^2</f>
        <v>2.6171033200529168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-0.73062440897742931</v>
      </c>
      <c r="J286">
        <f>(Table3[[#This Row],[HomeMargin]]-Table3[[#This Row],[HomeForecast]])^2</f>
        <v>7.2563209038759263E-2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0.31864570381105817</v>
      </c>
      <c r="J287">
        <f>(Table3[[#This Row],[HomeMargin]]-Table3[[#This Row],[HomeForecast]])^2</f>
        <v>1.738826492179361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0.54433904999522564</v>
      </c>
      <c r="J288">
        <f>(Table3[[#This Row],[HomeMargin]]-Table3[[#This Row],[HomeForecast]])^2</f>
        <v>2.3849831013401559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0.37171986211272218</v>
      </c>
      <c r="J289">
        <f>(Table3[[#This Row],[HomeMargin]]-Table3[[#This Row],[HomeForecast]])^2</f>
        <v>1.8816153801145457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-0.25027304813128054</v>
      </c>
      <c r="J290">
        <f>(Table3[[#This Row],[HomeMargin]]-Table3[[#This Row],[HomeForecast]])^2</f>
        <v>0.56209050235836122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-0.26108352977244453</v>
      </c>
      <c r="J291">
        <f>(Table3[[#This Row],[HomeMargin]]-Table3[[#This Row],[HomeForecast]])^2</f>
        <v>1.590331669063328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0.75115349329197489</v>
      </c>
      <c r="J292">
        <f>(Table3[[#This Row],[HomeMargin]]-Table3[[#This Row],[HomeForecast]])^2</f>
        <v>10.555003624148938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-0.19459814005815695</v>
      </c>
      <c r="J293">
        <f>(Table3[[#This Row],[HomeMargin]]-Table3[[#This Row],[HomeForecast]])^2</f>
        <v>0.64867215599778028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-0.93476452414373745</v>
      </c>
      <c r="J294">
        <f>(Table3[[#This Row],[HomeMargin]]-Table3[[#This Row],[HomeForecast]])^2</f>
        <v>1.1347266190227181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0.54485697176883285</v>
      </c>
      <c r="J295">
        <f>(Table3[[#This Row],[HomeMargin]]-Table3[[#This Row],[HomeForecast]])^2</f>
        <v>2.1174412326097718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-4.9882969190470847E-2</v>
      </c>
      <c r="J296">
        <f>(Table3[[#This Row],[HomeMargin]]-Table3[[#This Row],[HomeForecast]])^2</f>
        <v>0.90272237223431573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0.29291015433805195</v>
      </c>
      <c r="J297">
        <f>(Table3[[#This Row],[HomeMargin]]-Table3[[#This Row],[HomeForecast]])^2</f>
        <v>1.6716166671904451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0.15060079890594202</v>
      </c>
      <c r="J298">
        <f>(Table3[[#This Row],[HomeMargin]]-Table3[[#This Row],[HomeForecast]])^2</f>
        <v>8.1190758071954559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-1.0152602568540787</v>
      </c>
      <c r="J299">
        <f>(Table3[[#This Row],[HomeMargin]]-Table3[[#This Row],[HomeForecast]])^2</f>
        <v>3.9391918480229378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0.53327945419830824</v>
      </c>
      <c r="J300">
        <f>(Table3[[#This Row],[HomeMargin]]-Table3[[#This Row],[HomeForecast]])^2</f>
        <v>2.3509458846666615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1.3285145041656836</v>
      </c>
      <c r="J301">
        <f>(Table3[[#This Row],[HomeMargin]]-Table3[[#This Row],[HomeForecast]])^2</f>
        <v>2.7938637627844907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0.26768475558046101</v>
      </c>
      <c r="J302">
        <f>(Table3[[#This Row],[HomeMargin]]-Table3[[#This Row],[HomeForecast]])^2</f>
        <v>0.53628561720924917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-0.3369018295078231</v>
      </c>
      <c r="J303">
        <f>(Table3[[#This Row],[HomeMargin]]-Table3[[#This Row],[HomeForecast]])^2</f>
        <v>0.43969918371007211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0.83400729454944156</v>
      </c>
      <c r="J304">
        <f>(Table3[[#This Row],[HomeMargin]]-Table3[[#This Row],[HomeForecast]])^2</f>
        <v>10.023509810966146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2.0733469853812587</v>
      </c>
      <c r="J305">
        <f>(Table3[[#This Row],[HomeMargin]]-Table3[[#This Row],[HomeForecast]])^2</f>
        <v>36.885543604839619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-0.42250403793176294</v>
      </c>
      <c r="J306">
        <f>(Table3[[#This Row],[HomeMargin]]-Table3[[#This Row],[HomeForecast]])^2</f>
        <v>2.0235177379321709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-0.23638767023698332</v>
      </c>
      <c r="J307">
        <f>(Table3[[#This Row],[HomeMargin]]-Table3[[#This Row],[HomeForecast]])^2</f>
        <v>3.1103284496921355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0.35318173609690928</v>
      </c>
      <c r="J308">
        <f>(Table3[[#This Row],[HomeMargin]]-Table3[[#This Row],[HomeForecast]])^2</f>
        <v>13.299283449937152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-6.4666781924119981E-2</v>
      </c>
      <c r="J309">
        <f>(Table3[[#This Row],[HomeMargin]]-Table3[[#This Row],[HomeForecast]])^2</f>
        <v>1.1335153565326617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1.0304519993344192</v>
      </c>
      <c r="J310">
        <f>(Table3[[#This Row],[HomeMargin]]-Table3[[#This Row],[HomeForecast]])^2</f>
        <v>3.8791193269257866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0.34720837459919451</v>
      </c>
      <c r="J311">
        <f>(Table3[[#This Row],[HomeMargin]]-Table3[[#This Row],[HomeForecast]])^2</f>
        <v>0.42613690619342554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0.13584669232183944</v>
      </c>
      <c r="J312">
        <f>(Table3[[#This Row],[HomeMargin]]-Table3[[#This Row],[HomeForecast]])^2</f>
        <v>8.2033741698837481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0.42357060367678867</v>
      </c>
      <c r="J313">
        <f>(Table3[[#This Row],[HomeMargin]]-Table3[[#This Row],[HomeForecast]])^2</f>
        <v>2.0265532636526968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0.35551815849664514</v>
      </c>
      <c r="J314">
        <f>(Table3[[#This Row],[HomeMargin]]-Table3[[#This Row],[HomeForecast]])^2</f>
        <v>2.7043205270342652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-0.50157855615714297</v>
      </c>
      <c r="J315">
        <f>(Table3[[#This Row],[HomeMargin]]-Table3[[#This Row],[HomeForecast]])^2</f>
        <v>2.25473816031097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1.3570379105593902</v>
      </c>
      <c r="J316">
        <f>(Table3[[#This Row],[HomeMargin]]-Table3[[#This Row],[HomeForecast]])^2</f>
        <v>6.9852486062202743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0.96306484199095355</v>
      </c>
      <c r="J317">
        <f>(Table3[[#This Row],[HomeMargin]]-Table3[[#This Row],[HomeForecast]])^2</f>
        <v>1.3642058971532283E-3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0.61955145413139556</v>
      </c>
      <c r="J318">
        <f>(Table3[[#This Row],[HomeMargin]]-Table3[[#This Row],[HomeForecast]])^2</f>
        <v>0.14474109605353561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4.8979003192544668E-2</v>
      </c>
      <c r="J319">
        <f>(Table3[[#This Row],[HomeMargin]]-Table3[[#This Row],[HomeForecast]])^2</f>
        <v>8.7085249235984676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-0.25202083718739127</v>
      </c>
      <c r="J320">
        <f>(Table3[[#This Row],[HomeMargin]]-Table3[[#This Row],[HomeForecast]])^2</f>
        <v>1.5675561767514163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1.0098569238106054</v>
      </c>
      <c r="J321">
        <f>(Table3[[#This Row],[HomeMargin]]-Table3[[#This Row],[HomeForecast]])^2</f>
        <v>25.098666397053066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-0.1598124594617456</v>
      </c>
      <c r="J322">
        <f>(Table3[[#This Row],[HomeMargin]]-Table3[[#This Row],[HomeForecast]])^2</f>
        <v>1.3451649411227034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0.10469470069811879</v>
      </c>
      <c r="J323">
        <f>(Table3[[#This Row],[HomeMargin]]-Table3[[#This Row],[HomeForecast]])^2</f>
        <v>8.3827927761655552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-0.1025963997692271</v>
      </c>
      <c r="J324">
        <f>(Table3[[#This Row],[HomeMargin]]-Table3[[#This Row],[HomeForecast]])^2</f>
        <v>0.80533322170715294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-0.21576347103086191</v>
      </c>
      <c r="J325">
        <f>(Table3[[#This Row],[HomeMargin]]-Table3[[#This Row],[HomeForecast]])^2</f>
        <v>0.61502693336956182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1.882882538132514</v>
      </c>
      <c r="J326">
        <f>(Table3[[#This Row],[HomeMargin]]-Table3[[#This Row],[HomeForecast]])^2</f>
        <v>1.2479514236092539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-1.2052806528034532E-3</v>
      </c>
      <c r="J327">
        <f>(Table3[[#This Row],[HomeMargin]]-Table3[[#This Row],[HomeForecast]])^2</f>
        <v>24.987948646173415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0.31414292451255066</v>
      </c>
      <c r="J328">
        <f>(Table3[[#This Row],[HomeMargin]]-Table3[[#This Row],[HomeForecast]])^2</f>
        <v>0.47039992799619679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4.5243247966550701E-2</v>
      </c>
      <c r="J329">
        <f>(Table3[[#This Row],[HomeMargin]]-Table3[[#This Row],[HomeForecast]])^2</f>
        <v>16.363992935218967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0.94688533278363329</v>
      </c>
      <c r="J330">
        <f>(Table3[[#This Row],[HomeMargin]]-Table3[[#This Row],[HomeForecast]])^2</f>
        <v>2.8211678735053803E-3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3.1087744403428541E-3</v>
      </c>
      <c r="J331">
        <f>(Table3[[#This Row],[HomeMargin]]-Table3[[#This Row],[HomeForecast]])^2</f>
        <v>0.9937921155978352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0.92845315705920062</v>
      </c>
      <c r="J332">
        <f>(Table3[[#This Row],[HomeMargin]]-Table3[[#This Row],[HomeForecast]])^2</f>
        <v>5.1189507347954143E-3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8.7505715252446159E-2</v>
      </c>
      <c r="J333">
        <f>(Table3[[#This Row],[HomeMargin]]-Table3[[#This Row],[HomeForecast]])^2</f>
        <v>1.1826686807067344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0.36159274554959497</v>
      </c>
      <c r="J334">
        <f>(Table3[[#This Row],[HomeMargin]]-Table3[[#This Row],[HomeForecast]])^2</f>
        <v>11.300305786931663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-1.4038619229810965</v>
      </c>
      <c r="J335">
        <f>(Table3[[#This Row],[HomeMargin]]-Table3[[#This Row],[HomeForecast]])^2</f>
        <v>0.35538060687179618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0.98214069339186794</v>
      </c>
      <c r="J336">
        <f>(Table3[[#This Row],[HomeMargin]]-Table3[[#This Row],[HomeForecast]])^2</f>
        <v>25.178912020913845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-0.22607366795001219</v>
      </c>
      <c r="J337">
        <f>(Table3[[#This Row],[HomeMargin]]-Table3[[#This Row],[HomeForecast]])^2</f>
        <v>0.59896196744034802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6.1450095456253552E-2</v>
      </c>
      <c r="J338">
        <f>(Table3[[#This Row],[HomeMargin]]-Table3[[#This Row],[HomeForecast]])^2</f>
        <v>25.618277068794118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-0.62634980386833528</v>
      </c>
      <c r="J339">
        <f>(Table3[[#This Row],[HomeMargin]]-Table3[[#This Row],[HomeForecast]])^2</f>
        <v>0.13961446906923153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-0.16904175428526991</v>
      </c>
      <c r="J340">
        <f>(Table3[[#This Row],[HomeMargin]]-Table3[[#This Row],[HomeForecast]])^2</f>
        <v>1.3666586232623812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-0.91564328237273473</v>
      </c>
      <c r="J341">
        <f>(Table3[[#This Row],[HomeMargin]]-Table3[[#This Row],[HomeForecast]])^2</f>
        <v>3.6696891852997853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0.28957335310440674</v>
      </c>
      <c r="J342">
        <f>(Table3[[#This Row],[HomeMargin]]-Table3[[#This Row],[HomeForecast]])^2</f>
        <v>0.50470602061931602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-0.11444182898763881</v>
      </c>
      <c r="J343">
        <f>(Table3[[#This Row],[HomeMargin]]-Table3[[#This Row],[HomeForecast]])^2</f>
        <v>8.3264459582962029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0.30155245238097966</v>
      </c>
      <c r="J344">
        <f>(Table3[[#This Row],[HomeMargin]]-Table3[[#This Row],[HomeForecast]])^2</f>
        <v>7.2816191672511037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-1.7682035275138452</v>
      </c>
      <c r="J345">
        <f>(Table3[[#This Row],[HomeMargin]]-Table3[[#This Row],[HomeForecast]])^2</f>
        <v>1.5173225496293343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1.2744682223988195</v>
      </c>
      <c r="J346">
        <f>(Table3[[#This Row],[HomeMargin]]-Table3[[#This Row],[HomeForecast]])^2</f>
        <v>5.1732056947020455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0.26079074057655904</v>
      </c>
      <c r="J347">
        <f>(Table3[[#This Row],[HomeMargin]]-Table3[[#This Row],[HomeForecast]])^2</f>
        <v>7.503267366911115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0.53478078654452443</v>
      </c>
      <c r="J348">
        <f>(Table3[[#This Row],[HomeMargin]]-Table3[[#This Row],[HomeForecast]])^2</f>
        <v>2.355552062746229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-0.18167091799460713</v>
      </c>
      <c r="J349">
        <f>(Table3[[#This Row],[HomeMargin]]-Table3[[#This Row],[HomeForecast]])^2</f>
        <v>0.66966248645578907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0.8730137377778886</v>
      </c>
      <c r="J350">
        <f>(Table3[[#This Row],[HomeMargin]]-Table3[[#This Row],[HomeForecast]])^2</f>
        <v>1.6125510793142839E-2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-0.71562799445797987</v>
      </c>
      <c r="J351">
        <f>(Table3[[#This Row],[HomeMargin]]-Table3[[#This Row],[HomeForecast]])^2</f>
        <v>1.6496114486200306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-8.3026851995214368E-2</v>
      </c>
      <c r="J352">
        <f>(Table3[[#This Row],[HomeMargin]]-Table3[[#This Row],[HomeForecast]])^2</f>
        <v>9.5050545701235212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-1.7928709524428919</v>
      </c>
      <c r="J353">
        <f>(Table3[[#This Row],[HomeMargin]]-Table3[[#This Row],[HomeForecast]])^2</f>
        <v>0.62864434722769846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0.46485390105255053</v>
      </c>
      <c r="J354">
        <f>(Table3[[#This Row],[HomeMargin]]-Table3[[#This Row],[HomeForecast]])^2</f>
        <v>0.28638134721867337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-0.3310953554127713</v>
      </c>
      <c r="J355">
        <f>(Table3[[#This Row],[HomeMargin]]-Table3[[#This Row],[HomeForecast]])^2</f>
        <v>5.4340055560269942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-0.3800881787052599</v>
      </c>
      <c r="J356">
        <f>(Table3[[#This Row],[HomeMargin]]-Table3[[#This Row],[HomeForecast]])^2</f>
        <v>6.8639379513599206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-0.35840688250348779</v>
      </c>
      <c r="J357">
        <f>(Table3[[#This Row],[HomeMargin]]-Table3[[#This Row],[HomeForecast]])^2</f>
        <v>6.9780141984049431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-7.664923053184805E-2</v>
      </c>
      <c r="J358">
        <f>(Table3[[#This Row],[HomeMargin]]-Table3[[#This Row],[HomeForecast]])^2</f>
        <v>1.1591735656048203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-0.262776963829636</v>
      </c>
      <c r="J359">
        <f>(Table3[[#This Row],[HomeMargin]]-Table3[[#This Row],[HomeForecast]])^2</f>
        <v>1.5946056603787939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-0.27358877957206917</v>
      </c>
      <c r="J360">
        <f>(Table3[[#This Row],[HomeMargin]]-Table3[[#This Row],[HomeForecast]])^2</f>
        <v>22.338963024587041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0.72010018843198909</v>
      </c>
      <c r="J361">
        <f>(Table3[[#This Row],[HomeMargin]]-Table3[[#This Row],[HomeForecast]])^2</f>
        <v>7.8343904515808013E-2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1.2043776318859329</v>
      </c>
      <c r="J362">
        <f>(Table3[[#This Row],[HomeMargin]]-Table3[[#This Row],[HomeForecast]])^2</f>
        <v>3.22425968887157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0.36159274554959497</v>
      </c>
      <c r="J363">
        <f>(Table3[[#This Row],[HomeMargin]]-Table3[[#This Row],[HomeForecast]])^2</f>
        <v>13.238007349237336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0.34381491966687511</v>
      </c>
      <c r="J364">
        <f>(Table3[[#This Row],[HomeMargin]]-Table3[[#This Row],[HomeForecast]])^2</f>
        <v>13.367689341650539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-0.25896809465903858</v>
      </c>
      <c r="J365">
        <f>(Table3[[#This Row],[HomeMargin]]-Table3[[#This Row],[HomeForecast]])^2</f>
        <v>22.477383527460951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0.98456344708670518</v>
      </c>
      <c r="J366">
        <f>(Table3[[#This Row],[HomeMargin]]-Table3[[#This Row],[HomeForecast]])^2</f>
        <v>3.9384920755126651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1.0470486691736021</v>
      </c>
      <c r="J367">
        <f>(Table3[[#This Row],[HomeMargin]]-Table3[[#This Row],[HomeForecast]])^2</f>
        <v>9.2845055923126196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0.12875520855375772</v>
      </c>
      <c r="J368">
        <f>(Table3[[#This Row],[HomeMargin]]-Table3[[#This Row],[HomeForecast]])^2</f>
        <v>1.2740883208372371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-0.68909416211913277</v>
      </c>
      <c r="J369">
        <f>(Table3[[#This Row],[HomeMargin]]-Table3[[#This Row],[HomeForecast]])^2</f>
        <v>9.6662440028404101E-2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1.7277082803179722</v>
      </c>
      <c r="J370">
        <f>(Table3[[#This Row],[HomeMargin]]-Table3[[#This Row],[HomeForecast]])^2</f>
        <v>18.252476538063618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0.65474466650156227</v>
      </c>
      <c r="J371">
        <f>(Table3[[#This Row],[HomeMargin]]-Table3[[#This Row],[HomeForecast]])^2</f>
        <v>13.357158577321616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0.16148264583909355</v>
      </c>
      <c r="J372">
        <f>(Table3[[#This Row],[HomeMargin]]-Table3[[#This Row],[HomeForecast]])^2</f>
        <v>4.6720072282635687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0.79422505411017619</v>
      </c>
      <c r="J373">
        <f>(Table3[[#This Row],[HomeMargin]]-Table3[[#This Row],[HomeForecast]])^2</f>
        <v>4.2343328355959921E-2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6.8098420739517412E-2</v>
      </c>
      <c r="J374">
        <f>(Table3[[#This Row],[HomeMargin]]-Table3[[#This Row],[HomeForecast]])^2</f>
        <v>4.2770310778652858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-1.5335512010277705E-2</v>
      </c>
      <c r="J375">
        <f>(Table3[[#This Row],[HomeMargin]]-Table3[[#This Row],[HomeForecast]])^2</f>
        <v>4.061577225969728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-0.56403311902003339</v>
      </c>
      <c r="J376">
        <f>(Table3[[#This Row],[HomeMargin]]-Table3[[#This Row],[HomeForecast]])^2</f>
        <v>0.19006712131140038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1.5851283447728965</v>
      </c>
      <c r="J377">
        <f>(Table3[[#This Row],[HomeMargin]]-Table3[[#This Row],[HomeForecast]])^2</f>
        <v>5.8316051112192904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0.43662709374104647</v>
      </c>
      <c r="J378">
        <f>(Table3[[#This Row],[HomeMargin]]-Table3[[#This Row],[HomeForecast]])^2</f>
        <v>2.0638974064708457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0.17457581641914477</v>
      </c>
      <c r="J379">
        <f>(Table3[[#This Row],[HomeMargin]]-Table3[[#This Row],[HomeForecast]])^2</f>
        <v>1.3796283485167002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0.40296637837743238</v>
      </c>
      <c r="J380">
        <f>(Table3[[#This Row],[HomeMargin]]-Table3[[#This Row],[HomeForecast]])^2</f>
        <v>0.35644914534775918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8.2183292665722885E-2</v>
      </c>
      <c r="J381">
        <f>(Table3[[#This Row],[HomeMargin]]-Table3[[#This Row],[HomeForecast]])^2</f>
        <v>0.84238750826193409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0.70253053703351687</v>
      </c>
      <c r="J382">
        <f>(Table3[[#This Row],[HomeMargin]]-Table3[[#This Row],[HomeForecast]])^2</f>
        <v>22.113793451732736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0.78176648959709882</v>
      </c>
      <c r="J383">
        <f>(Table3[[#This Row],[HomeMargin]]-Table3[[#This Row],[HomeForecast]])^2</f>
        <v>33.428823740227962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0.84261072767453915</v>
      </c>
      <c r="J384">
        <f>(Table3[[#This Row],[HomeMargin]]-Table3[[#This Row],[HomeForecast]])^2</f>
        <v>9.9691070169959044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-0.2525750573460821</v>
      </c>
      <c r="J385">
        <f>(Table3[[#This Row],[HomeMargin]]-Table3[[#This Row],[HomeForecast]])^2</f>
        <v>0.55864404490121244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8.3463036974055216E-2</v>
      </c>
      <c r="J386">
        <f>(Table3[[#This Row],[HomeMargin]]-Table3[[#This Row],[HomeForecast]])^2</f>
        <v>1.1738921524890429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0.21305536176883247</v>
      </c>
      <c r="J387">
        <f>(Table3[[#This Row],[HomeMargin]]-Table3[[#This Row],[HomeForecast]])^2</f>
        <v>0.61928186364078319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-0.76986956102044823</v>
      </c>
      <c r="J388">
        <f>(Table3[[#This Row],[HomeMargin]]-Table3[[#This Row],[HomeForecast]])^2</f>
        <v>4.9734817748631279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0.54223335872605727</v>
      </c>
      <c r="J389">
        <f>(Table3[[#This Row],[HomeMargin]]-Table3[[#This Row],[HomeForecast]])^2</f>
        <v>6.4629504502195703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-0.99564632842065726</v>
      </c>
      <c r="J390">
        <f>(Table3[[#This Row],[HomeMargin]]-Table3[[#This Row],[HomeForecast]])^2</f>
        <v>3.9826042681388492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0.43571335151828816</v>
      </c>
      <c r="J391">
        <f>(Table3[[#This Row],[HomeMargin]]-Table3[[#This Row],[HomeForecast]])^2</f>
        <v>2.0612728277278753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0.90548892886132515</v>
      </c>
      <c r="J392">
        <f>(Table3[[#This Row],[HomeMargin]]-Table3[[#This Row],[HomeForecast]])^2</f>
        <v>8.9323425677796577E-3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-0.94881490233803589</v>
      </c>
      <c r="J393">
        <f>(Table3[[#This Row],[HomeMargin]]-Table3[[#This Row],[HomeForecast]])^2</f>
        <v>3.7978795235748084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0.18316481009455343</v>
      </c>
      <c r="J394">
        <f>(Table3[[#This Row],[HomeMargin]]-Table3[[#This Row],[HomeForecast]])^2</f>
        <v>10.132538208224293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0.36443966631753089</v>
      </c>
      <c r="J395">
        <f>(Table3[[#This Row],[HomeMargin]]-Table3[[#This Row],[HomeForecast]])^2</f>
        <v>2.6750576051155095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0.25749824562259188</v>
      </c>
      <c r="J396">
        <f>(Table3[[#This Row],[HomeMargin]]-Table3[[#This Row],[HomeForecast]])^2</f>
        <v>0.55130885525352902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1.4464958940956718</v>
      </c>
      <c r="J397">
        <f>(Table3[[#This Row],[HomeMargin]]-Table3[[#This Row],[HomeForecast]])^2</f>
        <v>12.627391430678919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1.0105106163240842</v>
      </c>
      <c r="J398">
        <f>(Table3[[#This Row],[HomeMargin]]-Table3[[#This Row],[HomeForecast]])^2</f>
        <v>1.1047305551210594E-4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3.1344854436570702E-2</v>
      </c>
      <c r="J399">
        <f>(Table3[[#This Row],[HomeMargin]]-Table3[[#This Row],[HomeForecast]])^2</f>
        <v>1.063672208772791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-4.4529816770355168E-2</v>
      </c>
      <c r="J400">
        <f>(Table3[[#This Row],[HomeMargin]]-Table3[[#This Row],[HomeForecast]])^2</f>
        <v>3.8238636375001809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-0.19788939278349632</v>
      </c>
      <c r="J401">
        <f>(Table3[[#This Row],[HomeMargin]]-Table3[[#This Row],[HomeForecast]])^2</f>
        <v>7.8518238550752431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-1.2149018524313733</v>
      </c>
      <c r="J402">
        <f>(Table3[[#This Row],[HomeMargin]]-Table3[[#This Row],[HomeForecast]])^2</f>
        <v>3.1865753964529429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0.48946072780294175</v>
      </c>
      <c r="J403">
        <f>(Table3[[#This Row],[HomeMargin]]-Table3[[#This Row],[HomeForecast]])^2</f>
        <v>30.134179082090803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-0.19693456245789281</v>
      </c>
      <c r="J404">
        <f>(Table3[[#This Row],[HomeMargin]]-Table3[[#This Row],[HomeForecast]])^2</f>
        <v>14.463306722227339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-1.2687225405005718</v>
      </c>
      <c r="J405">
        <f>(Table3[[#This Row],[HomeMargin]]-Table3[[#This Row],[HomeForecast]])^2</f>
        <v>5.1471019657753683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0.46437719631685381</v>
      </c>
      <c r="J406">
        <f>(Table3[[#This Row],[HomeMargin]]-Table3[[#This Row],[HomeForecast]])^2</f>
        <v>0.28689178782539415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1.2010142377089217</v>
      </c>
      <c r="J407">
        <f>(Table3[[#This Row],[HomeMargin]]-Table3[[#This Row],[HomeForecast]])^2</f>
        <v>4.0406723761698869E-2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-0.25236765225340185</v>
      </c>
      <c r="J408">
        <f>(Table3[[#This Row],[HomeMargin]]-Table3[[#This Row],[HomeForecast]])^2</f>
        <v>5.0731600409175019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0.53296299993136831</v>
      </c>
      <c r="J409">
        <f>(Table3[[#This Row],[HomeMargin]]-Table3[[#This Row],[HomeForecast]])^2</f>
        <v>19.95441955998216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0.16322463789653896</v>
      </c>
      <c r="J410">
        <f>(Table3[[#This Row],[HomeMargin]]-Table3[[#This Row],[HomeForecast]])^2</f>
        <v>10.005990109795688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0.6514534137762229</v>
      </c>
      <c r="J411">
        <f>(Table3[[#This Row],[HomeMargin]]-Table3[[#This Row],[HomeForecast]])^2</f>
        <v>11.212764240110911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-8.13340726283312E-2</v>
      </c>
      <c r="J412">
        <f>(Table3[[#This Row],[HomeMargin]]-Table3[[#This Row],[HomeForecast]])^2</f>
        <v>3.6812789408569859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-0.28937931320405813</v>
      </c>
      <c r="J413">
        <f>(Table3[[#This Row],[HomeMargin]]-Table3[[#This Row],[HomeForecast]])^2</f>
        <v>13.768705881277988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-0.50157855615714297</v>
      </c>
      <c r="J414">
        <f>(Table3[[#This Row],[HomeMargin]]-Table3[[#This Row],[HomeForecast]])^2</f>
        <v>12.261052384939541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-0.73808804066570688</v>
      </c>
      <c r="J415">
        <f>(Table3[[#This Row],[HomeMargin]]-Table3[[#This Row],[HomeForecast]])^2</f>
        <v>5.1162457117795022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2.5250667472761954</v>
      </c>
      <c r="J416">
        <f>(Table3[[#This Row],[HomeMargin]]-Table3[[#This Row],[HomeForecast]])^2</f>
        <v>0.27569508909520407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-4.1237321816387992E-2</v>
      </c>
      <c r="J417">
        <f>(Table3[[#This Row],[HomeMargin]]-Table3[[#This Row],[HomeForecast]])^2</f>
        <v>1.0841751603433643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-6.013520482417415E-2</v>
      </c>
      <c r="J418">
        <f>(Table3[[#This Row],[HomeMargin]]-Table3[[#This Row],[HomeForecast]])^2</f>
        <v>0.8833458332108971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0.1453031366317733</v>
      </c>
      <c r="J419">
        <f>(Table3[[#This Row],[HomeMargin]]-Table3[[#This Row],[HomeForecast]])^2</f>
        <v>9.8929318213056714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-0.13094745079299064</v>
      </c>
      <c r="J420">
        <f>(Table3[[#This Row],[HomeMargin]]-Table3[[#This Row],[HomeForecast]])^2</f>
        <v>3.4933574316972202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9.9541468227693289E-2</v>
      </c>
      <c r="J421">
        <f>(Table3[[#This Row],[HomeMargin]]-Table3[[#This Row],[HomeForecast]])^2</f>
        <v>9.6071573132630856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0.16051411725088616</v>
      </c>
      <c r="J422">
        <f>(Table3[[#This Row],[HomeMargin]]-Table3[[#This Row],[HomeForecast]])^2</f>
        <v>14.741651843829739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-0.66053381846454284</v>
      </c>
      <c r="J423">
        <f>(Table3[[#This Row],[HomeMargin]]-Table3[[#This Row],[HomeForecast]])^2</f>
        <v>2.7573725622644352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-0.76167771383741523</v>
      </c>
      <c r="J424">
        <f>(Table3[[#This Row],[HomeMargin]]-Table3[[#This Row],[HomeForecast]])^2</f>
        <v>3.1035083674314214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0.74580079224797757</v>
      </c>
      <c r="J425">
        <f>(Table3[[#This Row],[HomeMargin]]-Table3[[#This Row],[HomeForecast]])^2</f>
        <v>6.4617237221755858E-2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-0.42250403793176294</v>
      </c>
      <c r="J426">
        <f>(Table3[[#This Row],[HomeMargin]]-Table3[[#This Row],[HomeForecast]])^2</f>
        <v>43.263453131023965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0.34007916444088115</v>
      </c>
      <c r="J427">
        <f>(Table3[[#This Row],[HomeMargin]]-Table3[[#This Row],[HomeForecast]])^2</f>
        <v>0.43549550920504559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-0.68755284815922812</v>
      </c>
      <c r="J428">
        <f>(Table3[[#This Row],[HomeMargin]]-Table3[[#This Row],[HomeForecast]])^2</f>
        <v>5.3474118300564966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-0.41284528711743779</v>
      </c>
      <c r="J429">
        <f>(Table3[[#This Row],[HomeMargin]]-Table3[[#This Row],[HomeForecast]])^2</f>
        <v>11.647512953799707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-0.23596913825574972</v>
      </c>
      <c r="J430">
        <f>(Table3[[#This Row],[HomeMargin]]-Table3[[#This Row],[HomeForecast]])^2</f>
        <v>33.224051775140161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1.3145002635624041</v>
      </c>
      <c r="J431">
        <f>(Table3[[#This Row],[HomeMargin]]-Table3[[#This Row],[HomeForecast]])^2</f>
        <v>2.8409093615312053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0.80408401561463771</v>
      </c>
      <c r="J432">
        <f>(Table3[[#This Row],[HomeMargin]]-Table3[[#This Row],[HomeForecast]])^2</f>
        <v>23.079223229084064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-7.3312429298202836E-2</v>
      </c>
      <c r="J433">
        <f>(Table3[[#This Row],[HomeMargin]]-Table3[[#This Row],[HomeForecast]])^2</f>
        <v>1.1519995708860096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-0.71681039253787027</v>
      </c>
      <c r="J434">
        <f>(Table3[[#This Row],[HomeMargin]]-Table3[[#This Row],[HomeForecast]])^2</f>
        <v>13.814679494077518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0.41319548626409669</v>
      </c>
      <c r="J435">
        <f>(Table3[[#This Row],[HomeMargin]]-Table3[[#This Row],[HomeForecast]])^2</f>
        <v>21.038775647228057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0.48984970337827305</v>
      </c>
      <c r="J436">
        <f>(Table3[[#This Row],[HomeMargin]]-Table3[[#This Row],[HomeForecast]])^2</f>
        <v>2.2196521386563277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0.49457574529698478</v>
      </c>
      <c r="J437">
        <f>(Table3[[#This Row],[HomeMargin]]-Table3[[#This Row],[HomeForecast]])^2</f>
        <v>2.2337566584300377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-1.1122535803594795</v>
      </c>
      <c r="J438">
        <f>(Table3[[#This Row],[HomeMargin]]-Table3[[#This Row],[HomeForecast]])^2</f>
        <v>16.910629509179358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0.55310609961535273</v>
      </c>
      <c r="J439">
        <f>(Table3[[#This Row],[HomeMargin]]-Table3[[#This Row],[HomeForecast]])^2</f>
        <v>6.5183507558931204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0.80686785677877293</v>
      </c>
      <c r="J440">
        <f>(Table3[[#This Row],[HomeMargin]]-Table3[[#This Row],[HomeForecast]])^2</f>
        <v>3.2647714518603159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-0.15689462003036969</v>
      </c>
      <c r="J441">
        <f>(Table3[[#This Row],[HomeMargin]]-Table3[[#This Row],[HomeForecast]])^2</f>
        <v>1.3384051618552133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0.82276437982907735</v>
      </c>
      <c r="J442">
        <f>(Table3[[#This Row],[HomeMargin]]-Table3[[#This Row],[HomeForecast]])^2</f>
        <v>4.7403549457410623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-0.32916566464700459</v>
      </c>
      <c r="J443">
        <f>(Table3[[#This Row],[HomeMargin]]-Table3[[#This Row],[HomeForecast]])^2</f>
        <v>7.1333560469004764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-1.2989370231153661</v>
      </c>
      <c r="J444">
        <f>(Table3[[#This Row],[HomeMargin]]-Table3[[#This Row],[HomeForecast]])^2</f>
        <v>2.8936152513276125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-0.43519248997001903</v>
      </c>
      <c r="J445">
        <f>(Table3[[#This Row],[HomeMargin]]-Table3[[#This Row],[HomeForecast]])^2</f>
        <v>11.800547443146419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0.62840567135532976</v>
      </c>
      <c r="J446">
        <f>(Table3[[#This Row],[HomeMargin]]-Table3[[#This Row],[HomeForecast]])^2</f>
        <v>5.6244596596595633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1.1486305823611374</v>
      </c>
      <c r="J447">
        <f>(Table3[[#This Row],[HomeMargin]]-Table3[[#This Row],[HomeForecast]])^2</f>
        <v>3.4275687205684613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-0.81071838250700423</v>
      </c>
      <c r="J448">
        <f>(Table3[[#This Row],[HomeMargin]]-Table3[[#This Row],[HomeForecast]])^2</f>
        <v>7.9001378257627906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0.40640213958241556</v>
      </c>
      <c r="J449">
        <f>(Table3[[#This Row],[HomeMargin]]-Table3[[#This Row],[HomeForecast]])^2</f>
        <v>12.913945582397838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0.12467838998111752</v>
      </c>
      <c r="J450">
        <f>(Table3[[#This Row],[HomeMargin]]-Table3[[#This Row],[HomeForecast]])^2</f>
        <v>0.76618792096604871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0.49457574529698478</v>
      </c>
      <c r="J451">
        <f>(Table3[[#This Row],[HomeMargin]]-Table3[[#This Row],[HomeForecast]])^2</f>
        <v>30.309696224272255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-1.66662161432631</v>
      </c>
      <c r="J452">
        <f>(Table3[[#This Row],[HomeMargin]]-Table3[[#This Row],[HomeForecast]])^2</f>
        <v>0.44438437668701553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1.16507582614424</v>
      </c>
      <c r="J453">
        <f>(Table3[[#This Row],[HomeMargin]]-Table3[[#This Row],[HomeForecast]])^2</f>
        <v>4.6875533329541632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-0.13925723469044124</v>
      </c>
      <c r="J454">
        <f>(Table3[[#This Row],[HomeMargin]]-Table3[[#This Row],[HomeForecast]])^2</f>
        <v>0.74087810803274612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0.87679474227074672</v>
      </c>
      <c r="J455">
        <f>(Table3[[#This Row],[HomeMargin]]-Table3[[#This Row],[HomeForecast]])^2</f>
        <v>8.2759479891566112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-8.529152857477576E-2</v>
      </c>
      <c r="J456">
        <f>(Table3[[#This Row],[HomeMargin]]-Table3[[#This Row],[HomeForecast]])^2</f>
        <v>0.8366915876970703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-1.2050290331462321</v>
      </c>
      <c r="J457">
        <f>(Table3[[#This Row],[HomeMargin]]-Table3[[#This Row],[HomeForecast]])^2</f>
        <v>10.272211103310271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0.46862857605960573</v>
      </c>
      <c r="J458">
        <f>(Table3[[#This Row],[HomeMargin]]-Table3[[#This Row],[HomeForecast]])^2</f>
        <v>30.59606982958438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0.89187441135906043</v>
      </c>
      <c r="J459">
        <f>(Table3[[#This Row],[HomeMargin]]-Table3[[#This Row],[HomeForecast]])^2</f>
        <v>15.146686433791432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0.35364371818481483</v>
      </c>
      <c r="J460">
        <f>(Table3[[#This Row],[HomeMargin]]-Table3[[#This Row],[HomeForecast]])^2</f>
        <v>0.417776443041951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-0.16610024377609267</v>
      </c>
      <c r="J461">
        <f>(Table3[[#This Row],[HomeMargin]]-Table3[[#This Row],[HomeForecast]])^2</f>
        <v>10.024190753639035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1.1564868324688313</v>
      </c>
      <c r="J462">
        <f>(Table3[[#This Row],[HomeMargin]]-Table3[[#This Row],[HomeForecast]])^2</f>
        <v>4.6504354586114536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-0.40329053032519169</v>
      </c>
      <c r="J463">
        <f>(Table3[[#This Row],[HomeMargin]]-Table3[[#This Row],[HomeForecast]])^2</f>
        <v>0.35606219119959098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-1.4398364699746657</v>
      </c>
      <c r="J464">
        <f>(Table3[[#This Row],[HomeMargin]]-Table3[[#This Row],[HomeForecast]])^2</f>
        <v>0.19345612031977505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0.34381491966687511</v>
      </c>
      <c r="J465">
        <f>(Table3[[#This Row],[HomeMargin]]-Table3[[#This Row],[HomeForecast]])^2</f>
        <v>2.7429490203180391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-0.79359600000440156</v>
      </c>
      <c r="J466">
        <f>(Table3[[#This Row],[HomeMargin]]-Table3[[#This Row],[HomeForecast]])^2</f>
        <v>14.391370611249398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-0.36520022918516892</v>
      </c>
      <c r="J467">
        <f>(Table3[[#This Row],[HomeMargin]]-Table3[[#This Row],[HomeForecast]])^2</f>
        <v>6.9421698322858871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-0.97193719887240881</v>
      </c>
      <c r="J468">
        <f>(Table3[[#This Row],[HomeMargin]]-Table3[[#This Row],[HomeForecast]])^2</f>
        <v>8.8324107140415791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0.61281779250058777</v>
      </c>
      <c r="J469">
        <f>(Table3[[#This Row],[HomeMargin]]-Table3[[#This Row],[HomeForecast]])^2</f>
        <v>6.8268168168076437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-0.97908603865150445</v>
      </c>
      <c r="J470">
        <f>(Table3[[#This Row],[HomeMargin]]-Table3[[#This Row],[HomeForecast]])^2</f>
        <v>9.1259211618702611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0.78345926896398188</v>
      </c>
      <c r="J471">
        <f>(Table3[[#This Row],[HomeMargin]]-Table3[[#This Row],[HomeForecast]])^2</f>
        <v>4.9130528123416859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-0.13692081229070541</v>
      </c>
      <c r="J472">
        <f>(Table3[[#This Row],[HomeMargin]]-Table3[[#This Row],[HomeForecast]])^2</f>
        <v>0.74490568425693582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-0.77851520839453114</v>
      </c>
      <c r="J473">
        <f>(Table3[[#This Row],[HomeMargin]]-Table3[[#This Row],[HomeForecast]])^2</f>
        <v>17.820933845756265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-1.7682035275138452</v>
      </c>
      <c r="J474">
        <f>(Table3[[#This Row],[HomeMargin]]-Table3[[#This Row],[HomeForecast]])^2</f>
        <v>7.662950769740096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0.15107750364163874</v>
      </c>
      <c r="J475">
        <f>(Table3[[#This Row],[HomeMargin]]-Table3[[#This Row],[HomeForecast]])^2</f>
        <v>0.72066940482331188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0.47898123393716568</v>
      </c>
      <c r="J476">
        <f>(Table3[[#This Row],[HomeMargin]]-Table3[[#This Row],[HomeForecast]])^2</f>
        <v>2.1873854903383014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0.1797413484402044</v>
      </c>
      <c r="J477">
        <f>(Table3[[#This Row],[HomeMargin]]-Table3[[#This Row],[HomeForecast]])^2</f>
        <v>7.9538588616978751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0.49817660532198443</v>
      </c>
      <c r="J478">
        <f>(Table3[[#This Row],[HomeMargin]]-Table3[[#This Row],[HomeForecast]])^2</f>
        <v>2.2445331407341054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-1.0982393397562</v>
      </c>
      <c r="J479">
        <f>(Table3[[#This Row],[HomeMargin]]-Table3[[#This Row],[HomeForecast]])^2</f>
        <v>3.6166936088509338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-0.5572397723383522</v>
      </c>
      <c r="J480">
        <f>(Table3[[#This Row],[HomeMargin]]-Table3[[#This Row],[HomeForecast]])^2</f>
        <v>0.19603661919899418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-0.49086739804314261</v>
      </c>
      <c r="J481">
        <f>(Table3[[#This Row],[HomeMargin]]-Table3[[#This Row],[HomeForecast]])^2</f>
        <v>0.2592160063753598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-1.8118876213480073E-2</v>
      </c>
      <c r="J482">
        <f>(Table3[[#This Row],[HomeMargin]]-Table3[[#This Row],[HomeForecast]])^2</f>
        <v>9.1090415509561193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4.557911144318294E-2</v>
      </c>
      <c r="J483">
        <f>(Table3[[#This Row],[HomeMargin]]-Table3[[#This Row],[HomeForecast]])^2</f>
        <v>0.9109192325135842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0.59287640949025278</v>
      </c>
      <c r="J484">
        <f>(Table3[[#This Row],[HomeMargin]]-Table3[[#This Row],[HomeForecast]])^2</f>
        <v>2.5372552559105594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-7.3255775599528644E-2</v>
      </c>
      <c r="J485">
        <f>(Table3[[#This Row],[HomeMargin]]-Table3[[#This Row],[HomeForecast]])^2</f>
        <v>8.5658317550615166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1.602745209844878</v>
      </c>
      <c r="J486">
        <f>(Table3[[#This Row],[HomeMargin]]-Table3[[#This Row],[HomeForecast]])^2</f>
        <v>5.7468305289216781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0.16580778967055351</v>
      </c>
      <c r="J487">
        <f>(Table3[[#This Row],[HomeMargin]]-Table3[[#This Row],[HomeForecast]])^2</f>
        <v>8.0326454850921145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-9.0702427931762503E-2</v>
      </c>
      <c r="J488">
        <f>(Table3[[#This Row],[HomeMargin]]-Table3[[#This Row],[HomeForecast]])^2</f>
        <v>9.5524414980232901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-1.1407769867531861</v>
      </c>
      <c r="J489">
        <f>(Table3[[#This Row],[HomeMargin]]-Table3[[#This Row],[HomeForecast]])^2</f>
        <v>8.1751562394801898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0.6185182752444538</v>
      </c>
      <c r="J490">
        <f>(Table3[[#This Row],[HomeMargin]]-Table3[[#This Row],[HomeForecast]])^2</f>
        <v>19.197382104366834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0.42824971983001059</v>
      </c>
      <c r="J491">
        <f>(Table3[[#This Row],[HomeMargin]]-Table3[[#This Row],[HomeForecast]])^2</f>
        <v>6.6138995035544177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-0.17650538597354748</v>
      </c>
      <c r="J492">
        <f>(Table3[[#This Row],[HomeMargin]]-Table3[[#This Row],[HomeForecast]])^2</f>
        <v>0.678143379330576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0.29603873732506408</v>
      </c>
      <c r="J493">
        <f>(Table3[[#This Row],[HomeMargin]]-Table3[[#This Row],[HomeForecast]])^2</f>
        <v>5.2717938832972742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0.19592085764752465</v>
      </c>
      <c r="J494">
        <f>(Table3[[#This Row],[HomeMargin]]-Table3[[#This Row],[HomeForecast]])^2</f>
        <v>1.4302266977563909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-1.2818146406127633</v>
      </c>
      <c r="J495">
        <f>(Table3[[#This Row],[HomeMargin]]-Table3[[#This Row],[HomeForecast]])^2</f>
        <v>7.9419491663700936E-2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-0.28183167172825008</v>
      </c>
      <c r="J496">
        <f>(Table3[[#This Row],[HomeMargin]]-Table3[[#This Row],[HomeForecast]])^2</f>
        <v>7.3884390608196382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-0.33151388739400489</v>
      </c>
      <c r="J497">
        <f>(Table3[[#This Row],[HomeMargin]]-Table3[[#This Row],[HomeForecast]])^2</f>
        <v>0.44687368274707517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-0.37758992650920309</v>
      </c>
      <c r="J498">
        <f>(Table3[[#This Row],[HomeMargin]]-Table3[[#This Row],[HomeForecast]])^2</f>
        <v>1.8977540056196316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0.67536914296050676</v>
      </c>
      <c r="J499">
        <f>(Table3[[#This Row],[HomeMargin]]-Table3[[#This Row],[HomeForecast]])^2</f>
        <v>1.7546469074211821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-0.13970113011557145</v>
      </c>
      <c r="J500">
        <f>(Table3[[#This Row],[HomeMargin]]-Table3[[#This Row],[HomeForecast]])^2</f>
        <v>0.74011414552442478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-0.46315116762440511</v>
      </c>
      <c r="J501">
        <f>(Table3[[#This Row],[HomeMargin]]-Table3[[#This Row],[HomeForecast]])^2</f>
        <v>12.509299663076611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1.9844644513200493</v>
      </c>
      <c r="J502">
        <f>(Table3[[#This Row],[HomeMargin]]-Table3[[#This Row],[HomeForecast]])^2</f>
        <v>2.4135327278711674E-4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0.69780130935598328</v>
      </c>
      <c r="J503">
        <f>(Table3[[#This Row],[HomeMargin]]-Table3[[#This Row],[HomeForecast]])^2</f>
        <v>22.069337142186793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0.52229197571572228</v>
      </c>
      <c r="J504">
        <f>(Table3[[#This Row],[HomeMargin]]-Table3[[#This Row],[HomeForecast]])^2</f>
        <v>2.317372859328477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0.33413011009650384</v>
      </c>
      <c r="J505">
        <f>(Table3[[#This Row],[HomeMargin]]-Table3[[#This Row],[HomeForecast]])^2</f>
        <v>0.44338271028009407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-5.1993448458632741E-2</v>
      </c>
      <c r="J506">
        <f>(Table3[[#This Row],[HomeMargin]]-Table3[[#This Row],[HomeForecast]])^2</f>
        <v>9.3146640094344182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-0.66053381846454284</v>
      </c>
      <c r="J507">
        <f>(Table3[[#This Row],[HomeMargin]]-Table3[[#This Row],[HomeForecast]])^2</f>
        <v>2.7573725622644352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-0.32825618213374019</v>
      </c>
      <c r="J508">
        <f>(Table3[[#This Row],[HomeMargin]]-Table3[[#This Row],[HomeForecast]])^2</f>
        <v>1.7642644853764995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-0.60400260101575409</v>
      </c>
      <c r="J509">
        <f>(Table3[[#This Row],[HomeMargin]]-Table3[[#This Row],[HomeForecast]])^2</f>
        <v>0.15681394000228804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0.57725112354736452</v>
      </c>
      <c r="J510">
        <f>(Table3[[#This Row],[HomeMargin]]-Table3[[#This Row],[HomeForecast]])^2</f>
        <v>2.4877211067314238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-0.15161450371631019</v>
      </c>
      <c r="J511">
        <f>(Table3[[#This Row],[HomeMargin]]-Table3[[#This Row],[HomeForecast]])^2</f>
        <v>8.1132999354392812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-0.1867054545712285</v>
      </c>
      <c r="J512">
        <f>(Table3[[#This Row],[HomeMargin]]-Table3[[#This Row],[HomeForecast]])^2</f>
        <v>17.528502563336477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0.82026352482195797</v>
      </c>
      <c r="J513">
        <f>(Table3[[#This Row],[HomeMargin]]-Table3[[#This Row],[HomeForecast]])^2</f>
        <v>3.2305200509426917E-2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0.18470567267833968</v>
      </c>
      <c r="J514">
        <f>(Table3[[#This Row],[HomeMargin]]-Table3[[#This Row],[HomeForecast]])^2</f>
        <v>14.556470804092839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4.1807486761567536E-2</v>
      </c>
      <c r="J515">
        <f>(Table3[[#This Row],[HomeMargin]]-Table3[[#This Row],[HomeForecast]])^2</f>
        <v>8.7509029453799148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0.8244395367249705</v>
      </c>
      <c r="J516">
        <f>(Table3[[#This Row],[HomeMargin]]-Table3[[#This Row],[HomeForecast]])^2</f>
        <v>3.3285796231652256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-3.2457894512880406E-2</v>
      </c>
      <c r="J517">
        <f>(Table3[[#This Row],[HomeMargin]]-Table3[[#This Row],[HomeForecast]])^2</f>
        <v>0.93613772589044852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-0.44198583665170016</v>
      </c>
      <c r="J518">
        <f>(Table3[[#This Row],[HomeMargin]]-Table3[[#This Row],[HomeForecast]])^2</f>
        <v>2.4274081331939024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0.71774269236631827</v>
      </c>
      <c r="J519">
        <f>(Table3[[#This Row],[HomeMargin]]-Table3[[#This Row],[HomeForecast]])^2</f>
        <v>5.2086984182473417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-0.12611831413681984</v>
      </c>
      <c r="J520">
        <f>(Table3[[#This Row],[HomeMargin]]-Table3[[#This Row],[HomeForecast]])^2</f>
        <v>8.2591959443397958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-0.40225735143824981</v>
      </c>
      <c r="J521">
        <f>(Table3[[#This Row],[HomeMargin]]-Table3[[#This Row],[HomeForecast]])^2</f>
        <v>6.7482668681566169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1.1510254479499413</v>
      </c>
      <c r="J522">
        <f>(Table3[[#This Row],[HomeMargin]]-Table3[[#This Row],[HomeForecast]])^2</f>
        <v>17.231012269528009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-0.13240723431008591</v>
      </c>
      <c r="J523">
        <f>(Table3[[#This Row],[HomeMargin]]-Table3[[#This Row],[HomeForecast]])^2</f>
        <v>0.75271720707747414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-6.2352738841269725E-2</v>
      </c>
      <c r="J524">
        <f>(Table3[[#This Row],[HomeMargin]]-Table3[[#This Row],[HomeForecast]])^2</f>
        <v>9.3780042970886264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0.1374710860728004</v>
      </c>
      <c r="J525">
        <f>(Table3[[#This Row],[HomeMargin]]-Table3[[#This Row],[HomeForecast]])^2</f>
        <v>0.74395612736043459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-1.2052806528034532E-3</v>
      </c>
      <c r="J526">
        <f>(Table3[[#This Row],[HomeMargin]]-Table3[[#This Row],[HomeForecast]])^2</f>
        <v>1.0024120140070587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0.27983188983536122</v>
      </c>
      <c r="J527">
        <f>(Table3[[#This Row],[HomeMargin]]-Table3[[#This Row],[HomeForecast]])^2</f>
        <v>22.279986988215214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0.31773196158829992</v>
      </c>
      <c r="J528">
        <f>(Table3[[#This Row],[HomeMargin]]-Table3[[#This Row],[HomeForecast]])^2</f>
        <v>11.007345368944549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0.7503146710467834</v>
      </c>
      <c r="J529">
        <f>(Table3[[#This Row],[HomeMargin]]-Table3[[#This Row],[HomeForecast]])^2</f>
        <v>14.064860131868743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0.22971576218352965</v>
      </c>
      <c r="J530">
        <f>(Table3[[#This Row],[HomeMargin]]-Table3[[#This Row],[HomeForecast]])^2</f>
        <v>4.9716323801296793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-1.468977019508928</v>
      </c>
      <c r="J531">
        <f>(Table3[[#This Row],[HomeMargin]]-Table3[[#This Row],[HomeForecast]])^2</f>
        <v>0.28198540580962145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0.4172702882529632</v>
      </c>
      <c r="J532">
        <f>(Table3[[#This Row],[HomeMargin]]-Table3[[#This Row],[HomeForecast]])^2</f>
        <v>6.6704927639409322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0.47734445357864841</v>
      </c>
      <c r="J533">
        <f>(Table3[[#This Row],[HomeMargin]]-Table3[[#This Row],[HomeForecast]])^2</f>
        <v>0.27316882020500161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-0.21172052256075968</v>
      </c>
      <c r="J534">
        <f>(Table3[[#This Row],[HomeMargin]]-Table3[[#This Row],[HomeForecast]])^2</f>
        <v>7.7745024443088431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0.12807184491343693</v>
      </c>
      <c r="J535">
        <f>(Table3[[#This Row],[HomeMargin]]-Table3[[#This Row],[HomeForecast]])^2</f>
        <v>0.76025870763265757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-0.93236965855493359</v>
      </c>
      <c r="J536">
        <f>(Table3[[#This Row],[HomeMargin]]-Table3[[#This Row],[HomeForecast]])^2</f>
        <v>4.2750952288642416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-0.70827720612484812</v>
      </c>
      <c r="J537">
        <f>(Table3[[#This Row],[HomeMargin]]-Table3[[#This Row],[HomeForecast]])^2</f>
        <v>2.9182110129657168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0.54542658845320846</v>
      </c>
      <c r="J538">
        <f>(Table3[[#This Row],[HomeMargin]]-Table3[[#This Row],[HomeForecast]])^2</f>
        <v>2.388343340298122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0.19982091785514033</v>
      </c>
      <c r="J539">
        <f>(Table3[[#This Row],[HomeMargin]]-Table3[[#This Row],[HomeForecast]])^2</f>
        <v>4.8392120706330317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0.62910621092364161</v>
      </c>
      <c r="J540">
        <f>(Table3[[#This Row],[HomeMargin]]-Table3[[#This Row],[HomeForecast]])^2</f>
        <v>1.879349780928135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-0.29925542379293052</v>
      </c>
      <c r="J541">
        <f>(Table3[[#This Row],[HomeMargin]]-Table3[[#This Row],[HomeForecast]])^2</f>
        <v>7.294021265911903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-0.24347970144959941</v>
      </c>
      <c r="J542">
        <f>(Table3[[#This Row],[HomeMargin]]-Table3[[#This Row],[HomeForecast]])^2</f>
        <v>5.0332011708163842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0.67076644405652608</v>
      </c>
      <c r="J543">
        <f>(Table3[[#This Row],[HomeMargin]]-Table3[[#This Row],[HomeForecast]])^2</f>
        <v>5.4253289581330799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-7.1188819843451503E-2</v>
      </c>
      <c r="J544">
        <f>(Table3[[#This Row],[HomeMargin]]-Table3[[#This Row],[HomeForecast]])^2</f>
        <v>16.574578406818311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-0.60650345602287348</v>
      </c>
      <c r="J545">
        <f>(Table3[[#This Row],[HomeMargin]]-Table3[[#This Row],[HomeForecast]])^2</f>
        <v>1.9418326180761958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-0.5038392646257851</v>
      </c>
      <c r="J546">
        <f>(Table3[[#This Row],[HomeMargin]]-Table3[[#This Row],[HomeForecast]])^2</f>
        <v>0.2461754753270817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1.1709668309602763</v>
      </c>
      <c r="J547">
        <f>(Table3[[#This Row],[HomeMargin]]-Table3[[#This Row],[HomeForecast]])^2</f>
        <v>4.7130969811297057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0.36443966631753089</v>
      </c>
      <c r="J548">
        <f>(Table3[[#This Row],[HomeMargin]]-Table3[[#This Row],[HomeForecast]])^2</f>
        <v>13.217298939845387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-0.52742893779749345</v>
      </c>
      <c r="J549">
        <f>(Table3[[#This Row],[HomeMargin]]-Table3[[#This Row],[HomeForecast]])^2</f>
        <v>20.003891906451258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1.6784445966334509</v>
      </c>
      <c r="J550">
        <f>(Table3[[#This Row],[HomeMargin]]-Table3[[#This Row],[HomeForecast]])^2</f>
        <v>0.4602870707011259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-0.55065041707976248</v>
      </c>
      <c r="J551">
        <f>(Table3[[#This Row],[HomeMargin]]-Table3[[#This Row],[HomeForecast]])^2</f>
        <v>2.404516715989641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1.3046827050136138</v>
      </c>
      <c r="J552">
        <f>(Table3[[#This Row],[HomeMargin]]-Table3[[#This Row],[HomeForecast]])^2</f>
        <v>18.53029319084332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0.7988888720997015</v>
      </c>
      <c r="J553">
        <f>(Table3[[#This Row],[HomeMargin]]-Table3[[#This Row],[HomeForecast]])^2</f>
        <v>3.2360011741641368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7.8789837733403478E-2</v>
      </c>
      <c r="J554">
        <f>(Table3[[#This Row],[HomeMargin]]-Table3[[#This Row],[HomeForecast]])^2</f>
        <v>0.84862816306324895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1.3447147461771984</v>
      </c>
      <c r="J555">
        <f>(Table3[[#This Row],[HomeMargin]]-Table3[[#This Row],[HomeForecast]])^2</f>
        <v>5.4976872409408042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0.30152332130845544</v>
      </c>
      <c r="J556">
        <f>(Table3[[#This Row],[HomeMargin]]-Table3[[#This Row],[HomeForecast]])^2</f>
        <v>0.48786967067597126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-0.5572560988605112</v>
      </c>
      <c r="J557">
        <f>(Table3[[#This Row],[HomeMargin]]-Table3[[#This Row],[HomeForecast]])^2</f>
        <v>12.654070952880302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1.0002375167196249</v>
      </c>
      <c r="J558">
        <f>(Table3[[#This Row],[HomeMargin]]-Table3[[#This Row],[HomeForecast]])^2</f>
        <v>25.002375223610439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0.27639612863037805</v>
      </c>
      <c r="J559">
        <f>(Table3[[#This Row],[HomeMargin]]-Table3[[#This Row],[HomeForecast]])^2</f>
        <v>7.4180180481395928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-7.9777813518860166E-2</v>
      </c>
      <c r="J560">
        <f>(Table3[[#This Row],[HomeMargin]]-Table3[[#This Row],[HomeForecast]])^2</f>
        <v>16.644587007680734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-0.23641610484339781</v>
      </c>
      <c r="J561">
        <f>(Table3[[#This Row],[HomeMargin]]-Table3[[#This Row],[HomeForecast]])^2</f>
        <v>5.0015569940029154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-0.11865468244854227</v>
      </c>
      <c r="J562">
        <f>(Table3[[#This Row],[HomeMargin]]-Table3[[#This Row],[HomeForecast]])^2</f>
        <v>1.2513882985640492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0.67935543773193474</v>
      </c>
      <c r="J563">
        <f>(Table3[[#This Row],[HomeMargin]]-Table3[[#This Row],[HomeForecast]])^2</f>
        <v>1.7441020598482093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6.5660124900261851E-2</v>
      </c>
      <c r="J564">
        <f>(Table3[[#This Row],[HomeMargin]]-Table3[[#This Row],[HomeForecast]])^2</f>
        <v>4.2669517516029662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0.49224456896707691</v>
      </c>
      <c r="J565">
        <f>(Table3[[#This Row],[HomeMargin]]-Table3[[#This Row],[HomeForecast]])^2</f>
        <v>2.2733264398092756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0.16237202846557036</v>
      </c>
      <c r="J566">
        <f>(Table3[[#This Row],[HomeMargin]]-Table3[[#This Row],[HomeForecast]])^2</f>
        <v>10.000596846421447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0.25755489932126607</v>
      </c>
      <c r="J567">
        <f>(Table3[[#This Row],[HomeMargin]]-Table3[[#This Row],[HomeForecast]])^2</f>
        <v>18.126773720734516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0.73497398408465464</v>
      </c>
      <c r="J568">
        <f>(Table3[[#This Row],[HomeMargin]]-Table3[[#This Row],[HomeForecast]])^2</f>
        <v>10.660394884604033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5.3888895340633555E-2</v>
      </c>
      <c r="J569">
        <f>(Table3[[#This Row],[HomeMargin]]-Table3[[#This Row],[HomeForecast]])^2</f>
        <v>0.89512622235976658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9.9419088853184887E-2</v>
      </c>
      <c r="J570">
        <f>(Table3[[#This Row],[HomeMargin]]-Table3[[#This Row],[HomeForecast]])^2</f>
        <v>0.81104597752202778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-0.99564632842065726</v>
      </c>
      <c r="J571">
        <f>(Table3[[#This Row],[HomeMargin]]-Table3[[#This Row],[HomeForecast]])^2</f>
        <v>9.0261409839322777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-0.56550556579089495</v>
      </c>
      <c r="J572">
        <f>(Table3[[#This Row],[HomeMargin]]-Table3[[#This Row],[HomeForecast]])^2</f>
        <v>2.0577742817769002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6.5485487155666489E-3</v>
      </c>
      <c r="J573">
        <f>(Table3[[#This Row],[HomeMargin]]-Table3[[#This Row],[HomeForecast]])^2</f>
        <v>0.98694578605914685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0.29603873732506408</v>
      </c>
      <c r="J574">
        <f>(Table3[[#This Row],[HomeMargin]]-Table3[[#This Row],[HomeForecast]])^2</f>
        <v>0.49556145934689005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0.66857579627882568</v>
      </c>
      <c r="J575">
        <f>(Table3[[#This Row],[HomeMargin]]-Table3[[#This Row],[HomeForecast]])^2</f>
        <v>0.10984200281221446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0.14473464312564188</v>
      </c>
      <c r="J576">
        <f>(Table3[[#This Row],[HomeMargin]]-Table3[[#This Row],[HomeForecast]])^2</f>
        <v>4.5998866894232737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0.10473700697078253</v>
      </c>
      <c r="J577">
        <f>(Table3[[#This Row],[HomeMargin]]-Table3[[#This Row],[HomeForecast]])^2</f>
        <v>4.4299178685123284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0.97709981539842761</v>
      </c>
      <c r="J578">
        <f>(Table3[[#This Row],[HomeMargin]]-Table3[[#This Row],[HomeForecast]])^2</f>
        <v>4.0921251568610746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2.0431325027664644</v>
      </c>
      <c r="J579">
        <f>(Table3[[#This Row],[HomeMargin]]-Table3[[#This Row],[HomeForecast]])^2</f>
        <v>0.9155954072619702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0.26614389299667474</v>
      </c>
      <c r="J580">
        <f>(Table3[[#This Row],[HomeMargin]]-Table3[[#This Row],[HomeForecast]])^2</f>
        <v>18.199983715752822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0.76691134088596635</v>
      </c>
      <c r="J581">
        <f>(Table3[[#This Row],[HomeMargin]]-Table3[[#This Row],[HomeForecast]])^2</f>
        <v>14.18962105009531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-0.24490402056512428</v>
      </c>
      <c r="J582">
        <f>(Table3[[#This Row],[HomeMargin]]-Table3[[#This Row],[HomeForecast]])^2</f>
        <v>3.0803618970284656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1.1179992622577273</v>
      </c>
      <c r="J583">
        <f>(Table3[[#This Row],[HomeMargin]]-Table3[[#This Row],[HomeForecast]])^2</f>
        <v>1.3923825893367901E-2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-0.31664542242649019</v>
      </c>
      <c r="J584">
        <f>(Table3[[#This Row],[HomeMargin]]-Table3[[#This Row],[HomeForecast]])^2</f>
        <v>1.7335551683966306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0.76480564961679809</v>
      </c>
      <c r="J585">
        <f>(Table3[[#This Row],[HomeMargin]]-Table3[[#This Row],[HomeForecast]])^2</f>
        <v>10.466482484751388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0.17068181236302093</v>
      </c>
      <c r="J586">
        <f>(Table3[[#This Row],[HomeMargin]]-Table3[[#This Row],[HomeForecast]])^2</f>
        <v>1.3704959057975674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0.88068766099628992</v>
      </c>
      <c r="J587">
        <f>(Table3[[#This Row],[HomeMargin]]-Table3[[#This Row],[HomeForecast]])^2</f>
        <v>3.5369860782236957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0.58837363019174527</v>
      </c>
      <c r="J588">
        <f>(Table3[[#This Row],[HomeMargin]]-Table3[[#This Row],[HomeForecast]])^2</f>
        <v>0.16943626832152209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-0.19465479375683115</v>
      </c>
      <c r="J589">
        <f>(Table3[[#This Row],[HomeMargin]]-Table3[[#This Row],[HomeForecast]])^2</f>
        <v>0.64858090121885215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-0.27319980399673788</v>
      </c>
      <c r="J590">
        <f>(Table3[[#This Row],[HomeMargin]]-Table3[[#This Row],[HomeForecast]])^2</f>
        <v>10.713836956884284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0.46437719631685381</v>
      </c>
      <c r="J591">
        <f>(Table3[[#This Row],[HomeMargin]]-Table3[[#This Row],[HomeForecast]])^2</f>
        <v>20.57187421729056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0.60740431987649535</v>
      </c>
      <c r="J592">
        <f>(Table3[[#This Row],[HomeMargin]]-Table3[[#This Row],[HomeForecast]])^2</f>
        <v>21.228174566816595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0.26149128014487089</v>
      </c>
      <c r="J593">
        <f>(Table3[[#This Row],[HomeMargin]]-Table3[[#This Row],[HomeForecast]])^2</f>
        <v>7.4994300087225785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0.60201637776267714</v>
      </c>
      <c r="J594">
        <f>(Table3[[#This Row],[HomeMargin]]-Table3[[#This Row],[HomeForecast]])^2</f>
        <v>5.7503254525184317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-0.5485447258105941</v>
      </c>
      <c r="J595">
        <f>(Table3[[#This Row],[HomeMargin]]-Table3[[#This Row],[HomeForecast]])^2</f>
        <v>2.3979907678358079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1.1041879757602011</v>
      </c>
      <c r="J596">
        <f>(Table3[[#This Row],[HomeMargin]]-Table3[[#This Row],[HomeForecast]])^2</f>
        <v>4.4276070373338126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-0.93476452414373745</v>
      </c>
      <c r="J597">
        <f>(Table3[[#This Row],[HomeMargin]]-Table3[[#This Row],[HomeForecast]])^2</f>
        <v>1.1347266190227181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0.13407763114048099</v>
      </c>
      <c r="J598">
        <f>(Table3[[#This Row],[HomeMargin]]-Table3[[#This Row],[HomeForecast]])^2</f>
        <v>23.677200499767434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-0.31701853039210437</v>
      </c>
      <c r="J599">
        <f>(Table3[[#This Row],[HomeMargin]]-Table3[[#This Row],[HomeForecast]])^2</f>
        <v>0.46646368782776088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0.66249849586993237</v>
      </c>
      <c r="J600">
        <f>(Table3[[#This Row],[HomeMargin]]-Table3[[#This Row],[HomeForecast]])^2</f>
        <v>1.7889102735501929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-0.40225735143824981</v>
      </c>
      <c r="J601">
        <f>(Table3[[#This Row],[HomeMargin]]-Table3[[#This Row],[HomeForecast]])^2</f>
        <v>1.966325679662615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-9.3880522250184423E-2</v>
      </c>
      <c r="J602">
        <f>(Table3[[#This Row],[HomeMargin]]-Table3[[#This Row],[HomeForecast]])^2</f>
        <v>4.3843356414587049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-0.68922800505512116</v>
      </c>
      <c r="J603">
        <f>(Table3[[#This Row],[HomeMargin]]-Table3[[#This Row],[HomeForecast]])^2</f>
        <v>5.339667212621535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-1.1552006220980162</v>
      </c>
      <c r="J604">
        <f>(Table3[[#This Row],[HomeMargin]]-Table3[[#This Row],[HomeForecast]])^2</f>
        <v>2.4087233099611239E-2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-0.35840688250348779</v>
      </c>
      <c r="J605">
        <f>(Table3[[#This Row],[HomeMargin]]-Table3[[#This Row],[HomeForecast]])^2</f>
        <v>0.41164172841889324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-0.18264817185410825</v>
      </c>
      <c r="J606">
        <f>(Table3[[#This Row],[HomeMargin]]-Table3[[#This Row],[HomeForecast]])^2</f>
        <v>4.7639530420980805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-0.64241379567228429</v>
      </c>
      <c r="J607">
        <f>(Table3[[#This Row],[HomeMargin]]-Table3[[#This Row],[HomeForecast]])^2</f>
        <v>11.273385119491797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0.31019809975506252</v>
      </c>
      <c r="J608">
        <f>(Table3[[#This Row],[HomeMargin]]-Table3[[#This Row],[HomeForecast]])^2</f>
        <v>0.4758266615815267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7.8989912368839565E-2</v>
      </c>
      <c r="J609">
        <f>(Table3[[#This Row],[HomeMargin]]-Table3[[#This Row],[HomeForecast]])^2</f>
        <v>8.5322999320429993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0.99477613220073502</v>
      </c>
      <c r="J610">
        <f>(Table3[[#This Row],[HomeMargin]]-Table3[[#This Row],[HomeForecast]])^2</f>
        <v>2.7288794784197552E-5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0.18720498012848197</v>
      </c>
      <c r="J611">
        <f>(Table3[[#This Row],[HomeMargin]]-Table3[[#This Row],[HomeForecast]])^2</f>
        <v>1.409455664841869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1.0470486691736021</v>
      </c>
      <c r="J612">
        <f>(Table3[[#This Row],[HomeMargin]]-Table3[[#This Row],[HomeForecast]])^2</f>
        <v>2.2135772710070532E-3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-0.6402351817626325</v>
      </c>
      <c r="J613">
        <f>(Table3[[#This Row],[HomeMargin]]-Table3[[#This Row],[HomeForecast]])^2</f>
        <v>2.6903714514918966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1.6226865928552132</v>
      </c>
      <c r="J614">
        <f>(Table3[[#This Row],[HomeMargin]]-Table3[[#This Row],[HomeForecast]])^2</f>
        <v>1.8969922215007813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-0.11100606778265565</v>
      </c>
      <c r="J615">
        <f>(Table3[[#This Row],[HomeMargin]]-Table3[[#This Row],[HomeForecast]])^2</f>
        <v>4.4563466182151901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0.28951669940573255</v>
      </c>
      <c r="J616">
        <f>(Table3[[#This Row],[HomeMargin]]-Table3[[#This Row],[HomeForecast]])^2</f>
        <v>10.820920115669184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0.94795926586416523</v>
      </c>
      <c r="J617">
        <f>(Table3[[#This Row],[HomeMargin]]-Table3[[#This Row],[HomeForecast]])^2</f>
        <v>3.7945453014660582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-1.251600157997969</v>
      </c>
      <c r="J618">
        <f>(Table3[[#This Row],[HomeMargin]]-Table3[[#This Row],[HomeForecast]])^2</f>
        <v>0.56010232350866496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0.97459565096542389</v>
      </c>
      <c r="J619">
        <f>(Table3[[#This Row],[HomeMargin]]-Table3[[#This Row],[HomeForecast]])^2</f>
        <v>3.8990279848115663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-5.1423831774257085E-2</v>
      </c>
      <c r="J620">
        <f>(Table3[[#This Row],[HomeMargin]]-Table3[[#This Row],[HomeForecast]])^2</f>
        <v>8.6941014198288045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-0.19014121577621168</v>
      </c>
      <c r="J621">
        <f>(Table3[[#This Row],[HomeMargin]]-Table3[[#This Row],[HomeForecast]])^2</f>
        <v>3.2755888188320093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-0.5724869101803105</v>
      </c>
      <c r="J622">
        <f>(Table3[[#This Row],[HomeMargin]]-Table3[[#This Row],[HomeForecast]])^2</f>
        <v>0.1827674419671779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-4.8118853846104398E-2</v>
      </c>
      <c r="J623">
        <f>(Table3[[#This Row],[HomeMargin]]-Table3[[#This Row],[HomeForecast]])^2</f>
        <v>0.90607771640325396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-0.20649282590859402</v>
      </c>
      <c r="J624">
        <f>(Table3[[#This Row],[HomeMargin]]-Table3[[#This Row],[HomeForecast]])^2</f>
        <v>17.694581894420466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0.2769702497838793</v>
      </c>
      <c r="J625">
        <f>(Table3[[#This Row],[HomeMargin]]-Table3[[#This Row],[HomeForecast]])^2</f>
        <v>13.86095052099431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-0.76083889159222362</v>
      </c>
      <c r="J626">
        <f>(Table3[[#This Row],[HomeMargin]]-Table3[[#This Row],[HomeForecast]])^2</f>
        <v>5.0138424694059411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-0.98065307639145149</v>
      </c>
      <c r="J627">
        <f>(Table3[[#This Row],[HomeMargin]]-Table3[[#This Row],[HomeForecast]])^2</f>
        <v>3.7430345311501153E-4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0.29759499643453508</v>
      </c>
      <c r="J628">
        <f>(Table3[[#This Row],[HomeMargin]]-Table3[[#This Row],[HomeForecast]])^2</f>
        <v>1.683752774771941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-0.27262025098386178</v>
      </c>
      <c r="J629">
        <f>(Table3[[#This Row],[HomeMargin]]-Table3[[#This Row],[HomeForecast]])^2</f>
        <v>18.255283809117401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2.4948522646614011</v>
      </c>
      <c r="J630">
        <f>(Table3[[#This Row],[HomeMargin]]-Table3[[#This Row],[HomeForecast]])^2</f>
        <v>6.2757651758721105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0.23017774427143517</v>
      </c>
      <c r="J631">
        <f>(Table3[[#This Row],[HomeMargin]]-Table3[[#This Row],[HomeForecast]])^2</f>
        <v>10.434048259586497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0.34872481181496401</v>
      </c>
      <c r="J632">
        <f>(Table3[[#This Row],[HomeMargin]]-Table3[[#This Row],[HomeForecast]])^2</f>
        <v>0.42415937074545412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1.6440005951063565E-2</v>
      </c>
      <c r="J633">
        <f>(Table3[[#This Row],[HomeMargin]]-Table3[[#This Row],[HomeForecast]])^2</f>
        <v>16.131790321404182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-0.40767056618800901</v>
      </c>
      <c r="J634">
        <f>(Table3[[#This Row],[HomeMargin]]-Table3[[#This Row],[HomeForecast]])^2</f>
        <v>1.9815364229120696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0.72113336731893085</v>
      </c>
      <c r="J635">
        <f>(Table3[[#This Row],[HomeMargin]]-Table3[[#This Row],[HomeForecast]])^2</f>
        <v>7.4045668027364631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0.60740431987649535</v>
      </c>
      <c r="J636">
        <f>(Table3[[#This Row],[HomeMargin]]-Table3[[#This Row],[HomeForecast]])^2</f>
        <v>5.7245140885456562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0.61066202513676004</v>
      </c>
      <c r="J637">
        <f>(Table3[[#This Row],[HomeMargin]]-Table3[[#This Row],[HomeForecast]])^2</f>
        <v>6.8155562094911684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-0.88792705195399724</v>
      </c>
      <c r="J638">
        <f>(Table3[[#This Row],[HomeMargin]]-Table3[[#This Row],[HomeForecast]])^2</f>
        <v>3.5642685534997112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-0.95470590715407244</v>
      </c>
      <c r="J639">
        <f>(Table3[[#This Row],[HomeMargin]]-Table3[[#This Row],[HomeForecast]])^2</f>
        <v>1.0926397405385906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-0.10238478000485426</v>
      </c>
      <c r="J640">
        <f>(Table3[[#This Row],[HomeMargin]]-Table3[[#This Row],[HomeForecast]])^2</f>
        <v>23.986634843128101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5.3832241641959364E-2</v>
      </c>
      <c r="J641">
        <f>(Table3[[#This Row],[HomeMargin]]-Table3[[#This Row],[HomeForecast]])^2</f>
        <v>0.89523342695627961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0.28739308995098123</v>
      </c>
      <c r="J642">
        <f>(Table3[[#This Row],[HomeMargin]]-Table3[[#This Row],[HomeForecast]])^2</f>
        <v>0.50780860824961038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0.40735696990801906</v>
      </c>
      <c r="J643">
        <f>(Table3[[#This Row],[HomeMargin]]-Table3[[#This Row],[HomeForecast]])^2</f>
        <v>6.7217978814845294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0.14665717396300343</v>
      </c>
      <c r="J644">
        <f>(Table3[[#This Row],[HomeMargin]]-Table3[[#This Row],[HomeForecast]])^2</f>
        <v>0.72819397874880787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-0.32859604796262898</v>
      </c>
      <c r="J645">
        <f>(Table3[[#This Row],[HomeMargin]]-Table3[[#This Row],[HomeForecast]])^2</f>
        <v>7.1363990749608837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0.38826779019073776</v>
      </c>
      <c r="J646">
        <f>(Table3[[#This Row],[HomeMargin]]-Table3[[#This Row],[HomeForecast]])^2</f>
        <v>19.256894198425499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-1.0152602568540787</v>
      </c>
      <c r="J647">
        <f>(Table3[[#This Row],[HomeMargin]]-Table3[[#This Row],[HomeForecast]])^2</f>
        <v>4.061273902855568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-0.73169834205796125</v>
      </c>
      <c r="J648">
        <f>(Table3[[#This Row],[HomeMargin]]-Table3[[#This Row],[HomeForecast]])^2</f>
        <v>7.198577965444676E-2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-0.72770340705580971</v>
      </c>
      <c r="J649">
        <f>(Table3[[#This Row],[HomeMargin]]-Table3[[#This Row],[HomeForecast]])^2</f>
        <v>1.6187386204173946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-0.37604103125946176</v>
      </c>
      <c r="J650">
        <f>(Table3[[#This Row],[HomeMargin]]-Table3[[#This Row],[HomeForecast]])^2</f>
        <v>19.149735107266373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5.5746806555317718E-2</v>
      </c>
      <c r="J651">
        <f>(Table3[[#This Row],[HomeMargin]]-Table3[[#This Row],[HomeForecast]])^2</f>
        <v>1.1146013195517515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-7.1132166144777312E-2</v>
      </c>
      <c r="J652">
        <f>(Table3[[#This Row],[HomeMargin]]-Table3[[#This Row],[HomeForecast]])^2</f>
        <v>8.5782667881917831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0.38405493672983432</v>
      </c>
      <c r="J653">
        <f>(Table3[[#This Row],[HomeMargin]]-Table3[[#This Row],[HomeForecast]])^2</f>
        <v>11.451827814805563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-0.30264887872524993</v>
      </c>
      <c r="J654">
        <f>(Table3[[#This Row],[HomeMargin]]-Table3[[#This Row],[HomeForecast]])^2</f>
        <v>1.696894101244151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-0.58262794829349762</v>
      </c>
      <c r="J655">
        <f>(Table3[[#This Row],[HomeMargin]]-Table3[[#This Row],[HomeForecast]])^2</f>
        <v>12.835223015893675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0.41953384231096791</v>
      </c>
      <c r="J656">
        <f>(Table3[[#This Row],[HomeMargin]]-Table3[[#This Row],[HomeForecast]])^2</f>
        <v>0.33694096022226827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0.34866815811628982</v>
      </c>
      <c r="J657">
        <f>(Table3[[#This Row],[HomeMargin]]-Table3[[#This Row],[HomeForecast]])^2</f>
        <v>2.7268968520190469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-1.0597275946168314</v>
      </c>
      <c r="J658">
        <f>(Table3[[#This Row],[HomeMargin]]-Table3[[#This Row],[HomeForecast]])^2</f>
        <v>8.6452018178577248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-0.94022590866262723</v>
      </c>
      <c r="J659">
        <f>(Table3[[#This Row],[HomeMargin]]-Table3[[#This Row],[HomeForecast]])^2</f>
        <v>8.6449283939709716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-1.1284538223709943</v>
      </c>
      <c r="J660">
        <f>(Table3[[#This Row],[HomeMargin]]-Table3[[#This Row],[HomeForecast]])^2</f>
        <v>1.6500384481718967E-2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0.73365365799307736</v>
      </c>
      <c r="J661">
        <f>(Table3[[#This Row],[HomeMargin]]-Table3[[#This Row],[HomeForecast]])^2</f>
        <v>3.0055550058727776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-0.2525750573460821</v>
      </c>
      <c r="J662">
        <f>(Table3[[#This Row],[HomeMargin]]-Table3[[#This Row],[HomeForecast]])^2</f>
        <v>0.55864404490121244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-0.5295398684417737</v>
      </c>
      <c r="J663">
        <f>(Table3[[#This Row],[HomeMargin]]-Table3[[#This Row],[HomeForecast]])^2</f>
        <v>2.3394922091528789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0.54155199360677697</v>
      </c>
      <c r="J664">
        <f>(Table3[[#This Row],[HomeMargin]]-Table3[[#This Row],[HomeForecast]])^2</f>
        <v>2.3763825489930284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-1.3864842860386741</v>
      </c>
      <c r="J665">
        <f>(Table3[[#This Row],[HomeMargin]]-Table3[[#This Row],[HomeForecast]])^2</f>
        <v>5.6953072475095192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-0.7566628796892112</v>
      </c>
      <c r="J666">
        <f>(Table3[[#This Row],[HomeMargin]]-Table3[[#This Row],[HomeForecast]])^2</f>
        <v>1.5458871947427248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-0.24347970144959941</v>
      </c>
      <c r="J667">
        <f>(Table3[[#This Row],[HomeMargin]]-Table3[[#This Row],[HomeForecast]])^2</f>
        <v>14.111444753421189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-0.30264887872524993</v>
      </c>
      <c r="J668">
        <f>(Table3[[#This Row],[HomeMargin]]-Table3[[#This Row],[HomeForecast]])^2</f>
        <v>5.302191858694651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-0.65675281397168472</v>
      </c>
      <c r="J669">
        <f>(Table3[[#This Row],[HomeMargin]]-Table3[[#This Row],[HomeForecast]])^2</f>
        <v>0.11781863071635687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0.10807380820442776</v>
      </c>
      <c r="J670">
        <f>(Table3[[#This Row],[HomeMargin]]-Table3[[#This Row],[HomeForecast]])^2</f>
        <v>4.4439751808375192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0.37315554383657357</v>
      </c>
      <c r="J671">
        <f>(Table3[[#This Row],[HomeMargin]]-Table3[[#This Row],[HomeForecast]])^2</f>
        <v>6.9003117968765268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1.4980755644189674</v>
      </c>
      <c r="J672">
        <f>(Table3[[#This Row],[HomeMargin]]-Table3[[#This Row],[HomeForecast]])^2</f>
        <v>0.25192813903333816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0.17724049343308504</v>
      </c>
      <c r="J673">
        <f>(Table3[[#This Row],[HomeMargin]]-Table3[[#This Row],[HomeForecast]])^2</f>
        <v>7.9679712319138938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0.71242199426901376</v>
      </c>
      <c r="J674">
        <f>(Table3[[#This Row],[HomeMargin]]-Table3[[#This Row],[HomeForecast]])^2</f>
        <v>10.808169143766129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0.58837363019174527</v>
      </c>
      <c r="J675">
        <f>(Table3[[#This Row],[HomeMargin]]-Table3[[#This Row],[HomeForecast]])^2</f>
        <v>70.755458185253602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0.10066683021482437</v>
      </c>
      <c r="J676">
        <f>(Table3[[#This Row],[HomeMargin]]-Table3[[#This Row],[HomeForecast]])^2</f>
        <v>8.4061328294165545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-0.28862501840993121</v>
      </c>
      <c r="J677">
        <f>(Table3[[#This Row],[HomeMargin]]-Table3[[#This Row],[HomeForecast]])^2</f>
        <v>10.81505451171172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-2.8468049197655221E-4</v>
      </c>
      <c r="J678">
        <f>(Table3[[#This Row],[HomeMargin]]-Table3[[#This Row],[HomeForecast]])^2</f>
        <v>9.0017081639948433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-0.34358929999183474</v>
      </c>
      <c r="J679">
        <f>(Table3[[#This Row],[HomeMargin]]-Table3[[#This Row],[HomeForecast]])^2</f>
        <v>5.4924108070362179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7.0957787174430575E-2</v>
      </c>
      <c r="J680">
        <f>(Table3[[#This Row],[HomeMargin]]-Table3[[#This Row],[HomeForecast]])^2</f>
        <v>8.5792882845141083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-0.19885258882612872</v>
      </c>
      <c r="J681">
        <f>(Table3[[#This Row],[HomeMargin]]-Table3[[#This Row],[HomeForecast]])^2</f>
        <v>0.64183717443059585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0.59385085031540708</v>
      </c>
      <c r="J682">
        <f>(Table3[[#This Row],[HomeMargin]]-Table3[[#This Row],[HomeForecast]])^2</f>
        <v>11.601852029897074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0.21315214936586102</v>
      </c>
      <c r="J683">
        <f>(Table3[[#This Row],[HomeMargin]]-Table3[[#This Row],[HomeForecast]])^2</f>
        <v>1.4717381375110083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0.69848267447526358</v>
      </c>
      <c r="J684">
        <f>(Table3[[#This Row],[HomeMargin]]-Table3[[#This Row],[HomeForecast]])^2</f>
        <v>5.2969819996905363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0.42803810006563781</v>
      </c>
      <c r="J685">
        <f>(Table3[[#This Row],[HomeMargin]]-Table3[[#This Row],[HomeForecast]])^2</f>
        <v>2.4710642148452493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-0.26240385586402176</v>
      </c>
      <c r="J686">
        <f>(Table3[[#This Row],[HomeMargin]]-Table3[[#This Row],[HomeForecast]])^2</f>
        <v>7.4944326483881758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0.85649610556883637</v>
      </c>
      <c r="J687">
        <f>(Table3[[#This Row],[HomeMargin]]-Table3[[#This Row],[HomeForecast]])^2</f>
        <v>4.594608945441566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0.8127998931336804</v>
      </c>
      <c r="J688">
        <f>(Table3[[#This Row],[HomeMargin]]-Table3[[#This Row],[HomeForecast]])^2</f>
        <v>4.7838443074760395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1.4379069004202631</v>
      </c>
      <c r="J689">
        <f>(Table3[[#This Row],[HomeMargin]]-Table3[[#This Row],[HomeForecast]])^2</f>
        <v>20.812693449233056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1.1953469624577084</v>
      </c>
      <c r="J690">
        <f>(Table3[[#This Row],[HomeMargin]]-Table3[[#This Row],[HomeForecast]])^2</f>
        <v>7.8660786609952025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0.2643797776523083</v>
      </c>
      <c r="J691">
        <f>(Table3[[#This Row],[HomeMargin]]-Table3[[#This Row],[HomeForecast]])^2</f>
        <v>13.954858445613018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-0.54781948525126378</v>
      </c>
      <c r="J692">
        <f>(Table3[[#This Row],[HomeMargin]]-Table3[[#This Row],[HomeForecast]])^2</f>
        <v>2.3957451589234871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-0.63963043146908194</v>
      </c>
      <c r="J693">
        <f>(Table3[[#This Row],[HomeMargin]]-Table3[[#This Row],[HomeForecast]])^2</f>
        <v>5.5713445000468313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9.1950952695781685E-2</v>
      </c>
      <c r="J694">
        <f>(Table3[[#This Row],[HomeMargin]]-Table3[[#This Row],[HomeForecast]])^2</f>
        <v>1.192356883093225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0.65830051568371917</v>
      </c>
      <c r="J695">
        <f>(Table3[[#This Row],[HomeMargin]]-Table3[[#This Row],[HomeForecast]])^2</f>
        <v>5.4835564748471342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-0.36520022918516892</v>
      </c>
      <c r="J696">
        <f>(Table3[[#This Row],[HomeMargin]]-Table3[[#This Row],[HomeForecast]])^2</f>
        <v>0.40297074902656205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0.35596205392177538</v>
      </c>
      <c r="J697">
        <f>(Table3[[#This Row],[HomeMargin]]-Table3[[#This Row],[HomeForecast]])^2</f>
        <v>2.7028607681451073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-0.19014121577621168</v>
      </c>
      <c r="J698">
        <f>(Table3[[#This Row],[HomeMargin]]-Table3[[#This Row],[HomeForecast]])^2</f>
        <v>0.6558712503844325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-0.51739273418687348</v>
      </c>
      <c r="J699">
        <f>(Table3[[#This Row],[HomeMargin]]-Table3[[#This Row],[HomeForecast]])^2</f>
        <v>12.12855336789438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1.4849834643067759</v>
      </c>
      <c r="J700">
        <f>(Table3[[#This Row],[HomeMargin]]-Table3[[#This Row],[HomeForecast]])^2</f>
        <v>0.26524203203745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5.2372458124864074E-2</v>
      </c>
      <c r="J701">
        <f>(Table3[[#This Row],[HomeMargin]]-Table3[[#This Row],[HomeForecast]])^2</f>
        <v>15.58376320937113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0.70253053703351687</v>
      </c>
      <c r="J702">
        <f>(Table3[[#This Row],[HomeMargin]]-Table3[[#This Row],[HomeForecast]])^2</f>
        <v>53.253060562928333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0.62164257923536415</v>
      </c>
      <c r="J703">
        <f>(Table3[[#This Row],[HomeMargin]]-Table3[[#This Row],[HomeForecast]])^2</f>
        <v>1.8998691793769393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0.84940407435622034</v>
      </c>
      <c r="J704">
        <f>(Table3[[#This Row],[HomeMargin]]-Table3[[#This Row],[HomeForecast]])^2</f>
        <v>2.2679132820506813E-2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1.6192931379228936</v>
      </c>
      <c r="J705">
        <f>(Table3[[#This Row],[HomeMargin]]-Table3[[#This Row],[HomeForecast]])^2</f>
        <v>5.6677651631410235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0.35064413580417769</v>
      </c>
      <c r="J706">
        <f>(Table3[[#This Row],[HomeMargin]]-Table3[[#This Row],[HomeForecast]])^2</f>
        <v>1.8242395815822139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0.2247377138419242</v>
      </c>
      <c r="J707">
        <f>(Table3[[#This Row],[HomeMargin]]-Table3[[#This Row],[HomeForecast]])^2</f>
        <v>1.499982467706743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9.9484814529019097E-2</v>
      </c>
      <c r="J708">
        <f>(Table3[[#This Row],[HomeMargin]]-Table3[[#This Row],[HomeForecast]])^2</f>
        <v>16.805775744554023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0.13279788683214866</v>
      </c>
      <c r="J709">
        <f>(Table3[[#This Row],[HomeMargin]]-Table3[[#This Row],[HomeForecast]])^2</f>
        <v>9.8144225997399754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0.27296877132771696</v>
      </c>
      <c r="J710">
        <f>(Table3[[#This Row],[HomeMargin]]-Table3[[#This Row],[HomeForecast]])^2</f>
        <v>1.6204494927755972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-0.98811670807972907</v>
      </c>
      <c r="J711">
        <f>(Table3[[#This Row],[HomeMargin]]-Table3[[#This Row],[HomeForecast]])^2</f>
        <v>16.09520754798903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0.88639094989722578</v>
      </c>
      <c r="J712">
        <f>(Table3[[#This Row],[HomeMargin]]-Table3[[#This Row],[HomeForecast]])^2</f>
        <v>3.5584708158541578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-0.60650345602287348</v>
      </c>
      <c r="J713">
        <f>(Table3[[#This Row],[HomeMargin]]-Table3[[#This Row],[HomeForecast]])^2</f>
        <v>2.5808533542134366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0.99327932460574786</v>
      </c>
      <c r="J714">
        <f>(Table3[[#This Row],[HomeMargin]]-Table3[[#This Row],[HomeForecast]])^2</f>
        <v>16.053810570631772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1.2315211806602828</v>
      </c>
      <c r="J715">
        <f>(Table3[[#This Row],[HomeMargin]]-Table3[[#This Row],[HomeForecast]])^2</f>
        <v>0.59055969577376566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7.8235617574712632E-2</v>
      </c>
      <c r="J716">
        <f>(Table3[[#This Row],[HomeMargin]]-Table3[[#This Row],[HomeForecast]])^2</f>
        <v>0.84964957670787145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-0.49272530925782676</v>
      </c>
      <c r="J717">
        <f>(Table3[[#This Row],[HomeMargin]]-Table3[[#This Row],[HomeForecast]])^2</f>
        <v>2.2282288488988744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-0.24811627251064994</v>
      </c>
      <c r="J718">
        <f>(Table3[[#This Row],[HomeMargin]]-Table3[[#This Row],[HomeForecast]])^2</f>
        <v>22.58039895957808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0.60942433756826841</v>
      </c>
      <c r="J719">
        <f>(Table3[[#This Row],[HomeMargin]]-Table3[[#This Row],[HomeForecast]])^2</f>
        <v>2.5902466983570598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0.23844353772397781</v>
      </c>
      <c r="J720">
        <f>(Table3[[#This Row],[HomeMargin]]-Table3[[#This Row],[HomeForecast]])^2</f>
        <v>0.57996824523437052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0.57575402698764999</v>
      </c>
      <c r="J721">
        <f>(Table3[[#This Row],[HomeMargin]]-Table3[[#This Row],[HomeForecast]])^2</f>
        <v>2.4830007535677954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-0.52082849539185661</v>
      </c>
      <c r="J722">
        <f>(Table3[[#This Row],[HomeMargin]]-Table3[[#This Row],[HomeForecast]])^2</f>
        <v>6.1462913492610047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1.6399178845735496</v>
      </c>
      <c r="J723">
        <f>(Table3[[#This Row],[HomeMargin]]-Table3[[#This Row],[HomeForecast]])^2</f>
        <v>6.9691664372912854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-0.38575545395647326</v>
      </c>
      <c r="J724">
        <f>(Table3[[#This Row],[HomeMargin]]-Table3[[#This Row],[HomeForecast]])^2</f>
        <v>1.9203181781701115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-0.50148176856011439</v>
      </c>
      <c r="J725">
        <f>(Table3[[#This Row],[HomeMargin]]-Table3[[#This Row],[HomeForecast]])^2</f>
        <v>2.2455568899577227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0.70498088213056753</v>
      </c>
      <c r="J726">
        <f>(Table3[[#This Row],[HomeMargin]]-Table3[[#This Row],[HomeForecast]])^2</f>
        <v>13.726883336953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1.1867013150836256</v>
      </c>
      <c r="J727">
        <f>(Table3[[#This Row],[HomeMargin]]-Table3[[#This Row],[HomeForecast]])^2</f>
        <v>3.2880521207194526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-8.9514132914279898E-2</v>
      </c>
      <c r="J728">
        <f>(Table3[[#This Row],[HomeMargin]]-Table3[[#This Row],[HomeForecast]])^2</f>
        <v>3.6499562483342758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-0.98811670807972907</v>
      </c>
      <c r="J729">
        <f>(Table3[[#This Row],[HomeMargin]]-Table3[[#This Row],[HomeForecast]])^2</f>
        <v>9.0714409641484899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-0.52742893779749345</v>
      </c>
      <c r="J730">
        <f>(Table3[[#This Row],[HomeMargin]]-Table3[[#This Row],[HomeForecast]])^2</f>
        <v>6.3878970356161657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0.25749824562259188</v>
      </c>
      <c r="J731">
        <f>(Table3[[#This Row],[HomeMargin]]-Table3[[#This Row],[HomeForecast]])^2</f>
        <v>7.5213158727631608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0.52568543064804163</v>
      </c>
      <c r="J732">
        <f>(Table3[[#This Row],[HomeMargin]]-Table3[[#This Row],[HomeForecast]])^2</f>
        <v>2.1736034494034504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-0.49616107046280994</v>
      </c>
      <c r="J733">
        <f>(Table3[[#This Row],[HomeMargin]]-Table3[[#This Row],[HomeForecast]])^2</f>
        <v>2.2384979487684213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1.1952903087590343</v>
      </c>
      <c r="J734">
        <f>(Table3[[#This Row],[HomeMargin]]-Table3[[#This Row],[HomeForecast]])^2</f>
        <v>3.8138304695198952E-2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-0.59060693297256894</v>
      </c>
      <c r="J735">
        <f>(Table3[[#This Row],[HomeMargin]]-Table3[[#This Row],[HomeForecast]])^2</f>
        <v>0.16760268333012665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-1.4427574718962854</v>
      </c>
      <c r="J736">
        <f>(Table3[[#This Row],[HomeMargin]]-Table3[[#This Row],[HomeForecast]])^2</f>
        <v>19.738093954090278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0.63004908421892414</v>
      </c>
      <c r="J737">
        <f>(Table3[[#This Row],[HomeMargin]]-Table3[[#This Row],[HomeForecast]])^2</f>
        <v>19.096471006335864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-0.24179963056466552</v>
      </c>
      <c r="J738">
        <f>(Table3[[#This Row],[HomeMargin]]-Table3[[#This Row],[HomeForecast]])^2</f>
        <v>1.5420663224705395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0.17101767583965322</v>
      </c>
      <c r="J739">
        <f>(Table3[[#This Row],[HomeMargin]]-Table3[[#This Row],[HomeForecast]])^2</f>
        <v>0.68721169377029023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0.62910621092364161</v>
      </c>
      <c r="J740">
        <f>(Table3[[#This Row],[HomeMargin]]-Table3[[#This Row],[HomeForecast]])^2</f>
        <v>5.6211373590808531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-0.14309458504789085</v>
      </c>
      <c r="J741">
        <f>(Table3[[#This Row],[HomeMargin]]-Table3[[#This Row],[HomeForecast]])^2</f>
        <v>0.73428689017424631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-1.5389267236092796E-2</v>
      </c>
      <c r="J742">
        <f>(Table3[[#This Row],[HomeMargin]]-Table3[[#This Row],[HomeForecast]])^2</f>
        <v>1.0310153640182493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-0.33684517580914886</v>
      </c>
      <c r="J743">
        <f>(Table3[[#This Row],[HomeMargin]]-Table3[[#This Row],[HomeForecast]])^2</f>
        <v>13.418703265992706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0.50488594221613503</v>
      </c>
      <c r="J744">
        <f>(Table3[[#This Row],[HomeMargin]]-Table3[[#This Row],[HomeForecast]])^2</f>
        <v>2.2353660457829339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0.41950471123844368</v>
      </c>
      <c r="J745">
        <f>(Table3[[#This Row],[HomeMargin]]-Table3[[#This Row],[HomeForecast]])^2</f>
        <v>2.4979653577974754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1.0139040712564036</v>
      </c>
      <c r="J746">
        <f>(Table3[[#This Row],[HomeMargin]]-Table3[[#This Row],[HomeForecast]])^2</f>
        <v>3.944577038171889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0.13584669232183944</v>
      </c>
      <c r="J747">
        <f>(Table3[[#This Row],[HomeMargin]]-Table3[[#This Row],[HomeForecast]])^2</f>
        <v>4.5618410931021414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5.6472047114648108E-2</v>
      </c>
      <c r="J748">
        <f>(Table3[[#This Row],[HomeMargin]]-Table3[[#This Row],[HomeForecast]])^2</f>
        <v>1.1161331863346151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0.57466780630969172</v>
      </c>
      <c r="J749">
        <f>(Table3[[#This Row],[HomeMargin]]-Table3[[#This Row],[HomeForecast]])^2</f>
        <v>20.927585538086326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0.50564023701026206</v>
      </c>
      <c r="J750">
        <f>(Table3[[#This Row],[HomeMargin]]-Table3[[#This Row],[HomeForecast]])^2</f>
        <v>6.2218306272222215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3.2055620373714622E-3</v>
      </c>
      <c r="J751">
        <f>(Table3[[#This Row],[HomeMargin]]-Table3[[#This Row],[HomeForecast]])^2</f>
        <v>0.99359915155323253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0.3765868005724311</v>
      </c>
      <c r="J752">
        <f>(Table3[[#This Row],[HomeMargin]]-Table3[[#This Row],[HomeForecast]])^2</f>
        <v>0.38864401722051778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0.4522300620619536</v>
      </c>
      <c r="J753">
        <f>(Table3[[#This Row],[HomeMargin]]-Table3[[#This Row],[HomeForecast]])^2</f>
        <v>2.1089721531564654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0.76691134088596635</v>
      </c>
      <c r="J754">
        <f>(Table3[[#This Row],[HomeMargin]]-Table3[[#This Row],[HomeForecast]])^2</f>
        <v>52.317571550604058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1.9844644513200493</v>
      </c>
      <c r="J755">
        <f>(Table3[[#This Row],[HomeMargin]]-Table3[[#This Row],[HomeForecast]])^2</f>
        <v>35.813814769113371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0.39798849549948523</v>
      </c>
      <c r="J756">
        <f>(Table3[[#This Row],[HomeMargin]]-Table3[[#This Row],[HomeForecast]])^2</f>
        <v>2.566440860552003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0.13407763114048099</v>
      </c>
      <c r="J757">
        <f>(Table3[[#This Row],[HomeMargin]]-Table3[[#This Row],[HomeForecast]])^2</f>
        <v>1.2861320734532049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-1.8268715789602603</v>
      </c>
      <c r="J758">
        <f>(Table3[[#This Row],[HomeMargin]]-Table3[[#This Row],[HomeForecast]])^2</f>
        <v>7.9912029239332751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8.2183292665722885E-2</v>
      </c>
      <c r="J759">
        <f>(Table3[[#This Row],[HomeMargin]]-Table3[[#This Row],[HomeForecast]])^2</f>
        <v>0.84238750826193409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0.1849160693696332</v>
      </c>
      <c r="J760">
        <f>(Table3[[#This Row],[HomeMargin]]-Table3[[#This Row],[HomeForecast]])^2</f>
        <v>1.4040260914503815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-0.600203140599048</v>
      </c>
      <c r="J761">
        <f>(Table3[[#This Row],[HomeMargin]]-Table3[[#This Row],[HomeForecast]])^2</f>
        <v>6.7610563723811525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-0.612518951343895</v>
      </c>
      <c r="J762">
        <f>(Table3[[#This Row],[HomeMargin]]-Table3[[#This Row],[HomeForecast]])^2</f>
        <v>5.7000657576920553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-0.7566628796892112</v>
      </c>
      <c r="J763">
        <f>(Table3[[#This Row],[HomeMargin]]-Table3[[#This Row],[HomeForecast]])^2</f>
        <v>5.0325614353643022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0.11671945557851061</v>
      </c>
      <c r="J764">
        <f>(Table3[[#This Row],[HomeMargin]]-Table3[[#This Row],[HomeForecast]])^2</f>
        <v>1.2470623424675653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0.33491560625474615</v>
      </c>
      <c r="J765">
        <f>(Table3[[#This Row],[HomeMargin]]-Table3[[#This Row],[HomeForecast]])^2</f>
        <v>11.12166210084146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0.46883598115228597</v>
      </c>
      <c r="J766">
        <f>(Table3[[#This Row],[HomeMargin]]-Table3[[#This Row],[HomeForecast]])^2</f>
        <v>2.1574791395275987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0.67536914296050676</v>
      </c>
      <c r="J767">
        <f>(Table3[[#This Row],[HomeMargin]]-Table3[[#This Row],[HomeForecast]])^2</f>
        <v>5.4039086215001682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-1.0367633664189559</v>
      </c>
      <c r="J768">
        <f>(Table3[[#This Row],[HomeMargin]]-Table3[[#This Row],[HomeForecast]])^2</f>
        <v>24.633717880920894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0.72113336731893085</v>
      </c>
      <c r="J769">
        <f>(Table3[[#This Row],[HomeMargin]]-Table3[[#This Row],[HomeForecast]])^2</f>
        <v>18.308699660271433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6.9603749843200446E-2</v>
      </c>
      <c r="J770">
        <f>(Table3[[#This Row],[HomeMargin]]-Table3[[#This Row],[HomeForecast]])^2</f>
        <v>1.1440521816786358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0.32726699158885952</v>
      </c>
      <c r="J771">
        <f>(Table3[[#This Row],[HomeMargin]]-Table3[[#This Row],[HomeForecast]])^2</f>
        <v>11.070705633316781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-0.34509367669085611</v>
      </c>
      <c r="J772">
        <f>(Table3[[#This Row],[HomeMargin]]-Table3[[#This Row],[HomeForecast]])^2</f>
        <v>7.0485275855468768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0.10818711560177614</v>
      </c>
      <c r="J773">
        <f>(Table3[[#This Row],[HomeMargin]]-Table3[[#This Row],[HomeForecast]])^2</f>
        <v>0.79533022077867976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1.2228098076103657</v>
      </c>
      <c r="J774">
        <f>(Table3[[#This Row],[HomeMargin]]-Table3[[#This Row],[HomeForecast]])^2</f>
        <v>14.267165749484441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0.34237923794302372</v>
      </c>
      <c r="J775">
        <f>(Table3[[#This Row],[HomeMargin]]-Table3[[#This Row],[HomeForecast]])^2</f>
        <v>2.7477065908023506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0.29928777580141824</v>
      </c>
      <c r="J776">
        <f>(Table3[[#This Row],[HomeMargin]]-Table3[[#This Row],[HomeForecast]])^2</f>
        <v>0.49099762114132345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-0.11995997231040467</v>
      </c>
      <c r="J777">
        <f>(Table3[[#This Row],[HomeMargin]]-Table3[[#This Row],[HomeForecast]])^2</f>
        <v>0.77447045033590367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-0.22255681771254304</v>
      </c>
      <c r="J778">
        <f>(Table3[[#This Row],[HomeMargin]]-Table3[[#This Row],[HomeForecast]])^2</f>
        <v>4.9397588079605059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1.3836086801591205</v>
      </c>
      <c r="J779">
        <f>(Table3[[#This Row],[HomeMargin]]-Table3[[#This Row],[HomeForecast]])^2</f>
        <v>2.6127208988569404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0.23309353237619601</v>
      </c>
      <c r="J780">
        <f>(Table3[[#This Row],[HomeMargin]]-Table3[[#This Row],[HomeForecast]])^2</f>
        <v>10.452893789092787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-0.3185198627383205</v>
      </c>
      <c r="J781">
        <f>(Table3[[#This Row],[HomeMargin]]-Table3[[#This Row],[HomeForecast]])^2</f>
        <v>7.1903357265289154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-0.3198801704435863</v>
      </c>
      <c r="J782">
        <f>(Table3[[#This Row],[HomeMargin]]-Table3[[#This Row],[HomeForecast]])^2</f>
        <v>7.1830423007814996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-1.0884217812074097</v>
      </c>
      <c r="J783">
        <f>(Table3[[#This Row],[HomeMargin]]-Table3[[#This Row],[HomeForecast]])^2</f>
        <v>7.8184113918910378E-3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0.39276630977975135</v>
      </c>
      <c r="J784">
        <f>(Table3[[#This Row],[HomeMargin]]-Table3[[#This Row],[HomeForecast]])^2</f>
        <v>1.9397979936575063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-7.3255775599528644E-2</v>
      </c>
      <c r="J785">
        <f>(Table3[[#This Row],[HomeMargin]]-Table3[[#This Row],[HomeForecast]])^2</f>
        <v>8.5658317550615166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0.38353856251320412</v>
      </c>
      <c r="J786">
        <f>(Table3[[#This Row],[HomeMargin]]-Table3[[#This Row],[HomeForecast]])^2</f>
        <v>13.078793328829061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0.53671521540329148</v>
      </c>
      <c r="J787">
        <f>(Table3[[#This Row],[HomeMargin]]-Table3[[#This Row],[HomeForecast]])^2</f>
        <v>2.3614936532519843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0.36832640718040277</v>
      </c>
      <c r="J788">
        <f>(Table3[[#This Row],[HomeMargin]]-Table3[[#This Row],[HomeForecast]])^2</f>
        <v>0.39901152786561833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-0.12645817996570857</v>
      </c>
      <c r="J789">
        <f>(Table3[[#This Row],[HomeMargin]]-Table3[[#This Row],[HomeForecast]])^2</f>
        <v>1.2689080312116565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-0.74121234465661723</v>
      </c>
      <c r="J790">
        <f>(Table3[[#This Row],[HomeMargin]]-Table3[[#This Row],[HomeForecast]])^2</f>
        <v>1.5845463612448911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1.2759885184230355</v>
      </c>
      <c r="J791">
        <f>(Table3[[#This Row],[HomeMargin]]-Table3[[#This Row],[HomeForecast]])^2</f>
        <v>2.9722155886092003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0.924538129931052</v>
      </c>
      <c r="J792">
        <f>(Table3[[#This Row],[HomeMargin]]-Table3[[#This Row],[HomeForecast]])^2</f>
        <v>1.1566182339721989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-0.67013002609102179</v>
      </c>
      <c r="J793">
        <f>(Table3[[#This Row],[HomeMargin]]-Table3[[#This Row],[HomeForecast]])^2</f>
        <v>5.4282940953226237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1.6486337620925922</v>
      </c>
      <c r="J794">
        <f>(Table3[[#This Row],[HomeMargin]]-Table3[[#This Row],[HomeForecast]])^2</f>
        <v>7.0152608056967569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-0.24859297724634666</v>
      </c>
      <c r="J795">
        <f>(Table3[[#This Row],[HomeMargin]]-Table3[[#This Row],[HomeForecast]])^2</f>
        <v>10.553356331814282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-9.3937175948858614E-2</v>
      </c>
      <c r="J796">
        <f>(Table3[[#This Row],[HomeMargin]]-Table3[[#This Row],[HomeForecast]])^2</f>
        <v>0.82094984112752956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0.64622859342624439</v>
      </c>
      <c r="J797">
        <f>(Table3[[#This Row],[HomeMargin]]-Table3[[#This Row],[HomeForecast]])^2</f>
        <v>0.12515420810917349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-1.0333276052139728</v>
      </c>
      <c r="J798">
        <f>(Table3[[#This Row],[HomeMargin]]-Table3[[#This Row],[HomeForecast]])^2</f>
        <v>4.1344211501251902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0.19110954480522327</v>
      </c>
      <c r="J799">
        <f>(Table3[[#This Row],[HomeMargin]]-Table3[[#This Row],[HomeForecast]])^2</f>
        <v>0.6543037685052131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1.1732980072901842</v>
      </c>
      <c r="J800">
        <f>(Table3[[#This Row],[HomeMargin]]-Table3[[#This Row],[HomeForecast]])^2</f>
        <v>4.7232242284914863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-0.49808831362779493</v>
      </c>
      <c r="J801">
        <f>(Table3[[#This Row],[HomeMargin]]-Table3[[#This Row],[HomeForecast]])^2</f>
        <v>2.2442685954281703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-1.3454838377325751E-2</v>
      </c>
      <c r="J802">
        <f>(Table3[[#This Row],[HomeMargin]]-Table3[[#This Row],[HomeForecast]])^2</f>
        <v>15.892542325657155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0.33407345639782959</v>
      </c>
      <c r="J803">
        <f>(Table3[[#This Row],[HomeMargin]]-Table3[[#This Row],[HomeForecast]])^2</f>
        <v>0.44345816147393335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-0.20324378743223981</v>
      </c>
      <c r="J804">
        <f>(Table3[[#This Row],[HomeMargin]]-Table3[[#This Row],[HomeForecast]])^2</f>
        <v>3.2283328874008417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-0.43842708899668414</v>
      </c>
      <c r="J805">
        <f>(Table3[[#This Row],[HomeMargin]]-Table3[[#This Row],[HomeForecast]])^2</f>
        <v>5.9459266683528433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3.2431075114529084E-2</v>
      </c>
      <c r="J806">
        <f>(Table3[[#This Row],[HomeMargin]]-Table3[[#This Row],[HomeForecast]])^2</f>
        <v>1.0659139248621425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-0.54510896460561098</v>
      </c>
      <c r="J807">
        <f>(Table3[[#This Row],[HomeMargin]]-Table3[[#This Row],[HomeForecast]])^2</f>
        <v>2.1167079248709575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-1.3411511905479552</v>
      </c>
      <c r="J808">
        <f>(Table3[[#This Row],[HomeMargin]]-Table3[[#This Row],[HomeForecast]])^2</f>
        <v>0.11638413481228722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1.6560973937808696</v>
      </c>
      <c r="J809">
        <f>(Table3[[#This Row],[HomeMargin]]-Table3[[#This Row],[HomeForecast]])^2</f>
        <v>31.991437727934752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1.5899083641725062</v>
      </c>
      <c r="J810">
        <f>(Table3[[#This Row],[HomeMargin]]-Table3[[#This Row],[HomeForecast]])^2</f>
        <v>0.34799187812068227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7.1526280680561993E-2</v>
      </c>
      <c r="J811">
        <f>(Table3[[#This Row],[HomeMargin]]-Table3[[#This Row],[HomeForecast]])^2</f>
        <v>4.291221131550242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0.26330471971764369</v>
      </c>
      <c r="J812">
        <f>(Table3[[#This Row],[HomeMargin]]-Table3[[#This Row],[HomeForecast]])^2</f>
        <v>3.0161104965550121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-0.16032587676622723</v>
      </c>
      <c r="J813">
        <f>(Table3[[#This Row],[HomeMargin]]-Table3[[#This Row],[HomeForecast]])^2</f>
        <v>8.063749126163497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-0.60817861291876651</v>
      </c>
      <c r="J814">
        <f>(Table3[[#This Row],[HomeMargin]]-Table3[[#This Row],[HomeForecast]])^2</f>
        <v>0.15352399937426181</v>
      </c>
    </row>
    <row r="815" spans="4:10" x14ac:dyDescent="0.2">
      <c r="D815" t="s">
        <v>18</v>
      </c>
      <c r="E815">
        <f>'NHL2025-26Results'!C811</f>
        <v>3</v>
      </c>
      <c r="F815" t="s">
        <v>21</v>
      </c>
      <c r="G815">
        <f>'NHL2025-26Results'!E811</f>
        <v>4</v>
      </c>
      <c r="H815">
        <f>Table3[[#This Row],[G_1]]-Table3[[#This Row],[G]]</f>
        <v>1</v>
      </c>
      <c r="I815">
        <f>HomeEdge+VLOOKUP(Table3[[#This Row],[Home]],$A$6:$B$38,2,FALSE)-VLOOKUP(Table3[[#This Row],[Visitor]],$A$6:$B$38,2,FALSE)</f>
        <v>0.26614389299667474</v>
      </c>
      <c r="J815">
        <f>(Table3[[#This Row],[HomeMargin]]-Table3[[#This Row],[HomeForecast]])^2</f>
        <v>0.53854478578607601</v>
      </c>
    </row>
    <row r="816" spans="4:10" x14ac:dyDescent="0.2">
      <c r="D816" t="s">
        <v>37</v>
      </c>
      <c r="E816">
        <f>'NHL2025-26Results'!C812</f>
        <v>5</v>
      </c>
      <c r="F816" t="s">
        <v>28</v>
      </c>
      <c r="G816">
        <f>'NHL2025-26Results'!E812</f>
        <v>8</v>
      </c>
      <c r="H816">
        <f>Table3[[#This Row],[G_1]]-Table3[[#This Row],[G]]</f>
        <v>3</v>
      </c>
      <c r="I816">
        <f>HomeEdge+VLOOKUP(Table3[[#This Row],[Home]],$A$6:$B$38,2,FALSE)-VLOOKUP(Table3[[#This Row],[Visitor]],$A$6:$B$38,2,FALSE)</f>
        <v>-0.95131245222175309</v>
      </c>
      <c r="J816">
        <f>(Table3[[#This Row],[HomeMargin]]-Table3[[#This Row],[HomeForecast]])^2</f>
        <v>15.612870095082684</v>
      </c>
    </row>
    <row r="817" spans="4:10" x14ac:dyDescent="0.2">
      <c r="D817" t="s">
        <v>22</v>
      </c>
      <c r="E817">
        <f>'NHL2025-26Results'!C813</f>
        <v>5</v>
      </c>
      <c r="F817" t="s">
        <v>17</v>
      </c>
      <c r="G817">
        <f>'NHL2025-26Results'!E813</f>
        <v>6</v>
      </c>
      <c r="H817">
        <f>Table3[[#This Row],[G_1]]-Table3[[#This Row],[G]]</f>
        <v>1</v>
      </c>
      <c r="I817">
        <f>HomeEdge+VLOOKUP(Table3[[#This Row],[Home]],$A$6:$B$38,2,FALSE)-VLOOKUP(Table3[[#This Row],[Visitor]],$A$6:$B$38,2,FALSE)</f>
        <v>0.11156622310808512</v>
      </c>
      <c r="J817">
        <f>(Table3[[#This Row],[HomeMargin]]-Table3[[#This Row],[HomeForecast]])^2</f>
        <v>0.7893145759224327</v>
      </c>
    </row>
    <row r="818" spans="4:10" x14ac:dyDescent="0.2">
      <c r="D818" t="s">
        <v>11</v>
      </c>
      <c r="E818">
        <f>'NHL2025-26Results'!C814</f>
        <v>4</v>
      </c>
      <c r="F818" t="s">
        <v>34</v>
      </c>
      <c r="G818">
        <f>'NHL2025-26Results'!E814</f>
        <v>3</v>
      </c>
      <c r="H818">
        <f>Table3[[#This Row],[G_1]]-Table3[[#This Row],[G]]</f>
        <v>-1</v>
      </c>
      <c r="I818">
        <f>HomeEdge+VLOOKUP(Table3[[#This Row],[Home]],$A$6:$B$38,2,FALSE)-VLOOKUP(Table3[[#This Row],[Visitor]],$A$6:$B$38,2,FALSE)</f>
        <v>0.49896841952111881</v>
      </c>
      <c r="J818">
        <f>(Table3[[#This Row],[HomeMargin]]-Table3[[#This Row],[HomeForecast]])^2</f>
        <v>2.246906322721641</v>
      </c>
    </row>
    <row r="819" spans="4:10" x14ac:dyDescent="0.2">
      <c r="D819" t="s">
        <v>55</v>
      </c>
      <c r="E819">
        <f>'NHL2025-26Results'!C815</f>
        <v>5</v>
      </c>
      <c r="F819" t="s">
        <v>29</v>
      </c>
      <c r="G819">
        <f>'NHL2025-26Results'!E815</f>
        <v>2</v>
      </c>
      <c r="H819">
        <f>Table3[[#This Row],[G_1]]-Table3[[#This Row],[G]]</f>
        <v>-3</v>
      </c>
      <c r="I819">
        <f>HomeEdge+VLOOKUP(Table3[[#This Row],[Home]],$A$6:$B$38,2,FALSE)-VLOOKUP(Table3[[#This Row],[Visitor]],$A$6:$B$38,2,FALSE)</f>
        <v>-0.75833472715922001</v>
      </c>
      <c r="J819">
        <f>(Table3[[#This Row],[HomeMargin]]-Table3[[#This Row],[HomeForecast]])^2</f>
        <v>5.0250631954603282</v>
      </c>
    </row>
    <row r="820" spans="4:10" x14ac:dyDescent="0.2">
      <c r="D820" t="s">
        <v>23</v>
      </c>
      <c r="E820">
        <f>'NHL2025-26Results'!C816</f>
        <v>5</v>
      </c>
      <c r="F820" t="s">
        <v>30</v>
      </c>
      <c r="G820">
        <f>'NHL2025-26Results'!E816</f>
        <v>0</v>
      </c>
      <c r="H820">
        <f>Table3[[#This Row],[G_1]]-Table3[[#This Row],[G]]</f>
        <v>-5</v>
      </c>
      <c r="I820">
        <f>HomeEdge+VLOOKUP(Table3[[#This Row],[Home]],$A$6:$B$38,2,FALSE)-VLOOKUP(Table3[[#This Row],[Visitor]],$A$6:$B$38,2,FALSE)</f>
        <v>-8.5262397502251563E-2</v>
      </c>
      <c r="J820">
        <f>(Table3[[#This Row],[HomeMargin]]-Table3[[#This Row],[HomeForecast]])^2</f>
        <v>24.154645701405315</v>
      </c>
    </row>
    <row r="821" spans="4:10" x14ac:dyDescent="0.2">
      <c r="D821" t="s">
        <v>25</v>
      </c>
      <c r="E821">
        <f>'NHL2025-26Results'!C817</f>
        <v>4</v>
      </c>
      <c r="F821" t="s">
        <v>36</v>
      </c>
      <c r="G821">
        <f>'NHL2025-26Results'!E817</f>
        <v>1</v>
      </c>
      <c r="H821">
        <f>Table3[[#This Row],[G_1]]-Table3[[#This Row],[G]]</f>
        <v>-3</v>
      </c>
      <c r="I821">
        <f>HomeEdge+VLOOKUP(Table3[[#This Row],[Home]],$A$6:$B$38,2,FALSE)-VLOOKUP(Table3[[#This Row],[Visitor]],$A$6:$B$38,2,FALSE)</f>
        <v>-0.38581210765514745</v>
      </c>
      <c r="J821">
        <f>(Table3[[#This Row],[HomeMargin]]-Table3[[#This Row],[HomeForecast]])^2</f>
        <v>6.8339783364824225</v>
      </c>
    </row>
    <row r="822" spans="4:10" x14ac:dyDescent="0.2">
      <c r="D822" t="s">
        <v>13</v>
      </c>
      <c r="E822">
        <f>'NHL2025-26Results'!C818</f>
        <v>5</v>
      </c>
      <c r="F822" t="s">
        <v>35</v>
      </c>
      <c r="G822">
        <f>'NHL2025-26Results'!E818</f>
        <v>4</v>
      </c>
      <c r="H822">
        <f>Table3[[#This Row],[G_1]]-Table3[[#This Row],[G]]</f>
        <v>-1</v>
      </c>
      <c r="I822">
        <f>HomeEdge+VLOOKUP(Table3[[#This Row],[Home]],$A$6:$B$38,2,FALSE)-VLOOKUP(Table3[[#This Row],[Visitor]],$A$6:$B$38,2,FALSE)</f>
        <v>-0.76403520990308593</v>
      </c>
      <c r="J822">
        <f>(Table3[[#This Row],[HomeMargin]]-Table3[[#This Row],[HomeForecast]])^2</f>
        <v>5.5679382165480712E-2</v>
      </c>
    </row>
    <row r="823" spans="4:10" x14ac:dyDescent="0.2">
      <c r="D823" t="s">
        <v>26</v>
      </c>
      <c r="E823">
        <f>'NHL2025-26Results'!C819</f>
        <v>5</v>
      </c>
      <c r="F823" t="s">
        <v>40</v>
      </c>
      <c r="G823">
        <f>'NHL2025-26Results'!E819</f>
        <v>1</v>
      </c>
      <c r="H823">
        <f>Table3[[#This Row],[G_1]]-Table3[[#This Row],[G]]</f>
        <v>-4</v>
      </c>
      <c r="I823">
        <f>HomeEdge+VLOOKUP(Table3[[#This Row],[Home]],$A$6:$B$38,2,FALSE)-VLOOKUP(Table3[[#This Row],[Visitor]],$A$6:$B$38,2,FALSE)</f>
        <v>-0.13246388800876011</v>
      </c>
      <c r="J823">
        <f>(Table3[[#This Row],[HomeMargin]]-Table3[[#This Row],[HomeForecast]])^2</f>
        <v>14.957835577556315</v>
      </c>
    </row>
    <row r="824" spans="4:10" x14ac:dyDescent="0.2">
      <c r="D824" t="s">
        <v>31</v>
      </c>
      <c r="E824">
        <f>'NHL2025-26Results'!C820</f>
        <v>4</v>
      </c>
      <c r="F824" t="s">
        <v>16</v>
      </c>
      <c r="G824">
        <f>'NHL2025-26Results'!E820</f>
        <v>3</v>
      </c>
      <c r="H824">
        <f>Table3[[#This Row],[G_1]]-Table3[[#This Row],[G]]</f>
        <v>-1</v>
      </c>
      <c r="I824">
        <f>HomeEdge+VLOOKUP(Table3[[#This Row],[Home]],$A$6:$B$38,2,FALSE)-VLOOKUP(Table3[[#This Row],[Visitor]],$A$6:$B$38,2,FALSE)</f>
        <v>-0.28008388267213935</v>
      </c>
      <c r="J824">
        <f>(Table3[[#This Row],[HomeMargin]]-Table3[[#This Row],[HomeForecast]])^2</f>
        <v>0.51827921598842197</v>
      </c>
    </row>
    <row r="825" spans="4:10" x14ac:dyDescent="0.2">
      <c r="D825" t="s">
        <v>11</v>
      </c>
      <c r="E825">
        <f>'NHL2025-26Results'!C821</f>
        <v>5</v>
      </c>
      <c r="F825" t="s">
        <v>10</v>
      </c>
      <c r="G825">
        <f>'NHL2025-26Results'!E821</f>
        <v>1</v>
      </c>
      <c r="H825">
        <f>Table3[[#This Row],[G_1]]-Table3[[#This Row],[G]]</f>
        <v>-4</v>
      </c>
      <c r="I825">
        <f>HomeEdge+VLOOKUP(Table3[[#This Row],[Home]],$A$6:$B$38,2,FALSE)-VLOOKUP(Table3[[#This Row],[Visitor]],$A$6:$B$38,2,FALSE)</f>
        <v>-0.2982562045011159</v>
      </c>
      <c r="J825">
        <f>(Table3[[#This Row],[HomeMargin]]-Table3[[#This Row],[HomeForecast]])^2</f>
        <v>13.702907127514484</v>
      </c>
    </row>
    <row r="826" spans="4:10" x14ac:dyDescent="0.2">
      <c r="D826" t="s">
        <v>20</v>
      </c>
      <c r="E826">
        <f>'NHL2025-26Results'!C822</f>
        <v>1</v>
      </c>
      <c r="F826" t="s">
        <v>36</v>
      </c>
      <c r="G826">
        <f>'NHL2025-26Results'!E822</f>
        <v>7</v>
      </c>
      <c r="H826">
        <f>Table3[[#This Row],[G_1]]-Table3[[#This Row],[G]]</f>
        <v>6</v>
      </c>
      <c r="I826">
        <f>HomeEdge+VLOOKUP(Table3[[#This Row],[Home]],$A$6:$B$38,2,FALSE)-VLOOKUP(Table3[[#This Row],[Visitor]],$A$6:$B$38,2,FALSE)</f>
        <v>4.1685107387059134E-2</v>
      </c>
      <c r="J826">
        <f>(Table3[[#This Row],[HomeMargin]]-Table3[[#This Row],[HomeForecast]])^2</f>
        <v>35.501516359533156</v>
      </c>
    </row>
    <row r="827" spans="4:10" x14ac:dyDescent="0.2">
      <c r="D827" t="s">
        <v>24</v>
      </c>
      <c r="E827">
        <f>'NHL2025-26Results'!C823</f>
        <v>2</v>
      </c>
      <c r="F827" t="s">
        <v>32</v>
      </c>
      <c r="G827">
        <f>'NHL2025-26Results'!E823</f>
        <v>4</v>
      </c>
      <c r="H827">
        <f>Table3[[#This Row],[G_1]]-Table3[[#This Row],[G]]</f>
        <v>2</v>
      </c>
      <c r="I827">
        <f>HomeEdge+VLOOKUP(Table3[[#This Row],[Home]],$A$6:$B$38,2,FALSE)-VLOOKUP(Table3[[#This Row],[Visitor]],$A$6:$B$38,2,FALSE)</f>
        <v>0.23165019104229667</v>
      </c>
      <c r="J827">
        <f>(Table3[[#This Row],[HomeMargin]]-Table3[[#This Row],[HomeForecast]])^2</f>
        <v>3.1270610468407454</v>
      </c>
    </row>
    <row r="828" spans="4:10" x14ac:dyDescent="0.2">
      <c r="D828" t="s">
        <v>12</v>
      </c>
      <c r="E828">
        <f>'NHL2025-26Results'!C824</f>
        <v>4</v>
      </c>
      <c r="F828" t="s">
        <v>19</v>
      </c>
      <c r="G828">
        <f>'NHL2025-26Results'!E824</f>
        <v>1</v>
      </c>
      <c r="H828">
        <f>Table3[[#This Row],[G_1]]-Table3[[#This Row],[G]]</f>
        <v>-3</v>
      </c>
      <c r="I828">
        <f>HomeEdge+VLOOKUP(Table3[[#This Row],[Home]],$A$6:$B$38,2,FALSE)-VLOOKUP(Table3[[#This Row],[Visitor]],$A$6:$B$38,2,FALSE)</f>
        <v>-1.4236569607673455</v>
      </c>
      <c r="J828">
        <f>(Table3[[#This Row],[HomeMargin]]-Table3[[#This Row],[HomeForecast]])^2</f>
        <v>2.4848573773372422</v>
      </c>
    </row>
    <row r="829" spans="4:10" x14ac:dyDescent="0.2">
      <c r="D829" t="s">
        <v>14</v>
      </c>
      <c r="E829">
        <f>'NHL2025-26Results'!C825</f>
        <v>3</v>
      </c>
      <c r="F829" t="s">
        <v>38</v>
      </c>
      <c r="G829">
        <f>'NHL2025-26Results'!E825</f>
        <v>2</v>
      </c>
      <c r="H829">
        <f>Table3[[#This Row],[G_1]]-Table3[[#This Row],[G]]</f>
        <v>-1</v>
      </c>
      <c r="I829">
        <f>HomeEdge+VLOOKUP(Table3[[#This Row],[Home]],$A$6:$B$38,2,FALSE)-VLOOKUP(Table3[[#This Row],[Visitor]],$A$6:$B$38,2,FALSE)</f>
        <v>-1.1583486666993836</v>
      </c>
      <c r="J829">
        <f>(Table3[[#This Row],[HomeMargin]]-Table3[[#This Row],[HomeForecast]])^2</f>
        <v>2.5074300245472487E-2</v>
      </c>
    </row>
    <row r="830" spans="4:10" x14ac:dyDescent="0.2">
      <c r="D830" t="s">
        <v>31</v>
      </c>
      <c r="E830">
        <f>'NHL2025-26Results'!C826</f>
        <v>4</v>
      </c>
      <c r="F830" t="s">
        <v>17</v>
      </c>
      <c r="G830">
        <f>'NHL2025-26Results'!E826</f>
        <v>7</v>
      </c>
      <c r="H830">
        <f>Table3[[#This Row],[G_1]]-Table3[[#This Row],[G]]</f>
        <v>3</v>
      </c>
      <c r="I830">
        <f>HomeEdge+VLOOKUP(Table3[[#This Row],[Home]],$A$6:$B$38,2,FALSE)-VLOOKUP(Table3[[#This Row],[Visitor]],$A$6:$B$38,2,FALSE)</f>
        <v>0.37659130504155675</v>
      </c>
      <c r="J830">
        <f>(Table3[[#This Row],[HomeMargin]]-Table3[[#This Row],[HomeForecast]])^2</f>
        <v>6.882273180783562</v>
      </c>
    </row>
    <row r="831" spans="4:10" x14ac:dyDescent="0.2">
      <c r="D831" t="s">
        <v>21</v>
      </c>
      <c r="E831">
        <f>'NHL2025-26Results'!C827</f>
        <v>3</v>
      </c>
      <c r="F831" t="s">
        <v>15</v>
      </c>
      <c r="G831">
        <f>'NHL2025-26Results'!E827</f>
        <v>4</v>
      </c>
      <c r="H831">
        <f>Table3[[#This Row],[G_1]]-Table3[[#This Row],[G]]</f>
        <v>1</v>
      </c>
      <c r="I831">
        <f>HomeEdge+VLOOKUP(Table3[[#This Row],[Home]],$A$6:$B$38,2,FALSE)-VLOOKUP(Table3[[#This Row],[Visitor]],$A$6:$B$38,2,FALSE)</f>
        <v>-0.48626961322731305</v>
      </c>
      <c r="J831">
        <f>(Table3[[#This Row],[HomeMargin]]-Table3[[#This Row],[HomeForecast]])^2</f>
        <v>2.2089973632028665</v>
      </c>
    </row>
    <row r="832" spans="4:10" x14ac:dyDescent="0.2">
      <c r="D832" t="s">
        <v>30</v>
      </c>
      <c r="E832">
        <f>'NHL2025-26Results'!C828</f>
        <v>4</v>
      </c>
      <c r="F832" t="s">
        <v>27</v>
      </c>
      <c r="G832">
        <f>'NHL2025-26Results'!E828</f>
        <v>0</v>
      </c>
      <c r="H832">
        <f>Table3[[#This Row],[G_1]]-Table3[[#This Row],[G]]</f>
        <v>-4</v>
      </c>
      <c r="I832">
        <f>HomeEdge+VLOOKUP(Table3[[#This Row],[Home]],$A$6:$B$38,2,FALSE)-VLOOKUP(Table3[[#This Row],[Visitor]],$A$6:$B$38,2,FALSE)</f>
        <v>-0.21945242771208429</v>
      </c>
      <c r="J832">
        <f>(Table3[[#This Row],[HomeMargin]]-Table3[[#This Row],[HomeForecast]])^2</f>
        <v>14.292539946332052</v>
      </c>
    </row>
    <row r="833" spans="4:10" x14ac:dyDescent="0.2">
      <c r="D833" t="s">
        <v>55</v>
      </c>
      <c r="E833">
        <f>'NHL2025-26Results'!C829</f>
        <v>0</v>
      </c>
      <c r="F833" t="s">
        <v>37</v>
      </c>
      <c r="G833">
        <f>'NHL2025-26Results'!E829</f>
        <v>2</v>
      </c>
      <c r="H833">
        <f>Table3[[#This Row],[G_1]]-Table3[[#This Row],[G]]</f>
        <v>2</v>
      </c>
      <c r="I833">
        <f>HomeEdge+VLOOKUP(Table3[[#This Row],[Home]],$A$6:$B$38,2,FALSE)-VLOOKUP(Table3[[#This Row],[Visitor]],$A$6:$B$38,2,FALSE)</f>
        <v>0.66627950036279049</v>
      </c>
      <c r="J833">
        <f>(Table3[[#This Row],[HomeMargin]]-Table3[[#This Row],[HomeForecast]])^2</f>
        <v>1.7788103711525274</v>
      </c>
    </row>
    <row r="834" spans="4:10" x14ac:dyDescent="0.2">
      <c r="D834" t="s">
        <v>29</v>
      </c>
      <c r="E834">
        <f>'NHL2025-26Results'!C830</f>
        <v>2</v>
      </c>
      <c r="F834" t="s">
        <v>21</v>
      </c>
      <c r="G834">
        <f>'NHL2025-26Results'!E830</f>
        <v>3</v>
      </c>
      <c r="H834">
        <f>Table3[[#This Row],[G_1]]-Table3[[#This Row],[G]]</f>
        <v>1</v>
      </c>
      <c r="I834">
        <f>HomeEdge+VLOOKUP(Table3[[#This Row],[Home]],$A$6:$B$38,2,FALSE)-VLOOKUP(Table3[[#This Row],[Visitor]],$A$6:$B$38,2,FALSE)</f>
        <v>0.80411245022105216</v>
      </c>
      <c r="J834">
        <f>(Table3[[#This Row],[HomeMargin]]-Table3[[#This Row],[HomeForecast]])^2</f>
        <v>3.837193215839977E-2</v>
      </c>
    </row>
    <row r="835" spans="4:10" x14ac:dyDescent="0.2">
      <c r="D835" t="s">
        <v>13</v>
      </c>
      <c r="E835">
        <f>'NHL2025-26Results'!C831</f>
        <v>3</v>
      </c>
      <c r="F835" t="s">
        <v>26</v>
      </c>
      <c r="G835">
        <f>'NHL2025-26Results'!E831</f>
        <v>1</v>
      </c>
      <c r="H835">
        <f>Table3[[#This Row],[G_1]]-Table3[[#This Row],[G]]</f>
        <v>-2</v>
      </c>
      <c r="I835">
        <f>HomeEdge+VLOOKUP(Table3[[#This Row],[Home]],$A$6:$B$38,2,FALSE)-VLOOKUP(Table3[[#This Row],[Visitor]],$A$6:$B$38,2,FALSE)</f>
        <v>0.29296680803672615</v>
      </c>
      <c r="J835">
        <f>(Table3[[#This Row],[HomeMargin]]-Table3[[#This Row],[HomeForecast]])^2</f>
        <v>5.2576967827581331</v>
      </c>
    </row>
    <row r="836" spans="4:10" x14ac:dyDescent="0.2">
      <c r="D836" t="s">
        <v>55</v>
      </c>
      <c r="E836">
        <f>'NHL2025-26Results'!C832</f>
        <v>4</v>
      </c>
      <c r="F836" t="s">
        <v>11</v>
      </c>
      <c r="G836">
        <f>'NHL2025-26Results'!E832</f>
        <v>3</v>
      </c>
      <c r="H836">
        <f>Table3[[#This Row],[G_1]]-Table3[[#This Row],[G]]</f>
        <v>-1</v>
      </c>
      <c r="I836">
        <f>HomeEdge+VLOOKUP(Table3[[#This Row],[Home]],$A$6:$B$38,2,FALSE)-VLOOKUP(Table3[[#This Row],[Visitor]],$A$6:$B$38,2,FALSE)</f>
        <v>-0.3766154856840489</v>
      </c>
      <c r="J836">
        <f>(Table3[[#This Row],[HomeMargin]]-Table3[[#This Row],[HomeForecast]])^2</f>
        <v>0.38860825268893423</v>
      </c>
    </row>
    <row r="837" spans="4:10" x14ac:dyDescent="0.2">
      <c r="D837" t="s">
        <v>10</v>
      </c>
      <c r="E837">
        <f>'NHL2025-26Results'!C833</f>
        <v>3</v>
      </c>
      <c r="F837" t="s">
        <v>34</v>
      </c>
      <c r="G837">
        <f>'NHL2025-26Results'!E833</f>
        <v>4</v>
      </c>
      <c r="H837">
        <f>Table3[[#This Row],[G_1]]-Table3[[#This Row],[G]]</f>
        <v>1</v>
      </c>
      <c r="I837">
        <f>HomeEdge+VLOOKUP(Table3[[#This Row],[Home]],$A$6:$B$38,2,FALSE)-VLOOKUP(Table3[[#This Row],[Visitor]],$A$6:$B$38,2,FALSE)</f>
        <v>0.90535508592533664</v>
      </c>
      <c r="J837">
        <f>(Table3[[#This Row],[HomeMargin]]-Table3[[#This Row],[HomeForecast]])^2</f>
        <v>8.9576597602004093E-3</v>
      </c>
    </row>
    <row r="838" spans="4:10" x14ac:dyDescent="0.2">
      <c r="D838" t="s">
        <v>20</v>
      </c>
      <c r="E838">
        <f>'NHL2025-26Results'!C834</f>
        <v>2</v>
      </c>
      <c r="F838" t="s">
        <v>18</v>
      </c>
      <c r="G838">
        <f>'NHL2025-26Results'!E834</f>
        <v>3</v>
      </c>
      <c r="H838">
        <f>Table3[[#This Row],[G_1]]-Table3[[#This Row],[G]]</f>
        <v>1</v>
      </c>
      <c r="I838">
        <f>HomeEdge+VLOOKUP(Table3[[#This Row],[Home]],$A$6:$B$38,2,FALSE)-VLOOKUP(Table3[[#This Row],[Visitor]],$A$6:$B$38,2,FALSE)</f>
        <v>3.3096113711650471E-2</v>
      </c>
      <c r="J838">
        <f>(Table3[[#This Row],[HomeMargin]]-Table3[[#This Row],[HomeForecast]])^2</f>
        <v>0.93490312531951358</v>
      </c>
    </row>
    <row r="839" spans="4:10" x14ac:dyDescent="0.2">
      <c r="D839" t="s">
        <v>40</v>
      </c>
      <c r="E839">
        <f>'NHL2025-26Results'!C835</f>
        <v>4</v>
      </c>
      <c r="F839" t="s">
        <v>24</v>
      </c>
      <c r="G839">
        <f>'NHL2025-26Results'!E835</f>
        <v>3</v>
      </c>
      <c r="H839">
        <f>Table3[[#This Row],[G_1]]-Table3[[#This Row],[G]]</f>
        <v>-1</v>
      </c>
      <c r="I839">
        <f>HomeEdge+VLOOKUP(Table3[[#This Row],[Home]],$A$6:$B$38,2,FALSE)-VLOOKUP(Table3[[#This Row],[Visitor]],$A$6:$B$38,2,FALSE)</f>
        <v>-2.218261391777393E-2</v>
      </c>
      <c r="J839">
        <f>(Table3[[#This Row],[HomeMargin]]-Table3[[#This Row],[HomeForecast]])^2</f>
        <v>0.95612684052467722</v>
      </c>
    </row>
    <row r="840" spans="4:10" x14ac:dyDescent="0.2">
      <c r="D840" t="s">
        <v>22</v>
      </c>
      <c r="E840">
        <f>'NHL2025-26Results'!C836</f>
        <v>1</v>
      </c>
      <c r="F840" t="s">
        <v>32</v>
      </c>
      <c r="G840">
        <f>'NHL2025-26Results'!E836</f>
        <v>5</v>
      </c>
      <c r="H840">
        <f>Table3[[#This Row],[G_1]]-Table3[[#This Row],[G]]</f>
        <v>4</v>
      </c>
      <c r="I840">
        <f>HomeEdge+VLOOKUP(Table3[[#This Row],[Home]],$A$6:$B$38,2,FALSE)-VLOOKUP(Table3[[#This Row],[Visitor]],$A$6:$B$38,2,FALSE)</f>
        <v>-0.19349880125290964</v>
      </c>
      <c r="J840">
        <f>(Table3[[#This Row],[HomeMargin]]-Table3[[#This Row],[HomeForecast]])^2</f>
        <v>17.585432196109586</v>
      </c>
    </row>
    <row r="841" spans="4:10" x14ac:dyDescent="0.2">
      <c r="D841" t="s">
        <v>39</v>
      </c>
      <c r="E841">
        <f>'NHL2025-26Results'!C837</f>
        <v>4</v>
      </c>
      <c r="F841" t="s">
        <v>35</v>
      </c>
      <c r="G841">
        <f>'NHL2025-26Results'!E837</f>
        <v>3</v>
      </c>
      <c r="H841">
        <f>Table3[[#This Row],[G_1]]-Table3[[#This Row],[G]]</f>
        <v>-1</v>
      </c>
      <c r="I841">
        <f>HomeEdge+VLOOKUP(Table3[[#This Row],[Home]],$A$6:$B$38,2,FALSE)-VLOOKUP(Table3[[#This Row],[Visitor]],$A$6:$B$38,2,FALSE)</f>
        <v>-1.3736474403663022</v>
      </c>
      <c r="J841">
        <f>(Table3[[#This Row],[HomeMargin]]-Table3[[#This Row],[HomeForecast]])^2</f>
        <v>0.13961240969228933</v>
      </c>
    </row>
    <row r="842" spans="4:10" x14ac:dyDescent="0.2">
      <c r="D842" t="s">
        <v>23</v>
      </c>
      <c r="E842">
        <f>'NHL2025-26Results'!C838</f>
        <v>7</v>
      </c>
      <c r="F842" t="s">
        <v>19</v>
      </c>
      <c r="G842">
        <f>'NHL2025-26Results'!E838</f>
        <v>4</v>
      </c>
      <c r="H842">
        <f>Table3[[#This Row],[G_1]]-Table3[[#This Row],[G]]</f>
        <v>-3</v>
      </c>
      <c r="I842">
        <f>HomeEdge+VLOOKUP(Table3[[#This Row],[Home]],$A$6:$B$38,2,FALSE)-VLOOKUP(Table3[[#This Row],[Visitor]],$A$6:$B$38,2,FALSE)</f>
        <v>-0.39666577791011753</v>
      </c>
      <c r="J842">
        <f>(Table3[[#This Row],[HomeMargin]]-Table3[[#This Row],[HomeForecast]])^2</f>
        <v>6.7773490719043323</v>
      </c>
    </row>
    <row r="843" spans="4:10" x14ac:dyDescent="0.2">
      <c r="D843" t="s">
        <v>33</v>
      </c>
      <c r="E843">
        <f>'NHL2025-26Results'!C839</f>
        <v>5</v>
      </c>
      <c r="F843" t="s">
        <v>38</v>
      </c>
      <c r="G843">
        <f>'NHL2025-26Results'!E839</f>
        <v>2</v>
      </c>
      <c r="H843">
        <f>Table3[[#This Row],[G_1]]-Table3[[#This Row],[G]]</f>
        <v>-3</v>
      </c>
      <c r="I843">
        <f>HomeEdge+VLOOKUP(Table3[[#This Row],[Home]],$A$6:$B$38,2,FALSE)-VLOOKUP(Table3[[#This Row],[Visitor]],$A$6:$B$38,2,FALSE)</f>
        <v>-0.68922800505512116</v>
      </c>
      <c r="J843">
        <f>(Table3[[#This Row],[HomeMargin]]-Table3[[#This Row],[HomeForecast]])^2</f>
        <v>5.339667212621535</v>
      </c>
    </row>
    <row r="844" spans="4:10" x14ac:dyDescent="0.2">
      <c r="D844" t="s">
        <v>27</v>
      </c>
      <c r="E844">
        <f>'NHL2025-26Results'!C840</f>
        <v>3</v>
      </c>
      <c r="F844" t="s">
        <v>28</v>
      </c>
      <c r="G844">
        <f>'NHL2025-26Results'!E840</f>
        <v>5</v>
      </c>
      <c r="H844">
        <f>Table3[[#This Row],[G_1]]-Table3[[#This Row],[G]]</f>
        <v>2</v>
      </c>
      <c r="I844">
        <f>HomeEdge+VLOOKUP(Table3[[#This Row],[Home]],$A$6:$B$38,2,FALSE)-VLOOKUP(Table3[[#This Row],[Visitor]],$A$6:$B$38,2,FALSE)</f>
        <v>0.14493471776107797</v>
      </c>
      <c r="J844">
        <f>(Table3[[#This Row],[HomeMargin]]-Table3[[#This Row],[HomeForecast]])^2</f>
        <v>3.4412672013681713</v>
      </c>
    </row>
    <row r="845" spans="4:10" x14ac:dyDescent="0.2">
      <c r="D845" t="s">
        <v>15</v>
      </c>
      <c r="E845">
        <f>'NHL2025-26Results'!C841</f>
        <v>2</v>
      </c>
      <c r="F845" t="s">
        <v>30</v>
      </c>
      <c r="G845">
        <f>'NHL2025-26Results'!E841</f>
        <v>5</v>
      </c>
      <c r="H845">
        <f>Table3[[#This Row],[G_1]]-Table3[[#This Row],[G]]</f>
        <v>3</v>
      </c>
      <c r="I845">
        <f>HomeEdge+VLOOKUP(Table3[[#This Row],[Home]],$A$6:$B$38,2,FALSE)-VLOOKUP(Table3[[#This Row],[Visitor]],$A$6:$B$38,2,FALSE)</f>
        <v>0.66249849586993237</v>
      </c>
      <c r="J845">
        <f>(Table3[[#This Row],[HomeMargin]]-Table3[[#This Row],[HomeForecast]])^2</f>
        <v>5.4639132818103278</v>
      </c>
    </row>
    <row r="846" spans="4:10" x14ac:dyDescent="0.2">
      <c r="D846" t="s">
        <v>12</v>
      </c>
      <c r="E846">
        <f>'NHL2025-26Results'!C842</f>
        <v>2</v>
      </c>
      <c r="F846" t="s">
        <v>36</v>
      </c>
      <c r="G846">
        <f>'NHL2025-26Results'!E842</f>
        <v>5</v>
      </c>
      <c r="H846">
        <f>Table3[[#This Row],[G_1]]-Table3[[#This Row],[G]]</f>
        <v>3</v>
      </c>
      <c r="I846">
        <f>HomeEdge+VLOOKUP(Table3[[#This Row],[Home]],$A$6:$B$38,2,FALSE)-VLOOKUP(Table3[[#This Row],[Visitor]],$A$6:$B$38,2,FALSE)</f>
        <v>-1.221645976614059</v>
      </c>
      <c r="J846">
        <f>(Table3[[#This Row],[HomeMargin]]-Table3[[#This Row],[HomeForecast]])^2</f>
        <v>17.822294751861676</v>
      </c>
    </row>
    <row r="847" spans="4:10" x14ac:dyDescent="0.2">
      <c r="D847" t="s">
        <v>27</v>
      </c>
      <c r="F847" t="s">
        <v>21</v>
      </c>
    </row>
    <row r="848" spans="4:10" x14ac:dyDescent="0.2">
      <c r="D848" t="s">
        <v>13</v>
      </c>
      <c r="F848" t="s">
        <v>23</v>
      </c>
    </row>
    <row r="849" spans="4:6" x14ac:dyDescent="0.2">
      <c r="D849" t="s">
        <v>55</v>
      </c>
      <c r="F849" t="s">
        <v>25</v>
      </c>
    </row>
    <row r="850" spans="4:6" x14ac:dyDescent="0.2">
      <c r="D850" t="s">
        <v>22</v>
      </c>
      <c r="F850" t="s">
        <v>26</v>
      </c>
    </row>
    <row r="851" spans="4:6" x14ac:dyDescent="0.2">
      <c r="D851" t="s">
        <v>33</v>
      </c>
      <c r="F851" t="s">
        <v>17</v>
      </c>
    </row>
    <row r="852" spans="4:6" x14ac:dyDescent="0.2">
      <c r="D852" t="s">
        <v>16</v>
      </c>
      <c r="F852" t="s">
        <v>34</v>
      </c>
    </row>
    <row r="853" spans="4:6" x14ac:dyDescent="0.2">
      <c r="D853" t="s">
        <v>12</v>
      </c>
      <c r="F853" t="s">
        <v>18</v>
      </c>
    </row>
    <row r="854" spans="4:6" x14ac:dyDescent="0.2">
      <c r="D854" t="s">
        <v>29</v>
      </c>
      <c r="F854" t="s">
        <v>24</v>
      </c>
    </row>
    <row r="855" spans="4:6" x14ac:dyDescent="0.2">
      <c r="D855" t="s">
        <v>30</v>
      </c>
      <c r="F855" t="s">
        <v>15</v>
      </c>
    </row>
    <row r="856" spans="4:6" x14ac:dyDescent="0.2">
      <c r="D856" t="s">
        <v>10</v>
      </c>
      <c r="F856" t="s">
        <v>14</v>
      </c>
    </row>
    <row r="857" spans="4:6" x14ac:dyDescent="0.2">
      <c r="D857" t="s">
        <v>19</v>
      </c>
      <c r="F857" t="s">
        <v>32</v>
      </c>
    </row>
    <row r="858" spans="4:6" x14ac:dyDescent="0.2">
      <c r="D858" t="s">
        <v>11</v>
      </c>
      <c r="F858" t="s">
        <v>35</v>
      </c>
    </row>
    <row r="859" spans="4:6" x14ac:dyDescent="0.2">
      <c r="D859" t="s">
        <v>40</v>
      </c>
      <c r="F859" t="s">
        <v>37</v>
      </c>
    </row>
    <row r="860" spans="4:6" x14ac:dyDescent="0.2">
      <c r="D860" t="s">
        <v>31</v>
      </c>
      <c r="F860" t="s">
        <v>38</v>
      </c>
    </row>
    <row r="861" spans="4:6" x14ac:dyDescent="0.2">
      <c r="D861" t="s">
        <v>39</v>
      </c>
      <c r="F861" t="s">
        <v>20</v>
      </c>
    </row>
    <row r="862" spans="4:6" x14ac:dyDescent="0.2">
      <c r="D862" t="s">
        <v>28</v>
      </c>
      <c r="F862" t="s">
        <v>10</v>
      </c>
    </row>
    <row r="863" spans="4:6" x14ac:dyDescent="0.2">
      <c r="D863" t="s">
        <v>18</v>
      </c>
      <c r="F863" t="s">
        <v>23</v>
      </c>
    </row>
    <row r="864" spans="4:6" x14ac:dyDescent="0.2">
      <c r="D864" t="s">
        <v>33</v>
      </c>
      <c r="F864" t="s">
        <v>16</v>
      </c>
    </row>
    <row r="865" spans="4:6" x14ac:dyDescent="0.2">
      <c r="D865" t="s">
        <v>12</v>
      </c>
      <c r="F865" t="s">
        <v>26</v>
      </c>
    </row>
    <row r="866" spans="4:6" x14ac:dyDescent="0.2">
      <c r="D866" t="s">
        <v>34</v>
      </c>
      <c r="F866" t="s">
        <v>17</v>
      </c>
    </row>
    <row r="867" spans="4:6" x14ac:dyDescent="0.2">
      <c r="D867" t="s">
        <v>40</v>
      </c>
      <c r="F867" t="s">
        <v>11</v>
      </c>
    </row>
    <row r="868" spans="4:6" x14ac:dyDescent="0.2">
      <c r="D868" t="s">
        <v>29</v>
      </c>
      <c r="F868" t="s">
        <v>30</v>
      </c>
    </row>
    <row r="869" spans="4:6" x14ac:dyDescent="0.2">
      <c r="D869" t="s">
        <v>24</v>
      </c>
      <c r="F869" t="s">
        <v>36</v>
      </c>
    </row>
    <row r="870" spans="4:6" x14ac:dyDescent="0.2">
      <c r="D870" t="s">
        <v>13</v>
      </c>
      <c r="F870" t="s">
        <v>27</v>
      </c>
    </row>
    <row r="871" spans="4:6" x14ac:dyDescent="0.2">
      <c r="D871" t="s">
        <v>15</v>
      </c>
      <c r="F871" t="s">
        <v>14</v>
      </c>
    </row>
    <row r="872" spans="4:6" x14ac:dyDescent="0.2">
      <c r="D872" t="s">
        <v>28</v>
      </c>
      <c r="F872" t="s">
        <v>35</v>
      </c>
    </row>
    <row r="873" spans="4:6" x14ac:dyDescent="0.2">
      <c r="D873" t="s">
        <v>39</v>
      </c>
      <c r="F873" t="s">
        <v>55</v>
      </c>
    </row>
    <row r="874" spans="4:6" x14ac:dyDescent="0.2">
      <c r="D874" t="s">
        <v>19</v>
      </c>
      <c r="F874" t="s">
        <v>38</v>
      </c>
    </row>
    <row r="875" spans="4:6" x14ac:dyDescent="0.2">
      <c r="D875" t="s">
        <v>32</v>
      </c>
      <c r="F875" t="s">
        <v>20</v>
      </c>
    </row>
    <row r="876" spans="4:6" x14ac:dyDescent="0.2">
      <c r="D876" t="s">
        <v>25</v>
      </c>
      <c r="F876" t="s">
        <v>22</v>
      </c>
    </row>
    <row r="877" spans="4:6" x14ac:dyDescent="0.2">
      <c r="D877" t="s">
        <v>20</v>
      </c>
      <c r="F877" t="s">
        <v>31</v>
      </c>
    </row>
    <row r="878" spans="4:6" x14ac:dyDescent="0.2">
      <c r="D878" t="s">
        <v>13</v>
      </c>
      <c r="F878" t="s">
        <v>25</v>
      </c>
    </row>
    <row r="879" spans="4:6" x14ac:dyDescent="0.2">
      <c r="D879" t="s">
        <v>21</v>
      </c>
      <c r="F879" t="s">
        <v>37</v>
      </c>
    </row>
    <row r="880" spans="4:6" x14ac:dyDescent="0.2">
      <c r="D880" t="s">
        <v>19</v>
      </c>
      <c r="F880" t="s">
        <v>16</v>
      </c>
    </row>
    <row r="881" spans="4:6" x14ac:dyDescent="0.2">
      <c r="D881" t="s">
        <v>33</v>
      </c>
      <c r="F881" t="s">
        <v>10</v>
      </c>
    </row>
    <row r="882" spans="4:6" x14ac:dyDescent="0.2">
      <c r="D882" t="s">
        <v>26</v>
      </c>
      <c r="F882" t="s">
        <v>12</v>
      </c>
    </row>
    <row r="883" spans="4:6" x14ac:dyDescent="0.2">
      <c r="D883" t="s">
        <v>40</v>
      </c>
      <c r="F883" t="s">
        <v>39</v>
      </c>
    </row>
    <row r="884" spans="4:6" x14ac:dyDescent="0.2">
      <c r="D884" t="s">
        <v>23</v>
      </c>
      <c r="F884" t="s">
        <v>11</v>
      </c>
    </row>
    <row r="885" spans="4:6" x14ac:dyDescent="0.2">
      <c r="D885" t="s">
        <v>18</v>
      </c>
      <c r="F885" t="s">
        <v>34</v>
      </c>
    </row>
    <row r="886" spans="4:6" x14ac:dyDescent="0.2">
      <c r="D886" t="s">
        <v>35</v>
      </c>
      <c r="F886" t="s">
        <v>29</v>
      </c>
    </row>
    <row r="887" spans="4:6" x14ac:dyDescent="0.2">
      <c r="D887" t="s">
        <v>36</v>
      </c>
      <c r="F887" t="s">
        <v>14</v>
      </c>
    </row>
    <row r="888" spans="4:6" x14ac:dyDescent="0.2">
      <c r="D888" t="s">
        <v>38</v>
      </c>
      <c r="F888" t="s">
        <v>55</v>
      </c>
    </row>
    <row r="889" spans="4:6" x14ac:dyDescent="0.2">
      <c r="D889" t="s">
        <v>30</v>
      </c>
      <c r="F889" t="s">
        <v>22</v>
      </c>
    </row>
    <row r="890" spans="4:6" x14ac:dyDescent="0.2">
      <c r="D890" t="s">
        <v>32</v>
      </c>
      <c r="F890" t="s">
        <v>31</v>
      </c>
    </row>
    <row r="891" spans="4:6" x14ac:dyDescent="0.2">
      <c r="D891" t="s">
        <v>36</v>
      </c>
      <c r="F891" t="s">
        <v>25</v>
      </c>
    </row>
    <row r="892" spans="4:6" x14ac:dyDescent="0.2">
      <c r="D892" t="s">
        <v>19</v>
      </c>
      <c r="F892" t="s">
        <v>17</v>
      </c>
    </row>
    <row r="893" spans="4:6" x14ac:dyDescent="0.2">
      <c r="D893" t="s">
        <v>28</v>
      </c>
      <c r="F893" t="s">
        <v>24</v>
      </c>
    </row>
    <row r="894" spans="4:6" x14ac:dyDescent="0.2">
      <c r="D894" t="s">
        <v>14</v>
      </c>
      <c r="F894" t="s">
        <v>30</v>
      </c>
    </row>
    <row r="895" spans="4:6" x14ac:dyDescent="0.2">
      <c r="D895" t="s">
        <v>22</v>
      </c>
      <c r="F895" t="s">
        <v>27</v>
      </c>
    </row>
    <row r="896" spans="4:6" x14ac:dyDescent="0.2">
      <c r="D896" t="s">
        <v>23</v>
      </c>
      <c r="F896" t="s">
        <v>37</v>
      </c>
    </row>
    <row r="897" spans="4:6" x14ac:dyDescent="0.2">
      <c r="D897" t="s">
        <v>10</v>
      </c>
      <c r="F897" t="s">
        <v>28</v>
      </c>
    </row>
    <row r="898" spans="4:6" x14ac:dyDescent="0.2">
      <c r="D898" t="s">
        <v>17</v>
      </c>
      <c r="F898" t="s">
        <v>16</v>
      </c>
    </row>
    <row r="899" spans="4:6" x14ac:dyDescent="0.2">
      <c r="D899" t="s">
        <v>33</v>
      </c>
      <c r="F899" t="s">
        <v>12</v>
      </c>
    </row>
    <row r="900" spans="4:6" x14ac:dyDescent="0.2">
      <c r="D900" t="s">
        <v>35</v>
      </c>
      <c r="F900" t="s">
        <v>39</v>
      </c>
    </row>
    <row r="901" spans="4:6" x14ac:dyDescent="0.2">
      <c r="D901" t="s">
        <v>21</v>
      </c>
      <c r="F901" t="s">
        <v>11</v>
      </c>
    </row>
    <row r="902" spans="4:6" x14ac:dyDescent="0.2">
      <c r="D902" t="s">
        <v>32</v>
      </c>
      <c r="F902" t="s">
        <v>13</v>
      </c>
    </row>
    <row r="903" spans="4:6" x14ac:dyDescent="0.2">
      <c r="D903" t="s">
        <v>34</v>
      </c>
      <c r="F903" t="s">
        <v>29</v>
      </c>
    </row>
    <row r="904" spans="4:6" x14ac:dyDescent="0.2">
      <c r="D904" t="s">
        <v>26</v>
      </c>
      <c r="F904" t="s">
        <v>55</v>
      </c>
    </row>
    <row r="905" spans="4:6" x14ac:dyDescent="0.2">
      <c r="D905" t="s">
        <v>38</v>
      </c>
      <c r="F905" t="s">
        <v>20</v>
      </c>
    </row>
    <row r="906" spans="4:6" x14ac:dyDescent="0.2">
      <c r="D906" t="s">
        <v>18</v>
      </c>
      <c r="F906" t="s">
        <v>40</v>
      </c>
    </row>
    <row r="907" spans="4:6" x14ac:dyDescent="0.2">
      <c r="D907" t="s">
        <v>14</v>
      </c>
      <c r="F907" t="s">
        <v>23</v>
      </c>
    </row>
    <row r="908" spans="4:6" x14ac:dyDescent="0.2">
      <c r="D908" t="s">
        <v>30</v>
      </c>
      <c r="F908" t="s">
        <v>24</v>
      </c>
    </row>
    <row r="909" spans="4:6" x14ac:dyDescent="0.2">
      <c r="D909" t="s">
        <v>25</v>
      </c>
      <c r="F909" t="s">
        <v>15</v>
      </c>
    </row>
    <row r="910" spans="4:6" x14ac:dyDescent="0.2">
      <c r="D910" t="s">
        <v>36</v>
      </c>
      <c r="F910" t="s">
        <v>27</v>
      </c>
    </row>
    <row r="911" spans="4:6" x14ac:dyDescent="0.2">
      <c r="D911" t="s">
        <v>11</v>
      </c>
      <c r="F911" t="s">
        <v>37</v>
      </c>
    </row>
    <row r="912" spans="4:6" x14ac:dyDescent="0.2">
      <c r="D912" t="s">
        <v>13</v>
      </c>
      <c r="F912" t="s">
        <v>20</v>
      </c>
    </row>
    <row r="913" spans="4:6" x14ac:dyDescent="0.2">
      <c r="D913" t="s">
        <v>29</v>
      </c>
      <c r="F913" t="s">
        <v>22</v>
      </c>
    </row>
    <row r="914" spans="4:6" x14ac:dyDescent="0.2">
      <c r="D914" t="s">
        <v>17</v>
      </c>
      <c r="F914" t="s">
        <v>31</v>
      </c>
    </row>
    <row r="915" spans="4:6" x14ac:dyDescent="0.2">
      <c r="D915" t="s">
        <v>32</v>
      </c>
      <c r="F915" t="s">
        <v>39</v>
      </c>
    </row>
    <row r="916" spans="4:6" x14ac:dyDescent="0.2">
      <c r="D916" t="s">
        <v>20</v>
      </c>
      <c r="F916" t="s">
        <v>13</v>
      </c>
    </row>
    <row r="917" spans="4:6" x14ac:dyDescent="0.2">
      <c r="D917" t="s">
        <v>23</v>
      </c>
      <c r="F917" t="s">
        <v>24</v>
      </c>
    </row>
    <row r="918" spans="4:6" x14ac:dyDescent="0.2">
      <c r="D918" t="s">
        <v>19</v>
      </c>
      <c r="F918" t="s">
        <v>37</v>
      </c>
    </row>
    <row r="919" spans="4:6" x14ac:dyDescent="0.2">
      <c r="D919" t="s">
        <v>12</v>
      </c>
      <c r="F919" t="s">
        <v>55</v>
      </c>
    </row>
    <row r="920" spans="4:6" x14ac:dyDescent="0.2">
      <c r="D920" t="s">
        <v>40</v>
      </c>
      <c r="F920" t="s">
        <v>38</v>
      </c>
    </row>
    <row r="921" spans="4:6" x14ac:dyDescent="0.2">
      <c r="D921" t="s">
        <v>27</v>
      </c>
      <c r="F921" t="s">
        <v>22</v>
      </c>
    </row>
    <row r="922" spans="4:6" x14ac:dyDescent="0.2">
      <c r="D922" t="s">
        <v>28</v>
      </c>
      <c r="F922" t="s">
        <v>21</v>
      </c>
    </row>
    <row r="923" spans="4:6" x14ac:dyDescent="0.2">
      <c r="D923" t="s">
        <v>37</v>
      </c>
      <c r="F923" t="s">
        <v>25</v>
      </c>
    </row>
    <row r="924" spans="4:6" x14ac:dyDescent="0.2">
      <c r="D924" t="s">
        <v>34</v>
      </c>
      <c r="F924" t="s">
        <v>12</v>
      </c>
    </row>
    <row r="925" spans="4:6" x14ac:dyDescent="0.2">
      <c r="D925" t="s">
        <v>19</v>
      </c>
      <c r="F925" t="s">
        <v>11</v>
      </c>
    </row>
    <row r="926" spans="4:6" x14ac:dyDescent="0.2">
      <c r="D926" t="s">
        <v>17</v>
      </c>
      <c r="F926" t="s">
        <v>13</v>
      </c>
    </row>
    <row r="927" spans="4:6" x14ac:dyDescent="0.2">
      <c r="D927" t="s">
        <v>30</v>
      </c>
      <c r="F927" t="s">
        <v>18</v>
      </c>
    </row>
    <row r="928" spans="4:6" x14ac:dyDescent="0.2">
      <c r="D928" t="s">
        <v>10</v>
      </c>
      <c r="F928" t="s">
        <v>29</v>
      </c>
    </row>
    <row r="929" spans="4:6" x14ac:dyDescent="0.2">
      <c r="D929" t="s">
        <v>27</v>
      </c>
      <c r="F929" t="s">
        <v>15</v>
      </c>
    </row>
    <row r="930" spans="4:6" x14ac:dyDescent="0.2">
      <c r="D930" t="s">
        <v>26</v>
      </c>
      <c r="F930" t="s">
        <v>36</v>
      </c>
    </row>
    <row r="931" spans="4:6" x14ac:dyDescent="0.2">
      <c r="D931" t="s">
        <v>24</v>
      </c>
      <c r="F931" t="s">
        <v>14</v>
      </c>
    </row>
    <row r="932" spans="4:6" x14ac:dyDescent="0.2">
      <c r="D932" t="s">
        <v>16</v>
      </c>
      <c r="F932" t="s">
        <v>33</v>
      </c>
    </row>
    <row r="933" spans="4:6" x14ac:dyDescent="0.2">
      <c r="D933" t="s">
        <v>32</v>
      </c>
      <c r="F933" t="s">
        <v>35</v>
      </c>
    </row>
    <row r="934" spans="4:6" x14ac:dyDescent="0.2">
      <c r="D934" t="s">
        <v>40</v>
      </c>
      <c r="F934" t="s">
        <v>31</v>
      </c>
    </row>
    <row r="935" spans="4:6" x14ac:dyDescent="0.2">
      <c r="D935" t="s">
        <v>23</v>
      </c>
      <c r="F935" t="s">
        <v>11</v>
      </c>
    </row>
    <row r="936" spans="4:6" x14ac:dyDescent="0.2">
      <c r="D936" t="s">
        <v>34</v>
      </c>
      <c r="F936" t="s">
        <v>55</v>
      </c>
    </row>
    <row r="937" spans="4:6" x14ac:dyDescent="0.2">
      <c r="D937" t="s">
        <v>20</v>
      </c>
      <c r="F937" t="s">
        <v>22</v>
      </c>
    </row>
    <row r="938" spans="4:6" x14ac:dyDescent="0.2">
      <c r="D938" t="s">
        <v>26</v>
      </c>
      <c r="F938" t="s">
        <v>25</v>
      </c>
    </row>
    <row r="939" spans="4:6" x14ac:dyDescent="0.2">
      <c r="D939" t="s">
        <v>30</v>
      </c>
      <c r="F939" t="s">
        <v>28</v>
      </c>
    </row>
    <row r="940" spans="4:6" x14ac:dyDescent="0.2">
      <c r="D940" t="s">
        <v>10</v>
      </c>
      <c r="F940" t="s">
        <v>12</v>
      </c>
    </row>
    <row r="941" spans="4:6" x14ac:dyDescent="0.2">
      <c r="D941" t="s">
        <v>29</v>
      </c>
      <c r="F941" t="s">
        <v>39</v>
      </c>
    </row>
    <row r="942" spans="4:6" x14ac:dyDescent="0.2">
      <c r="D942" t="s">
        <v>16</v>
      </c>
      <c r="F942" t="s">
        <v>13</v>
      </c>
    </row>
    <row r="943" spans="4:6" x14ac:dyDescent="0.2">
      <c r="D943" t="s">
        <v>22</v>
      </c>
      <c r="F943" t="s">
        <v>18</v>
      </c>
    </row>
    <row r="944" spans="4:6" x14ac:dyDescent="0.2">
      <c r="D944" t="s">
        <v>14</v>
      </c>
      <c r="F944" t="s">
        <v>15</v>
      </c>
    </row>
    <row r="945" spans="4:6" x14ac:dyDescent="0.2">
      <c r="D945" t="s">
        <v>21</v>
      </c>
      <c r="F945" t="s">
        <v>27</v>
      </c>
    </row>
    <row r="946" spans="4:6" x14ac:dyDescent="0.2">
      <c r="D946" t="s">
        <v>38</v>
      </c>
      <c r="F946" t="s">
        <v>32</v>
      </c>
    </row>
    <row r="947" spans="4:6" x14ac:dyDescent="0.2">
      <c r="D947" t="s">
        <v>17</v>
      </c>
      <c r="F947" t="s">
        <v>33</v>
      </c>
    </row>
    <row r="948" spans="4:6" x14ac:dyDescent="0.2">
      <c r="D948" t="s">
        <v>24</v>
      </c>
      <c r="F948" t="s">
        <v>35</v>
      </c>
    </row>
    <row r="949" spans="4:6" x14ac:dyDescent="0.2">
      <c r="D949" t="s">
        <v>23</v>
      </c>
      <c r="F949" t="s">
        <v>37</v>
      </c>
    </row>
    <row r="950" spans="4:6" x14ac:dyDescent="0.2">
      <c r="D950" t="s">
        <v>36</v>
      </c>
      <c r="F950" t="s">
        <v>19</v>
      </c>
    </row>
    <row r="951" spans="4:6" x14ac:dyDescent="0.2">
      <c r="D951" t="s">
        <v>16</v>
      </c>
      <c r="F951" t="s">
        <v>31</v>
      </c>
    </row>
    <row r="952" spans="4:6" x14ac:dyDescent="0.2">
      <c r="D952" t="s">
        <v>35</v>
      </c>
      <c r="F952" t="s">
        <v>34</v>
      </c>
    </row>
    <row r="953" spans="4:6" x14ac:dyDescent="0.2">
      <c r="D953" t="s">
        <v>11</v>
      </c>
      <c r="F953" t="s">
        <v>30</v>
      </c>
    </row>
    <row r="954" spans="4:6" x14ac:dyDescent="0.2">
      <c r="D954" t="s">
        <v>20</v>
      </c>
      <c r="F954" t="s">
        <v>14</v>
      </c>
    </row>
    <row r="955" spans="4:6" x14ac:dyDescent="0.2">
      <c r="D955" t="s">
        <v>40</v>
      </c>
      <c r="F955" t="s">
        <v>33</v>
      </c>
    </row>
    <row r="956" spans="4:6" x14ac:dyDescent="0.2">
      <c r="D956" t="s">
        <v>10</v>
      </c>
      <c r="F956" t="s">
        <v>55</v>
      </c>
    </row>
    <row r="957" spans="4:6" x14ac:dyDescent="0.2">
      <c r="D957" t="s">
        <v>12</v>
      </c>
      <c r="F957" t="s">
        <v>13</v>
      </c>
    </row>
    <row r="958" spans="4:6" x14ac:dyDescent="0.2">
      <c r="D958" t="s">
        <v>26</v>
      </c>
      <c r="F958" t="s">
        <v>29</v>
      </c>
    </row>
    <row r="959" spans="4:6" x14ac:dyDescent="0.2">
      <c r="D959" t="s">
        <v>28</v>
      </c>
      <c r="F959" t="s">
        <v>15</v>
      </c>
    </row>
    <row r="960" spans="4:6" x14ac:dyDescent="0.2">
      <c r="D960" t="s">
        <v>25</v>
      </c>
      <c r="F960" t="s">
        <v>32</v>
      </c>
    </row>
    <row r="961" spans="4:6" x14ac:dyDescent="0.2">
      <c r="D961" t="s">
        <v>27</v>
      </c>
      <c r="F961" t="s">
        <v>19</v>
      </c>
    </row>
    <row r="962" spans="4:6" x14ac:dyDescent="0.2">
      <c r="D962" t="s">
        <v>39</v>
      </c>
      <c r="F962" t="s">
        <v>38</v>
      </c>
    </row>
    <row r="963" spans="4:6" x14ac:dyDescent="0.2">
      <c r="D963" t="s">
        <v>12</v>
      </c>
      <c r="F963" t="s">
        <v>31</v>
      </c>
    </row>
    <row r="964" spans="4:6" x14ac:dyDescent="0.2">
      <c r="D964" t="s">
        <v>14</v>
      </c>
      <c r="F964" t="s">
        <v>21</v>
      </c>
    </row>
    <row r="965" spans="4:6" x14ac:dyDescent="0.2">
      <c r="D965" t="s">
        <v>20</v>
      </c>
      <c r="F965" t="s">
        <v>23</v>
      </c>
    </row>
    <row r="966" spans="4:6" x14ac:dyDescent="0.2">
      <c r="D966" t="s">
        <v>29</v>
      </c>
      <c r="F966" t="s">
        <v>28</v>
      </c>
    </row>
    <row r="967" spans="4:6" x14ac:dyDescent="0.2">
      <c r="D967" t="s">
        <v>39</v>
      </c>
      <c r="F967" t="s">
        <v>16</v>
      </c>
    </row>
    <row r="968" spans="4:6" x14ac:dyDescent="0.2">
      <c r="D968" t="s">
        <v>36</v>
      </c>
      <c r="F968" t="s">
        <v>17</v>
      </c>
    </row>
    <row r="969" spans="4:6" x14ac:dyDescent="0.2">
      <c r="D969" t="s">
        <v>37</v>
      </c>
      <c r="F969" t="s">
        <v>34</v>
      </c>
    </row>
    <row r="970" spans="4:6" x14ac:dyDescent="0.2">
      <c r="D970" t="s">
        <v>11</v>
      </c>
      <c r="F970" t="s">
        <v>24</v>
      </c>
    </row>
    <row r="971" spans="4:6" x14ac:dyDescent="0.2">
      <c r="D971" t="s">
        <v>18</v>
      </c>
      <c r="F971" t="s">
        <v>33</v>
      </c>
    </row>
    <row r="972" spans="4:6" x14ac:dyDescent="0.2">
      <c r="D972" t="s">
        <v>10</v>
      </c>
      <c r="F972" t="s">
        <v>40</v>
      </c>
    </row>
    <row r="973" spans="4:6" x14ac:dyDescent="0.2">
      <c r="D973" t="s">
        <v>55</v>
      </c>
      <c r="F973" t="s">
        <v>22</v>
      </c>
    </row>
    <row r="974" spans="4:6" x14ac:dyDescent="0.2">
      <c r="D974" t="s">
        <v>30</v>
      </c>
      <c r="F974" t="s">
        <v>31</v>
      </c>
    </row>
    <row r="975" spans="4:6" x14ac:dyDescent="0.2">
      <c r="D975" t="s">
        <v>20</v>
      </c>
      <c r="F975" t="s">
        <v>26</v>
      </c>
    </row>
    <row r="976" spans="4:6" x14ac:dyDescent="0.2">
      <c r="D976" t="s">
        <v>19</v>
      </c>
      <c r="F976" t="s">
        <v>24</v>
      </c>
    </row>
    <row r="977" spans="4:6" x14ac:dyDescent="0.2">
      <c r="D977" t="s">
        <v>35</v>
      </c>
      <c r="F977" t="s">
        <v>32</v>
      </c>
    </row>
    <row r="978" spans="4:6" x14ac:dyDescent="0.2">
      <c r="D978" t="s">
        <v>25</v>
      </c>
      <c r="F978" t="s">
        <v>38</v>
      </c>
    </row>
    <row r="979" spans="4:6" x14ac:dyDescent="0.2">
      <c r="D979" t="s">
        <v>11</v>
      </c>
      <c r="F979" t="s">
        <v>28</v>
      </c>
    </row>
    <row r="980" spans="4:6" x14ac:dyDescent="0.2">
      <c r="D980" t="s">
        <v>36</v>
      </c>
      <c r="F980" t="s">
        <v>16</v>
      </c>
    </row>
    <row r="981" spans="4:6" x14ac:dyDescent="0.2">
      <c r="D981" t="s">
        <v>30</v>
      </c>
      <c r="F981" t="s">
        <v>13</v>
      </c>
    </row>
    <row r="982" spans="4:6" x14ac:dyDescent="0.2">
      <c r="D982" t="s">
        <v>21</v>
      </c>
      <c r="F982" t="s">
        <v>29</v>
      </c>
    </row>
    <row r="983" spans="4:6" x14ac:dyDescent="0.2">
      <c r="D983" t="s">
        <v>19</v>
      </c>
      <c r="F983" t="s">
        <v>15</v>
      </c>
    </row>
    <row r="984" spans="4:6" x14ac:dyDescent="0.2">
      <c r="D984" t="s">
        <v>55</v>
      </c>
      <c r="F984" t="s">
        <v>27</v>
      </c>
    </row>
    <row r="985" spans="4:6" x14ac:dyDescent="0.2">
      <c r="D985" t="s">
        <v>23</v>
      </c>
      <c r="F985" t="s">
        <v>14</v>
      </c>
    </row>
    <row r="986" spans="4:6" x14ac:dyDescent="0.2">
      <c r="D986" t="s">
        <v>37</v>
      </c>
      <c r="F986" t="s">
        <v>40</v>
      </c>
    </row>
    <row r="987" spans="4:6" x14ac:dyDescent="0.2">
      <c r="D987" t="s">
        <v>18</v>
      </c>
      <c r="F987" t="s">
        <v>31</v>
      </c>
    </row>
    <row r="988" spans="4:6" x14ac:dyDescent="0.2">
      <c r="D988" t="s">
        <v>38</v>
      </c>
      <c r="F988" t="s">
        <v>10</v>
      </c>
    </row>
    <row r="989" spans="4:6" x14ac:dyDescent="0.2">
      <c r="D989" t="s">
        <v>12</v>
      </c>
      <c r="F989" t="s">
        <v>39</v>
      </c>
    </row>
    <row r="990" spans="4:6" x14ac:dyDescent="0.2">
      <c r="D990" t="s">
        <v>11</v>
      </c>
      <c r="F990" t="s">
        <v>26</v>
      </c>
    </row>
    <row r="991" spans="4:6" x14ac:dyDescent="0.2">
      <c r="D991" t="s">
        <v>25</v>
      </c>
      <c r="F991" t="s">
        <v>17</v>
      </c>
    </row>
    <row r="992" spans="4:6" x14ac:dyDescent="0.2">
      <c r="D992" t="s">
        <v>35</v>
      </c>
      <c r="F992" t="s">
        <v>33</v>
      </c>
    </row>
    <row r="993" spans="4:6" x14ac:dyDescent="0.2">
      <c r="D993" t="s">
        <v>34</v>
      </c>
      <c r="F993" t="s">
        <v>20</v>
      </c>
    </row>
    <row r="994" spans="4:6" x14ac:dyDescent="0.2">
      <c r="D994" t="s">
        <v>22</v>
      </c>
      <c r="F994" t="s">
        <v>21</v>
      </c>
    </row>
    <row r="995" spans="4:6" x14ac:dyDescent="0.2">
      <c r="D995" t="s">
        <v>29</v>
      </c>
      <c r="F995" t="s">
        <v>23</v>
      </c>
    </row>
    <row r="996" spans="4:6" x14ac:dyDescent="0.2">
      <c r="D996" t="s">
        <v>55</v>
      </c>
      <c r="F996" t="s">
        <v>28</v>
      </c>
    </row>
    <row r="997" spans="4:6" x14ac:dyDescent="0.2">
      <c r="D997" t="s">
        <v>25</v>
      </c>
      <c r="F997" t="s">
        <v>16</v>
      </c>
    </row>
    <row r="998" spans="4:6" x14ac:dyDescent="0.2">
      <c r="D998" t="s">
        <v>18</v>
      </c>
      <c r="F998" t="s">
        <v>13</v>
      </c>
    </row>
    <row r="999" spans="4:6" x14ac:dyDescent="0.2">
      <c r="D999" t="s">
        <v>15</v>
      </c>
      <c r="F999" t="s">
        <v>24</v>
      </c>
    </row>
    <row r="1000" spans="4:6" x14ac:dyDescent="0.2">
      <c r="D1000" t="s">
        <v>27</v>
      </c>
      <c r="F1000" t="s">
        <v>14</v>
      </c>
    </row>
    <row r="1001" spans="4:6" x14ac:dyDescent="0.2">
      <c r="D1001" t="s">
        <v>36</v>
      </c>
      <c r="F1001" t="s">
        <v>32</v>
      </c>
    </row>
    <row r="1002" spans="4:6" x14ac:dyDescent="0.2">
      <c r="D1002" t="s">
        <v>30</v>
      </c>
      <c r="F1002" t="s">
        <v>33</v>
      </c>
    </row>
    <row r="1003" spans="4:6" x14ac:dyDescent="0.2">
      <c r="D1003" t="s">
        <v>37</v>
      </c>
      <c r="F1003" t="s">
        <v>19</v>
      </c>
    </row>
    <row r="1004" spans="4:6" x14ac:dyDescent="0.2">
      <c r="D1004" t="s">
        <v>38</v>
      </c>
      <c r="F1004" t="s">
        <v>40</v>
      </c>
    </row>
    <row r="1005" spans="4:6" x14ac:dyDescent="0.2">
      <c r="D1005" t="s">
        <v>35</v>
      </c>
      <c r="F1005" t="s">
        <v>31</v>
      </c>
    </row>
    <row r="1006" spans="4:6" x14ac:dyDescent="0.2">
      <c r="D1006" t="s">
        <v>37</v>
      </c>
      <c r="F1006" t="s">
        <v>23</v>
      </c>
    </row>
    <row r="1007" spans="4:6" x14ac:dyDescent="0.2">
      <c r="D1007" t="s">
        <v>34</v>
      </c>
      <c r="F1007" t="s">
        <v>12</v>
      </c>
    </row>
    <row r="1008" spans="4:6" x14ac:dyDescent="0.2">
      <c r="D1008" t="s">
        <v>10</v>
      </c>
      <c r="F1008" t="s">
        <v>39</v>
      </c>
    </row>
    <row r="1009" spans="4:10" x14ac:dyDescent="0.2">
      <c r="D1009" t="s">
        <v>26</v>
      </c>
      <c r="F1009" t="s">
        <v>24</v>
      </c>
    </row>
    <row r="1010" spans="4:10" x14ac:dyDescent="0.2">
      <c r="D1010" t="s">
        <v>21</v>
      </c>
      <c r="F1010" t="s">
        <v>14</v>
      </c>
    </row>
    <row r="1011" spans="4:10" x14ac:dyDescent="0.2">
      <c r="D1011" t="s">
        <v>17</v>
      </c>
      <c r="F1011" t="s">
        <v>20</v>
      </c>
    </row>
    <row r="1012" spans="4:10" x14ac:dyDescent="0.2">
      <c r="D1012" s="22" t="s">
        <v>13</v>
      </c>
      <c r="E1012" s="25"/>
      <c r="F1012" s="22" t="s">
        <v>28</v>
      </c>
      <c r="G1012" s="25"/>
      <c r="H1012" s="19"/>
      <c r="I1012" s="19"/>
      <c r="J1012" s="19"/>
    </row>
    <row r="1013" spans="4:10" x14ac:dyDescent="0.2">
      <c r="D1013" t="s">
        <v>55</v>
      </c>
      <c r="F1013" t="s">
        <v>10</v>
      </c>
    </row>
    <row r="1014" spans="4:10" x14ac:dyDescent="0.2">
      <c r="D1014" t="s">
        <v>15</v>
      </c>
      <c r="F1014" t="s">
        <v>27</v>
      </c>
    </row>
    <row r="1015" spans="4:10" x14ac:dyDescent="0.2">
      <c r="D1015" t="s">
        <v>36</v>
      </c>
      <c r="F1015" t="s">
        <v>38</v>
      </c>
    </row>
    <row r="1016" spans="4:10" x14ac:dyDescent="0.2">
      <c r="D1016" t="s">
        <v>16</v>
      </c>
      <c r="F1016" t="s">
        <v>22</v>
      </c>
    </row>
    <row r="1017" spans="4:10" x14ac:dyDescent="0.2">
      <c r="D1017" t="s">
        <v>13</v>
      </c>
      <c r="F1017" t="s">
        <v>21</v>
      </c>
    </row>
    <row r="1018" spans="4:10" x14ac:dyDescent="0.2">
      <c r="D1018" t="s">
        <v>33</v>
      </c>
      <c r="F1018" t="s">
        <v>23</v>
      </c>
    </row>
    <row r="1019" spans="4:10" x14ac:dyDescent="0.2">
      <c r="D1019" t="s">
        <v>14</v>
      </c>
      <c r="F1019" t="s">
        <v>25</v>
      </c>
    </row>
    <row r="1020" spans="4:10" x14ac:dyDescent="0.2">
      <c r="D1020" t="s">
        <v>17</v>
      </c>
      <c r="F1020" t="s">
        <v>12</v>
      </c>
    </row>
    <row r="1021" spans="4:10" x14ac:dyDescent="0.2">
      <c r="D1021" t="s">
        <v>20</v>
      </c>
      <c r="F1021" t="s">
        <v>39</v>
      </c>
    </row>
    <row r="1022" spans="4:10" x14ac:dyDescent="0.2">
      <c r="D1022" t="s">
        <v>26</v>
      </c>
      <c r="F1022" t="s">
        <v>11</v>
      </c>
    </row>
    <row r="1023" spans="4:10" x14ac:dyDescent="0.2">
      <c r="D1023" t="s">
        <v>55</v>
      </c>
      <c r="F1023" t="s">
        <v>34</v>
      </c>
    </row>
    <row r="1024" spans="4:10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831" activePane="bottomLeft" state="frozen"/>
      <selection activeCell="I1" sqref="I1"/>
      <selection pane="bottomLeft" activeCell="O843" sqref="O843:O857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0.10813046190310195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-0.34412098011518399</v>
      </c>
      <c r="H2" t="s">
        <v>10</v>
      </c>
      <c r="I2">
        <f>VLOOKUP(Table4[[#This Row],[Visitor]],'NHL Model'!$A$6:$B$38,2,FALSE)</f>
        <v>-0.75050764651940183</v>
      </c>
      <c r="J2">
        <f>($B$1+Table4[[#This Row],[Home Differential]])-Table4[[#This Row],[Away Differential]]</f>
        <v>0.51451712830731977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0.5952356274316184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0.16383419730067564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-0.36406236312551898</v>
      </c>
      <c r="H3" t="s">
        <v>12</v>
      </c>
      <c r="I3">
        <f>VLOOKUP(Table4[[#This Row],[Visitor]],'NHL Model'!$A$6:$B$38,2,FALSE)</f>
        <v>1.1504937678265921</v>
      </c>
      <c r="J3">
        <f>($B$1+Table4[[#This Row],[Home Differential]])-Table4[[#This Row],[Away Differential]]</f>
        <v>-1.4064256690490091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0.67730163618674988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0.10413423400774874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497</v>
      </c>
      <c r="V3">
        <f>COUNTIF(Table4[Locked Correct],"YES")</f>
        <v>464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-0.62425830840281982</v>
      </c>
      <c r="H4" t="s">
        <v>14</v>
      </c>
      <c r="I4">
        <f>VLOOKUP(Table4[[#This Row],[Visitor]],'NHL Model'!$A$6:$B$38,2,FALSE)</f>
        <v>3.6611055984458557E-5</v>
      </c>
      <c r="J4">
        <f>($B$1+Table4[[#This Row],[Home Differential]])-Table4[[#This Row],[Away Differential]]</f>
        <v>-0.51616445755570228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0.57194140093389423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0.18323416423443709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344</v>
      </c>
      <c r="V4">
        <f>COUNTIF(Table4[Locked Correct],"NO")</f>
        <v>377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-0.12154868922444324</v>
      </c>
      <c r="H5" t="s">
        <v>16</v>
      </c>
      <c r="I5">
        <f>VLOOKUP(Table4[[#This Row],[Visitor]],'NHL Model'!$A$6:$B$38,2,FALSE)</f>
        <v>-0.77822387693813933</v>
      </c>
      <c r="J5">
        <f>($B$1+Table4[[#This Row],[Home Differential]])-Table4[[#This Row],[Away Differential]]</f>
        <v>0.76480564961679809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0.62210517705952406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0.38701485132426178</v>
      </c>
      <c r="O5">
        <v>-4.1674767740132361E-3</v>
      </c>
      <c r="P5" s="11"/>
      <c r="Q5" t="s">
        <v>16</v>
      </c>
      <c r="R5" t="s">
        <v>248</v>
      </c>
      <c r="T5">
        <f>SUM(T3:T4)</f>
        <v>841</v>
      </c>
      <c r="V5">
        <f>SUM(V3:V4)</f>
        <v>841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-0.38129365484385536</v>
      </c>
      <c r="H6" t="s">
        <v>18</v>
      </c>
      <c r="I6">
        <f>VLOOKUP(Table4[[#This Row],[Visitor]],'NHL Model'!$A$6:$B$38,2,FALSE)</f>
        <v>-0.18787166436597766</v>
      </c>
      <c r="J6">
        <f>($B$1+Table4[[#This Row],[Home Differential]])-Table4[[#This Row],[Away Differential]]</f>
        <v>-8.529152857477576E-2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0.50844314579718408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0.2585144325081366</v>
      </c>
      <c r="O6">
        <v>-4.4363714293103977E-3</v>
      </c>
      <c r="P6" s="11"/>
      <c r="Q6" t="s">
        <v>18</v>
      </c>
      <c r="R6" t="s">
        <v>249</v>
      </c>
      <c r="T6" s="13">
        <f>T3/T5</f>
        <v>0.59096313912009513</v>
      </c>
      <c r="V6" s="13">
        <f>V3/V5</f>
        <v>0.55172413793103448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-0.11283731617452618</v>
      </c>
      <c r="H7" t="s">
        <v>13</v>
      </c>
      <c r="I7">
        <f>VLOOKUP(Table4[[#This Row],[Visitor]],'NHL Model'!$A$6:$B$38,2,FALSE)</f>
        <v>-0.36406236312551898</v>
      </c>
      <c r="J7">
        <f>($B$1+Table4[[#This Row],[Home Differential]])-Table4[[#This Row],[Away Differential]]</f>
        <v>0.35935550885409473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0.53929162676285436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0.29083545869652583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-0.12498445042942641</v>
      </c>
      <c r="H8" t="s">
        <v>21</v>
      </c>
      <c r="I8">
        <f>VLOOKUP(Table4[[#This Row],[Visitor]],'NHL Model'!$A$6:$B$38,2,FALSE)</f>
        <v>-2.9858233272404857E-2</v>
      </c>
      <c r="J8">
        <f>($B$1+Table4[[#This Row],[Home Differential]])-Table4[[#This Row],[Away Differential]]</f>
        <v>1.30042447460804E-2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0.54139606162420129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0.29310969554219596</v>
      </c>
      <c r="O8">
        <v>-4.9858230986448791E-3</v>
      </c>
      <c r="P8" s="11"/>
      <c r="Q8" t="s">
        <v>21</v>
      </c>
      <c r="R8" t="s">
        <v>248</v>
      </c>
      <c r="T8">
        <f>SUM(Table4[Error])</f>
        <v>200.10306556914648</v>
      </c>
      <c r="V8">
        <f>COUNTIF(Table4[Locked Correct],"")</f>
        <v>471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-2.9858233272404857E-2</v>
      </c>
      <c r="H9" t="s">
        <v>10</v>
      </c>
      <c r="I9">
        <f>VLOOKUP(Table4[[#This Row],[Visitor]],'NHL Model'!$A$6:$B$38,2,FALSE)</f>
        <v>-0.75050764651940183</v>
      </c>
      <c r="J9">
        <f>($B$1+Table4[[#This Row],[Home Differential]])-Table4[[#This Row],[Away Differential]]</f>
        <v>0.82877987515009888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0.67648081578423924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0.10466466255563134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0.12350258496936412</v>
      </c>
      <c r="H10" t="s">
        <v>15</v>
      </c>
      <c r="I10">
        <f>VLOOKUP(Table4[[#This Row],[Visitor]],'NHL Model'!$A$6:$B$38,2,FALSE)</f>
        <v>-0.62425830840281982</v>
      </c>
      <c r="J10">
        <f>($B$1+Table4[[#This Row],[Home Differential]])-Table4[[#This Row],[Away Differential]]</f>
        <v>0.85589135527528581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0.63042867917553469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0.39744031952700926</v>
      </c>
      <c r="O10">
        <v>2.893763878885032E-2</v>
      </c>
      <c r="P10" s="11"/>
      <c r="Q10" t="s">
        <v>23</v>
      </c>
      <c r="R10" t="s">
        <v>249</v>
      </c>
      <c r="T10">
        <v>0.10735430249588564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0.31465989886768042</v>
      </c>
      <c r="H11" t="s">
        <v>24</v>
      </c>
      <c r="I11">
        <f>VLOOKUP(Table4[[#This Row],[Visitor]],'NHL Model'!$A$6:$B$38,2,FALSE)</f>
        <v>-0.55013344272463272</v>
      </c>
      <c r="J11">
        <f>($B$1+Table4[[#This Row],[Home Differential]])-Table4[[#This Row],[Away Differential]]</f>
        <v>0.97292380349541507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0.65858768369442944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0.11656236972513496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1.1504937678265921</v>
      </c>
      <c r="H12" t="s">
        <v>55</v>
      </c>
      <c r="I12">
        <f>VLOOKUP(Table4[[#This Row],[Visitor]],'NHL Model'!$A$6:$B$38,2,FALSE)</f>
        <v>0.14062496747196682</v>
      </c>
      <c r="J12">
        <f>($B$1+Table4[[#This Row],[Home Differential]])-Table4[[#This Row],[Away Differential]]</f>
        <v>1.1179992622577273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0.74580425877532397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6.4615474856762459E-2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-0.1792260169918948</v>
      </c>
      <c r="H13" t="s">
        <v>18</v>
      </c>
      <c r="I13">
        <f>VLOOKUP(Table4[[#This Row],[Visitor]],'NHL Model'!$A$6:$B$38,2,FALSE)</f>
        <v>-0.18787166436597766</v>
      </c>
      <c r="J13">
        <f>($B$1+Table4[[#This Row],[Home Differential]])-Table4[[#This Row],[Away Differential]]</f>
        <v>0.11677610927718481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0.55672246427126348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0.30993990222426826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-0.34412098011518399</v>
      </c>
      <c r="H14" t="s">
        <v>27</v>
      </c>
      <c r="I14">
        <f>VLOOKUP(Table4[[#This Row],[Visitor]],'NHL Model'!$A$6:$B$38,2,FALSE)</f>
        <v>-0.39747316405117561</v>
      </c>
      <c r="J14">
        <f>($B$1+Table4[[#This Row],[Home Differential]])-Table4[[#This Row],[Away Differential]]</f>
        <v>0.16148264583909355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0.55650636372168838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0.19668660541935937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-0.72584022159035511</v>
      </c>
      <c r="H15" t="s">
        <v>28</v>
      </c>
      <c r="I15">
        <f>VLOOKUP(Table4[[#This Row],[Visitor]],'NHL Model'!$A$6:$B$38,2,FALSE)</f>
        <v>-0.36066890819319958</v>
      </c>
      <c r="J15">
        <f>($B$1+Table4[[#This Row],[Home Differential]])-Table4[[#This Row],[Away Differential]]</f>
        <v>-0.25704085149405359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0.48759444132509266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0.23774833921112923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3.6611055984458557E-5</v>
      </c>
      <c r="H16" t="s">
        <v>30</v>
      </c>
      <c r="I16">
        <f>VLOOKUP(Table4[[#This Row],[Visitor]],'NHL Model'!$A$6:$B$38,2,FALSE)</f>
        <v>-6.98902744359894E-2</v>
      </c>
      <c r="J16">
        <f>($B$1+Table4[[#This Row],[Home Differential]])-Table4[[#This Row],[Away Differential]]</f>
        <v>0.17805734739507581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0.52926217824709199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0.22159409682867259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-0.42661371358543798</v>
      </c>
      <c r="H17" t="s">
        <v>31</v>
      </c>
      <c r="I17">
        <f>VLOOKUP(Table4[[#This Row],[Visitor]],'NHL Model'!$A$6:$B$38,2,FALSE)</f>
        <v>-0.39000953236289804</v>
      </c>
      <c r="J17">
        <f>($B$1+Table4[[#This Row],[Home Differential]])-Table4[[#This Row],[Away Differential]]</f>
        <v>7.1526280680561993E-2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0.54767865397258675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0.20459460007205091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-0.46908405058827807</v>
      </c>
      <c r="H18" t="s">
        <v>20</v>
      </c>
      <c r="I18">
        <f>VLOOKUP(Table4[[#This Row],[Visitor]],'NHL Model'!$A$6:$B$38,2,FALSE)</f>
        <v>-0.11283731617452618</v>
      </c>
      <c r="J18">
        <f>($B$1+Table4[[#This Row],[Home Differential]])-Table4[[#This Row],[Away Differential]]</f>
        <v>-0.24811627251064994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0.49799240448566023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0.25201162595408888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-1.236228034931707</v>
      </c>
      <c r="H19" t="s">
        <v>34</v>
      </c>
      <c r="I19">
        <f>VLOOKUP(Table4[[#This Row],[Visitor]],'NHL Model'!$A$6:$B$38,2,FALSE)</f>
        <v>4.6716977502832858E-2</v>
      </c>
      <c r="J19">
        <f>($B$1+Table4[[#This Row],[Home Differential]])-Table4[[#This Row],[Away Differential]]</f>
        <v>-1.1748145505314378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0.64265032225415453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0.12769879218505961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0.6987740059316554</v>
      </c>
      <c r="H20" t="s">
        <v>36</v>
      </c>
      <c r="I20">
        <f>VLOOKUP(Table4[[#This Row],[Visitor]],'NHL Model'!$A$6:$B$38,2,FALSE)</f>
        <v>-0.179282670690569</v>
      </c>
      <c r="J20">
        <f>($B$1+Table4[[#This Row],[Home Differential]])-Table4[[#This Row],[Away Differential]]</f>
        <v>0.98618713852532636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0.67462143238679972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0.4551140770356174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-1.2664425175465013</v>
      </c>
      <c r="H21" t="s">
        <v>16</v>
      </c>
      <c r="I21">
        <f>VLOOKUP(Table4[[#This Row],[Visitor]],'NHL Model'!$A$6:$B$38,2,FALSE)</f>
        <v>-0.77822387693813933</v>
      </c>
      <c r="J21">
        <f>($B$1+Table4[[#This Row],[Home Differential]])-Table4[[#This Row],[Away Differential]]</f>
        <v>-0.3800881787052599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0.50080410131183473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0.25080474789075441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-0.41982036690375685</v>
      </c>
      <c r="H22" t="s">
        <v>39</v>
      </c>
      <c r="I22">
        <f>VLOOKUP(Table4[[#This Row],[Visitor]],'NHL Model'!$A$6:$B$38,2,FALSE)</f>
        <v>0.24554986733769732</v>
      </c>
      <c r="J22">
        <f>($B$1+Table4[[#This Row],[Home Differential]])-Table4[[#This Row],[Away Differential]]</f>
        <v>-0.5572397723383522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0.56519163856687293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0.18905831117216085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-2.9858233272404857E-2</v>
      </c>
      <c r="H23" t="s">
        <v>23</v>
      </c>
      <c r="I23">
        <f>VLOOKUP(Table4[[#This Row],[Visitor]],'NHL Model'!$A$6:$B$38,2,FALSE)</f>
        <v>0.12350258496936412</v>
      </c>
      <c r="J23">
        <f>($B$1+Table4[[#This Row],[Home Differential]])-Table4[[#This Row],[Away Differential]]</f>
        <v>-4.5230356338667024E-2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0.44664022177857599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0.19948748771041555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0.31465989886768042</v>
      </c>
      <c r="H24" t="s">
        <v>27</v>
      </c>
      <c r="I24">
        <f>VLOOKUP(Table4[[#This Row],[Visitor]],'NHL Model'!$A$6:$B$38,2,FALSE)</f>
        <v>-0.39747316405117561</v>
      </c>
      <c r="J24">
        <f>($B$1+Table4[[#This Row],[Home Differential]])-Table4[[#This Row],[Away Differential]]</f>
        <v>0.82026352482195797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0.6701483708088839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0.10880209728003355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-0.77822387693813933</v>
      </c>
      <c r="H25" t="s">
        <v>35</v>
      </c>
      <c r="I25">
        <f>VLOOKUP(Table4[[#This Row],[Visitor]],'NHL Model'!$A$6:$B$38,2,FALSE)</f>
        <v>-1.236228034931707</v>
      </c>
      <c r="J25">
        <f>($B$1+Table4[[#This Row],[Home Differential]])-Table4[[#This Row],[Away Differential]]</f>
        <v>0.56613461989666958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0.60077698723778039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0.36093298839450416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-0.75050764651940183</v>
      </c>
      <c r="H26" t="s">
        <v>18</v>
      </c>
      <c r="I26">
        <f>VLOOKUP(Table4[[#This Row],[Visitor]],'NHL Model'!$A$6:$B$38,2,FALSE)</f>
        <v>-0.18787166436597766</v>
      </c>
      <c r="J26">
        <f>($B$1+Table4[[#This Row],[Home Differential]])-Table4[[#This Row],[Away Differential]]</f>
        <v>-0.4545055202503222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0.54807985634523415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0.20423181624094419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1.1504937678265921</v>
      </c>
      <c r="H27" t="s">
        <v>39</v>
      </c>
      <c r="I27">
        <f>VLOOKUP(Table4[[#This Row],[Visitor]],'NHL Model'!$A$6:$B$38,2,FALSE)</f>
        <v>0.24554986733769732</v>
      </c>
      <c r="J27">
        <f>($B$1+Table4[[#This Row],[Home Differential]])-Table4[[#This Row],[Away Differential]]</f>
        <v>1.0130743623919969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0.69108720882013308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0.47760153019480223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-0.1792260169918948</v>
      </c>
      <c r="H28" t="s">
        <v>19</v>
      </c>
      <c r="I28">
        <f>VLOOKUP(Table4[[#This Row],[Visitor]],'NHL Model'!$A$6:$B$38,2,FALSE)</f>
        <v>-0.38129365484385536</v>
      </c>
      <c r="J28">
        <f>($B$1+Table4[[#This Row],[Home Differential]])-Table4[[#This Row],[Away Differential]]</f>
        <v>0.31019809975506252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0.61620265503889893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0.14730040199919042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-0.12154868922444324</v>
      </c>
      <c r="H29" t="s">
        <v>38</v>
      </c>
      <c r="I29">
        <f>VLOOKUP(Table4[[#This Row],[Visitor]],'NHL Model'!$A$6:$B$38,2,FALSE)</f>
        <v>-1.2664425175465013</v>
      </c>
      <c r="J29">
        <f>($B$1+Table4[[#This Row],[Home Differential]])-Table4[[#This Row],[Away Differential]]</f>
        <v>1.25302429022516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0.67451754868752423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0.10593882611237816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-0.34412098011518399</v>
      </c>
      <c r="H30" t="s">
        <v>36</v>
      </c>
      <c r="I30">
        <f>VLOOKUP(Table4[[#This Row],[Visitor]],'NHL Model'!$A$6:$B$38,2,FALSE)</f>
        <v>-0.179282670690569</v>
      </c>
      <c r="J30">
        <f>($B$1+Table4[[#This Row],[Home Differential]])-Table4[[#This Row],[Away Differential]]</f>
        <v>-5.6707847521513061E-2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0.46691732450427265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0.21801178792222825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4.6716977502832858E-2</v>
      </c>
      <c r="H31" t="s">
        <v>28</v>
      </c>
      <c r="I31">
        <f>VLOOKUP(Table4[[#This Row],[Visitor]],'NHL Model'!$A$6:$B$38,2,FALSE)</f>
        <v>-0.36066890819319958</v>
      </c>
      <c r="J31">
        <f>($B$1+Table4[[#This Row],[Home Differential]])-Table4[[#This Row],[Away Differential]]</f>
        <v>0.51551634759913445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0.59534289792173167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0.35443316610584541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-0.72584022159035511</v>
      </c>
      <c r="H32" t="s">
        <v>55</v>
      </c>
      <c r="I32">
        <f>VLOOKUP(Table4[[#This Row],[Visitor]],'NHL Model'!$A$6:$B$38,2,FALSE)</f>
        <v>0.14062496747196682</v>
      </c>
      <c r="J32">
        <f>($B$1+Table4[[#This Row],[Home Differential]])-Table4[[#This Row],[Away Differential]]</f>
        <v>-0.75833472715922001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0.54141049569258581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0.21030433346091987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-6.98902744359894E-2</v>
      </c>
      <c r="H33" t="s">
        <v>22</v>
      </c>
      <c r="I33">
        <f>VLOOKUP(Table4[[#This Row],[Visitor]],'NHL Model'!$A$6:$B$38,2,FALSE)</f>
        <v>-0.12498445042942641</v>
      </c>
      <c r="J33">
        <f>($B$1+Table4[[#This Row],[Home Differential]])-Table4[[#This Row],[Away Differential]]</f>
        <v>0.16322463789653896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0.57390268910998332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0.32936429656767019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3.6611055984458557E-5</v>
      </c>
      <c r="H34" t="s">
        <v>15</v>
      </c>
      <c r="I34">
        <f>VLOOKUP(Table4[[#This Row],[Visitor]],'NHL Model'!$A$6:$B$38,2,FALSE)</f>
        <v>-0.62425830840281982</v>
      </c>
      <c r="J34">
        <f>($B$1+Table4[[#This Row],[Home Differential]])-Table4[[#This Row],[Away Differential]]</f>
        <v>0.73242538136190627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0.57477602246684101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0.33036747600280253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-0.42661371358543798</v>
      </c>
      <c r="H35" t="s">
        <v>20</v>
      </c>
      <c r="I35">
        <f>VLOOKUP(Table4[[#This Row],[Visitor]],'NHL Model'!$A$6:$B$38,2,FALSE)</f>
        <v>-0.11283731617452618</v>
      </c>
      <c r="J35">
        <f>($B$1+Table4[[#This Row],[Home Differential]])-Table4[[#This Row],[Away Differential]]</f>
        <v>-0.20564593550780985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0.49343303107995512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0.24347615616075197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-0.46908405058827807</v>
      </c>
      <c r="H36" t="s">
        <v>31</v>
      </c>
      <c r="I36">
        <f>VLOOKUP(Table4[[#This Row],[Visitor]],'NHL Model'!$A$6:$B$38,2,FALSE)</f>
        <v>-0.39000953236289804</v>
      </c>
      <c r="J36">
        <f>($B$1+Table4[[#This Row],[Home Differential]])-Table4[[#This Row],[Away Differential]]</f>
        <v>2.9055943677721907E-2</v>
      </c>
      <c r="K36" t="str">
        <f>IF(Table4[[#This Row],[HomeIce Differential]]&gt;0,Table4[[#This Row],[Home]],Table4[[#This Row],[Visitor]])</f>
        <v>San Jose Sharks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0.54311928056688163</v>
      </c>
      <c r="M36" t="str">
        <f>IF(OR((NHL2025_26Results[[#This Row],[Winning Team]]="")),"-",IF(Table4[[#This Row],[Predicted Winner]]=NHL2025_26Results[[#This Row],[Winning Team]],"YES","NO"))</f>
        <v>NO</v>
      </c>
      <c r="N36">
        <f>IF(Table4[[#This Row],[Adjusted Correct]]="-", "",IF(Table4[[#This Row],[Adjusted Correct]]="YES",(Table4[[#This Row],[Strength of Win]]-1)^2,(Table4[[#This Row],[Strength of Win]]-0)^2))</f>
        <v>0.29497855292348707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0.6987740059316554</v>
      </c>
      <c r="H37" t="s">
        <v>24</v>
      </c>
      <c r="I37">
        <f>VLOOKUP(Table4[[#This Row],[Visitor]],'NHL Model'!$A$6:$B$38,2,FALSE)</f>
        <v>-0.55013344272463272</v>
      </c>
      <c r="J37">
        <f>($B$1+Table4[[#This Row],[Home Differential]])-Table4[[#This Row],[Away Differential]]</f>
        <v>1.3570379105593902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0.68629637499305141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0.47100271432860302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-0.41982036690375685</v>
      </c>
      <c r="H38" t="s">
        <v>13</v>
      </c>
      <c r="I38">
        <f>VLOOKUP(Table4[[#This Row],[Visitor]],'NHL Model'!$A$6:$B$38,2,FALSE)</f>
        <v>-0.36406236312551898</v>
      </c>
      <c r="J38">
        <f>($B$1+Table4[[#This Row],[Home Differential]])-Table4[[#This Row],[Away Differential]]</f>
        <v>5.2372458124864074E-2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0.50633567547375868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0.2437044653099501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-0.62425830840281982</v>
      </c>
      <c r="H39" t="s">
        <v>22</v>
      </c>
      <c r="I39">
        <f>VLOOKUP(Table4[[#This Row],[Visitor]],'NHL Model'!$A$6:$B$38,2,FALSE)</f>
        <v>-0.12498445042942641</v>
      </c>
      <c r="J39">
        <f>($B$1+Table4[[#This Row],[Home Differential]])-Table4[[#This Row],[Away Differential]]</f>
        <v>-0.39114339607029147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0.50199092646099808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0.24801303732717503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-2.9858233272404857E-2</v>
      </c>
      <c r="H40" t="s">
        <v>37</v>
      </c>
      <c r="I40">
        <f>VLOOKUP(Table4[[#This Row],[Visitor]],'NHL Model'!$A$6:$B$38,2,FALSE)</f>
        <v>0.6987740059316554</v>
      </c>
      <c r="J40">
        <f>($B$1+Table4[[#This Row],[Home Differential]])-Table4[[#This Row],[Away Differential]]</f>
        <v>-0.62050177730095835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0.57538546532416324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0.18029750305797737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0.12350258496936412</v>
      </c>
      <c r="H41" t="s">
        <v>12</v>
      </c>
      <c r="I41">
        <f>VLOOKUP(Table4[[#This Row],[Visitor]],'NHL Model'!$A$6:$B$38,2,FALSE)</f>
        <v>1.1504937678265921</v>
      </c>
      <c r="J41">
        <f>($B$1+Table4[[#This Row],[Home Differential]])-Table4[[#This Row],[Away Differential]]</f>
        <v>-0.91886072095412596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0.58251461953083228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0.17429404290548572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-0.36066890819319958</v>
      </c>
      <c r="H42" t="s">
        <v>24</v>
      </c>
      <c r="I42">
        <f>VLOOKUP(Table4[[#This Row],[Visitor]],'NHL Model'!$A$6:$B$38,2,FALSE)</f>
        <v>-0.55013344272463272</v>
      </c>
      <c r="J42">
        <f>($B$1+Table4[[#This Row],[Home Differential]])-Table4[[#This Row],[Away Differential]]</f>
        <v>0.29759499643453508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0.54271131266184147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0.29453556889113908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-0.75050764651940183</v>
      </c>
      <c r="H43" t="s">
        <v>55</v>
      </c>
      <c r="I43">
        <f>VLOOKUP(Table4[[#This Row],[Visitor]],'NHL Model'!$A$6:$B$38,2,FALSE)</f>
        <v>0.14062496747196682</v>
      </c>
      <c r="J43">
        <f>($B$1+Table4[[#This Row],[Home Differential]])-Table4[[#This Row],[Away Differential]]</f>
        <v>-0.78300215208826673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0.54405864989021324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0.29599981452036161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4.6716977502832858E-2</v>
      </c>
      <c r="H44" t="s">
        <v>13</v>
      </c>
      <c r="I44">
        <f>VLOOKUP(Table4[[#This Row],[Visitor]],'NHL Model'!$A$6:$B$38,2,FALSE)</f>
        <v>-0.36406236312551898</v>
      </c>
      <c r="J44">
        <f>($B$1+Table4[[#This Row],[Home Differential]])-Table4[[#This Row],[Away Differential]]</f>
        <v>0.5189098025314538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0.55642046667081091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0.19676280238854119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-6.98902744359894E-2</v>
      </c>
      <c r="H45" t="s">
        <v>40</v>
      </c>
      <c r="I45">
        <f>VLOOKUP(Table4[[#This Row],[Visitor]],'NHL Model'!$A$6:$B$38,2,FALSE)</f>
        <v>-0.41982036690375685</v>
      </c>
      <c r="J45">
        <f>($B$1+Table4[[#This Row],[Home Differential]])-Table4[[#This Row],[Away Differential]]</f>
        <v>0.4580605543708694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0.60555459327382033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0.36669636543502199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-0.179282670690569</v>
      </c>
      <c r="H46" t="s">
        <v>29</v>
      </c>
      <c r="I46">
        <f>VLOOKUP(Table4[[#This Row],[Visitor]],'NHL Model'!$A$6:$B$38,2,FALSE)</f>
        <v>-0.72584022159035511</v>
      </c>
      <c r="J46">
        <f>($B$1+Table4[[#This Row],[Home Differential]])-Table4[[#This Row],[Away Differential]]</f>
        <v>0.65468801280288802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0.61028357496687158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0.37244604187434516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-0.39747316405117561</v>
      </c>
      <c r="H47" t="s">
        <v>11</v>
      </c>
      <c r="I47">
        <f>VLOOKUP(Table4[[#This Row],[Visitor]],'NHL Model'!$A$6:$B$38,2,FALSE)</f>
        <v>-0.34412098011518399</v>
      </c>
      <c r="J47">
        <f>($B$1+Table4[[#This Row],[Home Differential]])-Table4[[#This Row],[Away Differential]]</f>
        <v>5.4778277967110323E-2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0.48659284999519165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0.26358690167605975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-0.38129365484385536</v>
      </c>
      <c r="H48" t="s">
        <v>26</v>
      </c>
      <c r="I48">
        <f>VLOOKUP(Table4[[#This Row],[Visitor]],'NHL Model'!$A$6:$B$38,2,FALSE)</f>
        <v>-0.1792260169918948</v>
      </c>
      <c r="J48">
        <f>($B$1+Table4[[#This Row],[Home Differential]])-Table4[[#This Row],[Away Differential]]</f>
        <v>-9.3937175948858614E-2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0.50937129324065411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0.24071652789634823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-1.2664425175465013</v>
      </c>
      <c r="H49" t="s">
        <v>35</v>
      </c>
      <c r="I49">
        <f>VLOOKUP(Table4[[#This Row],[Visitor]],'NHL Model'!$A$6:$B$38,2,FALSE)</f>
        <v>-1.236228034931707</v>
      </c>
      <c r="J49">
        <f>($B$1+Table4[[#This Row],[Home Differential]])-Table4[[#This Row],[Away Differential]]</f>
        <v>7.7915979288307735E-2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0.54836461560978023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0.30070375165286201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-0.39000953236289804</v>
      </c>
      <c r="H50" t="s">
        <v>14</v>
      </c>
      <c r="I50">
        <f>VLOOKUP(Table4[[#This Row],[Visitor]],'NHL Model'!$A$6:$B$38,2,FALSE)</f>
        <v>3.6611055984458557E-5</v>
      </c>
      <c r="J50">
        <f>($B$1+Table4[[#This Row],[Home Differential]])-Table4[[#This Row],[Away Differential]]</f>
        <v>-0.28191568151578056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0.51026486135177884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0.2603702287303501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-0.77822387693813933</v>
      </c>
      <c r="H51" t="s">
        <v>20</v>
      </c>
      <c r="I51">
        <f>VLOOKUP(Table4[[#This Row],[Visitor]],'NHL Model'!$A$6:$B$38,2,FALSE)</f>
        <v>-0.11283731617452618</v>
      </c>
      <c r="J51">
        <f>($B$1+Table4[[#This Row],[Home Differential]])-Table4[[#This Row],[Away Differential]]</f>
        <v>-0.5572560988605112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0.53117989491714879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0.21979229092989566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0.24554986733769732</v>
      </c>
      <c r="H52" t="s">
        <v>34</v>
      </c>
      <c r="I52">
        <f>VLOOKUP(Table4[[#This Row],[Visitor]],'NHL Model'!$A$6:$B$38,2,FALSE)</f>
        <v>4.6716977502832858E-2</v>
      </c>
      <c r="J52">
        <f>($B$1+Table4[[#This Row],[Home Differential]])-Table4[[#This Row],[Away Differential]]</f>
        <v>0.30696335173796641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0.53571626745685519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0.21555938430419441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-0.18787166436597766</v>
      </c>
      <c r="H53" t="s">
        <v>32</v>
      </c>
      <c r="I53">
        <f>VLOOKUP(Table4[[#This Row],[Visitor]],'NHL Model'!$A$6:$B$38,2,FALSE)</f>
        <v>-0.42661371358543798</v>
      </c>
      <c r="J53">
        <f>($B$1+Table4[[#This Row],[Home Differential]])-Table4[[#This Row],[Away Differential]]</f>
        <v>0.34687251112256229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0.58428420834651529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0.1728196194300835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-0.62425830840281982</v>
      </c>
      <c r="H54" t="s">
        <v>17</v>
      </c>
      <c r="I54">
        <f>VLOOKUP(Table4[[#This Row],[Visitor]],'NHL Model'!$A$6:$B$38,2,FALSE)</f>
        <v>-0.12154868922444324</v>
      </c>
      <c r="J54">
        <f>($B$1+Table4[[#This Row],[Home Differential]])-Table4[[#This Row],[Away Differential]]</f>
        <v>-0.39457915727527465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0.50466417988153212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0.24535757469243516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-0.46908405058827807</v>
      </c>
      <c r="H55" t="s">
        <v>25</v>
      </c>
      <c r="I55">
        <f>VLOOKUP(Table4[[#This Row],[Visitor]],'NHL Model'!$A$6:$B$38,2,FALSE)</f>
        <v>0.31465989886768042</v>
      </c>
      <c r="J55">
        <f>($B$1+Table4[[#This Row],[Home Differential]])-Table4[[#This Row],[Away Differential]]</f>
        <v>-0.67561348755285655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0.59181784854094277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0.16661266876974473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-0.38129365484385536</v>
      </c>
      <c r="H56" t="s">
        <v>29</v>
      </c>
      <c r="I56">
        <f>VLOOKUP(Table4[[#This Row],[Visitor]],'NHL Model'!$A$6:$B$38,2,FALSE)</f>
        <v>-0.72584022159035511</v>
      </c>
      <c r="J56">
        <f>($B$1+Table4[[#This Row],[Home Differential]])-Table4[[#This Row],[Away Differential]]</f>
        <v>0.45267702864960169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0.58859682666658808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0.16925257102880137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-0.12498445042942641</v>
      </c>
      <c r="H57" t="s">
        <v>37</v>
      </c>
      <c r="I57">
        <f>VLOOKUP(Table4[[#This Row],[Visitor]],'NHL Model'!$A$6:$B$38,2,FALSE)</f>
        <v>0.6987740059316554</v>
      </c>
      <c r="J57">
        <f>($B$1+Table4[[#This Row],[Home Differential]])-Table4[[#This Row],[Away Differential]]</f>
        <v>-0.71562799445797987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0.63368389190551666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0.4015552748605225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0.12350258496936412</v>
      </c>
      <c r="H58" t="s">
        <v>36</v>
      </c>
      <c r="I58">
        <f>VLOOKUP(Table4[[#This Row],[Visitor]],'NHL Model'!$A$6:$B$38,2,FALSE)</f>
        <v>-0.179282670690569</v>
      </c>
      <c r="J58">
        <f>($B$1+Table4[[#This Row],[Home Differential]])-Table4[[#This Row],[Away Differential]]</f>
        <v>0.41091571756303502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0.6251191568357547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0.14053564657153547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-0.1792260169918948</v>
      </c>
      <c r="H59" t="s">
        <v>11</v>
      </c>
      <c r="I59">
        <f>VLOOKUP(Table4[[#This Row],[Visitor]],'NHL Model'!$A$6:$B$38,2,FALSE)</f>
        <v>-0.34412098011518399</v>
      </c>
      <c r="J59">
        <f>($B$1+Table4[[#This Row],[Home Differential]])-Table4[[#This Row],[Away Differential]]</f>
        <v>0.27302542502639116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0.55358229872754505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0.19928876400938283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-1.236228034931707</v>
      </c>
      <c r="H60" t="s">
        <v>10</v>
      </c>
      <c r="I60">
        <f>VLOOKUP(Table4[[#This Row],[Visitor]],'NHL Model'!$A$6:$B$38,2,FALSE)</f>
        <v>-0.75050764651940183</v>
      </c>
      <c r="J60">
        <f>($B$1+Table4[[#This Row],[Home Differential]])-Table4[[#This Row],[Away Differential]]</f>
        <v>-0.37758992650920309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0.50053590318986818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0.24946438400236073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0.14062496747196682</v>
      </c>
      <c r="H61" t="s">
        <v>16</v>
      </c>
      <c r="I61">
        <f>VLOOKUP(Table4[[#This Row],[Visitor]],'NHL Model'!$A$6:$B$38,2,FALSE)</f>
        <v>-0.77822387693813933</v>
      </c>
      <c r="J61">
        <f>($B$1+Table4[[#This Row],[Home Differential]])-Table4[[#This Row],[Away Differential]]</f>
        <v>1.026979306313208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0.68628751346641004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9.8415524207087865E-2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-0.39000953236289804</v>
      </c>
      <c r="H62" t="s">
        <v>25</v>
      </c>
      <c r="I62">
        <f>VLOOKUP(Table4[[#This Row],[Visitor]],'NHL Model'!$A$6:$B$38,2,FALSE)</f>
        <v>0.31465989886768042</v>
      </c>
      <c r="J62">
        <f>($B$1+Table4[[#This Row],[Home Differential]])-Table4[[#This Row],[Away Differential]]</f>
        <v>-0.59653896932747652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0.54679964565342087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0.20539056117986487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-0.36066890819319958</v>
      </c>
      <c r="H63" t="s">
        <v>12</v>
      </c>
      <c r="I63">
        <f>VLOOKUP(Table4[[#This Row],[Visitor]],'NHL Model'!$A$6:$B$38,2,FALSE)</f>
        <v>1.1504937678265921</v>
      </c>
      <c r="J63">
        <f>($B$1+Table4[[#This Row],[Home Differential]])-Table4[[#This Row],[Away Differential]]</f>
        <v>-1.4030322141166898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0.67693733419943947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0.10436948603416467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0.24554986733769732</v>
      </c>
      <c r="H64" t="s">
        <v>38</v>
      </c>
      <c r="I64">
        <f>VLOOKUP(Table4[[#This Row],[Visitor]],'NHL Model'!$A$6:$B$38,2,FALSE)</f>
        <v>-1.2664425175465013</v>
      </c>
      <c r="J64">
        <f>($B$1+Table4[[#This Row],[Home Differential]])-Table4[[#This Row],[Away Differential]]</f>
        <v>1.6201228467873006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0.73303258948440331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0.53733677724620976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-0.36406236312551898</v>
      </c>
      <c r="H65" t="s">
        <v>14</v>
      </c>
      <c r="I65">
        <f>VLOOKUP(Table4[[#This Row],[Visitor]],'NHL Model'!$A$6:$B$38,2,FALSE)</f>
        <v>3.6611055984458557E-5</v>
      </c>
      <c r="J65">
        <f>($B$1+Table4[[#This Row],[Home Differential]])-Table4[[#This Row],[Away Differential]]</f>
        <v>-0.25596851227840151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0.54400824671639203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0.20792847906265879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-0.18787166436597766</v>
      </c>
      <c r="H66" t="s">
        <v>29</v>
      </c>
      <c r="I66">
        <f>VLOOKUP(Table4[[#This Row],[Visitor]],'NHL Model'!$A$6:$B$38,2,FALSE)</f>
        <v>-0.72584022159035511</v>
      </c>
      <c r="J66">
        <f>($B$1+Table4[[#This Row],[Home Differential]])-Table4[[#This Row],[Away Differential]]</f>
        <v>0.64609901912747936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0.61640746140166269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0.14714323566831689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-0.55013344272463272</v>
      </c>
      <c r="H67" t="s">
        <v>11</v>
      </c>
      <c r="I67">
        <f>VLOOKUP(Table4[[#This Row],[Visitor]],'NHL Model'!$A$6:$B$38,2,FALSE)</f>
        <v>-0.34412098011518399</v>
      </c>
      <c r="J67">
        <f>($B$1+Table4[[#This Row],[Home Differential]])-Table4[[#This Row],[Away Differential]]</f>
        <v>-9.7882000706346783E-2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0.5297958877406248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0.28068368266687671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-6.98902744359894E-2</v>
      </c>
      <c r="H68" t="s">
        <v>17</v>
      </c>
      <c r="I68">
        <f>VLOOKUP(Table4[[#This Row],[Visitor]],'NHL Model'!$A$6:$B$38,2,FALSE)</f>
        <v>-0.12154868922444324</v>
      </c>
      <c r="J68">
        <f>($B$1+Table4[[#This Row],[Home Differential]])-Table4[[#This Row],[Away Differential]]</f>
        <v>0.15978887669155578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0.57124373316635602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0.18383193634912293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-0.179282670690569</v>
      </c>
      <c r="H69" t="s">
        <v>32</v>
      </c>
      <c r="I69">
        <f>VLOOKUP(Table4[[#This Row],[Visitor]],'NHL Model'!$A$6:$B$38,2,FALSE)</f>
        <v>-0.42661371358543798</v>
      </c>
      <c r="J69">
        <f>($B$1+Table4[[#This Row],[Home Differential]])-Table4[[#This Row],[Away Differential]]</f>
        <v>0.35546150479797095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0.57816032191172406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0.17794871400962026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-0.39747316405117561</v>
      </c>
      <c r="H70" t="s">
        <v>40</v>
      </c>
      <c r="I70">
        <f>VLOOKUP(Table4[[#This Row],[Visitor]],'NHL Model'!$A$6:$B$38,2,FALSE)</f>
        <v>-0.41982036690375685</v>
      </c>
      <c r="J70">
        <f>($B$1+Table4[[#This Row],[Home Differential]])-Table4[[#This Row],[Away Differential]]</f>
        <v>0.13047766475568318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0.55400733869113838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0.30692413132363772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-0.38129365484385536</v>
      </c>
      <c r="H71" t="s">
        <v>15</v>
      </c>
      <c r="I71">
        <f>VLOOKUP(Table4[[#This Row],[Visitor]],'NHL Model'!$A$6:$B$38,2,FALSE)</f>
        <v>-0.62425830840281982</v>
      </c>
      <c r="J71">
        <f>($B$1+Table4[[#This Row],[Home Differential]])-Table4[[#This Row],[Away Differential]]</f>
        <v>0.3510951154620664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0.53383857775059307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0.21730647159358987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-0.11283731617452618</v>
      </c>
      <c r="H72" t="s">
        <v>21</v>
      </c>
      <c r="I72">
        <f>VLOOKUP(Table4[[#This Row],[Visitor]],'NHL Model'!$A$6:$B$38,2,FALSE)</f>
        <v>-2.9858233272404857E-2</v>
      </c>
      <c r="J72">
        <f>($B$1+Table4[[#This Row],[Home Differential]])-Table4[[#This Row],[Away Differential]]</f>
        <v>2.515137900098063E-2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0.54270010874945995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0.20912319053775574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-0.75050764651940183</v>
      </c>
      <c r="H73" t="s">
        <v>38</v>
      </c>
      <c r="I73">
        <f>VLOOKUP(Table4[[#This Row],[Visitor]],'NHL Model'!$A$6:$B$38,2,FALSE)</f>
        <v>-1.2664425175465013</v>
      </c>
      <c r="J73">
        <f>($B$1+Table4[[#This Row],[Home Differential]])-Table4[[#This Row],[Away Differential]]</f>
        <v>0.62406533293020139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0.60699609852858449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0.36844426362892307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-0.1792260169918948</v>
      </c>
      <c r="H74" t="s">
        <v>37</v>
      </c>
      <c r="I74">
        <f>VLOOKUP(Table4[[#This Row],[Visitor]],'NHL Model'!$A$6:$B$38,2,FALSE)</f>
        <v>0.6987740059316554</v>
      </c>
      <c r="J74">
        <f>($B$1+Table4[[#This Row],[Home Differential]])-Table4[[#This Row],[Away Differential]]</f>
        <v>-0.76986956102044823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0.59616232324967733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0.35540951566245277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0.14062496747196682</v>
      </c>
      <c r="H75" t="s">
        <v>33</v>
      </c>
      <c r="I75">
        <f>VLOOKUP(Table4[[#This Row],[Visitor]],'NHL Model'!$A$6:$B$38,2,FALSE)</f>
        <v>-0.46908405058827807</v>
      </c>
      <c r="J75">
        <f>($B$1+Table4[[#This Row],[Home Differential]])-Table4[[#This Row],[Away Differential]]</f>
        <v>0.71783947996334685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0.62291468505975378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0.14219333474358467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-0.12498445042942641</v>
      </c>
      <c r="H76" t="s">
        <v>34</v>
      </c>
      <c r="I76">
        <f>VLOOKUP(Table4[[#This Row],[Visitor]],'NHL Model'!$A$6:$B$38,2,FALSE)</f>
        <v>4.6716977502832858E-2</v>
      </c>
      <c r="J76">
        <f>($B$1+Table4[[#This Row],[Home Differential]])-Table4[[#This Row],[Away Differential]]</f>
        <v>-6.3570966029157322E-2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0.52335354233688447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0.27389893027656514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0.12350258496936412</v>
      </c>
      <c r="H77" t="s">
        <v>11</v>
      </c>
      <c r="I77">
        <f>VLOOKUP(Table4[[#This Row],[Visitor]],'NHL Model'!$A$6:$B$38,2,FALSE)</f>
        <v>-0.34412098011518399</v>
      </c>
      <c r="J77">
        <f>($B$1+Table4[[#This Row],[Home Differential]])-Table4[[#This Row],[Away Differential]]</f>
        <v>0.57575402698764999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0.58497043491923573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0.17224953989112834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-0.36066890819319958</v>
      </c>
      <c r="H78" t="s">
        <v>37</v>
      </c>
      <c r="I78">
        <f>VLOOKUP(Table4[[#This Row],[Visitor]],'NHL Model'!$A$6:$B$38,2,FALSE)</f>
        <v>0.6987740059316554</v>
      </c>
      <c r="J78">
        <f>($B$1+Table4[[#This Row],[Home Differential]])-Table4[[#This Row],[Away Differential]]</f>
        <v>-0.95131245222175309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0.65898563247786757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0.43426206381225513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1.1504937678265921</v>
      </c>
      <c r="H79" t="s">
        <v>21</v>
      </c>
      <c r="I79">
        <f>VLOOKUP(Table4[[#This Row],[Visitor]],'NHL Model'!$A$6:$B$38,2,FALSE)</f>
        <v>-2.9858233272404857E-2</v>
      </c>
      <c r="J79">
        <f>($B$1+Table4[[#This Row],[Home Differential]])-Table4[[#This Row],[Away Differential]]</f>
        <v>1.288482463002099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0.76410636387850206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5.5645807562621677E-2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-0.36406236312551898</v>
      </c>
      <c r="H80" t="s">
        <v>25</v>
      </c>
      <c r="I80">
        <f>VLOOKUP(Table4[[#This Row],[Visitor]],'NHL Model'!$A$6:$B$38,2,FALSE)</f>
        <v>0.31465989886768042</v>
      </c>
      <c r="J80">
        <f>($B$1+Table4[[#This Row],[Home Differential]])-Table4[[#This Row],[Away Differential]]</f>
        <v>-0.57059180009009747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0.58054331853643737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0.17594390762442463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-0.18787166436597766</v>
      </c>
      <c r="H81" t="s">
        <v>15</v>
      </c>
      <c r="I81">
        <f>VLOOKUP(Table4[[#This Row],[Visitor]],'NHL Model'!$A$6:$B$38,2,FALSE)</f>
        <v>-0.62425830840281982</v>
      </c>
      <c r="J81">
        <f>($B$1+Table4[[#This Row],[Home Differential]])-Table4[[#This Row],[Away Differential]]</f>
        <v>0.54451710593994407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0.56170300735201428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0.31551026846829699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-0.55013344272463272</v>
      </c>
      <c r="H82" t="s">
        <v>17</v>
      </c>
      <c r="I82">
        <f>VLOOKUP(Table4[[#This Row],[Visitor]],'NHL Model'!$A$6:$B$38,2,FALSE)</f>
        <v>-0.12154868922444324</v>
      </c>
      <c r="J82">
        <f>($B$1+Table4[[#This Row],[Home Differential]])-Table4[[#This Row],[Away Differential]]</f>
        <v>-0.32045429159708755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0.49670655662904911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0.24671740339828677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-0.179282670690569</v>
      </c>
      <c r="H83" t="s">
        <v>30</v>
      </c>
      <c r="I83">
        <f>VLOOKUP(Table4[[#This Row],[Visitor]],'NHL Model'!$A$6:$B$38,2,FALSE)</f>
        <v>-6.98902744359894E-2</v>
      </c>
      <c r="J83">
        <f>($B$1+Table4[[#This Row],[Home Differential]])-Table4[[#This Row],[Away Differential]]</f>
        <v>-1.2619343514776449E-3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0.48998851816887234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0.26011171159958263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-0.39747316405117561</v>
      </c>
      <c r="H84" t="s">
        <v>34</v>
      </c>
      <c r="I84">
        <f>VLOOKUP(Table4[[#This Row],[Visitor]],'NHL Model'!$A$6:$B$38,2,FALSE)</f>
        <v>4.6716977502832858E-2</v>
      </c>
      <c r="J84">
        <f>($B$1+Table4[[#This Row],[Home Differential]])-Table4[[#This Row],[Away Differential]]</f>
        <v>-0.33605967965090655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0.55260637812574853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0.30537380914525775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-0.46908405058827807</v>
      </c>
      <c r="H85" t="s">
        <v>14</v>
      </c>
      <c r="I85">
        <f>VLOOKUP(Table4[[#This Row],[Visitor]],'NHL Model'!$A$6:$B$38,2,FALSE)</f>
        <v>3.6611055984458557E-5</v>
      </c>
      <c r="J85">
        <f>($B$1+Table4[[#This Row],[Home Differential]])-Table4[[#This Row],[Away Differential]]</f>
        <v>-0.36099019974116059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0.55528277672089743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0.19777340868107518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-1.236228034931707</v>
      </c>
      <c r="H86" t="s">
        <v>39</v>
      </c>
      <c r="I86">
        <f>VLOOKUP(Table4[[#This Row],[Visitor]],'NHL Model'!$A$6:$B$38,2,FALSE)</f>
        <v>0.24554986733769732</v>
      </c>
      <c r="J86">
        <f>($B$1+Table4[[#This Row],[Home Differential]])-Table4[[#This Row],[Away Differential]]</f>
        <v>-1.3736474403663022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0.65283651432030609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0.42619551442988723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-0.38129365484385536</v>
      </c>
      <c r="H87" t="s">
        <v>32</v>
      </c>
      <c r="I87">
        <f>VLOOKUP(Table4[[#This Row],[Visitor]],'NHL Model'!$A$6:$B$38,2,FALSE)</f>
        <v>-0.42661371358543798</v>
      </c>
      <c r="J87">
        <f>($B$1+Table4[[#This Row],[Home Differential]])-Table4[[#This Row],[Away Differential]]</f>
        <v>0.15345052064468456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0.55647357361144068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0.30966283812788747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-0.11283731617452618</v>
      </c>
      <c r="H88" t="s">
        <v>16</v>
      </c>
      <c r="I88">
        <f>VLOOKUP(Table4[[#This Row],[Visitor]],'NHL Model'!$A$6:$B$38,2,FALSE)</f>
        <v>-0.77822387693813933</v>
      </c>
      <c r="J88">
        <f>($B$1+Table4[[#This Row],[Home Differential]])-Table4[[#This Row],[Away Differential]]</f>
        <v>0.77351702266671507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0.62304038043707943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0.14209855478102182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-0.41982036690375685</v>
      </c>
      <c r="H89" t="s">
        <v>29</v>
      </c>
      <c r="I89">
        <f>VLOOKUP(Table4[[#This Row],[Visitor]],'NHL Model'!$A$6:$B$38,2,FALSE)</f>
        <v>-0.72584022159035511</v>
      </c>
      <c r="J89">
        <f>($B$1+Table4[[#This Row],[Home Differential]])-Table4[[#This Row],[Away Differential]]</f>
        <v>0.4141503165897002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0.58446081836593755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0.17267281147310634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-0.75050764651940183</v>
      </c>
      <c r="H90" t="s">
        <v>31</v>
      </c>
      <c r="I90">
        <f>VLOOKUP(Table4[[#This Row],[Visitor]],'NHL Model'!$A$6:$B$38,2,FALSE)</f>
        <v>-0.39000953236289804</v>
      </c>
      <c r="J90">
        <f>($B$1+Table4[[#This Row],[Home Differential]])-Table4[[#This Row],[Away Differential]]</f>
        <v>-0.25236765225340185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0.4870927532801882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0.2372593502980743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-0.1792260169918948</v>
      </c>
      <c r="H91" t="s">
        <v>17</v>
      </c>
      <c r="I91">
        <f>VLOOKUP(Table4[[#This Row],[Visitor]],'NHL Model'!$A$6:$B$38,2,FALSE)</f>
        <v>-0.12154868922444324</v>
      </c>
      <c r="J91">
        <f>($B$1+Table4[[#This Row],[Home Differential]])-Table4[[#This Row],[Away Differential]]</f>
        <v>5.045313413565039E-2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0.58606152231418673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0.17134506330884852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0.14062496747196682</v>
      </c>
      <c r="H92" t="s">
        <v>21</v>
      </c>
      <c r="I92">
        <f>VLOOKUP(Table4[[#This Row],[Visitor]],'NHL Model'!$A$6:$B$38,2,FALSE)</f>
        <v>-2.9858233272404857E-2</v>
      </c>
      <c r="J92">
        <f>($B$1+Table4[[#This Row],[Home Differential]])-Table4[[#This Row],[Away Differential]]</f>
        <v>0.27861366264747361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0.60594724177879056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0.15527757626174293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-0.12498445042942641</v>
      </c>
      <c r="H93" t="s">
        <v>38</v>
      </c>
      <c r="I93">
        <f>VLOOKUP(Table4[[#This Row],[Visitor]],'NHL Model'!$A$6:$B$38,2,FALSE)</f>
        <v>-1.2664425175465013</v>
      </c>
      <c r="J93">
        <f>($B$1+Table4[[#This Row],[Home Differential]])-Table4[[#This Row],[Away Differential]]</f>
        <v>1.2495885290201769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0.67414870493982093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0.45447647637203775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-0.77822387693813933</v>
      </c>
      <c r="H94" t="s">
        <v>40</v>
      </c>
      <c r="I94">
        <f>VLOOKUP(Table4[[#This Row],[Visitor]],'NHL Model'!$A$6:$B$38,2,FALSE)</f>
        <v>-0.41982036690375685</v>
      </c>
      <c r="J94">
        <f>($B$1+Table4[[#This Row],[Home Differential]])-Table4[[#This Row],[Away Differential]]</f>
        <v>-0.25027304813128054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0.48686788851565288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0.26330456383638445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-0.18787166436597766</v>
      </c>
      <c r="H95" t="s">
        <v>23</v>
      </c>
      <c r="I95">
        <f>VLOOKUP(Table4[[#This Row],[Visitor]],'NHL Model'!$A$6:$B$38,2,FALSE)</f>
        <v>0.12350258496936412</v>
      </c>
      <c r="J95">
        <f>($B$1+Table4[[#This Row],[Home Differential]])-Table4[[#This Row],[Away Differential]]</f>
        <v>-0.20324378743223981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0.50457771572606536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0.25459867120733404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-0.62425830840281982</v>
      </c>
      <c r="H96" t="s">
        <v>34</v>
      </c>
      <c r="I96">
        <f>VLOOKUP(Table4[[#This Row],[Visitor]],'NHL Model'!$A$6:$B$38,2,FALSE)</f>
        <v>4.6716977502832858E-2</v>
      </c>
      <c r="J96">
        <f>($B$1+Table4[[#This Row],[Home Differential]])-Table4[[#This Row],[Away Differential]]</f>
        <v>-0.56284482400255076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0.57695273911404799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0.17896898494310676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-0.39747316405117561</v>
      </c>
      <c r="H97" t="s">
        <v>32</v>
      </c>
      <c r="I97">
        <f>VLOOKUP(Table4[[#This Row],[Visitor]],'NHL Model'!$A$6:$B$38,2,FALSE)</f>
        <v>-0.42661371358543798</v>
      </c>
      <c r="J97">
        <f>($B$1+Table4[[#This Row],[Home Differential]])-Table4[[#This Row],[Away Differential]]</f>
        <v>0.13727101143736431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0.55473663368576298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0.19825946538148642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-0.11283731617452618</v>
      </c>
      <c r="H98" t="s">
        <v>25</v>
      </c>
      <c r="I98">
        <f>VLOOKUP(Table4[[#This Row],[Visitor]],'NHL Model'!$A$6:$B$38,2,FALSE)</f>
        <v>0.31465989886768042</v>
      </c>
      <c r="J98">
        <f>($B$1+Table4[[#This Row],[Home Differential]])-Table4[[#This Row],[Away Differential]]</f>
        <v>-0.31936675313910468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0.55357322885151738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0.30644331970109445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-2.9858233272404857E-2</v>
      </c>
      <c r="H99" t="s">
        <v>11</v>
      </c>
      <c r="I99">
        <f>VLOOKUP(Table4[[#This Row],[Visitor]],'NHL Model'!$A$6:$B$38,2,FALSE)</f>
        <v>-0.34412098011518399</v>
      </c>
      <c r="J99">
        <f>($B$1+Table4[[#This Row],[Home Differential]])-Table4[[#This Row],[Away Differential]]</f>
        <v>0.4223932087458811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0.57434804848952792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0.32987568080372909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0.24554986733769732</v>
      </c>
      <c r="H100" t="s">
        <v>28</v>
      </c>
      <c r="I100">
        <f>VLOOKUP(Table4[[#This Row],[Visitor]],'NHL Model'!$A$6:$B$38,2,FALSE)</f>
        <v>-0.36066890819319958</v>
      </c>
      <c r="J100">
        <f>($B$1+Table4[[#This Row],[Home Differential]])-Table4[[#This Row],[Away Differential]]</f>
        <v>0.71434923743399881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0.63579389543309883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0.40423387746999423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-0.72584022159035511</v>
      </c>
      <c r="H101" t="s">
        <v>31</v>
      </c>
      <c r="I101">
        <f>VLOOKUP(Table4[[#This Row],[Visitor]],'NHL Model'!$A$6:$B$38,2,FALSE)</f>
        <v>-0.39000953236289804</v>
      </c>
      <c r="J101">
        <f>($B$1+Table4[[#This Row],[Home Differential]])-Table4[[#This Row],[Away Differential]]</f>
        <v>-0.22770022732435513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0.48444459908256077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0.26579737141514148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-6.98902744359894E-2</v>
      </c>
      <c r="H102" t="s">
        <v>33</v>
      </c>
      <c r="I102">
        <f>VLOOKUP(Table4[[#This Row],[Visitor]],'NHL Model'!$A$6:$B$38,2,FALSE)</f>
        <v>-0.46908405058827807</v>
      </c>
      <c r="J102">
        <f>($B$1+Table4[[#This Row],[Home Differential]])-Table4[[#This Row],[Away Differential]]</f>
        <v>0.50732423805539062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0.58041014378301425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0.17605564744019078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-0.179282670690569</v>
      </c>
      <c r="H103" t="s">
        <v>17</v>
      </c>
      <c r="I103">
        <f>VLOOKUP(Table4[[#This Row],[Visitor]],'NHL Model'!$A$6:$B$38,2,FALSE)</f>
        <v>-0.12154868922444324</v>
      </c>
      <c r="J103">
        <f>($B$1+Table4[[#This Row],[Home Differential]])-Table4[[#This Row],[Away Differential]]</f>
        <v>5.0396480436976199E-2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0.54310586933272831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0.29496398530365858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3.6611055984458557E-5</v>
      </c>
      <c r="H104" t="s">
        <v>38</v>
      </c>
      <c r="I104">
        <f>VLOOKUP(Table4[[#This Row],[Visitor]],'NHL Model'!$A$6:$B$38,2,FALSE)</f>
        <v>-1.2664425175465013</v>
      </c>
      <c r="J104">
        <f>($B$1+Table4[[#This Row],[Home Differential]])-Table4[[#This Row],[Away Differential]]</f>
        <v>1.3746095905055877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0.68757025379288239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9.7612346315043924E-2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-1.236228034931707</v>
      </c>
      <c r="H105" t="s">
        <v>13</v>
      </c>
      <c r="I105">
        <f>VLOOKUP(Table4[[#This Row],[Visitor]],'NHL Model'!$A$6:$B$38,2,FALSE)</f>
        <v>-0.36406236312551898</v>
      </c>
      <c r="J105">
        <f>($B$1+Table4[[#This Row],[Home Differential]])-Table4[[#This Row],[Away Differential]]</f>
        <v>-0.76403520990308593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0.58130920027967448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0.17530198577044573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-0.38129365484385536</v>
      </c>
      <c r="H106" t="s">
        <v>24</v>
      </c>
      <c r="I106">
        <f>VLOOKUP(Table4[[#This Row],[Visitor]],'NHL Model'!$A$6:$B$38,2,FALSE)</f>
        <v>-0.55013344272463272</v>
      </c>
      <c r="J106">
        <f>($B$1+Table4[[#This Row],[Home Differential]])-Table4[[#This Row],[Away Differential]]</f>
        <v>0.2769702497838793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0.54049715737100601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0.29213717712613801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0.14062496747196682</v>
      </c>
      <c r="H107" t="s">
        <v>12</v>
      </c>
      <c r="I107">
        <f>VLOOKUP(Table4[[#This Row],[Visitor]],'NHL Model'!$A$6:$B$38,2,FALSE)</f>
        <v>1.1504937678265921</v>
      </c>
      <c r="J107">
        <f>($B$1+Table4[[#This Row],[Home Differential]])-Table4[[#This Row],[Away Differential]]</f>
        <v>-0.90173833845152329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0.58660140872560906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0.34410121271886907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-0.12498445042942641</v>
      </c>
      <c r="H108" t="s">
        <v>32</v>
      </c>
      <c r="I108">
        <f>VLOOKUP(Table4[[#This Row],[Visitor]],'NHL Model'!$A$6:$B$38,2,FALSE)</f>
        <v>-0.42661371358543798</v>
      </c>
      <c r="J108">
        <f>($B$1+Table4[[#This Row],[Home Differential]])-Table4[[#This Row],[Away Differential]]</f>
        <v>0.40975972505911351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0.58398946947462704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0.17306476150800226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0.12350258496936412</v>
      </c>
      <c r="H109" t="s">
        <v>26</v>
      </c>
      <c r="I109">
        <f>VLOOKUP(Table4[[#This Row],[Visitor]],'NHL Model'!$A$6:$B$38,2,FALSE)</f>
        <v>-0.1792260169918948</v>
      </c>
      <c r="J109">
        <f>($B$1+Table4[[#This Row],[Home Differential]])-Table4[[#This Row],[Away Differential]]</f>
        <v>0.41085906386436088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0.58718842817305172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0.17041339383423568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-0.77822387693813933</v>
      </c>
      <c r="H110" t="s">
        <v>18</v>
      </c>
      <c r="I110">
        <f>VLOOKUP(Table4[[#This Row],[Visitor]],'NHL Model'!$A$6:$B$38,2,FALSE)</f>
        <v>-0.18787166436597766</v>
      </c>
      <c r="J110">
        <f>($B$1+Table4[[#This Row],[Home Differential]])-Table4[[#This Row],[Away Differential]]</f>
        <v>-0.4822217506690597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0.55105531292965293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0.20155133204869186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-0.55013344272463272</v>
      </c>
      <c r="H111" t="s">
        <v>34</v>
      </c>
      <c r="I111">
        <f>VLOOKUP(Table4[[#This Row],[Visitor]],'NHL Model'!$A$6:$B$38,2,FALSE)</f>
        <v>4.6716977502832858E-2</v>
      </c>
      <c r="J111">
        <f>($B$1+Table4[[#This Row],[Home Differential]])-Table4[[#This Row],[Away Differential]]</f>
        <v>-0.48871995832436366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0.56899511586156504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0.32375544187431582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-2.9858233272404857E-2</v>
      </c>
      <c r="H112" t="s">
        <v>31</v>
      </c>
      <c r="I112">
        <f>VLOOKUP(Table4[[#This Row],[Visitor]],'NHL Model'!$A$6:$B$38,2,FALSE)</f>
        <v>-0.39000953236289804</v>
      </c>
      <c r="J112">
        <f>($B$1+Table4[[#This Row],[Home Differential]])-Table4[[#This Row],[Away Differential]]</f>
        <v>0.46828176099359514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0.63777979218788572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0.40676306332322271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1.1504937678265921</v>
      </c>
      <c r="H113" t="s">
        <v>25</v>
      </c>
      <c r="I113">
        <f>VLOOKUP(Table4[[#This Row],[Visitor]],'NHL Model'!$A$6:$B$38,2,FALSE)</f>
        <v>0.31465989886768042</v>
      </c>
      <c r="J113">
        <f>($B$1+Table4[[#This Row],[Home Differential]])-Table4[[#This Row],[Away Differential]]</f>
        <v>0.9439643308620137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0.67005901146760627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0.44897907884894572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0.24554986733769732</v>
      </c>
      <c r="H114" t="s">
        <v>13</v>
      </c>
      <c r="I114">
        <f>VLOOKUP(Table4[[#This Row],[Visitor]],'NHL Model'!$A$6:$B$38,2,FALSE)</f>
        <v>-0.36406236312551898</v>
      </c>
      <c r="J114">
        <f>($B$1+Table4[[#This Row],[Home Differential]])-Table4[[#This Row],[Away Differential]]</f>
        <v>0.71774269236631827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0.59705276611050517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0.35647200552020558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-0.12154868922444324</v>
      </c>
      <c r="H115" t="s">
        <v>18</v>
      </c>
      <c r="I115">
        <f>VLOOKUP(Table4[[#This Row],[Visitor]],'NHL Model'!$A$6:$B$38,2,FALSE)</f>
        <v>-0.18787166436597766</v>
      </c>
      <c r="J115">
        <f>($B$1+Table4[[#This Row],[Home Differential]])-Table4[[#This Row],[Away Differential]]</f>
        <v>0.17445343704463637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0.5194415938137058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0.23093638175631132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-0.34412098011518399</v>
      </c>
      <c r="H116" t="s">
        <v>14</v>
      </c>
      <c r="I116">
        <f>VLOOKUP(Table4[[#This Row],[Visitor]],'NHL Model'!$A$6:$B$38,2,FALSE)</f>
        <v>3.6611055984458557E-5</v>
      </c>
      <c r="J116">
        <f>($B$1+Table4[[#This Row],[Home Differential]])-Table4[[#This Row],[Away Differential]]</f>
        <v>-0.23602712926806652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0.54186745345251419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0.20988543020608424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-0.72584022159035511</v>
      </c>
      <c r="H117" t="s">
        <v>38</v>
      </c>
      <c r="I117">
        <f>VLOOKUP(Table4[[#This Row],[Visitor]],'NHL Model'!$A$6:$B$38,2,FALSE)</f>
        <v>-1.2664425175465013</v>
      </c>
      <c r="J117">
        <f>($B$1+Table4[[#This Row],[Home Differential]])-Table4[[#This Row],[Away Differential]]</f>
        <v>0.64873275785924811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0.60964425272621192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0.15237760942967751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-6.98902744359894E-2</v>
      </c>
      <c r="H118" t="s">
        <v>26</v>
      </c>
      <c r="I118">
        <f>VLOOKUP(Table4[[#This Row],[Visitor]],'NHL Model'!$A$6:$B$38,2,FALSE)</f>
        <v>-0.1792260169918948</v>
      </c>
      <c r="J118">
        <f>($B$1+Table4[[#This Row],[Home Differential]])-Table4[[#This Row],[Away Differential]]</f>
        <v>0.21746620445900736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0.54058731200646915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0.21106001788944134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-0.62425830840281982</v>
      </c>
      <c r="H119" t="s">
        <v>33</v>
      </c>
      <c r="I119">
        <f>VLOOKUP(Table4[[#This Row],[Visitor]],'NHL Model'!$A$6:$B$38,2,FALSE)</f>
        <v>-0.46908405058827807</v>
      </c>
      <c r="J119">
        <f>($B$1+Table4[[#This Row],[Home Differential]])-Table4[[#This Row],[Away Differential]]</f>
        <v>-4.7043795911439812E-2</v>
      </c>
      <c r="K119" t="str">
        <f>IF(Table4[[#This Row],[HomeIce Differential]]&gt;0,Table4[[#This Row],[Home]],Table4[[#This Row],[Visitor]])</f>
        <v>San Jose Sharks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0.49561639163268045</v>
      </c>
      <c r="M119" t="str">
        <f>IF(OR((NHL2025_26Results[[#This Row],[Winning Team]]="")),"-",IF(Table4[[#This Row],[Predicted Winner]]=NHL2025_26Results[[#This Row],[Winning Team]],"YES","NO"))</f>
        <v>YES</v>
      </c>
      <c r="N119">
        <f>IF(Table4[[#This Row],[Adjusted Correct]]="-", "",IF(Table4[[#This Row],[Adjusted Correct]]="YES",(Table4[[#This Row],[Strength of Win]]-1)^2,(Table4[[#This Row],[Strength of Win]]-0)^2))</f>
        <v>0.25440282438963757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-0.179282670690569</v>
      </c>
      <c r="H120" t="s">
        <v>27</v>
      </c>
      <c r="I120">
        <f>VLOOKUP(Table4[[#This Row],[Visitor]],'NHL Model'!$A$6:$B$38,2,FALSE)</f>
        <v>-0.39747316405117561</v>
      </c>
      <c r="J120">
        <f>($B$1+Table4[[#This Row],[Home Differential]])-Table4[[#This Row],[Away Differential]]</f>
        <v>0.32632095526370858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0.57420246545456888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0.1813035404249676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-1.236228034931707</v>
      </c>
      <c r="H121" t="s">
        <v>55</v>
      </c>
      <c r="I121">
        <f>VLOOKUP(Table4[[#This Row],[Visitor]],'NHL Model'!$A$6:$B$38,2,FALSE)</f>
        <v>0.14062496747196682</v>
      </c>
      <c r="J121">
        <f>($B$1+Table4[[#This Row],[Home Differential]])-Table4[[#This Row],[Away Differential]]</f>
        <v>-1.2687225405005718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0.59620282339624686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0.1630521598331626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0.6987740059316554</v>
      </c>
      <c r="H122" t="s">
        <v>10</v>
      </c>
      <c r="I122">
        <f>VLOOKUP(Table4[[#This Row],[Visitor]],'NHL Model'!$A$6:$B$38,2,FALSE)</f>
        <v>-0.75050764651940183</v>
      </c>
      <c r="J122">
        <f>($B$1+Table4[[#This Row],[Home Differential]])-Table4[[#This Row],[Away Differential]]</f>
        <v>1.5574121143541593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0.73676364632056868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0.54282067053958005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-0.41982036690375685</v>
      </c>
      <c r="H123" t="s">
        <v>32</v>
      </c>
      <c r="I123">
        <f>VLOOKUP(Table4[[#This Row],[Visitor]],'NHL Model'!$A$6:$B$38,2,FALSE)</f>
        <v>-0.42661371358543798</v>
      </c>
      <c r="J123">
        <f>($B$1+Table4[[#This Row],[Home Differential]])-Table4[[#This Row],[Away Differential]]</f>
        <v>0.11492380858478307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0.55233756531079015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0.30507678605345134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0.12350258496936412</v>
      </c>
      <c r="H124" t="s">
        <v>19</v>
      </c>
      <c r="I124">
        <f>VLOOKUP(Table4[[#This Row],[Visitor]],'NHL Model'!$A$6:$B$38,2,FALSE)</f>
        <v>-0.38129365484385536</v>
      </c>
      <c r="J124">
        <f>($B$1+Table4[[#This Row],[Home Differential]])-Table4[[#This Row],[Away Differential]]</f>
        <v>0.61292670171632135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0.64761850036204116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0.12417272128709679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-0.36066890819319958</v>
      </c>
      <c r="H125" t="s">
        <v>22</v>
      </c>
      <c r="I125">
        <f>VLOOKUP(Table4[[#This Row],[Visitor]],'NHL Model'!$A$6:$B$38,2,FALSE)</f>
        <v>-0.12498445042942641</v>
      </c>
      <c r="J125">
        <f>($B$1+Table4[[#This Row],[Home Differential]])-Table4[[#This Row],[Away Differential]]</f>
        <v>-0.12755399586067123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0.47369347025618547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0.27699856325097671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-0.55013344272463272</v>
      </c>
      <c r="H126" t="s">
        <v>33</v>
      </c>
      <c r="I126">
        <f>VLOOKUP(Table4[[#This Row],[Visitor]],'NHL Model'!$A$6:$B$38,2,FALSE)</f>
        <v>-0.46908405058827807</v>
      </c>
      <c r="J126">
        <f>($B$1+Table4[[#This Row],[Home Differential]])-Table4[[#This Row],[Away Differential]]</f>
        <v>2.708106976674729E-2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0.5123412316198025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0.23781107437809113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-0.41982036690375685</v>
      </c>
      <c r="H127" t="s">
        <v>16</v>
      </c>
      <c r="I127">
        <f>VLOOKUP(Table4[[#This Row],[Visitor]],'NHL Model'!$A$6:$B$38,2,FALSE)</f>
        <v>-0.77822387693813933</v>
      </c>
      <c r="J127">
        <f>($B$1+Table4[[#This Row],[Home Differential]])-Table4[[#This Row],[Away Differential]]</f>
        <v>0.46653397193748442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0.59008442914798376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0.16803077522693435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-2.9858233272404857E-2</v>
      </c>
      <c r="H128" t="s">
        <v>12</v>
      </c>
      <c r="I128">
        <f>VLOOKUP(Table4[[#This Row],[Visitor]],'NHL Model'!$A$6:$B$38,2,FALSE)</f>
        <v>1.1504937678265921</v>
      </c>
      <c r="J128">
        <f>($B$1+Table4[[#This Row],[Home Differential]])-Table4[[#This Row],[Away Differential]]</f>
        <v>-1.0722215391958949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0.59312957348341822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0.35180269094062161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0.24554986733769732</v>
      </c>
      <c r="H129" t="s">
        <v>25</v>
      </c>
      <c r="I129">
        <f>VLOOKUP(Table4[[#This Row],[Visitor]],'NHL Model'!$A$6:$B$38,2,FALSE)</f>
        <v>0.31465989886768042</v>
      </c>
      <c r="J129">
        <f>($B$1+Table4[[#This Row],[Home Differential]])-Table4[[#This Row],[Away Differential]]</f>
        <v>3.9020430373118864E-2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0.50418901108579539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0.24582853672808153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-0.1792260169918948</v>
      </c>
      <c r="H130" t="s">
        <v>35</v>
      </c>
      <c r="I130">
        <f>VLOOKUP(Table4[[#This Row],[Visitor]],'NHL Model'!$A$6:$B$38,2,FALSE)</f>
        <v>-1.236228034931707</v>
      </c>
      <c r="J130">
        <f>($B$1+Table4[[#This Row],[Home Differential]])-Table4[[#This Row],[Away Differential]]</f>
        <v>1.1651324798429141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0.70798353909298262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8.5273613440659618E-2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-0.34412098011518399</v>
      </c>
      <c r="H131" t="s">
        <v>20</v>
      </c>
      <c r="I131">
        <f>VLOOKUP(Table4[[#This Row],[Visitor]],'NHL Model'!$A$6:$B$38,2,FALSE)</f>
        <v>-0.11283731617452618</v>
      </c>
      <c r="J131">
        <f>($B$1+Table4[[#This Row],[Home Differential]])-Table4[[#This Row],[Away Differential]]</f>
        <v>-0.12315320203755588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0.48457708121727699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0.23481494764105545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4.6716977502832858E-2</v>
      </c>
      <c r="H132" t="s">
        <v>55</v>
      </c>
      <c r="I132">
        <f>VLOOKUP(Table4[[#This Row],[Visitor]],'NHL Model'!$A$6:$B$38,2,FALSE)</f>
        <v>0.14062496747196682</v>
      </c>
      <c r="J132">
        <f>($B$1+Table4[[#This Row],[Home Differential]])-Table4[[#This Row],[Away Differential]]</f>
        <v>1.4222471933968001E-2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0.54152684355423852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0.29325132228981671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-0.72584022159035511</v>
      </c>
      <c r="H133" t="s">
        <v>13</v>
      </c>
      <c r="I133">
        <f>VLOOKUP(Table4[[#This Row],[Visitor]],'NHL Model'!$A$6:$B$38,2,FALSE)</f>
        <v>-0.36406236312551898</v>
      </c>
      <c r="J133">
        <f>($B$1+Table4[[#This Row],[Home Differential]])-Table4[[#This Row],[Away Differential]]</f>
        <v>-0.25364739656173418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0.52651687257601343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0.27722001710722594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-0.39747316405117561</v>
      </c>
      <c r="H134" t="s">
        <v>30</v>
      </c>
      <c r="I134">
        <f>VLOOKUP(Table4[[#This Row],[Visitor]],'NHL Model'!$A$6:$B$38,2,FALSE)</f>
        <v>-6.98902744359894E-2</v>
      </c>
      <c r="J134">
        <f>($B$1+Table4[[#This Row],[Home Differential]])-Table4[[#This Row],[Away Differential]]</f>
        <v>-0.21945242771208429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0.51341220639483343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0.26359209367521103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3.6611055984458557E-5</v>
      </c>
      <c r="H135" t="s">
        <v>28</v>
      </c>
      <c r="I135">
        <f>VLOOKUP(Table4[[#This Row],[Visitor]],'NHL Model'!$A$6:$B$38,2,FALSE)</f>
        <v>-0.36066890819319958</v>
      </c>
      <c r="J135">
        <f>($B$1+Table4[[#This Row],[Home Differential]])-Table4[[#This Row],[Away Differential]]</f>
        <v>0.46883598115228597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0.59033155974157792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0.3484913504269242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-0.42661371358543798</v>
      </c>
      <c r="H136" t="s">
        <v>17</v>
      </c>
      <c r="I136">
        <f>VLOOKUP(Table4[[#This Row],[Visitor]],'NHL Model'!$A$6:$B$38,2,FALSE)</f>
        <v>-0.12154868922444324</v>
      </c>
      <c r="J136">
        <f>($B$1+Table4[[#This Row],[Home Differential]])-Table4[[#This Row],[Away Differential]]</f>
        <v>-0.19693456245789281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0.48344618226283015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0.23372021114450559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0.6987740059316554</v>
      </c>
      <c r="H137" t="s">
        <v>31</v>
      </c>
      <c r="I137">
        <f>VLOOKUP(Table4[[#This Row],[Visitor]],'NHL Model'!$A$6:$B$38,2,FALSE)</f>
        <v>-0.39000953236289804</v>
      </c>
      <c r="J137">
        <f>($B$1+Table4[[#This Row],[Home Differential]])-Table4[[#This Row],[Away Differential]]</f>
        <v>1.1969140001976553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0.69806262272421493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9.1166179796179775E-2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-0.38129365484385536</v>
      </c>
      <c r="H138" t="s">
        <v>23</v>
      </c>
      <c r="I138">
        <f>VLOOKUP(Table4[[#This Row],[Visitor]],'NHL Model'!$A$6:$B$38,2,FALSE)</f>
        <v>0.12350258496936412</v>
      </c>
      <c r="J138">
        <f>($B$1+Table4[[#This Row],[Home Differential]])-Table4[[#This Row],[Away Differential]]</f>
        <v>-0.39666577791011753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0.53243682199830245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0.28348896941965201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-1.2664425175465013</v>
      </c>
      <c r="H139" t="s">
        <v>18</v>
      </c>
      <c r="I139">
        <f>VLOOKUP(Table4[[#This Row],[Visitor]],'NHL Model'!$A$6:$B$38,2,FALSE)</f>
        <v>-0.18787166436597766</v>
      </c>
      <c r="J139">
        <f>($B$1+Table4[[#This Row],[Home Differential]])-Table4[[#This Row],[Away Differential]]</f>
        <v>-0.97044039127742154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0.60346768455765309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0.1572378771900689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-0.12498445042942641</v>
      </c>
      <c r="H140" t="s">
        <v>36</v>
      </c>
      <c r="I140">
        <f>VLOOKUP(Table4[[#This Row],[Visitor]],'NHL Model'!$A$6:$B$38,2,FALSE)</f>
        <v>-0.179282670690569</v>
      </c>
      <c r="J140">
        <f>($B$1+Table4[[#This Row],[Home Differential]])-Table4[[#This Row],[Away Differential]]</f>
        <v>0.16242868216424455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0.55660792479151078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0.30981238194071214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-0.77822387693813933</v>
      </c>
      <c r="H141" t="s">
        <v>15</v>
      </c>
      <c r="I141">
        <f>VLOOKUP(Table4[[#This Row],[Visitor]],'NHL Model'!$A$6:$B$38,2,FALSE)</f>
        <v>-0.62425830840281982</v>
      </c>
      <c r="J141">
        <f>($B$1+Table4[[#This Row],[Home Differential]])-Table4[[#This Row],[Away Differential]]</f>
        <v>-4.583510663221757E-2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0.50877358938187578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0.25885056525251754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-0.75050764651940183</v>
      </c>
      <c r="H142" t="s">
        <v>13</v>
      </c>
      <c r="I142">
        <f>VLOOKUP(Table4[[#This Row],[Visitor]],'NHL Model'!$A$6:$B$38,2,FALSE)</f>
        <v>-0.36406236312551898</v>
      </c>
      <c r="J142">
        <f>($B$1+Table4[[#This Row],[Home Differential]])-Table4[[#This Row],[Away Differential]]</f>
        <v>-0.27831482149078091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0.52916502677364086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0.22168557201306632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4.6716977502832858E-2</v>
      </c>
      <c r="H143" t="s">
        <v>33</v>
      </c>
      <c r="I143">
        <f>VLOOKUP(Table4[[#This Row],[Visitor]],'NHL Model'!$A$6:$B$38,2,FALSE)</f>
        <v>-0.46908405058827807</v>
      </c>
      <c r="J143">
        <f>($B$1+Table4[[#This Row],[Home Differential]])-Table4[[#This Row],[Away Differential]]</f>
        <v>0.62393148999421288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0.57641569217769828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0.332255050188695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-0.55013344272463272</v>
      </c>
      <c r="H144" t="s">
        <v>12</v>
      </c>
      <c r="I144">
        <f>VLOOKUP(Table4[[#This Row],[Visitor]],'NHL Model'!$A$6:$B$38,2,FALSE)</f>
        <v>1.1504937678265921</v>
      </c>
      <c r="J144">
        <f>($B$1+Table4[[#This Row],[Home Differential]])-Table4[[#This Row],[Away Differential]]</f>
        <v>-1.5924967486481227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0.69727716715176913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0.48619544783119617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-0.72584022159035511</v>
      </c>
      <c r="H145" t="s">
        <v>39</v>
      </c>
      <c r="I145">
        <f>VLOOKUP(Table4[[#This Row],[Visitor]],'NHL Model'!$A$6:$B$38,2,FALSE)</f>
        <v>0.24554986733769732</v>
      </c>
      <c r="J145">
        <f>($B$1+Table4[[#This Row],[Home Differential]])-Table4[[#This Row],[Away Differential]]</f>
        <v>-0.86325962702495052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0.59804418661664493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0.16156847591267456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0.6987740059316554</v>
      </c>
      <c r="H146" t="s">
        <v>20</v>
      </c>
      <c r="I146">
        <f>VLOOKUP(Table4[[#This Row],[Visitor]],'NHL Model'!$A$6:$B$38,2,FALSE)</f>
        <v>-0.11283731617452618</v>
      </c>
      <c r="J146">
        <f>($B$1+Table4[[#This Row],[Home Differential]])-Table4[[#This Row],[Away Differential]]</f>
        <v>0.91974178400928353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0.65708388023925857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0.11759146519176317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-1.2664425175465013</v>
      </c>
      <c r="H147" t="s">
        <v>17</v>
      </c>
      <c r="I147">
        <f>VLOOKUP(Table4[[#This Row],[Visitor]],'NHL Model'!$A$6:$B$38,2,FALSE)</f>
        <v>-0.12154868922444324</v>
      </c>
      <c r="J147">
        <f>($B$1+Table4[[#This Row],[Home Differential]])-Table4[[#This Row],[Away Differential]]</f>
        <v>-1.0367633664189559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0.57360541772802398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0.32902317524694091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-0.41982036690375685</v>
      </c>
      <c r="H148" t="s">
        <v>55</v>
      </c>
      <c r="I148">
        <f>VLOOKUP(Table4[[#This Row],[Visitor]],'NHL Model'!$A$6:$B$38,2,FALSE)</f>
        <v>0.14062496747196682</v>
      </c>
      <c r="J148">
        <f>($B$1+Table4[[#This Row],[Home Differential]])-Table4[[#This Row],[Away Differential]]</f>
        <v>-0.4523148724726217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0.50855794764281381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0.24151529082504333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-0.179282670690569</v>
      </c>
      <c r="H149" t="s">
        <v>21</v>
      </c>
      <c r="I149">
        <f>VLOOKUP(Table4[[#This Row],[Visitor]],'NHL Model'!$A$6:$B$38,2,FALSE)</f>
        <v>-2.9858233272404857E-2</v>
      </c>
      <c r="J149">
        <f>($B$1+Table4[[#This Row],[Home Differential]])-Table4[[#This Row],[Away Differential]]</f>
        <v>-4.1293975515062184E-2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0.4644330859387017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0.21569809131454548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3.6611055984458557E-5</v>
      </c>
      <c r="H150" t="s">
        <v>35</v>
      </c>
      <c r="I150">
        <f>VLOOKUP(Table4[[#This Row],[Visitor]],'NHL Model'!$A$6:$B$38,2,FALSE)</f>
        <v>-1.236228034931707</v>
      </c>
      <c r="J150">
        <f>($B$1+Table4[[#This Row],[Home Differential]])-Table4[[#This Row],[Away Differential]]</f>
        <v>1.3443951078907934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0.68432659908649707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9.9649696044297159E-2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-2.9858233272404857E-2</v>
      </c>
      <c r="H151" t="s">
        <v>30</v>
      </c>
      <c r="I151">
        <f>VLOOKUP(Table4[[#This Row],[Visitor]],'NHL Model'!$A$6:$B$38,2,FALSE)</f>
        <v>-6.98902744359894E-2</v>
      </c>
      <c r="J151">
        <f>($B$1+Table4[[#This Row],[Home Differential]])-Table4[[#This Row],[Away Differential]]</f>
        <v>0.14816250306668649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0.57412133375057073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0.18137263836639278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0.12350258496936412</v>
      </c>
      <c r="H152" t="s">
        <v>28</v>
      </c>
      <c r="I152">
        <f>VLOOKUP(Table4[[#This Row],[Visitor]],'NHL Model'!$A$6:$B$38,2,FALSE)</f>
        <v>-0.36066890819319958</v>
      </c>
      <c r="J152">
        <f>($B$1+Table4[[#This Row],[Home Differential]])-Table4[[#This Row],[Away Differential]]</f>
        <v>0.59230195506566563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0.6454043450712057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0.41654676863679196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0.31465989886768042</v>
      </c>
      <c r="H153" t="s">
        <v>20</v>
      </c>
      <c r="I153">
        <f>VLOOKUP(Table4[[#This Row],[Visitor]],'NHL Model'!$A$6:$B$38,2,FALSE)</f>
        <v>-0.11283731617452618</v>
      </c>
      <c r="J153">
        <f>($B$1+Table4[[#This Row],[Home Differential]])-Table4[[#This Row],[Away Differential]]</f>
        <v>0.53562767694530855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0.62926664153830814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0.39597650615290159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-0.75050764651940183</v>
      </c>
      <c r="H154" t="s">
        <v>36</v>
      </c>
      <c r="I154">
        <f>VLOOKUP(Table4[[#This Row],[Visitor]],'NHL Model'!$A$6:$B$38,2,FALSE)</f>
        <v>-0.179282670690569</v>
      </c>
      <c r="J154">
        <f>($B$1+Table4[[#This Row],[Home Differential]])-Table4[[#This Row],[Away Differential]]</f>
        <v>-0.46309451392573087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0.51054468161972555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0.26065587193018691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1.1504937678265921</v>
      </c>
      <c r="H155" t="s">
        <v>24</v>
      </c>
      <c r="I155">
        <f>VLOOKUP(Table4[[#This Row],[Visitor]],'NHL Model'!$A$6:$B$38,2,FALSE)</f>
        <v>-0.55013344272463272</v>
      </c>
      <c r="J155">
        <f>($B$1+Table4[[#This Row],[Home Differential]])-Table4[[#This Row],[Away Differential]]</f>
        <v>1.8087576724543268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0.79211606264031276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4.3215731412166371E-2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0.24554986733769732</v>
      </c>
      <c r="H156" t="s">
        <v>22</v>
      </c>
      <c r="I156">
        <f>VLOOKUP(Table4[[#This Row],[Visitor]],'NHL Model'!$A$6:$B$38,2,FALSE)</f>
        <v>-0.12498445042942641</v>
      </c>
      <c r="J156">
        <f>($B$1+Table4[[#This Row],[Home Differential]])-Table4[[#This Row],[Away Differential]]</f>
        <v>0.47866477967022569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0.61049215486074793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0.15171636142502357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-0.12154868922444324</v>
      </c>
      <c r="H157" t="s">
        <v>55</v>
      </c>
      <c r="I157">
        <f>VLOOKUP(Table4[[#This Row],[Visitor]],'NHL Model'!$A$6:$B$38,2,FALSE)</f>
        <v>0.14062496747196682</v>
      </c>
      <c r="J157">
        <f>($B$1+Table4[[#This Row],[Home Differential]])-Table4[[#This Row],[Away Differential]]</f>
        <v>-0.15404319479330811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0.47653719973127345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0.22708770272772361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-0.34412098011518399</v>
      </c>
      <c r="H158" t="s">
        <v>31</v>
      </c>
      <c r="I158">
        <f>VLOOKUP(Table4[[#This Row],[Visitor]],'NHL Model'!$A$6:$B$38,2,FALSE)</f>
        <v>-0.39000953236289804</v>
      </c>
      <c r="J158">
        <f>($B$1+Table4[[#This Row],[Home Differential]])-Table4[[#This Row],[Away Differential]]</f>
        <v>0.15401901415081598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0.55653460383526487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0.30973076526607524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4.6716977502832858E-2</v>
      </c>
      <c r="H159" t="s">
        <v>40</v>
      </c>
      <c r="I159">
        <f>VLOOKUP(Table4[[#This Row],[Visitor]],'NHL Model'!$A$6:$B$38,2,FALSE)</f>
        <v>-0.41982036690375685</v>
      </c>
      <c r="J159">
        <f>($B$1+Table4[[#This Row],[Home Differential]])-Table4[[#This Row],[Away Differential]]</f>
        <v>0.57466780630969172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0.60169306151321766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0.36203454027314874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-0.72584022159035511</v>
      </c>
      <c r="H160" t="s">
        <v>37</v>
      </c>
      <c r="I160">
        <f>VLOOKUP(Table4[[#This Row],[Visitor]],'NHL Model'!$A$6:$B$38,2,FALSE)</f>
        <v>0.6987740059316554</v>
      </c>
      <c r="J160">
        <f>($B$1+Table4[[#This Row],[Home Differential]])-Table4[[#This Row],[Away Differential]]</f>
        <v>-1.3164837656189086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0.69818834411912567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9.10902756255553E-2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-0.39747316405117561</v>
      </c>
      <c r="H161" t="s">
        <v>14</v>
      </c>
      <c r="I161">
        <f>VLOOKUP(Table4[[#This Row],[Visitor]],'NHL Model'!$A$6:$B$38,2,FALSE)</f>
        <v>3.6611055984458557E-5</v>
      </c>
      <c r="J161">
        <f>($B$1+Table4[[#This Row],[Home Differential]])-Table4[[#This Row],[Away Differential]]</f>
        <v>-0.28937931320405813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0.54759503994559477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0.29986032777301752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-0.42661371358543798</v>
      </c>
      <c r="H162" t="s">
        <v>18</v>
      </c>
      <c r="I162">
        <f>VLOOKUP(Table4[[#This Row],[Visitor]],'NHL Model'!$A$6:$B$38,2,FALSE)</f>
        <v>-0.18787166436597766</v>
      </c>
      <c r="J162">
        <f>($B$1+Table4[[#This Row],[Home Differential]])-Table4[[#This Row],[Away Differential]]</f>
        <v>-0.13061158731635839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0.51330844909245921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0.23686866572478738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-0.46908405058827807</v>
      </c>
      <c r="H163" t="s">
        <v>13</v>
      </c>
      <c r="I163">
        <f>VLOOKUP(Table4[[#This Row],[Visitor]],'NHL Model'!$A$6:$B$38,2,FALSE)</f>
        <v>-0.36406236312551898</v>
      </c>
      <c r="J163">
        <f>($B$1+Table4[[#This Row],[Home Differential]])-Table4[[#This Row],[Away Differential]]</f>
        <v>3.1087744403428541E-3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0.50104700707342897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0.25104810329724081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-1.236228034931707</v>
      </c>
      <c r="H164" t="s">
        <v>26</v>
      </c>
      <c r="I164">
        <f>VLOOKUP(Table4[[#This Row],[Visitor]],'NHL Model'!$A$6:$B$38,2,FALSE)</f>
        <v>-0.1792260169918948</v>
      </c>
      <c r="J164">
        <f>($B$1+Table4[[#This Row],[Home Differential]])-Table4[[#This Row],[Away Differential]]</f>
        <v>-0.94887155603671014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0.6011521772947378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0.15907958567672828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-0.38129365484385536</v>
      </c>
      <c r="H165" t="s">
        <v>16</v>
      </c>
      <c r="I165">
        <f>VLOOKUP(Table4[[#This Row],[Visitor]],'NHL Model'!$A$6:$B$38,2,FALSE)</f>
        <v>-0.77822387693813933</v>
      </c>
      <c r="J165">
        <f>($B$1+Table4[[#This Row],[Home Differential]])-Table4[[#This Row],[Away Differential]]</f>
        <v>0.50506068399738591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0.59422043744863429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0.16465705338437772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-1.2664425175465013</v>
      </c>
      <c r="H166" t="s">
        <v>15</v>
      </c>
      <c r="I166">
        <f>VLOOKUP(Table4[[#This Row],[Visitor]],'NHL Model'!$A$6:$B$38,2,FALSE)</f>
        <v>-0.62425830840281982</v>
      </c>
      <c r="J166">
        <f>($B$1+Table4[[#This Row],[Home Differential]])-Table4[[#This Row],[Away Differential]]</f>
        <v>-0.53405374724057941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0.56118596100987594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0.19255776081482612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-0.36066890819319958</v>
      </c>
      <c r="H167" t="s">
        <v>19</v>
      </c>
      <c r="I167">
        <f>VLOOKUP(Table4[[#This Row],[Visitor]],'NHL Model'!$A$6:$B$38,2,FALSE)</f>
        <v>-0.38129365484385536</v>
      </c>
      <c r="J167">
        <f>($B$1+Table4[[#This Row],[Home Differential]])-Table4[[#This Row],[Away Differential]]</f>
        <v>0.12875520855375772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0.55382242560700101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0.19907442789122015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-2.9858233272404857E-2</v>
      </c>
      <c r="H168" t="s">
        <v>23</v>
      </c>
      <c r="I168">
        <f>VLOOKUP(Table4[[#This Row],[Visitor]],'NHL Model'!$A$6:$B$38,2,FALSE)</f>
        <v>0.12350258496936412</v>
      </c>
      <c r="J168">
        <f>($B$1+Table4[[#This Row],[Home Differential]])-Table4[[#This Row],[Away Differential]]</f>
        <v>-4.5230356338667024E-2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0.44664022177857599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0.19948748771041555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0.31465989886768042</v>
      </c>
      <c r="H169" t="s">
        <v>30</v>
      </c>
      <c r="I169">
        <f>VLOOKUP(Table4[[#This Row],[Visitor]],'NHL Model'!$A$6:$B$38,2,FALSE)</f>
        <v>-6.98902744359894E-2</v>
      </c>
      <c r="J169">
        <f>($B$1+Table4[[#This Row],[Home Differential]])-Table4[[#This Row],[Away Differential]]</f>
        <v>0.49268063520677174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0.6064221376542811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0.15490353372862564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-0.12154868922444324</v>
      </c>
      <c r="H170" t="s">
        <v>15</v>
      </c>
      <c r="I170">
        <f>VLOOKUP(Table4[[#This Row],[Visitor]],'NHL Model'!$A$6:$B$38,2,FALSE)</f>
        <v>-0.62425830840281982</v>
      </c>
      <c r="J170">
        <f>($B$1+Table4[[#This Row],[Home Differential]])-Table4[[#This Row],[Away Differential]]</f>
        <v>0.61084008108147847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0.56172331736148284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0.31553308526758916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-0.36406236312551898</v>
      </c>
      <c r="H171" t="s">
        <v>26</v>
      </c>
      <c r="I171">
        <f>VLOOKUP(Table4[[#This Row],[Visitor]],'NHL Model'!$A$6:$B$38,2,FALSE)</f>
        <v>-0.1792260169918948</v>
      </c>
      <c r="J171">
        <f>($B$1+Table4[[#This Row],[Home Differential]])-Table4[[#This Row],[Away Differential]]</f>
        <v>-7.6705884230522242E-2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0.50752143993712906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0.24253513212159877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4.6716977502832858E-2</v>
      </c>
      <c r="H172" t="s">
        <v>14</v>
      </c>
      <c r="I172">
        <f>VLOOKUP(Table4[[#This Row],[Visitor]],'NHL Model'!$A$6:$B$38,2,FALSE)</f>
        <v>3.6611055984458557E-5</v>
      </c>
      <c r="J172">
        <f>($B$1+Table4[[#This Row],[Home Differential]])-Table4[[#This Row],[Away Differential]]</f>
        <v>0.15481082834995036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0.5000906828764845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0.25009069109986859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-0.179282670690569</v>
      </c>
      <c r="H173" t="s">
        <v>16</v>
      </c>
      <c r="I173">
        <f>VLOOKUP(Table4[[#This Row],[Visitor]],'NHL Model'!$A$6:$B$38,2,FALSE)</f>
        <v>-0.77822387693813933</v>
      </c>
      <c r="J173">
        <f>($B$1+Table4[[#This Row],[Home Differential]])-Table4[[#This Row],[Away Differential]]</f>
        <v>0.70707166815067224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0.61590718574891778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0.14752728995931635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-0.39747316405117561</v>
      </c>
      <c r="H174" t="s">
        <v>29</v>
      </c>
      <c r="I174">
        <f>VLOOKUP(Table4[[#This Row],[Visitor]],'NHL Model'!$A$6:$B$38,2,FALSE)</f>
        <v>-0.72584022159035511</v>
      </c>
      <c r="J174">
        <f>($B$1+Table4[[#This Row],[Home Differential]])-Table4[[#This Row],[Away Differential]]</f>
        <v>0.43649751944228143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0.5868598867409105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0.1706847531837333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-0.46908405058827807</v>
      </c>
      <c r="H175" t="s">
        <v>24</v>
      </c>
      <c r="I175">
        <f>VLOOKUP(Table4[[#This Row],[Visitor]],'NHL Model'!$A$6:$B$38,2,FALSE)</f>
        <v>-0.55013344272463272</v>
      </c>
      <c r="J175">
        <f>($B$1+Table4[[#This Row],[Home Differential]])-Table4[[#This Row],[Away Differential]]</f>
        <v>0.18917985403945659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0.53107248067002577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0.21989301838496336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-1.236228034931707</v>
      </c>
      <c r="H176" t="s">
        <v>38</v>
      </c>
      <c r="I176">
        <f>VLOOKUP(Table4[[#This Row],[Visitor]],'NHL Model'!$A$6:$B$38,2,FALSE)</f>
        <v>-1.2664425175465013</v>
      </c>
      <c r="J176">
        <f>($B$1+Table4[[#This Row],[Home Differential]])-Table4[[#This Row],[Away Differential]]</f>
        <v>0.13834494451789636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0.55485192502255076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0.30786065870123031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0.6987740059316554</v>
      </c>
      <c r="H177" t="s">
        <v>39</v>
      </c>
      <c r="I177">
        <f>VLOOKUP(Table4[[#This Row],[Visitor]],'NHL Model'!$A$6:$B$38,2,FALSE)</f>
        <v>0.24554986733769732</v>
      </c>
      <c r="J177">
        <f>($B$1+Table4[[#This Row],[Home Differential]])-Table4[[#This Row],[Away Differential]]</f>
        <v>0.56135460049705999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0.58481163520678947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0.17238137825966007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-0.41982036690375685</v>
      </c>
      <c r="H178" t="s">
        <v>10</v>
      </c>
      <c r="I178">
        <f>VLOOKUP(Table4[[#This Row],[Visitor]],'NHL Model'!$A$6:$B$38,2,FALSE)</f>
        <v>-0.75050764651940183</v>
      </c>
      <c r="J178">
        <f>($B$1+Table4[[#This Row],[Home Differential]])-Table4[[#This Row],[Away Differential]]</f>
        <v>0.43881774151874692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0.58710897256356498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0.17047900053751494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-0.39000953236289804</v>
      </c>
      <c r="H179" t="s">
        <v>26</v>
      </c>
      <c r="I179">
        <f>VLOOKUP(Table4[[#This Row],[Visitor]],'NHL Model'!$A$6:$B$38,2,FALSE)</f>
        <v>-0.1792260169918948</v>
      </c>
      <c r="J179">
        <f>($B$1+Table4[[#This Row],[Home Differential]])-Table4[[#This Row],[Away Differential]]</f>
        <v>-0.1026530534679013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0.47383016430949132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0.22451502460955955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-0.11283731617452618</v>
      </c>
      <c r="H180" t="s">
        <v>12</v>
      </c>
      <c r="I180">
        <f>VLOOKUP(Table4[[#This Row],[Visitor]],'NHL Model'!$A$6:$B$38,2,FALSE)</f>
        <v>1.1504937678265921</v>
      </c>
      <c r="J180">
        <f>($B$1+Table4[[#This Row],[Home Differential]])-Table4[[#This Row],[Away Differential]]</f>
        <v>-1.1552006220980162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0.65033154650182989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0.12226802737180195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-0.12498445042942641</v>
      </c>
      <c r="H181" t="s">
        <v>30</v>
      </c>
      <c r="I181">
        <f>VLOOKUP(Table4[[#This Row],[Visitor]],'NHL Model'!$A$6:$B$38,2,FALSE)</f>
        <v>-6.98902744359894E-2</v>
      </c>
      <c r="J181">
        <f>($B$1+Table4[[#This Row],[Home Differential]])-Table4[[#This Row],[Away Differential]]</f>
        <v>5.3036285909664943E-2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0.51584062939403041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0.26609155493362946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-2.9858233272404857E-2</v>
      </c>
      <c r="H182" t="s">
        <v>25</v>
      </c>
      <c r="I182">
        <f>VLOOKUP(Table4[[#This Row],[Visitor]],'NHL Model'!$A$6:$B$38,2,FALSE)</f>
        <v>0.31465989886768042</v>
      </c>
      <c r="J182">
        <f>($B$1+Table4[[#This Row],[Home Differential]])-Table4[[#This Row],[Away Differential]]</f>
        <v>-0.23638767023698332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0.49637491327130401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0.24638805452509457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0.12350258496936412</v>
      </c>
      <c r="H183" t="s">
        <v>22</v>
      </c>
      <c r="I183">
        <f>VLOOKUP(Table4[[#This Row],[Visitor]],'NHL Model'!$A$6:$B$38,2,FALSE)</f>
        <v>-0.12498445042942641</v>
      </c>
      <c r="J183">
        <f>($B$1+Table4[[#This Row],[Home Differential]])-Table4[[#This Row],[Away Differential]]</f>
        <v>0.35661749730189246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0.62010260449885479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0.14432203110855354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-0.36066890819319958</v>
      </c>
      <c r="H184" t="s">
        <v>35</v>
      </c>
      <c r="I184">
        <f>VLOOKUP(Table4[[#This Row],[Visitor]],'NHL Model'!$A$6:$B$38,2,FALSE)</f>
        <v>-1.236228034931707</v>
      </c>
      <c r="J184">
        <f>($B$1+Table4[[#This Row],[Home Differential]])-Table4[[#This Row],[Away Differential]]</f>
        <v>0.98368958864160927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0.6456033096610847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0.12559701412317703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-0.12154868922444324</v>
      </c>
      <c r="H185" t="s">
        <v>10</v>
      </c>
      <c r="I185">
        <f>VLOOKUP(Table4[[#This Row],[Visitor]],'NHL Model'!$A$6:$B$38,2,FALSE)</f>
        <v>-0.75050764651940183</v>
      </c>
      <c r="J185">
        <f>($B$1+Table4[[#This Row],[Home Differential]])-Table4[[#This Row],[Away Differential]]</f>
        <v>0.73708941919806059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0.61912972047510528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0.14506216982537143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-0.34412098011518399</v>
      </c>
      <c r="H186" t="s">
        <v>39</v>
      </c>
      <c r="I186">
        <f>VLOOKUP(Table4[[#This Row],[Visitor]],'NHL Model'!$A$6:$B$38,2,FALSE)</f>
        <v>0.24554986733769732</v>
      </c>
      <c r="J186">
        <f>($B$1+Table4[[#This Row],[Home Differential]])-Table4[[#This Row],[Away Differential]]</f>
        <v>-0.4815403855497794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0.5570649836988194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0.31032139606336595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-0.36406236312551898</v>
      </c>
      <c r="H187" t="s">
        <v>24</v>
      </c>
      <c r="I187">
        <f>VLOOKUP(Table4[[#This Row],[Visitor]],'NHL Model'!$A$6:$B$38,2,FALSE)</f>
        <v>-0.55013344272463272</v>
      </c>
      <c r="J187">
        <f>($B$1+Table4[[#This Row],[Home Differential]])-Table4[[#This Row],[Away Differential]]</f>
        <v>0.29420154150221567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0.54234701067453117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0.29414027998760001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4.6716977502832858E-2</v>
      </c>
      <c r="H188" t="s">
        <v>38</v>
      </c>
      <c r="I188">
        <f>VLOOKUP(Table4[[#This Row],[Visitor]],'NHL Model'!$A$6:$B$38,2,FALSE)</f>
        <v>-1.2664425175465013</v>
      </c>
      <c r="J188">
        <f>($B$1+Table4[[#This Row],[Home Differential]])-Table4[[#This Row],[Away Differential]]</f>
        <v>1.4212899569524362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0.69258159197303615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9.4506077593832838E-2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-0.18787166436597766</v>
      </c>
      <c r="H189" t="s">
        <v>36</v>
      </c>
      <c r="I189">
        <f>VLOOKUP(Table4[[#This Row],[Visitor]],'NHL Model'!$A$6:$B$38,2,FALSE)</f>
        <v>-0.179282670690569</v>
      </c>
      <c r="J189">
        <f>($B$1+Table4[[#This Row],[Home Differential]])-Table4[[#This Row],[Away Differential]]</f>
        <v>9.9541468227693289E-2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0.5569046922859584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0.19633345171820121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-0.72584022159035511</v>
      </c>
      <c r="H190" t="s">
        <v>16</v>
      </c>
      <c r="I190">
        <f>VLOOKUP(Table4[[#This Row],[Visitor]],'NHL Model'!$A$6:$B$38,2,FALSE)</f>
        <v>-0.77822387693813933</v>
      </c>
      <c r="J190">
        <f>($B$1+Table4[[#This Row],[Home Differential]])-Table4[[#This Row],[Away Differential]]</f>
        <v>0.16051411725088616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0.55723188109821176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0.19604360711582808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-0.39747316405117561</v>
      </c>
      <c r="H191" t="s">
        <v>19</v>
      </c>
      <c r="I191">
        <f>VLOOKUP(Table4[[#This Row],[Visitor]],'NHL Model'!$A$6:$B$38,2,FALSE)</f>
        <v>-0.38129365484385536</v>
      </c>
      <c r="J191">
        <f>($B$1+Table4[[#This Row],[Home Differential]])-Table4[[#This Row],[Away Differential]]</f>
        <v>9.1950952695781685E-2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0.54987133039048786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0.30235847998540505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-0.42661371358543798</v>
      </c>
      <c r="H192" t="s">
        <v>15</v>
      </c>
      <c r="I192">
        <f>VLOOKUP(Table4[[#This Row],[Visitor]],'NHL Model'!$A$6:$B$38,2,FALSE)</f>
        <v>-0.62425830840281982</v>
      </c>
      <c r="J192">
        <f>($B$1+Table4[[#This Row],[Home Differential]])-Table4[[#This Row],[Away Differential]]</f>
        <v>0.30577505672048377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0.52897327445531794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0.27981272508798111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-0.46908405058827807</v>
      </c>
      <c r="H193" t="s">
        <v>12</v>
      </c>
      <c r="I193">
        <f>VLOOKUP(Table4[[#This Row],[Visitor]],'NHL Model'!$A$6:$B$38,2,FALSE)</f>
        <v>1.1504937678265921</v>
      </c>
      <c r="J193">
        <f>($B$1+Table4[[#This Row],[Home Differential]])-Table4[[#This Row],[Away Differential]]</f>
        <v>-1.5114473565117681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0.68857616619125528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0.47413713664664719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-0.41982036690375685</v>
      </c>
      <c r="H194" t="s">
        <v>14</v>
      </c>
      <c r="I194">
        <f>VLOOKUP(Table4[[#This Row],[Visitor]],'NHL Model'!$A$6:$B$38,2,FALSE)</f>
        <v>3.6611055984458557E-5</v>
      </c>
      <c r="J194">
        <f>($B$1+Table4[[#This Row],[Home Differential]])-Table4[[#This Row],[Away Differential]]</f>
        <v>-0.31172651605663937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0.54999410832056772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0.30249351918733636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-0.39000953236289804</v>
      </c>
      <c r="H195" t="s">
        <v>24</v>
      </c>
      <c r="I195">
        <f>VLOOKUP(Table4[[#This Row],[Visitor]],'NHL Model'!$A$6:$B$38,2,FALSE)</f>
        <v>-0.55013344272463272</v>
      </c>
      <c r="J195">
        <f>($B$1+Table4[[#This Row],[Home Differential]])-Table4[[#This Row],[Away Differential]]</f>
        <v>0.26825437226483662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0.57596807234671787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0.1798030756693583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-6.98902744359894E-2</v>
      </c>
      <c r="H196" t="s">
        <v>28</v>
      </c>
      <c r="I196">
        <f>VLOOKUP(Table4[[#This Row],[Visitor]],'NHL Model'!$A$6:$B$38,2,FALSE)</f>
        <v>-0.36066890819319958</v>
      </c>
      <c r="J196">
        <f>($B$1+Table4[[#This Row],[Home Differential]])-Table4[[#This Row],[Away Differential]]</f>
        <v>0.39890909566031213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0.59920442968233423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0.16063708918626296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-0.39747316405117561</v>
      </c>
      <c r="H197" t="s">
        <v>16</v>
      </c>
      <c r="I197">
        <f>VLOOKUP(Table4[[#This Row],[Visitor]],'NHL Model'!$A$6:$B$38,2,FALSE)</f>
        <v>-0.77822387693813933</v>
      </c>
      <c r="J197">
        <f>($B$1+Table4[[#This Row],[Home Differential]])-Table4[[#This Row],[Away Differential]]</f>
        <v>0.48888117479006565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0.5924834975229567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0.35103669483703542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-0.46908405058827807</v>
      </c>
      <c r="H198" t="s">
        <v>26</v>
      </c>
      <c r="I198">
        <f>VLOOKUP(Table4[[#This Row],[Visitor]],'NHL Model'!$A$6:$B$38,2,FALSE)</f>
        <v>-0.1792260169918948</v>
      </c>
      <c r="J198">
        <f>($B$1+Table4[[#This Row],[Home Differential]])-Table4[[#This Row],[Away Differential]]</f>
        <v>-0.18172757169328133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0.51879596994163446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0.23155731854441236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0.14062496747196682</v>
      </c>
      <c r="H199" t="s">
        <v>37</v>
      </c>
      <c r="I199">
        <f>VLOOKUP(Table4[[#This Row],[Visitor]],'NHL Model'!$A$6:$B$38,2,FALSE)</f>
        <v>0.6987740059316554</v>
      </c>
      <c r="J199">
        <f>($B$1+Table4[[#This Row],[Home Differential]])-Table4[[#This Row],[Away Differential]]</f>
        <v>-0.45001857655658661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0.56885937560190314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0.18588223800638085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-0.72584022159035511</v>
      </c>
      <c r="H200" t="s">
        <v>38</v>
      </c>
      <c r="I200">
        <f>VLOOKUP(Table4[[#This Row],[Visitor]],'NHL Model'!$A$6:$B$38,2,FALSE)</f>
        <v>-1.2664425175465013</v>
      </c>
      <c r="J200">
        <f>($B$1+Table4[[#This Row],[Home Differential]])-Table4[[#This Row],[Away Differential]]</f>
        <v>0.64873275785924811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0.60964425272621192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0.37166611488210133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-0.42661371358543798</v>
      </c>
      <c r="H201" t="s">
        <v>10</v>
      </c>
      <c r="I201">
        <f>VLOOKUP(Table4[[#This Row],[Visitor]],'NHL Model'!$A$6:$B$38,2,FALSE)</f>
        <v>-0.75050764651940183</v>
      </c>
      <c r="J201">
        <f>($B$1+Table4[[#This Row],[Home Differential]])-Table4[[#This Row],[Away Differential]]</f>
        <v>0.43202439483706578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0.58637967756894027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0.17108177112797382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-1.236228034931707</v>
      </c>
      <c r="H202" t="s">
        <v>17</v>
      </c>
      <c r="I202">
        <f>VLOOKUP(Table4[[#This Row],[Visitor]],'NHL Model'!$A$6:$B$38,2,FALSE)</f>
        <v>-0.12154868922444324</v>
      </c>
      <c r="J202">
        <f>($B$1+Table4[[#This Row],[Home Differential]])-Table4[[#This Row],[Away Differential]]</f>
        <v>-1.0065488838041616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0.57036176302163866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0.32531254071715188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-0.38129365484385536</v>
      </c>
      <c r="H203" t="s">
        <v>14</v>
      </c>
      <c r="I203">
        <f>VLOOKUP(Table4[[#This Row],[Visitor]],'NHL Model'!$A$6:$B$38,2,FALSE)</f>
        <v>3.6611055984458557E-5</v>
      </c>
      <c r="J203">
        <f>($B$1+Table4[[#This Row],[Home Differential]])-Table4[[#This Row],[Away Differential]]</f>
        <v>-0.27319980399673788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0.54585810001991708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0.29796106535735378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-0.39000953236289804</v>
      </c>
      <c r="H204" t="s">
        <v>11</v>
      </c>
      <c r="I204">
        <f>VLOOKUP(Table4[[#This Row],[Visitor]],'NHL Model'!$A$6:$B$38,2,FALSE)</f>
        <v>-0.34412098011518399</v>
      </c>
      <c r="J204">
        <f>($B$1+Table4[[#This Row],[Home Differential]])-Table4[[#This Row],[Away Differential]]</f>
        <v>6.2241909655387895E-2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0.52392331610741083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0.22664900894616427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0.12350258496936412</v>
      </c>
      <c r="H205" t="s">
        <v>55</v>
      </c>
      <c r="I205">
        <f>VLOOKUP(Table4[[#This Row],[Visitor]],'NHL Model'!$A$6:$B$38,2,FALSE)</f>
        <v>0.14062496747196682</v>
      </c>
      <c r="J205">
        <f>($B$1+Table4[[#This Row],[Home Differential]])-Table4[[#This Row],[Away Differential]]</f>
        <v>9.1008079400499237E-2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0.59158829070371255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0.34997670569774031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1.1504937678265921</v>
      </c>
      <c r="H206" t="s">
        <v>37</v>
      </c>
      <c r="I206">
        <f>VLOOKUP(Table4[[#This Row],[Visitor]],'NHL Model'!$A$6:$B$38,2,FALSE)</f>
        <v>0.6987740059316554</v>
      </c>
      <c r="J206">
        <f>($B$1+Table4[[#This Row],[Home Differential]])-Table4[[#This Row],[Away Differential]]</f>
        <v>0.55985022379803873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0.59141162819071735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0.16694445757776061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0.24554986733769732</v>
      </c>
      <c r="H207" t="s">
        <v>17</v>
      </c>
      <c r="I207">
        <f>VLOOKUP(Table4[[#This Row],[Visitor]],'NHL Model'!$A$6:$B$38,2,FALSE)</f>
        <v>-0.12154868922444324</v>
      </c>
      <c r="J207">
        <f>($B$1+Table4[[#This Row],[Home Differential]])-Table4[[#This Row],[Away Differential]]</f>
        <v>0.47522901846524251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0.60783606162132231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0.1537925545646753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-0.36406236312551898</v>
      </c>
      <c r="H208" t="s">
        <v>40</v>
      </c>
      <c r="I208">
        <f>VLOOKUP(Table4[[#This Row],[Visitor]],'NHL Model'!$A$6:$B$38,2,FALSE)</f>
        <v>-0.41982036690375685</v>
      </c>
      <c r="J208">
        <f>($B$1+Table4[[#This Row],[Home Differential]])-Table4[[#This Row],[Away Differential]]</f>
        <v>0.1638884656813398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0.55759413192034113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0.19572295211131652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4.6716977502832858E-2</v>
      </c>
      <c r="H209" t="s">
        <v>29</v>
      </c>
      <c r="I209">
        <f>VLOOKUP(Table4[[#This Row],[Visitor]],'NHL Model'!$A$6:$B$38,2,FALSE)</f>
        <v>-0.72584022159035511</v>
      </c>
      <c r="J209">
        <f>($B$1+Table4[[#This Row],[Home Differential]])-Table4[[#This Row],[Away Differential]]</f>
        <v>0.88068766099628992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0.63454560956298978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0.13355691148968671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-0.18787166436597766</v>
      </c>
      <c r="H210" t="s">
        <v>27</v>
      </c>
      <c r="I210">
        <f>VLOOKUP(Table4[[#This Row],[Visitor]],'NHL Model'!$A$6:$B$38,2,FALSE)</f>
        <v>-0.39747316405117561</v>
      </c>
      <c r="J210">
        <f>($B$1+Table4[[#This Row],[Home Differential]])-Table4[[#This Row],[Away Differential]]</f>
        <v>0.31773196158829992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0.58032838051191948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0.33678102922758724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-6.98902744359894E-2</v>
      </c>
      <c r="H211" t="s">
        <v>21</v>
      </c>
      <c r="I211">
        <f>VLOOKUP(Table4[[#This Row],[Visitor]],'NHL Model'!$A$6:$B$38,2,FALSE)</f>
        <v>-2.9858233272404857E-2</v>
      </c>
      <c r="J211">
        <f>($B$1+Table4[[#This Row],[Home Differential]])-Table4[[#This Row],[Away Differential]]</f>
        <v>6.8098420739517412E-2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0.56369048041801917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0.31774695771389727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-0.62425830840281982</v>
      </c>
      <c r="H212" t="s">
        <v>25</v>
      </c>
      <c r="I212">
        <f>VLOOKUP(Table4[[#This Row],[Visitor]],'NHL Model'!$A$6:$B$38,2,FALSE)</f>
        <v>0.31465989886768042</v>
      </c>
      <c r="J212">
        <f>($B$1+Table4[[#This Row],[Home Differential]])-Table4[[#This Row],[Away Differential]]</f>
        <v>-0.8307877453673983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0.60847647275393957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0.15329067238719662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-0.11283731617452618</v>
      </c>
      <c r="H213" t="s">
        <v>26</v>
      </c>
      <c r="I213">
        <f>VLOOKUP(Table4[[#This Row],[Visitor]],'NHL Model'!$A$6:$B$38,2,FALSE)</f>
        <v>-0.1792260169918948</v>
      </c>
      <c r="J213">
        <f>($B$1+Table4[[#This Row],[Home Differential]])-Table4[[#This Row],[Away Differential]]</f>
        <v>0.17451916272047058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0.51944864974779104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0.23092960022922121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-0.77822387693813933</v>
      </c>
      <c r="H214" t="s">
        <v>28</v>
      </c>
      <c r="I214">
        <f>VLOOKUP(Table4[[#This Row],[Visitor]],'NHL Model'!$A$6:$B$38,2,FALSE)</f>
        <v>-0.36066890819319958</v>
      </c>
      <c r="J214">
        <f>($B$1+Table4[[#This Row],[Home Differential]])-Table4[[#This Row],[Away Differential]]</f>
        <v>-0.30942450684183781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0.49321805210713893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0.24326404692436041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-0.42661371358543798</v>
      </c>
      <c r="H215" t="s">
        <v>33</v>
      </c>
      <c r="I215">
        <f>VLOOKUP(Table4[[#This Row],[Visitor]],'NHL Model'!$A$6:$B$38,2,FALSE)</f>
        <v>-0.46908405058827807</v>
      </c>
      <c r="J215">
        <f>($B$1+Table4[[#This Row],[Home Differential]])-Table4[[#This Row],[Away Differential]]</f>
        <v>0.15060079890594202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0.52560160598602146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0.27625704821508495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-0.38129365484385536</v>
      </c>
      <c r="H216" t="s">
        <v>55</v>
      </c>
      <c r="I216">
        <f>VLOOKUP(Table4[[#This Row],[Visitor]],'NHL Model'!$A$6:$B$38,2,FALSE)</f>
        <v>0.14062496747196682</v>
      </c>
      <c r="J216">
        <f>($B$1+Table4[[#This Row],[Home Differential]])-Table4[[#This Row],[Away Differential]]</f>
        <v>-0.41378816041272026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0.50442193934216328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0.25444149288970908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-1.2664425175465013</v>
      </c>
      <c r="H217" t="s">
        <v>10</v>
      </c>
      <c r="I217">
        <f>VLOOKUP(Table4[[#This Row],[Visitor]],'NHL Model'!$A$6:$B$38,2,FALSE)</f>
        <v>-0.75050764651940183</v>
      </c>
      <c r="J217">
        <f>($B$1+Table4[[#This Row],[Home Differential]])-Table4[[#This Row],[Away Differential]]</f>
        <v>-0.4078044091239974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0.5037795578962535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0.24623472716163763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-0.12498445042942641</v>
      </c>
      <c r="H218" t="s">
        <v>35</v>
      </c>
      <c r="I218">
        <f>VLOOKUP(Table4[[#This Row],[Visitor]],'NHL Model'!$A$6:$B$38,2,FALSE)</f>
        <v>-1.236228034931707</v>
      </c>
      <c r="J218">
        <f>($B$1+Table4[[#This Row],[Home Differential]])-Table4[[#This Row],[Away Differential]]</f>
        <v>1.2193740464053826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0.67090505023343561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0.10830348596185754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-2.9858233272404857E-2</v>
      </c>
      <c r="H219" t="s">
        <v>36</v>
      </c>
      <c r="I219">
        <f>VLOOKUP(Table4[[#This Row],[Visitor]],'NHL Model'!$A$6:$B$38,2,FALSE)</f>
        <v>-0.179282670690569</v>
      </c>
      <c r="J219">
        <f>($B$1+Table4[[#This Row],[Home Differential]])-Table4[[#This Row],[Away Differential]]</f>
        <v>0.25755489932126607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0.61434796386319412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0.14872749297646423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0.12350258496936412</v>
      </c>
      <c r="H220" t="s">
        <v>35</v>
      </c>
      <c r="I220">
        <f>VLOOKUP(Table4[[#This Row],[Visitor]],'NHL Model'!$A$6:$B$38,2,FALSE)</f>
        <v>-1.236228034931707</v>
      </c>
      <c r="J220">
        <f>($B$1+Table4[[#This Row],[Home Differential]])-Table4[[#This Row],[Away Differential]]</f>
        <v>1.4678610818041731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0.73939938441612485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0.54671144967494434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0.31465989886768042</v>
      </c>
      <c r="H221" t="s">
        <v>34</v>
      </c>
      <c r="I221">
        <f>VLOOKUP(Table4[[#This Row],[Visitor]],'NHL Model'!$A$6:$B$38,2,FALSE)</f>
        <v>4.6716977502832858E-2</v>
      </c>
      <c r="J221">
        <f>($B$1+Table4[[#This Row],[Home Differential]])-Table4[[#This Row],[Away Differential]]</f>
        <v>0.37607338326794948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0.56740012277502561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0.18714265377506292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0.24554986733769732</v>
      </c>
      <c r="H222" t="s">
        <v>31</v>
      </c>
      <c r="I222">
        <f>VLOOKUP(Table4[[#This Row],[Visitor]],'NHL Model'!$A$6:$B$38,2,FALSE)</f>
        <v>-0.39000953236289804</v>
      </c>
      <c r="J222">
        <f>($B$1+Table4[[#This Row],[Home Differential]])-Table4[[#This Row],[Away Differential]]</f>
        <v>0.74368986160369732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0.63894373767563073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0.40824909991490521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-0.36406236312551898</v>
      </c>
      <c r="H223" t="s">
        <v>11</v>
      </c>
      <c r="I223">
        <f>VLOOKUP(Table4[[#This Row],[Visitor]],'NHL Model'!$A$6:$B$38,2,FALSE)</f>
        <v>-0.34412098011518399</v>
      </c>
      <c r="J223">
        <f>($B$1+Table4[[#This Row],[Home Differential]])-Table4[[#This Row],[Away Differential]]</f>
        <v>8.8189078892766948E-2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0.49017964322439439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0.24027608263159458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-0.55013344272463272</v>
      </c>
      <c r="H224" t="s">
        <v>18</v>
      </c>
      <c r="I224">
        <f>VLOOKUP(Table4[[#This Row],[Visitor]],'NHL Model'!$A$6:$B$38,2,FALSE)</f>
        <v>-0.18787166436597766</v>
      </c>
      <c r="J224">
        <f>($B$1+Table4[[#This Row],[Home Differential]])-Table4[[#This Row],[Away Differential]]</f>
        <v>-0.25413131645555309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0.52656882345867828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0.2772747258386567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-0.72584022159035511</v>
      </c>
      <c r="H225" t="s">
        <v>27</v>
      </c>
      <c r="I225">
        <f>VLOOKUP(Table4[[#This Row],[Visitor]],'NHL Model'!$A$6:$B$38,2,FALSE)</f>
        <v>-0.39747316405117561</v>
      </c>
      <c r="J225">
        <f>($B$1+Table4[[#This Row],[Home Differential]])-Table4[[#This Row],[Away Differential]]</f>
        <v>-0.22023659563607756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0.48447283919613704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0.26576825352649197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3.6611055984458557E-5</v>
      </c>
      <c r="H226" t="s">
        <v>22</v>
      </c>
      <c r="I226">
        <f>VLOOKUP(Table4[[#This Row],[Visitor]],'NHL Model'!$A$6:$B$38,2,FALSE)</f>
        <v>-0.12498445042942641</v>
      </c>
      <c r="J226">
        <f>($B$1+Table4[[#This Row],[Home Differential]])-Table4[[#This Row],[Away Differential]]</f>
        <v>0.2331515233885128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0.56502981916922701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0.18919905821195535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-0.11283731617452618</v>
      </c>
      <c r="H227" t="s">
        <v>37</v>
      </c>
      <c r="I227">
        <f>VLOOKUP(Table4[[#This Row],[Visitor]],'NHL Model'!$A$6:$B$38,2,FALSE)</f>
        <v>0.6987740059316554</v>
      </c>
      <c r="J227">
        <f>($B$1+Table4[[#This Row],[Home Differential]])-Table4[[#This Row],[Away Differential]]</f>
        <v>-0.70348086020307965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0.63237984478025799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0.1351445785237872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-0.77822387693813933</v>
      </c>
      <c r="H228" t="s">
        <v>10</v>
      </c>
      <c r="I228">
        <f>VLOOKUP(Table4[[#This Row],[Visitor]],'NHL Model'!$A$6:$B$38,2,FALSE)</f>
        <v>-0.75050764651940183</v>
      </c>
      <c r="J228">
        <f>($B$1+Table4[[#This Row],[Home Differential]])-Table4[[#This Row],[Away Differential]]</f>
        <v>8.041423148436444E-2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0.54863281373174666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0.30099796430321341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-0.1792260169918948</v>
      </c>
      <c r="H229" t="s">
        <v>15</v>
      </c>
      <c r="I229">
        <f>VLOOKUP(Table4[[#This Row],[Visitor]],'NHL Model'!$A$6:$B$38,2,FALSE)</f>
        <v>-0.62425830840281982</v>
      </c>
      <c r="J229">
        <f>($B$1+Table4[[#This Row],[Home Differential]])-Table4[[#This Row],[Away Differential]]</f>
        <v>0.55316275331402698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0.59903623907290904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0.35884441572261544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-6.98902744359894E-2</v>
      </c>
      <c r="H230" t="s">
        <v>34</v>
      </c>
      <c r="I230">
        <f>VLOOKUP(Table4[[#This Row],[Visitor]],'NHL Model'!$A$6:$B$38,2,FALSE)</f>
        <v>4.6716977502832858E-2</v>
      </c>
      <c r="J230">
        <f>($B$1+Table4[[#This Row],[Home Differential]])-Table4[[#This Row],[Away Differential]]</f>
        <v>-8.4767900357203066E-3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0.50091001988168882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0.24909080825449625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-0.46908405058827807</v>
      </c>
      <c r="H231" t="s">
        <v>40</v>
      </c>
      <c r="I231">
        <f>VLOOKUP(Table4[[#This Row],[Visitor]],'NHL Model'!$A$6:$B$38,2,FALSE)</f>
        <v>-0.41982036690375685</v>
      </c>
      <c r="J231">
        <f>($B$1+Table4[[#This Row],[Home Differential]])-Table4[[#This Row],[Away Differential]]</f>
        <v>5.8866778218580718E-2</v>
      </c>
      <c r="K231" t="str">
        <f>IF(Table4[[#This Row],[HomeIce Differential]]&gt;0,Table4[[#This Row],[Home]],Table4[[#This Row],[Visitor]])</f>
        <v>San Jose Sharks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0.54631960191583573</v>
      </c>
      <c r="M231" t="str">
        <f>IF(OR((NHL2025_26Results[[#This Row],[Winning Team]]="")),"-",IF(Table4[[#This Row],[Predicted Winner]]=NHL2025_26Results[[#This Row],[Winning Team]],"YES","NO"))</f>
        <v>YES</v>
      </c>
      <c r="N231">
        <f>IF(Table4[[#This Row],[Adjusted Correct]]="-", "",IF(Table4[[#This Row],[Adjusted Correct]]="YES",(Table4[[#This Row],[Strength of Win]]-1)^2,(Table4[[#This Row],[Strength of Win]]-0)^2))</f>
        <v>0.20582590360580577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0.31465989886768042</v>
      </c>
      <c r="H232" t="s">
        <v>23</v>
      </c>
      <c r="I232">
        <f>VLOOKUP(Table4[[#This Row],[Visitor]],'NHL Model'!$A$6:$B$38,2,FALSE)</f>
        <v>0.12350258496936412</v>
      </c>
      <c r="J232">
        <f>($B$1+Table4[[#This Row],[Home Differential]])-Table4[[#This Row],[Away Differential]]</f>
        <v>0.29928777580141824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0.5856605821251345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0.17167715320488242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-0.12154868922444324</v>
      </c>
      <c r="H233" t="s">
        <v>12</v>
      </c>
      <c r="I233">
        <f>VLOOKUP(Table4[[#This Row],[Visitor]],'NHL Model'!$A$6:$B$38,2,FALSE)</f>
        <v>1.1504937678265921</v>
      </c>
      <c r="J233">
        <f>($B$1+Table4[[#This Row],[Home Differential]])-Table4[[#This Row],[Away Differential]]</f>
        <v>-1.1639119951479333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0.65126674987938515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0.12161487973968732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-0.18787166436597766</v>
      </c>
      <c r="H234" t="s">
        <v>55</v>
      </c>
      <c r="I234">
        <f>VLOOKUP(Table4[[#This Row],[Visitor]],'NHL Model'!$A$6:$B$38,2,FALSE)</f>
        <v>0.14062496747196682</v>
      </c>
      <c r="J234">
        <f>($B$1+Table4[[#This Row],[Home Differential]])-Table4[[#This Row],[Away Differential]]</f>
        <v>-0.22036616993484254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0.47661130460708862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0.22715833567927102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-0.55013344272463272</v>
      </c>
      <c r="H235" t="s">
        <v>14</v>
      </c>
      <c r="I235">
        <f>VLOOKUP(Table4[[#This Row],[Visitor]],'NHL Model'!$A$6:$B$38,2,FALSE)</f>
        <v>3.6611055984458557E-5</v>
      </c>
      <c r="J235">
        <f>($B$1+Table4[[#This Row],[Home Differential]])-Table4[[#This Row],[Away Differential]]</f>
        <v>-0.44203959187751524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0.56398377768141128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0.31807770148779557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-0.72584022159035511</v>
      </c>
      <c r="H236" t="s">
        <v>39</v>
      </c>
      <c r="I236">
        <f>VLOOKUP(Table4[[#This Row],[Visitor]],'NHL Model'!$A$6:$B$38,2,FALSE)</f>
        <v>0.24554986733769732</v>
      </c>
      <c r="J236">
        <f>($B$1+Table4[[#This Row],[Home Differential]])-Table4[[#This Row],[Away Differential]]</f>
        <v>-0.86325962702495052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0.59804418661664493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0.16156847591267456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-0.62425830840281982</v>
      </c>
      <c r="H237" t="s">
        <v>30</v>
      </c>
      <c r="I237">
        <f>VLOOKUP(Table4[[#This Row],[Visitor]],'NHL Model'!$A$6:$B$38,2,FALSE)</f>
        <v>-6.98902744359894E-2</v>
      </c>
      <c r="J237">
        <f>($B$1+Table4[[#This Row],[Home Differential]])-Table4[[#This Row],[Away Differential]]</f>
        <v>-0.44623757206372849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0.53775856738313299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0.2136671420276936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-0.39747316405117561</v>
      </c>
      <c r="H238" t="s">
        <v>36</v>
      </c>
      <c r="I238">
        <f>VLOOKUP(Table4[[#This Row],[Visitor]],'NHL Model'!$A$6:$B$38,2,FALSE)</f>
        <v>-0.179282670690569</v>
      </c>
      <c r="J238">
        <f>($B$1+Table4[[#This Row],[Home Differential]])-Table4[[#This Row],[Away Differential]]</f>
        <v>-0.11006003145750468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0.47264491099735317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0.27810338989698957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-0.46908405058827807</v>
      </c>
      <c r="H239" t="s">
        <v>11</v>
      </c>
      <c r="I239">
        <f>VLOOKUP(Table4[[#This Row],[Visitor]],'NHL Model'!$A$6:$B$38,2,FALSE)</f>
        <v>-0.34412098011518399</v>
      </c>
      <c r="J239">
        <f>($B$1+Table4[[#This Row],[Home Differential]])-Table4[[#This Row],[Away Differential]]</f>
        <v>-1.6832608569992136E-2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0.52109488678011084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0.27153988102837656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-1.236228034931707</v>
      </c>
      <c r="H240" t="s">
        <v>32</v>
      </c>
      <c r="I240">
        <f>VLOOKUP(Table4[[#This Row],[Visitor]],'NHL Model'!$A$6:$B$38,2,FALSE)</f>
        <v>-0.42661371358543798</v>
      </c>
      <c r="J240">
        <f>($B$1+Table4[[#This Row],[Home Differential]])-Table4[[#This Row],[Away Differential]]</f>
        <v>-0.70148385944316693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0.53530731044264313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0.21593929572805004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0.6987740059316554</v>
      </c>
      <c r="H241" t="s">
        <v>22</v>
      </c>
      <c r="I241">
        <f>VLOOKUP(Table4[[#This Row],[Visitor]],'NHL Model'!$A$6:$B$38,2,FALSE)</f>
        <v>-0.12498445042942641</v>
      </c>
      <c r="J241">
        <f>($B$1+Table4[[#This Row],[Home Differential]])-Table4[[#This Row],[Away Differential]]</f>
        <v>0.93188891826418374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0.66961103990933224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0.10915686494979285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-0.38129365484385536</v>
      </c>
      <c r="H242" t="s">
        <v>21</v>
      </c>
      <c r="I242">
        <f>VLOOKUP(Table4[[#This Row],[Visitor]],'NHL Model'!$A$6:$B$38,2,FALSE)</f>
        <v>-2.9858233272404857E-2</v>
      </c>
      <c r="J242">
        <f>($B$1+Table4[[#This Row],[Home Differential]])-Table4[[#This Row],[Away Differential]]</f>
        <v>-0.24330495966834856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0.48611983423898519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0.26407282476256805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-1.2664425175465013</v>
      </c>
      <c r="H243" t="s">
        <v>28</v>
      </c>
      <c r="I243">
        <f>VLOOKUP(Table4[[#This Row],[Visitor]],'NHL Model'!$A$6:$B$38,2,FALSE)</f>
        <v>-0.36066890819319958</v>
      </c>
      <c r="J243">
        <f>($B$1+Table4[[#This Row],[Home Differential]])-Table4[[#This Row],[Away Differential]]</f>
        <v>-0.79764314745019971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0.54563042373513904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0.29771255930538737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-0.11283731617452618</v>
      </c>
      <c r="H244" t="s">
        <v>31</v>
      </c>
      <c r="I244">
        <f>VLOOKUP(Table4[[#This Row],[Visitor]],'NHL Model'!$A$6:$B$38,2,FALSE)</f>
        <v>-0.39000953236289804</v>
      </c>
      <c r="J244">
        <f>($B$1+Table4[[#This Row],[Home Differential]])-Table4[[#This Row],[Away Differential]]</f>
        <v>0.38530267809147378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0.58136390025630691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0.33798398452122519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-0.39000953236289804</v>
      </c>
      <c r="H245" t="s">
        <v>40</v>
      </c>
      <c r="I245">
        <f>VLOOKUP(Table4[[#This Row],[Visitor]],'NHL Model'!$A$6:$B$38,2,FALSE)</f>
        <v>-0.41982036690375685</v>
      </c>
      <c r="J245">
        <f>($B$1+Table4[[#This Row],[Home Differential]])-Table4[[#This Row],[Away Differential]]</f>
        <v>0.13794129644396075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0.59084545802456667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0.16740743921912662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0.24554986733769732</v>
      </c>
      <c r="H246" t="s">
        <v>32</v>
      </c>
      <c r="I246">
        <f>VLOOKUP(Table4[[#This Row],[Visitor]],'NHL Model'!$A$6:$B$38,2,FALSE)</f>
        <v>-0.42661371358543798</v>
      </c>
      <c r="J246">
        <f>($B$1+Table4[[#This Row],[Home Differential]])-Table4[[#This Row],[Away Differential]]</f>
        <v>0.78029404282623727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0.64287335401920953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0.12753944126948885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-0.1792260169918948</v>
      </c>
      <c r="H247" t="s">
        <v>10</v>
      </c>
      <c r="I247">
        <f>VLOOKUP(Table4[[#This Row],[Visitor]],'NHL Model'!$A$6:$B$38,2,FALSE)</f>
        <v>-0.75050764651940183</v>
      </c>
      <c r="J247">
        <f>($B$1+Table4[[#This Row],[Home Differential]])-Table4[[#This Row],[Away Differential]]</f>
        <v>0.67941209143060899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0.655839365586949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0.43012527345349172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4.6716977502832858E-2</v>
      </c>
      <c r="H248" t="s">
        <v>16</v>
      </c>
      <c r="I248">
        <f>VLOOKUP(Table4[[#This Row],[Visitor]],'NHL Model'!$A$6:$B$38,2,FALSE)</f>
        <v>-0.77822387693813933</v>
      </c>
      <c r="J248">
        <f>($B$1+Table4[[#This Row],[Home Differential]])-Table4[[#This Row],[Away Differential]]</f>
        <v>0.93307131634407414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0.64016922034503598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0.12947818998709926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-0.179282670690569</v>
      </c>
      <c r="H249" t="s">
        <v>55</v>
      </c>
      <c r="I249">
        <f>VLOOKUP(Table4[[#This Row],[Visitor]],'NHL Model'!$A$6:$B$38,2,FALSE)</f>
        <v>0.14062496747196682</v>
      </c>
      <c r="J249">
        <f>($B$1+Table4[[#This Row],[Home Differential]])-Table4[[#This Row],[Away Differential]]</f>
        <v>-0.21177717625943387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0.48273519104187979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0.23303326467024019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3.6611055984458557E-5</v>
      </c>
      <c r="H250" t="s">
        <v>13</v>
      </c>
      <c r="I250">
        <f>VLOOKUP(Table4[[#This Row],[Visitor]],'NHL Model'!$A$6:$B$38,2,FALSE)</f>
        <v>-0.36406236312551898</v>
      </c>
      <c r="J250">
        <f>($B$1+Table4[[#This Row],[Home Differential]])-Table4[[#This Row],[Away Differential]]</f>
        <v>0.47222943608460538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0.55140912849065715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0.30405202698282607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-0.38129365484385536</v>
      </c>
      <c r="H251" t="s">
        <v>25</v>
      </c>
      <c r="I251">
        <f>VLOOKUP(Table4[[#This Row],[Visitor]],'NHL Model'!$A$6:$B$38,2,FALSE)</f>
        <v>0.31465989886768042</v>
      </c>
      <c r="J251">
        <f>($B$1+Table4[[#This Row],[Home Differential]])-Table4[[#This Row],[Away Differential]]</f>
        <v>-0.58782309180843384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0.58239317183996242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0.17439546292588715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-1.2664425175465013</v>
      </c>
      <c r="H252" t="s">
        <v>12</v>
      </c>
      <c r="I252">
        <f>VLOOKUP(Table4[[#This Row],[Visitor]],'NHL Model'!$A$6:$B$38,2,FALSE)</f>
        <v>1.1504937678265921</v>
      </c>
      <c r="J252">
        <f>($B$1+Table4[[#This Row],[Home Differential]])-Table4[[#This Row],[Away Differential]]</f>
        <v>-2.3088058234699913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0.77417602825074394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5.0996466216608798E-2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-0.12154868922444324</v>
      </c>
      <c r="H253" t="s">
        <v>28</v>
      </c>
      <c r="I253">
        <f>VLOOKUP(Table4[[#This Row],[Visitor]],'NHL Model'!$A$6:$B$38,2,FALSE)</f>
        <v>-0.36066890819319958</v>
      </c>
      <c r="J253">
        <f>($B$1+Table4[[#This Row],[Home Differential]])-Table4[[#This Row],[Away Differential]]</f>
        <v>0.34725068087185829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0.57727885463621975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0.17869316673766622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-0.55013344272463272</v>
      </c>
      <c r="H254" t="s">
        <v>30</v>
      </c>
      <c r="I254">
        <f>VLOOKUP(Table4[[#This Row],[Visitor]],'NHL Model'!$A$6:$B$38,2,FALSE)</f>
        <v>-6.98902744359894E-2</v>
      </c>
      <c r="J254">
        <f>($B$1+Table4[[#This Row],[Home Differential]])-Table4[[#This Row],[Away Differential]]</f>
        <v>-0.37211270638554139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0.52980094413064993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0.22108715214042818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-0.62425830840281982</v>
      </c>
      <c r="H255" t="s">
        <v>29</v>
      </c>
      <c r="I255">
        <f>VLOOKUP(Table4[[#This Row],[Visitor]],'NHL Model'!$A$6:$B$38,2,FALSE)</f>
        <v>-0.72584022159035511</v>
      </c>
      <c r="J255">
        <f>($B$1+Table4[[#This Row],[Home Differential]])-Table4[[#This Row],[Away Differential]]</f>
        <v>0.20971237509063723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0.56251352575261093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0.19139441514941141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-0.11283731617452618</v>
      </c>
      <c r="H256" t="s">
        <v>11</v>
      </c>
      <c r="I256">
        <f>VLOOKUP(Table4[[#This Row],[Visitor]],'NHL Model'!$A$6:$B$38,2,FALSE)</f>
        <v>-0.34412098011518399</v>
      </c>
      <c r="J256">
        <f>($B$1+Table4[[#This Row],[Home Differential]])-Table4[[#This Row],[Away Differential]]</f>
        <v>0.33941412584375974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0.51714973290931432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0.26744384624817513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-2.9858233272404857E-2</v>
      </c>
      <c r="H257" t="s">
        <v>19</v>
      </c>
      <c r="I257">
        <f>VLOOKUP(Table4[[#This Row],[Visitor]],'NHL Model'!$A$6:$B$38,2,FALSE)</f>
        <v>-0.38129365484385536</v>
      </c>
      <c r="J257">
        <f>($B$1+Table4[[#This Row],[Home Differential]])-Table4[[#This Row],[Away Differential]]</f>
        <v>0.45956588347455246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0.63684410523618928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0.13188220390170396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0.31465989886768042</v>
      </c>
      <c r="H258" t="s">
        <v>22</v>
      </c>
      <c r="I258">
        <f>VLOOKUP(Table4[[#This Row],[Visitor]],'NHL Model'!$A$6:$B$38,2,FALSE)</f>
        <v>-0.12498445042942641</v>
      </c>
      <c r="J258">
        <f>($B$1+Table4[[#This Row],[Home Differential]])-Table4[[#This Row],[Away Differential]]</f>
        <v>0.54777481120020877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0.64170753718535889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0.41178856328049879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1.1504937678265921</v>
      </c>
      <c r="H259" t="s">
        <v>31</v>
      </c>
      <c r="I259">
        <f>VLOOKUP(Table4[[#This Row],[Visitor]],'NHL Model'!$A$6:$B$38,2,FALSE)</f>
        <v>-0.39000953236289804</v>
      </c>
      <c r="J259">
        <f>($B$1+Table4[[#This Row],[Home Differential]])-Table4[[#This Row],[Away Differential]]</f>
        <v>1.6486337620925922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0.80277015538534902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3.889961160671937E-2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4.6716977502832858E-2</v>
      </c>
      <c r="H260" t="s">
        <v>33</v>
      </c>
      <c r="I260">
        <f>VLOOKUP(Table4[[#This Row],[Visitor]],'NHL Model'!$A$6:$B$38,2,FALSE)</f>
        <v>-0.46908405058827807</v>
      </c>
      <c r="J260">
        <f>($B$1+Table4[[#This Row],[Home Differential]])-Table4[[#This Row],[Away Differential]]</f>
        <v>0.62393148999421288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0.57641569217769828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0.332255050188695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-0.18787166436597766</v>
      </c>
      <c r="H261" t="s">
        <v>13</v>
      </c>
      <c r="I261">
        <f>VLOOKUP(Table4[[#This Row],[Visitor]],'NHL Model'!$A$6:$B$38,2,FALSE)</f>
        <v>-0.36406236312551898</v>
      </c>
      <c r="J261">
        <f>($B$1+Table4[[#This Row],[Home Differential]])-Table4[[#This Row],[Away Differential]]</f>
        <v>0.28432116066264329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0.5383355998877587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0.289805218106513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-0.179282670690569</v>
      </c>
      <c r="H262" t="s">
        <v>39</v>
      </c>
      <c r="I262">
        <f>VLOOKUP(Table4[[#This Row],[Visitor]],'NHL Model'!$A$6:$B$38,2,FALSE)</f>
        <v>0.24554986733769732</v>
      </c>
      <c r="J262">
        <f>($B$1+Table4[[#This Row],[Home Differential]])-Table4[[#This Row],[Away Differential]]</f>
        <v>-0.31670207612516438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0.53936888196593891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0.21218102690130913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-0.42661371358543798</v>
      </c>
      <c r="H263" t="s">
        <v>28</v>
      </c>
      <c r="I263">
        <f>VLOOKUP(Table4[[#This Row],[Visitor]],'NHL Model'!$A$6:$B$38,2,FALSE)</f>
        <v>-0.36066890819319958</v>
      </c>
      <c r="J263">
        <f>($B$1+Table4[[#This Row],[Home Differential]])-Table4[[#This Row],[Away Differential]]</f>
        <v>4.2185656510863534E-2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0.54452881173005485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0.2965116268041455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-1.236228034931707</v>
      </c>
      <c r="H264" t="s">
        <v>16</v>
      </c>
      <c r="I264">
        <f>VLOOKUP(Table4[[#This Row],[Visitor]],'NHL Model'!$A$6:$B$38,2,FALSE)</f>
        <v>-0.77822387693813933</v>
      </c>
      <c r="J264">
        <f>($B$1+Table4[[#This Row],[Home Differential]])-Table4[[#This Row],[Away Differential]]</f>
        <v>-0.34987369609046559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0.4975604466054494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0.24756639802621427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-1.2664425175465013</v>
      </c>
      <c r="H265" t="s">
        <v>40</v>
      </c>
      <c r="I265">
        <f>VLOOKUP(Table4[[#This Row],[Visitor]],'NHL Model'!$A$6:$B$38,2,FALSE)</f>
        <v>-0.41982036690375685</v>
      </c>
      <c r="J265">
        <f>($B$1+Table4[[#This Row],[Home Differential]])-Table4[[#This Row],[Away Differential]]</f>
        <v>-0.73849168873964244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0.53928026014365305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0.21226267869330001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-0.75050764651940183</v>
      </c>
      <c r="H266" t="s">
        <v>24</v>
      </c>
      <c r="I266">
        <f>VLOOKUP(Table4[[#This Row],[Visitor]],'NHL Model'!$A$6:$B$38,2,FALSE)</f>
        <v>-0.55013344272463272</v>
      </c>
      <c r="J266">
        <f>($B$1+Table4[[#This Row],[Home Differential]])-Table4[[#This Row],[Away Differential]]</f>
        <v>-9.2243741891667175E-2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0.49913955317704406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0.25086118719169109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-0.39747316405117561</v>
      </c>
      <c r="H267" t="s">
        <v>17</v>
      </c>
      <c r="I267">
        <f>VLOOKUP(Table4[[#This Row],[Visitor]],'NHL Model'!$A$6:$B$38,2,FALSE)</f>
        <v>-0.12154868922444324</v>
      </c>
      <c r="J267">
        <f>($B$1+Table4[[#This Row],[Home Differential]])-Table4[[#This Row],[Away Differential]]</f>
        <v>-0.16779401292363044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0.48031781889323261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0.27006956935988691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0.6987740059316554</v>
      </c>
      <c r="H268" t="s">
        <v>15</v>
      </c>
      <c r="I268">
        <f>VLOOKUP(Table4[[#This Row],[Visitor]],'NHL Model'!$A$6:$B$38,2,FALSE)</f>
        <v>-0.62425830840281982</v>
      </c>
      <c r="J268">
        <f>($B$1+Table4[[#This Row],[Home Differential]])-Table4[[#This Row],[Away Differential]]</f>
        <v>1.4311627762375771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0.6797020876616664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0.46199492797162761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0.14062496747196682</v>
      </c>
      <c r="H269" t="s">
        <v>23</v>
      </c>
      <c r="I269">
        <f>VLOOKUP(Table4[[#This Row],[Visitor]],'NHL Model'!$A$6:$B$38,2,FALSE)</f>
        <v>0.12350258496936412</v>
      </c>
      <c r="J269">
        <f>($B$1+Table4[[#This Row],[Home Differential]])-Table4[[#This Row],[Away Differential]]</f>
        <v>0.12525284440570467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0.56000513620024139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0.19359548017016812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-0.36066890819319958</v>
      </c>
      <c r="H270" t="s">
        <v>17</v>
      </c>
      <c r="I270">
        <f>VLOOKUP(Table4[[#This Row],[Visitor]],'NHL Model'!$A$6:$B$38,2,FALSE)</f>
        <v>-0.12154868922444324</v>
      </c>
      <c r="J270">
        <f>($B$1+Table4[[#This Row],[Home Differential]])-Table4[[#This Row],[Away Differential]]</f>
        <v>-0.13098975706565441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0.47636672367671951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0.22692525542649203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-0.77822387693813933</v>
      </c>
      <c r="H271" t="s">
        <v>33</v>
      </c>
      <c r="I271">
        <f>VLOOKUP(Table4[[#This Row],[Visitor]],'NHL Model'!$A$6:$B$38,2,FALSE)</f>
        <v>-0.46908405058827807</v>
      </c>
      <c r="J271">
        <f>($B$1+Table4[[#This Row],[Home Differential]])-Table4[[#This Row],[Away Differential]]</f>
        <v>-0.20100936444675932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0.51214525785117215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0.26229276513944361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1.1504937678265921</v>
      </c>
      <c r="H272" t="s">
        <v>23</v>
      </c>
      <c r="I272">
        <f>VLOOKUP(Table4[[#This Row],[Visitor]],'NHL Model'!$A$6:$B$38,2,FALSE)</f>
        <v>0.12350258496936412</v>
      </c>
      <c r="J272">
        <f>($B$1+Table4[[#This Row],[Home Differential]])-Table4[[#This Row],[Away Differential]]</f>
        <v>1.1351216447603301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0.71920532516459057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7.8845649415923313E-2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-0.1792260169918948</v>
      </c>
      <c r="H273" t="s">
        <v>31</v>
      </c>
      <c r="I273">
        <f>VLOOKUP(Table4[[#This Row],[Visitor]],'NHL Model'!$A$6:$B$38,2,FALSE)</f>
        <v>-0.39000953236289804</v>
      </c>
      <c r="J273">
        <f>($B$1+Table4[[#This Row],[Home Differential]])-Table4[[#This Row],[Away Differential]]</f>
        <v>0.3189139772741052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0.61713834199059536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0.14658304917371032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-0.34412098011518399</v>
      </c>
      <c r="H274" t="s">
        <v>22</v>
      </c>
      <c r="I274">
        <f>VLOOKUP(Table4[[#This Row],[Visitor]],'NHL Model'!$A$6:$B$38,2,FALSE)</f>
        <v>-0.12498445042942641</v>
      </c>
      <c r="J274">
        <f>($B$1+Table4[[#This Row],[Home Differential]])-Table4[[#This Row],[Away Differential]]</f>
        <v>-0.11100606778265565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0.47191697897961804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0.22270563504924926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-0.18787166436597766</v>
      </c>
      <c r="H275" t="s">
        <v>39</v>
      </c>
      <c r="I275">
        <f>VLOOKUP(Table4[[#This Row],[Visitor]],'NHL Model'!$A$6:$B$38,2,FALSE)</f>
        <v>0.24554986733769732</v>
      </c>
      <c r="J275">
        <f>($B$1+Table4[[#This Row],[Home Differential]])-Table4[[#This Row],[Away Differential]]</f>
        <v>-0.32529106980057304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0.53319129210035254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0.21791036977093839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-0.179282670690569</v>
      </c>
      <c r="H276" t="s">
        <v>21</v>
      </c>
      <c r="I276">
        <f>VLOOKUP(Table4[[#This Row],[Visitor]],'NHL Model'!$A$6:$B$38,2,FALSE)</f>
        <v>-2.9858233272404857E-2</v>
      </c>
      <c r="J276">
        <f>($B$1+Table4[[#This Row],[Home Differential]])-Table4[[#This Row],[Away Differential]]</f>
        <v>-4.1293975515062184E-2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0.4644330859387017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0.21569809131454548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-0.42661371358543798</v>
      </c>
      <c r="H277" t="s">
        <v>40</v>
      </c>
      <c r="I277">
        <f>VLOOKUP(Table4[[#This Row],[Visitor]],'NHL Model'!$A$6:$B$38,2,FALSE)</f>
        <v>-0.41982036690375685</v>
      </c>
      <c r="J277">
        <f>($B$1+Table4[[#This Row],[Home Differential]])-Table4[[#This Row],[Away Differential]]</f>
        <v>0.1013371152214208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0.55087897532154084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0.20170969480822912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-0.38129365484385536</v>
      </c>
      <c r="H278" t="s">
        <v>13</v>
      </c>
      <c r="I278">
        <f>VLOOKUP(Table4[[#This Row],[Visitor]],'NHL Model'!$A$6:$B$38,2,FALSE)</f>
        <v>-0.36406236312551898</v>
      </c>
      <c r="J278">
        <f>($B$1+Table4[[#This Row],[Home Differential]])-Table4[[#This Row],[Away Differential]]</f>
        <v>9.0899170184765565E-2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0.51047168377440932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0.26058133993548055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-0.11283731617452618</v>
      </c>
      <c r="H279" t="s">
        <v>30</v>
      </c>
      <c r="I279">
        <f>VLOOKUP(Table4[[#This Row],[Visitor]],'NHL Model'!$A$6:$B$38,2,FALSE)</f>
        <v>-6.98902744359894E-2</v>
      </c>
      <c r="J279">
        <f>($B$1+Table4[[#This Row],[Home Differential]])-Table4[[#This Row],[Away Differential]]</f>
        <v>6.5183420164565173E-2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0.51714467651928919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0.26743861645224026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0.31465989886768042</v>
      </c>
      <c r="H280" t="s">
        <v>38</v>
      </c>
      <c r="I280">
        <f>VLOOKUP(Table4[[#This Row],[Visitor]],'NHL Model'!$A$6:$B$38,2,FALSE)</f>
        <v>-1.2664425175465013</v>
      </c>
      <c r="J280">
        <f>($B$1+Table4[[#This Row],[Home Differential]])-Table4[[#This Row],[Away Differential]]</f>
        <v>1.6892328783172836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0.76424797180901427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5.5579018796163331E-2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-0.72584022159035511</v>
      </c>
      <c r="H281" t="s">
        <v>14</v>
      </c>
      <c r="I281">
        <f>VLOOKUP(Table4[[#This Row],[Visitor]],'NHL Model'!$A$6:$B$38,2,FALSE)</f>
        <v>3.6611055984458557E-5</v>
      </c>
      <c r="J281">
        <f>($B$1+Table4[[#This Row],[Home Differential]])-Table4[[#This Row],[Away Differential]]</f>
        <v>-0.61774637074323757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0.58284665637033972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0.33971022484208485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-1.236228034931707</v>
      </c>
      <c r="H282" t="s">
        <v>27</v>
      </c>
      <c r="I282">
        <f>VLOOKUP(Table4[[#This Row],[Visitor]],'NHL Model'!$A$6:$B$38,2,FALSE)</f>
        <v>-0.39747316405117561</v>
      </c>
      <c r="J282">
        <f>($B$1+Table4[[#This Row],[Home Differential]])-Table4[[#This Row],[Away Differential]]</f>
        <v>-0.73062440897742931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0.5392651668997982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0.21227658643187081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0.14062496747196682</v>
      </c>
      <c r="H283" t="s">
        <v>30</v>
      </c>
      <c r="I283">
        <f>VLOOKUP(Table4[[#This Row],[Visitor]],'NHL Model'!$A$6:$B$38,2,FALSE)</f>
        <v>-6.98902744359894E-2</v>
      </c>
      <c r="J283">
        <f>($B$1+Table4[[#This Row],[Home Differential]])-Table4[[#This Row],[Away Differential]]</f>
        <v>0.31864570381105817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0.580766691729388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0.33728995022229796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0.31465989886768042</v>
      </c>
      <c r="H284" t="s">
        <v>17</v>
      </c>
      <c r="I284">
        <f>VLOOKUP(Table4[[#This Row],[Visitor]],'NHL Model'!$A$6:$B$38,2,FALSE)</f>
        <v>-0.12154868922444324</v>
      </c>
      <c r="J284">
        <f>($B$1+Table4[[#This Row],[Home Differential]])-Table4[[#This Row],[Away Differential]]</f>
        <v>0.54433904999522564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0.63908230032383306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0.40842618658720198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-0.36066890819319958</v>
      </c>
      <c r="H285" t="s">
        <v>15</v>
      </c>
      <c r="I285">
        <f>VLOOKUP(Table4[[#This Row],[Visitor]],'NHL Model'!$A$6:$B$38,2,FALSE)</f>
        <v>-0.62425830840281982</v>
      </c>
      <c r="J285">
        <f>($B$1+Table4[[#This Row],[Home Differential]])-Table4[[#This Row],[Away Differential]]</f>
        <v>0.37171986211272218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0.53605273304142864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0.28735253260118515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-0.77822387693813933</v>
      </c>
      <c r="H286" t="s">
        <v>40</v>
      </c>
      <c r="I286">
        <f>VLOOKUP(Table4[[#This Row],[Visitor]],'NHL Model'!$A$6:$B$38,2,FALSE)</f>
        <v>-0.41982036690375685</v>
      </c>
      <c r="J286">
        <f>($B$1+Table4[[#This Row],[Home Differential]])-Table4[[#This Row],[Away Differential]]</f>
        <v>-0.25027304813128054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0.48686788851565288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0.26330456383638445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-0.75050764651940183</v>
      </c>
      <c r="H287" t="s">
        <v>19</v>
      </c>
      <c r="I287">
        <f>VLOOKUP(Table4[[#This Row],[Visitor]],'NHL Model'!$A$6:$B$38,2,FALSE)</f>
        <v>-0.38129365484385536</v>
      </c>
      <c r="J287">
        <f>($B$1+Table4[[#This Row],[Home Differential]])-Table4[[#This Row],[Away Differential]]</f>
        <v>-0.26108352977244453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0.48802844023188457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0.23817175847516614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0.24554986733769732</v>
      </c>
      <c r="H288" t="s">
        <v>27</v>
      </c>
      <c r="I288">
        <f>VLOOKUP(Table4[[#This Row],[Visitor]],'NHL Model'!$A$6:$B$38,2,FALSE)</f>
        <v>-0.39747316405117561</v>
      </c>
      <c r="J288">
        <f>($B$1+Table4[[#This Row],[Home Differential]])-Table4[[#This Row],[Away Differential]]</f>
        <v>0.75115349329197489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0.63892176792866495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0.13037748967576088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-0.1792260169918948</v>
      </c>
      <c r="H289" t="s">
        <v>23</v>
      </c>
      <c r="I289">
        <f>VLOOKUP(Table4[[#This Row],[Visitor]],'NHL Model'!$A$6:$B$38,2,FALSE)</f>
        <v>0.12350258496936412</v>
      </c>
      <c r="J289">
        <f>($B$1+Table4[[#This Row],[Home Differential]])-Table4[[#This Row],[Away Differential]]</f>
        <v>-0.19459814005815695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0.46736019588451178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0.28370516092818571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-0.34412098011518399</v>
      </c>
      <c r="H290" t="s">
        <v>37</v>
      </c>
      <c r="I290">
        <f>VLOOKUP(Table4[[#This Row],[Visitor]],'NHL Model'!$A$6:$B$38,2,FALSE)</f>
        <v>0.6987740059316554</v>
      </c>
      <c r="J290">
        <f>($B$1+Table4[[#This Row],[Home Differential]])-Table4[[#This Row],[Away Differential]]</f>
        <v>-0.93476452414373745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0.65720914120130014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0.11750557287595019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4.6716977502832858E-2</v>
      </c>
      <c r="H291" t="s">
        <v>31</v>
      </c>
      <c r="I291">
        <f>VLOOKUP(Table4[[#This Row],[Visitor]],'NHL Model'!$A$6:$B$38,2,FALSE)</f>
        <v>-0.39000953236289804</v>
      </c>
      <c r="J291">
        <f>($B$1+Table4[[#This Row],[Home Differential]])-Table4[[#This Row],[Away Differential]]</f>
        <v>0.54485697176883285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0.59849274016426357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0.16120807970080156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-0.18787166436597766</v>
      </c>
      <c r="H292" t="s">
        <v>21</v>
      </c>
      <c r="I292">
        <f>VLOOKUP(Table4[[#This Row],[Visitor]],'NHL Model'!$A$6:$B$38,2,FALSE)</f>
        <v>-2.9858233272404857E-2</v>
      </c>
      <c r="J292">
        <f>($B$1+Table4[[#This Row],[Home Differential]])-Table4[[#This Row],[Away Differential]]</f>
        <v>-4.9882969190470847E-2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0.45830919950391058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0.29342892334209414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-0.179282670690569</v>
      </c>
      <c r="H293" t="s">
        <v>13</v>
      </c>
      <c r="I293">
        <f>VLOOKUP(Table4[[#This Row],[Visitor]],'NHL Model'!$A$6:$B$38,2,FALSE)</f>
        <v>-0.36406236312551898</v>
      </c>
      <c r="J293">
        <f>($B$1+Table4[[#This Row],[Home Differential]])-Table4[[#This Row],[Away Differential]]</f>
        <v>0.29291015433805195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0.53215843207469271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0.28319259682819531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-0.42661371358543798</v>
      </c>
      <c r="H294" t="s">
        <v>33</v>
      </c>
      <c r="I294">
        <f>VLOOKUP(Table4[[#This Row],[Visitor]],'NHL Model'!$A$6:$B$38,2,FALSE)</f>
        <v>-0.46908405058827807</v>
      </c>
      <c r="J294">
        <f>($B$1+Table4[[#This Row],[Home Differential]])-Table4[[#This Row],[Away Differential]]</f>
        <v>0.15060079890594202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0.52560160598602146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0.22505383624304204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-1.236228034931707</v>
      </c>
      <c r="H295" t="s">
        <v>20</v>
      </c>
      <c r="I295">
        <f>VLOOKUP(Table4[[#This Row],[Visitor]],'NHL Model'!$A$6:$B$38,2,FALSE)</f>
        <v>-0.11283731617452618</v>
      </c>
      <c r="J295">
        <f>($B$1+Table4[[#This Row],[Home Differential]])-Table4[[#This Row],[Away Differential]]</f>
        <v>-1.0152602568540787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0.58034861183876363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0.17610728758565267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-0.12498445042942641</v>
      </c>
      <c r="H296" t="s">
        <v>24</v>
      </c>
      <c r="I296">
        <f>VLOOKUP(Table4[[#This Row],[Visitor]],'NHL Model'!$A$6:$B$38,2,FALSE)</f>
        <v>-0.55013344272463272</v>
      </c>
      <c r="J296">
        <f>($B$1+Table4[[#This Row],[Home Differential]])-Table4[[#This Row],[Away Differential]]</f>
        <v>0.53327945419830824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0.56801305323419238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0.32263882864442944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1.1504937678265921</v>
      </c>
      <c r="H297" t="s">
        <v>30</v>
      </c>
      <c r="I297">
        <f>VLOOKUP(Table4[[#This Row],[Visitor]],'NHL Model'!$A$6:$B$38,2,FALSE)</f>
        <v>-6.98902744359894E-2</v>
      </c>
      <c r="J297">
        <f>($B$1+Table4[[#This Row],[Home Differential]])-Table4[[#This Row],[Away Differential]]</f>
        <v>1.3285145041656836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0.73996688069373717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6.7617223136145113E-2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4.6716977502832858E-2</v>
      </c>
      <c r="H298" t="s">
        <v>20</v>
      </c>
      <c r="I298">
        <f>VLOOKUP(Table4[[#This Row],[Visitor]],'NHL Model'!$A$6:$B$38,2,FALSE)</f>
        <v>-0.11283731617452618</v>
      </c>
      <c r="J298">
        <f>($B$1+Table4[[#This Row],[Home Differential]])-Table4[[#This Row],[Away Differential]]</f>
        <v>0.26768475558046101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0.55738105511172187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0.1959115303740126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-0.62425830840281982</v>
      </c>
      <c r="H299" t="s">
        <v>26</v>
      </c>
      <c r="I299">
        <f>VLOOKUP(Table4[[#This Row],[Visitor]],'NHL Model'!$A$6:$B$38,2,FALSE)</f>
        <v>-0.1792260169918948</v>
      </c>
      <c r="J299">
        <f>($B$1+Table4[[#This Row],[Home Differential]])-Table4[[#This Row],[Away Differential]]</f>
        <v>-0.3369018295078231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0.53545459415463126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0.21580243409203836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3.6611055984458557E-5</v>
      </c>
      <c r="H300" t="s">
        <v>29</v>
      </c>
      <c r="I300">
        <f>VLOOKUP(Table4[[#This Row],[Visitor]],'NHL Model'!$A$6:$B$38,2,FALSE)</f>
        <v>-0.72584022159035511</v>
      </c>
      <c r="J300">
        <f>($B$1+Table4[[#This Row],[Home Differential]])-Table4[[#This Row],[Away Differential]]</f>
        <v>0.83400729454944156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0.62953427138283602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0.13724485607984618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0.6987740059316554</v>
      </c>
      <c r="H301" t="s">
        <v>38</v>
      </c>
      <c r="I301">
        <f>VLOOKUP(Table4[[#This Row],[Visitor]],'NHL Model'!$A$6:$B$38,2,FALSE)</f>
        <v>-1.2664425175465013</v>
      </c>
      <c r="J301">
        <f>($B$1+Table4[[#This Row],[Home Differential]])-Table4[[#This Row],[Away Differential]]</f>
        <v>2.0733469853812587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0.79215147453298762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0.62750395860478658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-0.39000953236289804</v>
      </c>
      <c r="H302" t="s">
        <v>55</v>
      </c>
      <c r="I302">
        <f>VLOOKUP(Table4[[#This Row],[Visitor]],'NHL Model'!$A$6:$B$38,2,FALSE)</f>
        <v>0.14062496747196682</v>
      </c>
      <c r="J302">
        <f>($B$1+Table4[[#This Row],[Home Differential]])-Table4[[#This Row],[Away Differential]]</f>
        <v>-0.42250403793176294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0.46932075993441269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0.22026197570541461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-2.9858233272404857E-2</v>
      </c>
      <c r="H303" t="s">
        <v>25</v>
      </c>
      <c r="I303">
        <f>VLOOKUP(Table4[[#This Row],[Visitor]],'NHL Model'!$A$6:$B$38,2,FALSE)</f>
        <v>0.31465989886768042</v>
      </c>
      <c r="J303">
        <f>($B$1+Table4[[#This Row],[Home Differential]])-Table4[[#This Row],[Away Differential]]</f>
        <v>-0.23638767023698332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0.49637491327130401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0.25363822798248659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0.12350258496936412</v>
      </c>
      <c r="H304" t="s">
        <v>17</v>
      </c>
      <c r="I304">
        <f>VLOOKUP(Table4[[#This Row],[Visitor]],'NHL Model'!$A$6:$B$38,2,FALSE)</f>
        <v>-0.12154868922444324</v>
      </c>
      <c r="J304">
        <f>($B$1+Table4[[#This Row],[Home Differential]])-Table4[[#This Row],[Away Differential]]</f>
        <v>0.35318173609690928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0.61747573417229695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0.14632481394702324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-0.36066890819319958</v>
      </c>
      <c r="H305" t="s">
        <v>18</v>
      </c>
      <c r="I305">
        <f>VLOOKUP(Table4[[#This Row],[Visitor]],'NHL Model'!$A$6:$B$38,2,FALSE)</f>
        <v>-0.18787166436597766</v>
      </c>
      <c r="J305">
        <f>($B$1+Table4[[#This Row],[Home Differential]])-Table4[[#This Row],[Away Differential]]</f>
        <v>-6.4666781924119981E-2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0.50622899050634862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0.2562677908290768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-0.34412098011518399</v>
      </c>
      <c r="H306" t="s">
        <v>38</v>
      </c>
      <c r="I306">
        <f>VLOOKUP(Table4[[#This Row],[Visitor]],'NHL Model'!$A$6:$B$38,2,FALSE)</f>
        <v>-1.2664425175465013</v>
      </c>
      <c r="J306">
        <f>($B$1+Table4[[#This Row],[Home Differential]])-Table4[[#This Row],[Away Differential]]</f>
        <v>1.0304519993344192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0.65062345564403745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0.12206396974611386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-0.12498445042942641</v>
      </c>
      <c r="H307" t="s">
        <v>13</v>
      </c>
      <c r="I307">
        <f>VLOOKUP(Table4[[#This Row],[Visitor]],'NHL Model'!$A$6:$B$38,2,FALSE)</f>
        <v>-0.36406236312551898</v>
      </c>
      <c r="J307">
        <f>($B$1+Table4[[#This Row],[Home Differential]])-Table4[[#This Row],[Away Differential]]</f>
        <v>0.34720837459919451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0.53798757963759569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0.21345547656912697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-0.75050764651940183</v>
      </c>
      <c r="H308" t="s">
        <v>16</v>
      </c>
      <c r="I308">
        <f>VLOOKUP(Table4[[#This Row],[Visitor]],'NHL Model'!$A$6:$B$38,2,FALSE)</f>
        <v>-0.77822387693813933</v>
      </c>
      <c r="J308">
        <f>($B$1+Table4[[#This Row],[Home Differential]])-Table4[[#This Row],[Away Differential]]</f>
        <v>0.13584669232183944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0.55458372690058433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0.19839565634177325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0.24554986733769732</v>
      </c>
      <c r="H309" t="s">
        <v>30</v>
      </c>
      <c r="I309">
        <f>VLOOKUP(Table4[[#This Row],[Visitor]],'NHL Model'!$A$6:$B$38,2,FALSE)</f>
        <v>-6.98902744359894E-2</v>
      </c>
      <c r="J309">
        <f>($B$1+Table4[[#This Row],[Home Differential]])-Table4[[#This Row],[Away Differential]]</f>
        <v>0.42357060367678867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0.5748838914213652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0.33049148861577199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-0.1792260169918948</v>
      </c>
      <c r="H310" t="s">
        <v>32</v>
      </c>
      <c r="I310">
        <f>VLOOKUP(Table4[[#This Row],[Visitor]],'NHL Model'!$A$6:$B$38,2,FALSE)</f>
        <v>-0.42661371358543798</v>
      </c>
      <c r="J310">
        <f>($B$1+Table4[[#This Row],[Home Differential]])-Table4[[#This Row],[Away Differential]]</f>
        <v>0.35551815849664514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0.62106795833417405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0.14358949220103126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-0.46908405058827807</v>
      </c>
      <c r="H311" t="s">
        <v>55</v>
      </c>
      <c r="I311">
        <f>VLOOKUP(Table4[[#This Row],[Visitor]],'NHL Model'!$A$6:$B$38,2,FALSE)</f>
        <v>0.14062496747196682</v>
      </c>
      <c r="J311">
        <f>($B$1+Table4[[#This Row],[Home Differential]])-Table4[[#This Row],[Away Differential]]</f>
        <v>-0.50157855615714297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0.51384661604314352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0.26403834481898975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0.6987740059316554</v>
      </c>
      <c r="H312" t="s">
        <v>24</v>
      </c>
      <c r="I312">
        <f>VLOOKUP(Table4[[#This Row],[Visitor]],'NHL Model'!$A$6:$B$38,2,FALSE)</f>
        <v>-0.55013344272463272</v>
      </c>
      <c r="J312">
        <f>($B$1+Table4[[#This Row],[Home Differential]])-Table4[[#This Row],[Away Differential]]</f>
        <v>1.3570379105593902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0.68629637499305141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9.8409964342500225E-2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-0.38129365484385536</v>
      </c>
      <c r="H313" t="s">
        <v>35</v>
      </c>
      <c r="I313">
        <f>VLOOKUP(Table4[[#This Row],[Visitor]],'NHL Model'!$A$6:$B$38,2,FALSE)</f>
        <v>-1.236228034931707</v>
      </c>
      <c r="J313">
        <f>($B$1+Table4[[#This Row],[Home Differential]])-Table4[[#This Row],[Away Differential]]</f>
        <v>0.96306484199095355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0.64338915437024913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0.12717129522076601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-0.11283731617452618</v>
      </c>
      <c r="H314" t="s">
        <v>15</v>
      </c>
      <c r="I314">
        <f>VLOOKUP(Table4[[#This Row],[Visitor]],'NHL Model'!$A$6:$B$38,2,FALSE)</f>
        <v>-0.62425830840281982</v>
      </c>
      <c r="J314">
        <f>($B$1+Table4[[#This Row],[Home Differential]])-Table4[[#This Row],[Away Differential]]</f>
        <v>0.61955145413139556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0.56265852073903821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0.19126756948216628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-0.41982036690375685</v>
      </c>
      <c r="H315" t="s">
        <v>28</v>
      </c>
      <c r="I315">
        <f>VLOOKUP(Table4[[#This Row],[Visitor]],'NHL Model'!$A$6:$B$38,2,FALSE)</f>
        <v>-0.36066890819319958</v>
      </c>
      <c r="J315">
        <f>($B$1+Table4[[#This Row],[Home Differential]])-Table4[[#This Row],[Away Differential]]</f>
        <v>4.8979003192544668E-2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0.54525810672467945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0.20679018949962302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-0.39000953236289804</v>
      </c>
      <c r="H316" t="s">
        <v>21</v>
      </c>
      <c r="I316">
        <f>VLOOKUP(Table4[[#This Row],[Visitor]],'NHL Model'!$A$6:$B$38,2,FALSE)</f>
        <v>-2.9858233272404857E-2</v>
      </c>
      <c r="J316">
        <f>($B$1+Table4[[#This Row],[Home Differential]])-Table4[[#This Row],[Away Differential]]</f>
        <v>-0.25202083718739127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0.4510186548312346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0.20341782700577635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0.12350258496936412</v>
      </c>
      <c r="H317" t="s">
        <v>16</v>
      </c>
      <c r="I317">
        <f>VLOOKUP(Table4[[#This Row],[Visitor]],'NHL Model'!$A$6:$B$38,2,FALSE)</f>
        <v>-0.77822387693813933</v>
      </c>
      <c r="J317">
        <f>($B$1+Table4[[#This Row],[Home Differential]])-Table4[[#This Row],[Away Differential]]</f>
        <v>1.0098569238106054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0.69023066749451001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0.47641837434991685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4.6716977502832858E-2</v>
      </c>
      <c r="H318" t="s">
        <v>25</v>
      </c>
      <c r="I318">
        <f>VLOOKUP(Table4[[#This Row],[Visitor]],'NHL Model'!$A$6:$B$38,2,FALSE)</f>
        <v>0.31465989886768042</v>
      </c>
      <c r="J318">
        <f>($B$1+Table4[[#This Row],[Home Differential]])-Table4[[#This Row],[Away Differential]]</f>
        <v>-0.1598124594617456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0.53644438894356083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0.28777258242903037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-0.12498445042942641</v>
      </c>
      <c r="H319" t="s">
        <v>17</v>
      </c>
      <c r="I319">
        <f>VLOOKUP(Table4[[#This Row],[Visitor]],'NHL Model'!$A$6:$B$38,2,FALSE)</f>
        <v>-0.12154868922444324</v>
      </c>
      <c r="J319">
        <f>($B$1+Table4[[#This Row],[Home Differential]])-Table4[[#This Row],[Away Differential]]</f>
        <v>0.10469470069811879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0.54893501689563129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0.20345961898294443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-0.39000953236289804</v>
      </c>
      <c r="H320" t="s">
        <v>36</v>
      </c>
      <c r="I320">
        <f>VLOOKUP(Table4[[#This Row],[Visitor]],'NHL Model'!$A$6:$B$38,2,FALSE)</f>
        <v>-0.179282670690569</v>
      </c>
      <c r="J320">
        <f>($B$1+Table4[[#This Row],[Home Differential]])-Table4[[#This Row],[Away Differential]]</f>
        <v>-0.1025963997692271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0.43579292599776132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0.31832962235416762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-0.75050764651940183</v>
      </c>
      <c r="H321" t="s">
        <v>32</v>
      </c>
      <c r="I321">
        <f>VLOOKUP(Table4[[#This Row],[Visitor]],'NHL Model'!$A$6:$B$38,2,FALSE)</f>
        <v>-0.42661371358543798</v>
      </c>
      <c r="J321">
        <f>($B$1+Table4[[#This Row],[Home Differential]])-Table4[[#This Row],[Away Differential]]</f>
        <v>-0.21576347103086191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0.48316313693660945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0.26712034302120596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1.1504937678265921</v>
      </c>
      <c r="H322" t="s">
        <v>15</v>
      </c>
      <c r="I322">
        <f>VLOOKUP(Table4[[#This Row],[Visitor]],'NHL Model'!$A$6:$B$38,2,FALSE)</f>
        <v>-0.62425830840281982</v>
      </c>
      <c r="J322">
        <f>($B$1+Table4[[#This Row],[Home Differential]])-Table4[[#This Row],[Away Differential]]</f>
        <v>1.882882538132514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0.78593968468907593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4.5821818591012232E-2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-0.1792260169918948</v>
      </c>
      <c r="H323" t="s">
        <v>30</v>
      </c>
      <c r="I323">
        <f>VLOOKUP(Table4[[#This Row],[Visitor]],'NHL Model'!$A$6:$B$38,2,FALSE)</f>
        <v>-6.98902744359894E-2</v>
      </c>
      <c r="J323">
        <f>($B$1+Table4[[#This Row],[Home Differential]])-Table4[[#This Row],[Away Differential]]</f>
        <v>-1.2052806528034532E-3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0.44659864035536517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0.30625306485653042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-0.34412098011518399</v>
      </c>
      <c r="H324" t="s">
        <v>24</v>
      </c>
      <c r="I324">
        <f>VLOOKUP(Table4[[#This Row],[Visitor]],'NHL Model'!$A$6:$B$38,2,FALSE)</f>
        <v>-0.55013344272463272</v>
      </c>
      <c r="J324">
        <f>($B$1+Table4[[#This Row],[Home Differential]])-Table4[[#This Row],[Away Differential]]</f>
        <v>0.31414292451255066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0.5444878039384089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0.20749136076085342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-0.18787166436597766</v>
      </c>
      <c r="H325" t="s">
        <v>22</v>
      </c>
      <c r="I325">
        <f>VLOOKUP(Table4[[#This Row],[Visitor]],'NHL Model'!$A$6:$B$38,2,FALSE)</f>
        <v>-0.12498445042942641</v>
      </c>
      <c r="J325">
        <f>($B$1+Table4[[#This Row],[Home Differential]])-Table4[[#This Row],[Away Differential]]</f>
        <v>4.5243247966550701E-2</v>
      </c>
      <c r="K325" t="str">
        <f>IF(Table4[[#This Row],[HomeIce Differential]]&gt;0,Table4[[#This Row],[Home]],Table4[[#This Row],[Visitor]])</f>
        <v>Montreal Canadiens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0.55190300918805379</v>
      </c>
      <c r="M325" t="str">
        <f>IF(OR((NHL2025_26Results[[#This Row],[Winning Team]]="")),"-",IF(Table4[[#This Row],[Predicted Winner]]=NHL2025_26Results[[#This Row],[Winning Team]],"YES","NO"))</f>
        <v>NO</v>
      </c>
      <c r="N325">
        <f>IF(Table4[[#This Row],[Adjusted Correct]]="-", "",IF(Table4[[#This Row],[Adjusted Correct]]="YES",(Table4[[#This Row],[Strength of Win]]-1)^2,(Table4[[#This Row],[Strength of Win]]-0)^2))</f>
        <v>0.30459693155082901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-0.39747316405117561</v>
      </c>
      <c r="H326" t="s">
        <v>35</v>
      </c>
      <c r="I326">
        <f>VLOOKUP(Table4[[#This Row],[Visitor]],'NHL Model'!$A$6:$B$38,2,FALSE)</f>
        <v>-1.236228034931707</v>
      </c>
      <c r="J326">
        <f>($B$1+Table4[[#This Row],[Home Differential]])-Table4[[#This Row],[Away Differential]]</f>
        <v>0.94688533278363329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0.64165221444457154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0.12841313541247934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-0.46908405058827807</v>
      </c>
      <c r="H327" t="s">
        <v>13</v>
      </c>
      <c r="I327">
        <f>VLOOKUP(Table4[[#This Row],[Visitor]],'NHL Model'!$A$6:$B$38,2,FALSE)</f>
        <v>-0.36406236312551898</v>
      </c>
      <c r="J327">
        <f>($B$1+Table4[[#This Row],[Home Differential]])-Table4[[#This Row],[Away Differential]]</f>
        <v>3.1087744403428541E-3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0.50104700707342897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0.24895408915038283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0.6987740059316554</v>
      </c>
      <c r="H328" t="s">
        <v>17</v>
      </c>
      <c r="I328">
        <f>VLOOKUP(Table4[[#This Row],[Visitor]],'NHL Model'!$A$6:$B$38,2,FALSE)</f>
        <v>-0.12154868922444324</v>
      </c>
      <c r="J328">
        <f>($B$1+Table4[[#This Row],[Home Differential]])-Table4[[#This Row],[Away Differential]]</f>
        <v>0.92845315705920062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0.66696721821078098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0.11091083374626558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-0.38129365484385536</v>
      </c>
      <c r="H329" t="s">
        <v>28</v>
      </c>
      <c r="I329">
        <f>VLOOKUP(Table4[[#This Row],[Visitor]],'NHL Model'!$A$6:$B$38,2,FALSE)</f>
        <v>-0.36066890819319958</v>
      </c>
      <c r="J329">
        <f>($B$1+Table4[[#This Row],[Home Differential]])-Table4[[#This Row],[Away Differential]]</f>
        <v>8.7505715252446159E-2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0.54939411502532998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0.3018338936244655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0.14062496747196682</v>
      </c>
      <c r="H330" t="s">
        <v>20</v>
      </c>
      <c r="I330">
        <f>VLOOKUP(Table4[[#This Row],[Visitor]],'NHL Model'!$A$6:$B$38,2,FALSE)</f>
        <v>-0.11283731617452618</v>
      </c>
      <c r="J330">
        <f>($B$1+Table4[[#This Row],[Home Differential]])-Table4[[#This Row],[Away Differential]]</f>
        <v>0.36159274554959497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0.60367209347140471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0.36441999643614836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-1.2664425175465013</v>
      </c>
      <c r="H331" t="s">
        <v>39</v>
      </c>
      <c r="I331">
        <f>VLOOKUP(Table4[[#This Row],[Visitor]],'NHL Model'!$A$6:$B$38,2,FALSE)</f>
        <v>0.24554986733769732</v>
      </c>
      <c r="J331">
        <f>($B$1+Table4[[#This Row],[Home Differential]])-Table4[[#This Row],[Away Differential]]</f>
        <v>-1.4038619229810965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0.65608016902669131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0.11828085013670922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0.12350258496936412</v>
      </c>
      <c r="H332" t="s">
        <v>10</v>
      </c>
      <c r="I332">
        <f>VLOOKUP(Table4[[#This Row],[Visitor]],'NHL Model'!$A$6:$B$38,2,FALSE)</f>
        <v>-0.75050764651940183</v>
      </c>
      <c r="J332">
        <f>($B$1+Table4[[#This Row],[Home Differential]])-Table4[[#This Row],[Away Differential]]</f>
        <v>0.98214069339186794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0.68725521091009123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9.7809303102891515E-2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-0.36406236312551898</v>
      </c>
      <c r="H333" t="s">
        <v>21</v>
      </c>
      <c r="I333">
        <f>VLOOKUP(Table4[[#This Row],[Visitor]],'NHL Model'!$A$6:$B$38,2,FALSE)</f>
        <v>-2.9858233272404857E-2</v>
      </c>
      <c r="J333">
        <f>($B$1+Table4[[#This Row],[Home Differential]])-Table4[[#This Row],[Away Differential]]</f>
        <v>-0.22607366795001219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0.48426998093546003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0.26597745256431077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3.6611055984458557E-5</v>
      </c>
      <c r="H334" t="s">
        <v>34</v>
      </c>
      <c r="I334">
        <f>VLOOKUP(Table4[[#This Row],[Visitor]],'NHL Model'!$A$6:$B$38,2,FALSE)</f>
        <v>4.6716977502832858E-2</v>
      </c>
      <c r="J334">
        <f>($B$1+Table4[[#This Row],[Home Differential]])-Table4[[#This Row],[Away Differential]]</f>
        <v>6.1450095456253552E-2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0.49006800651617705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0.24016665101073975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-0.41982036690375685</v>
      </c>
      <c r="H335" t="s">
        <v>25</v>
      </c>
      <c r="I335">
        <f>VLOOKUP(Table4[[#This Row],[Visitor]],'NHL Model'!$A$6:$B$38,2,FALSE)</f>
        <v>0.31465989886768042</v>
      </c>
      <c r="J335">
        <f>($B$1+Table4[[#This Row],[Home Differential]])-Table4[[#This Row],[Away Differential]]</f>
        <v>-0.62634980386833528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0.58652918014061306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0.1709581188751936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-0.39000953236289804</v>
      </c>
      <c r="H336" t="s">
        <v>20</v>
      </c>
      <c r="I336">
        <f>VLOOKUP(Table4[[#This Row],[Visitor]],'NHL Model'!$A$6:$B$38,2,FALSE)</f>
        <v>-0.11283731617452618</v>
      </c>
      <c r="J336">
        <f>($B$1+Table4[[#This Row],[Home Differential]])-Table4[[#This Row],[Away Differential]]</f>
        <v>-0.16904175428526991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0.45329380313862044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0.20547527196387438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-0.77822387693813933</v>
      </c>
      <c r="H337" t="s">
        <v>39</v>
      </c>
      <c r="I337">
        <f>VLOOKUP(Table4[[#This Row],[Visitor]],'NHL Model'!$A$6:$B$38,2,FALSE)</f>
        <v>0.24554986733769732</v>
      </c>
      <c r="J337">
        <f>($B$1+Table4[[#This Row],[Home Differential]])-Table4[[#This Row],[Away Differential]]</f>
        <v>-0.91564328237273473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0.60366779739869125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0.36441480961618733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-0.1792260169918948</v>
      </c>
      <c r="H338" t="s">
        <v>28</v>
      </c>
      <c r="I338">
        <f>VLOOKUP(Table4[[#This Row],[Visitor]],'NHL Model'!$A$6:$B$38,2,FALSE)</f>
        <v>-0.36066890819319958</v>
      </c>
      <c r="J338">
        <f>($B$1+Table4[[#This Row],[Home Differential]])-Table4[[#This Row],[Away Differential]]</f>
        <v>0.28957335310440674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0.61398849974806347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0.1490048783267508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-0.34412098011518399</v>
      </c>
      <c r="H339" t="s">
        <v>17</v>
      </c>
      <c r="I339">
        <f>VLOOKUP(Table4[[#This Row],[Visitor]],'NHL Model'!$A$6:$B$38,2,FALSE)</f>
        <v>-0.12154868922444324</v>
      </c>
      <c r="J339">
        <f>($B$1+Table4[[#This Row],[Home Differential]])-Table4[[#This Row],[Away Differential]]</f>
        <v>-0.11444182898763881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0.47459023240015202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0.27605542388932619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-0.18787166436597766</v>
      </c>
      <c r="H340" t="s">
        <v>19</v>
      </c>
      <c r="I340">
        <f>VLOOKUP(Table4[[#This Row],[Visitor]],'NHL Model'!$A$6:$B$38,2,FALSE)</f>
        <v>-0.38129365484385536</v>
      </c>
      <c r="J340">
        <f>($B$1+Table4[[#This Row],[Home Differential]])-Table4[[#This Row],[Away Differential]]</f>
        <v>0.30155245238097966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0.57941890505124016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0.17688845742829773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-0.72584022159035511</v>
      </c>
      <c r="H341" t="s">
        <v>12</v>
      </c>
      <c r="I341">
        <f>VLOOKUP(Table4[[#This Row],[Visitor]],'NHL Model'!$A$6:$B$38,2,FALSE)</f>
        <v>1.1504937678265921</v>
      </c>
      <c r="J341">
        <f>($B$1+Table4[[#This Row],[Home Differential]])-Table4[[#This Row],[Away Differential]]</f>
        <v>-1.7682035275138452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0.71614004584069757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8.0576473575321272E-2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-6.98902744359894E-2</v>
      </c>
      <c r="H342" t="s">
        <v>35</v>
      </c>
      <c r="I342">
        <f>VLOOKUP(Table4[[#This Row],[Visitor]],'NHL Model'!$A$6:$B$38,2,FALSE)</f>
        <v>-1.236228034931707</v>
      </c>
      <c r="J342">
        <f>($B$1+Table4[[#This Row],[Home Differential]])-Table4[[#This Row],[Away Differential]]</f>
        <v>1.2744682223988195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0.69319946902725338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0.48052550385966603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-0.39747316405117561</v>
      </c>
      <c r="H343" t="s">
        <v>24</v>
      </c>
      <c r="I343">
        <f>VLOOKUP(Table4[[#This Row],[Visitor]],'NHL Model'!$A$6:$B$38,2,FALSE)</f>
        <v>-0.55013344272463272</v>
      </c>
      <c r="J343">
        <f>($B$1+Table4[[#This Row],[Home Differential]])-Table4[[#This Row],[Away Differential]]</f>
        <v>0.26079074057655904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0.53876021744532832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0.21274213701108083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3.6611055984458557E-5</v>
      </c>
      <c r="H344" t="s">
        <v>32</v>
      </c>
      <c r="I344">
        <f>VLOOKUP(Table4[[#This Row],[Visitor]],'NHL Model'!$A$6:$B$38,2,FALSE)</f>
        <v>-0.42661371358543798</v>
      </c>
      <c r="J344">
        <f>($B$1+Table4[[#This Row],[Home Differential]])-Table4[[#This Row],[Away Differential]]</f>
        <v>0.53478078654452443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0.59741101832768861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0.35689992481932592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-0.46908405058827807</v>
      </c>
      <c r="H345" t="s">
        <v>36</v>
      </c>
      <c r="I345">
        <f>VLOOKUP(Table4[[#This Row],[Visitor]],'NHL Model'!$A$6:$B$38,2,FALSE)</f>
        <v>-0.179282670690569</v>
      </c>
      <c r="J345">
        <f>($B$1+Table4[[#This Row],[Home Differential]])-Table4[[#This Row],[Away Differential]]</f>
        <v>-0.18167091799460713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0.48033264777265583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0.27005415697097856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0.14062496747196682</v>
      </c>
      <c r="H346" t="s">
        <v>15</v>
      </c>
      <c r="I346">
        <f>VLOOKUP(Table4[[#This Row],[Visitor]],'NHL Model'!$A$6:$B$38,2,FALSE)</f>
        <v>-0.62425830840281982</v>
      </c>
      <c r="J346">
        <f>($B$1+Table4[[#This Row],[Home Differential]])-Table4[[#This Row],[Away Differential]]</f>
        <v>0.8730137377778886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0.6263678289984369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0.13960099920734129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-0.12498445042942641</v>
      </c>
      <c r="H347" t="s">
        <v>37</v>
      </c>
      <c r="I347">
        <f>VLOOKUP(Table4[[#This Row],[Visitor]],'NHL Model'!$A$6:$B$38,2,FALSE)</f>
        <v>0.6987740059316554</v>
      </c>
      <c r="J347">
        <f>($B$1+Table4[[#This Row],[Home Differential]])-Table4[[#This Row],[Away Differential]]</f>
        <v>-0.71562799445797987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0.63368389190551666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0.13418749104948921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0.12350258496936412</v>
      </c>
      <c r="H348" t="s">
        <v>25</v>
      </c>
      <c r="I348">
        <f>VLOOKUP(Table4[[#This Row],[Visitor]],'NHL Model'!$A$6:$B$38,2,FALSE)</f>
        <v>0.31465989886768042</v>
      </c>
      <c r="J348">
        <f>($B$1+Table4[[#This Row],[Home Differential]])-Table4[[#This Row],[Away Differential]]</f>
        <v>-8.3026851995214368E-2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0.48575252684159609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0.23595551733299552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-0.75050764651940183</v>
      </c>
      <c r="H349" t="s">
        <v>12</v>
      </c>
      <c r="I349">
        <f>VLOOKUP(Table4[[#This Row],[Visitor]],'NHL Model'!$A$6:$B$38,2,FALSE)</f>
        <v>1.1504937678265921</v>
      </c>
      <c r="J349">
        <f>($B$1+Table4[[#This Row],[Home Differential]])-Table4[[#This Row],[Away Differential]]</f>
        <v>-1.7928709524428919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0.718788200038325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7.9080076437685123E-2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-6.98902744359894E-2</v>
      </c>
      <c r="H350" t="s">
        <v>32</v>
      </c>
      <c r="I350">
        <f>VLOOKUP(Table4[[#This Row],[Visitor]],'NHL Model'!$A$6:$B$38,2,FALSE)</f>
        <v>-0.42661371358543798</v>
      </c>
      <c r="J350">
        <f>($B$1+Table4[[#This Row],[Home Differential]])-Table4[[#This Row],[Away Differential]]</f>
        <v>0.46485390105255053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0.60628388826844493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0.15501237663701437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-0.46908405058827807</v>
      </c>
      <c r="H351" t="s">
        <v>21</v>
      </c>
      <c r="I351">
        <f>VLOOKUP(Table4[[#This Row],[Visitor]],'NHL Model'!$A$6:$B$38,2,FALSE)</f>
        <v>-2.9858233272404857E-2</v>
      </c>
      <c r="J351">
        <f>($B$1+Table4[[#This Row],[Home Differential]])-Table4[[#This Row],[Away Differential]]</f>
        <v>-0.3310953554127713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0.49554451093996543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0.24556436232272952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-1.2664425175465013</v>
      </c>
      <c r="H352" t="s">
        <v>16</v>
      </c>
      <c r="I352">
        <f>VLOOKUP(Table4[[#This Row],[Visitor]],'NHL Model'!$A$6:$B$38,2,FALSE)</f>
        <v>-0.77822387693813933</v>
      </c>
      <c r="J352">
        <f>($B$1+Table4[[#This Row],[Home Differential]])-Table4[[#This Row],[Away Differential]]</f>
        <v>-0.3800881787052599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0.50080410131183473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0.24919654526708496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-0.41982036690375685</v>
      </c>
      <c r="H353" t="s">
        <v>34</v>
      </c>
      <c r="I353">
        <f>VLOOKUP(Table4[[#This Row],[Visitor]],'NHL Model'!$A$6:$B$38,2,FALSE)</f>
        <v>4.6716977502832858E-2</v>
      </c>
      <c r="J353">
        <f>($B$1+Table4[[#This Row],[Home Differential]])-Table4[[#This Row],[Away Differential]]</f>
        <v>-0.35840688250348779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0.55500544650072148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0.19802015264402226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-0.36406236312551898</v>
      </c>
      <c r="H354" t="s">
        <v>36</v>
      </c>
      <c r="I354">
        <f>VLOOKUP(Table4[[#This Row],[Visitor]],'NHL Model'!$A$6:$B$38,2,FALSE)</f>
        <v>-0.179282670690569</v>
      </c>
      <c r="J354">
        <f>($B$1+Table4[[#This Row],[Home Differential]])-Table4[[#This Row],[Away Differential]]</f>
        <v>-7.664923053184805E-2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0.46905811776815043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0.22001551784420006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-0.55013344272463272</v>
      </c>
      <c r="H355" t="s">
        <v>26</v>
      </c>
      <c r="I355">
        <f>VLOOKUP(Table4[[#This Row],[Visitor]],'NHL Model'!$A$6:$B$38,2,FALSE)</f>
        <v>-0.1792260169918948</v>
      </c>
      <c r="J355">
        <f>($B$1+Table4[[#This Row],[Home Differential]])-Table4[[#This Row],[Away Differential]]</f>
        <v>-0.262776963829636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0.52749697090214831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0.27825305431094188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-0.72584022159035511</v>
      </c>
      <c r="H356" t="s">
        <v>11</v>
      </c>
      <c r="I356">
        <f>VLOOKUP(Table4[[#This Row],[Visitor]],'NHL Model'!$A$6:$B$38,2,FALSE)</f>
        <v>-0.34412098011518399</v>
      </c>
      <c r="J356">
        <f>($B$1+Table4[[#This Row],[Home Differential]])-Table4[[#This Row],[Away Differential]]</f>
        <v>-0.27358877957206917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0.54865876642955325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0.20370890912089257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-0.62425830840281982</v>
      </c>
      <c r="H357" t="s">
        <v>35</v>
      </c>
      <c r="I357">
        <f>VLOOKUP(Table4[[#This Row],[Visitor]],'NHL Model'!$A$6:$B$38,2,FALSE)</f>
        <v>-1.236228034931707</v>
      </c>
      <c r="J357">
        <f>($B$1+Table4[[#This Row],[Home Differential]])-Table4[[#This Row],[Away Differential]]</f>
        <v>0.72010018843198909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0.61730585345627209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0.1464548097988323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0.6987740059316554</v>
      </c>
      <c r="H358" t="s">
        <v>27</v>
      </c>
      <c r="I358">
        <f>VLOOKUP(Table4[[#This Row],[Visitor]],'NHL Model'!$A$6:$B$38,2,FALSE)</f>
        <v>-0.39747316405117561</v>
      </c>
      <c r="J358">
        <f>($B$1+Table4[[#This Row],[Home Differential]])-Table4[[#This Row],[Away Differential]]</f>
        <v>1.2043776318859329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0.69804512061276081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9.1176749185762171E-2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0.14062496747196682</v>
      </c>
      <c r="H359" t="s">
        <v>20</v>
      </c>
      <c r="I359">
        <f>VLOOKUP(Table4[[#This Row],[Visitor]],'NHL Model'!$A$6:$B$38,2,FALSE)</f>
        <v>-0.11283731617452618</v>
      </c>
      <c r="J359">
        <f>($B$1+Table4[[#This Row],[Home Differential]])-Table4[[#This Row],[Away Differential]]</f>
        <v>0.36159274554959497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0.60367209347140471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0.15707580949333896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-0.12498445042942641</v>
      </c>
      <c r="H360" t="s">
        <v>28</v>
      </c>
      <c r="I360">
        <f>VLOOKUP(Table4[[#This Row],[Visitor]],'NHL Model'!$A$6:$B$38,2,FALSE)</f>
        <v>-0.36066890819319958</v>
      </c>
      <c r="J360">
        <f>($B$1+Table4[[#This Row],[Home Differential]])-Table4[[#This Row],[Away Differential]]</f>
        <v>0.34381491966687511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0.57691001088851634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0.17900513888635536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-0.12154868922444324</v>
      </c>
      <c r="H361" t="s">
        <v>39</v>
      </c>
      <c r="I361">
        <f>VLOOKUP(Table4[[#This Row],[Visitor]],'NHL Model'!$A$6:$B$38,2,FALSE)</f>
        <v>0.24554986733769732</v>
      </c>
      <c r="J361">
        <f>($B$1+Table4[[#This Row],[Home Differential]])-Table4[[#This Row],[Away Differential]]</f>
        <v>-0.25896809465903858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0.53317089065533263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0.2179294173315354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-0.39000953236289804</v>
      </c>
      <c r="H362" t="s">
        <v>38</v>
      </c>
      <c r="I362">
        <f>VLOOKUP(Table4[[#This Row],[Visitor]],'NHL Model'!$A$6:$B$38,2,FALSE)</f>
        <v>-1.2664425175465013</v>
      </c>
      <c r="J362">
        <f>($B$1+Table4[[#This Row],[Home Differential]])-Table4[[#This Row],[Away Differential]]</f>
        <v>0.98456344708670518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0.68173398848438516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0.46476123105482781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0.31465989886768042</v>
      </c>
      <c r="H363" t="s">
        <v>15</v>
      </c>
      <c r="I363">
        <f>VLOOKUP(Table4[[#This Row],[Visitor]],'NHL Model'!$A$6:$B$38,2,FALSE)</f>
        <v>-0.62425830840281982</v>
      </c>
      <c r="J363">
        <f>($B$1+Table4[[#This Row],[Home Differential]])-Table4[[#This Row],[Away Differential]]</f>
        <v>1.0470486691736021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0.65205701708255537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0.42517835352659988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-0.36066890819319958</v>
      </c>
      <c r="H364" t="s">
        <v>19</v>
      </c>
      <c r="I364">
        <f>VLOOKUP(Table4[[#This Row],[Visitor]],'NHL Model'!$A$6:$B$38,2,FALSE)</f>
        <v>-0.38129365484385536</v>
      </c>
      <c r="J364">
        <f>($B$1+Table4[[#This Row],[Home Differential]])-Table4[[#This Row],[Away Differential]]</f>
        <v>0.12875520855375772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0.55382242560700101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0.30671927910522218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-0.75050764651940183</v>
      </c>
      <c r="H365" t="s">
        <v>34</v>
      </c>
      <c r="I365">
        <f>VLOOKUP(Table4[[#This Row],[Visitor]],'NHL Model'!$A$6:$B$38,2,FALSE)</f>
        <v>4.6716977502832858E-2</v>
      </c>
      <c r="J365">
        <f>($B$1+Table4[[#This Row],[Home Differential]])-Table4[[#This Row],[Away Differential]]</f>
        <v>-0.68909416211913277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0.59050614874812091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0.16768521421309607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1.1504937678265921</v>
      </c>
      <c r="H366" t="s">
        <v>33</v>
      </c>
      <c r="I366">
        <f>VLOOKUP(Table4[[#This Row],[Visitor]],'NHL Model'!$A$6:$B$38,2,FALSE)</f>
        <v>-0.46908405058827807</v>
      </c>
      <c r="J366">
        <f>($B$1+Table4[[#This Row],[Home Differential]])-Table4[[#This Row],[Away Differential]]</f>
        <v>1.7277082803179722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0.78213562856708574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4.7464884339858827E-2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-0.1792260169918948</v>
      </c>
      <c r="H367" t="s">
        <v>29</v>
      </c>
      <c r="I367">
        <f>VLOOKUP(Table4[[#This Row],[Visitor]],'NHL Model'!$A$6:$B$38,2,FALSE)</f>
        <v>-0.72584022159035511</v>
      </c>
      <c r="J367">
        <f>($B$1+Table4[[#This Row],[Home Differential]])-Table4[[#This Row],[Away Differential]]</f>
        <v>0.65474466650156227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0.65319121138932146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0.42665875863624925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-0.34412098011518399</v>
      </c>
      <c r="H368" t="s">
        <v>27</v>
      </c>
      <c r="I368">
        <f>VLOOKUP(Table4[[#This Row],[Visitor]],'NHL Model'!$A$6:$B$38,2,FALSE)</f>
        <v>-0.39747316405117561</v>
      </c>
      <c r="J368">
        <f>($B$1+Table4[[#This Row],[Home Differential]])-Table4[[#This Row],[Away Differential]]</f>
        <v>0.16148264583909355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0.55650636372168838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0.3096993328627361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-0.55013344272463272</v>
      </c>
      <c r="H369" t="s">
        <v>35</v>
      </c>
      <c r="I369">
        <f>VLOOKUP(Table4[[#This Row],[Visitor]],'NHL Model'!$A$6:$B$38,2,FALSE)</f>
        <v>-1.236228034931707</v>
      </c>
      <c r="J369">
        <f>($B$1+Table4[[#This Row],[Home Differential]])-Table4[[#This Row],[Away Differential]]</f>
        <v>0.79422505411017619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0.62526347670875504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0.14042746188840977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-6.98902744359894E-2</v>
      </c>
      <c r="H370" t="s">
        <v>21</v>
      </c>
      <c r="I370">
        <f>VLOOKUP(Table4[[#This Row],[Visitor]],'NHL Model'!$A$6:$B$38,2,FALSE)</f>
        <v>-2.9858233272404857E-2</v>
      </c>
      <c r="J370">
        <f>($B$1+Table4[[#This Row],[Home Differential]])-Table4[[#This Row],[Away Differential]]</f>
        <v>6.8098420739517412E-2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0.56369048041801917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0.31774695771389727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3.6611055984458557E-5</v>
      </c>
      <c r="H371" t="s">
        <v>23</v>
      </c>
      <c r="I371">
        <f>VLOOKUP(Table4[[#This Row],[Visitor]],'NHL Model'!$A$6:$B$38,2,FALSE)</f>
        <v>0.12350258496936412</v>
      </c>
      <c r="J371">
        <f>($B$1+Table4[[#This Row],[Home Differential]])-Table4[[#This Row],[Away Differential]]</f>
        <v>-1.5335512010277705E-2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0.49149937728205451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0.24157163786864735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-0.42661371358543798</v>
      </c>
      <c r="H372" t="s">
        <v>39</v>
      </c>
      <c r="I372">
        <f>VLOOKUP(Table4[[#This Row],[Visitor]],'NHL Model'!$A$6:$B$38,2,FALSE)</f>
        <v>0.24554986733769732</v>
      </c>
      <c r="J372">
        <f>($B$1+Table4[[#This Row],[Home Differential]])-Table4[[#This Row],[Away Differential]]</f>
        <v>-0.56403311902003339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0.56592093356149753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0.18842463592012185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0.6987740059316554</v>
      </c>
      <c r="H373" t="s">
        <v>16</v>
      </c>
      <c r="I373">
        <f>VLOOKUP(Table4[[#This Row],[Visitor]],'NHL Model'!$A$6:$B$38,2,FALSE)</f>
        <v>-0.77822387693813933</v>
      </c>
      <c r="J373">
        <f>($B$1+Table4[[#This Row],[Home Differential]])-Table4[[#This Row],[Away Differential]]</f>
        <v>1.5851283447728965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0.73973910290498734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6.7735734556700761E-2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0.14062496747196682</v>
      </c>
      <c r="H374" t="s">
        <v>18</v>
      </c>
      <c r="I374">
        <f>VLOOKUP(Table4[[#This Row],[Visitor]],'NHL Model'!$A$6:$B$38,2,FALSE)</f>
        <v>-0.18787166436597766</v>
      </c>
      <c r="J374">
        <f>($B$1+Table4[[#This Row],[Home Differential]])-Table4[[#This Row],[Away Differential]]</f>
        <v>0.43662709374104647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0.58406387974400387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0.34113061562161823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-0.11283731617452618</v>
      </c>
      <c r="H375" t="s">
        <v>36</v>
      </c>
      <c r="I375">
        <f>VLOOKUP(Table4[[#This Row],[Visitor]],'NHL Model'!$A$6:$B$38,2,FALSE)</f>
        <v>-0.179282670690569</v>
      </c>
      <c r="J375">
        <f>($B$1+Table4[[#This Row],[Home Differential]])-Table4[[#This Row],[Away Differential]]</f>
        <v>0.17457581641914477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0.55791197191676944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0.31126576840805814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-0.12498445042942641</v>
      </c>
      <c r="H376" t="s">
        <v>40</v>
      </c>
      <c r="I376">
        <f>VLOOKUP(Table4[[#This Row],[Visitor]],'NHL Model'!$A$6:$B$38,2,FALSE)</f>
        <v>-0.41982036690375685</v>
      </c>
      <c r="J376">
        <f>($B$1+Table4[[#This Row],[Home Differential]])-Table4[[#This Row],[Away Differential]]</f>
        <v>0.40296637837743238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0.58326017448000245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0.173672082174438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-0.39000953236289804</v>
      </c>
      <c r="H377" t="s">
        <v>13</v>
      </c>
      <c r="I377">
        <f>VLOOKUP(Table4[[#This Row],[Visitor]],'NHL Model'!$A$6:$B$38,2,FALSE)</f>
        <v>-0.36406236312551898</v>
      </c>
      <c r="J377">
        <f>($B$1+Table4[[#This Row],[Home Differential]])-Table4[[#This Row],[Away Differential]]</f>
        <v>8.2183292665722885E-2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0.54601281270557211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0.20610436622750594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-2.9858233272404857E-2</v>
      </c>
      <c r="H378" t="s">
        <v>15</v>
      </c>
      <c r="I378">
        <f>VLOOKUP(Table4[[#This Row],[Visitor]],'NHL Model'!$A$6:$B$38,2,FALSE)</f>
        <v>-0.62425830840281982</v>
      </c>
      <c r="J378">
        <f>($B$1+Table4[[#This Row],[Home Differential]])-Table4[[#This Row],[Away Differential]]</f>
        <v>0.70253053703351687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0.6197819678370492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0.38412968765596506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0.12350258496936412</v>
      </c>
      <c r="H379" t="s">
        <v>24</v>
      </c>
      <c r="I379">
        <f>VLOOKUP(Table4[[#This Row],[Visitor]],'NHL Model'!$A$6:$B$38,2,FALSE)</f>
        <v>-0.55013344272463272</v>
      </c>
      <c r="J379">
        <f>($B$1+Table4[[#This Row],[Home Differential]])-Table4[[#This Row],[Away Differential]]</f>
        <v>0.78176648959709882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0.63696532874409018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0.40572483002206688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0.31465989886768042</v>
      </c>
      <c r="H380" t="s">
        <v>40</v>
      </c>
      <c r="I380">
        <f>VLOOKUP(Table4[[#This Row],[Visitor]],'NHL Model'!$A$6:$B$38,2,FALSE)</f>
        <v>-0.41982036690375685</v>
      </c>
      <c r="J380">
        <f>($B$1+Table4[[#This Row],[Home Differential]])-Table4[[#This Row],[Away Differential]]</f>
        <v>0.84261072767453915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0.67335944134919579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0.10669405455570946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-0.36066890819319958</v>
      </c>
      <c r="H381" t="s">
        <v>14</v>
      </c>
      <c r="I381">
        <f>VLOOKUP(Table4[[#This Row],[Visitor]],'NHL Model'!$A$6:$B$38,2,FALSE)</f>
        <v>3.6611055984458557E-5</v>
      </c>
      <c r="J381">
        <f>($B$1+Table4[[#This Row],[Home Differential]])-Table4[[#This Row],[Away Differential]]</f>
        <v>-0.2525750573460821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0.54364394472908162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0.20826084918243351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-0.75050764651940183</v>
      </c>
      <c r="H382" t="s">
        <v>29</v>
      </c>
      <c r="I382">
        <f>VLOOKUP(Table4[[#This Row],[Visitor]],'NHL Model'!$A$6:$B$38,2,FALSE)</f>
        <v>-0.72584022159035511</v>
      </c>
      <c r="J382">
        <f>($B$1+Table4[[#This Row],[Home Differential]])-Table4[[#This Row],[Away Differential]]</f>
        <v>8.3463036974055216E-2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0.54896011611853801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0.30135720908887875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0.24554986733769732</v>
      </c>
      <c r="H383" t="s">
        <v>55</v>
      </c>
      <c r="I383">
        <f>VLOOKUP(Table4[[#This Row],[Visitor]],'NHL Model'!$A$6:$B$38,2,FALSE)</f>
        <v>0.14062496747196682</v>
      </c>
      <c r="J383">
        <f>($B$1+Table4[[#This Row],[Home Differential]])-Table4[[#This Row],[Away Differential]]</f>
        <v>0.21305536176883247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0.58197784106560568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0.17474252536017201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-0.1792260169918948</v>
      </c>
      <c r="H384" t="s">
        <v>37</v>
      </c>
      <c r="I384">
        <f>VLOOKUP(Table4[[#This Row],[Visitor]],'NHL Model'!$A$6:$B$38,2,FALSE)</f>
        <v>0.6987740059316554</v>
      </c>
      <c r="J384">
        <f>($B$1+Table4[[#This Row],[Home Differential]])-Table4[[#This Row],[Away Differential]]</f>
        <v>-0.76986956102044823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0.59616232324967733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0.16308486916309811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-0.34412098011518399</v>
      </c>
      <c r="H385" t="s">
        <v>16</v>
      </c>
      <c r="I385">
        <f>VLOOKUP(Table4[[#This Row],[Visitor]],'NHL Model'!$A$6:$B$38,2,FALSE)</f>
        <v>-0.77822387693813933</v>
      </c>
      <c r="J385">
        <f>($B$1+Table4[[#This Row],[Home Differential]])-Table4[[#This Row],[Away Differential]]</f>
        <v>0.54223335872605727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0.59821108401603729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0.35785650103964239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4.6716977502832858E-2</v>
      </c>
      <c r="H386" t="s">
        <v>12</v>
      </c>
      <c r="I386">
        <f>VLOOKUP(Table4[[#This Row],[Visitor]],'NHL Model'!$A$6:$B$38,2,FALSE)</f>
        <v>1.1504937678265921</v>
      </c>
      <c r="J386">
        <f>($B$1+Table4[[#This Row],[Home Differential]])-Table4[[#This Row],[Away Differential]]</f>
        <v>-0.99564632842065726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0.63320270659387334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0.40094566763780687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-6.98902744359894E-2</v>
      </c>
      <c r="H387" t="s">
        <v>27</v>
      </c>
      <c r="I387">
        <f>VLOOKUP(Table4[[#This Row],[Visitor]],'NHL Model'!$A$6:$B$38,2,FALSE)</f>
        <v>-0.39747316405117561</v>
      </c>
      <c r="J387">
        <f>($B$1+Table4[[#This Row],[Home Differential]])-Table4[[#This Row],[Away Differential]]</f>
        <v>0.43571335151828816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0.60233125849594604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0.36280294496131016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-0.46908405058827807</v>
      </c>
      <c r="H388" t="s">
        <v>38</v>
      </c>
      <c r="I388">
        <f>VLOOKUP(Table4[[#This Row],[Visitor]],'NHL Model'!$A$6:$B$38,2,FALSE)</f>
        <v>-1.2664425175465013</v>
      </c>
      <c r="J388">
        <f>($B$1+Table4[[#This Row],[Home Differential]])-Table4[[#This Row],[Away Differential]]</f>
        <v>0.90548892886132515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0.63720813237565421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0.13161793921436082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-1.236228034931707</v>
      </c>
      <c r="H389" t="s">
        <v>36</v>
      </c>
      <c r="I389">
        <f>VLOOKUP(Table4[[#This Row],[Visitor]],'NHL Model'!$A$6:$B$38,2,FALSE)</f>
        <v>-0.179282670690569</v>
      </c>
      <c r="J389">
        <f>($B$1+Table4[[#This Row],[Home Differential]])-Table4[[#This Row],[Away Differential]]</f>
        <v>-0.94881490233803589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0.56268885512575928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0.31661874768273773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-0.11283731617452618</v>
      </c>
      <c r="H390" t="s">
        <v>18</v>
      </c>
      <c r="I390">
        <f>VLOOKUP(Table4[[#This Row],[Visitor]],'NHL Model'!$A$6:$B$38,2,FALSE)</f>
        <v>-0.18787166436597766</v>
      </c>
      <c r="J390">
        <f>($B$1+Table4[[#This Row],[Home Differential]])-Table4[[#This Row],[Away Differential]]</f>
        <v>0.18316481009455343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0.52037679719126106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0.27079201105503486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-0.12498445042942641</v>
      </c>
      <c r="H391" t="s">
        <v>19</v>
      </c>
      <c r="I391">
        <f>VLOOKUP(Table4[[#This Row],[Visitor]],'NHL Model'!$A$6:$B$38,2,FALSE)</f>
        <v>-0.38129365484385536</v>
      </c>
      <c r="J391">
        <f>($B$1+Table4[[#This Row],[Home Differential]])-Table4[[#This Row],[Away Differential]]</f>
        <v>0.36443966631753089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0.57912416617935192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0.17713646749422579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-2.9858233272404857E-2</v>
      </c>
      <c r="H392" t="s">
        <v>26</v>
      </c>
      <c r="I392">
        <f>VLOOKUP(Table4[[#This Row],[Visitor]],'NHL Model'!$A$6:$B$38,2,FALSE)</f>
        <v>-0.1792260169918948</v>
      </c>
      <c r="J392">
        <f>($B$1+Table4[[#This Row],[Home Differential]])-Table4[[#This Row],[Away Differential]]</f>
        <v>0.25749824562259188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0.57653243344161642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0.17932477992687904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1.1504937678265921</v>
      </c>
      <c r="H393" t="s">
        <v>18</v>
      </c>
      <c r="I393">
        <f>VLOOKUP(Table4[[#This Row],[Visitor]],'NHL Model'!$A$6:$B$38,2,FALSE)</f>
        <v>-0.18787166436597766</v>
      </c>
      <c r="J393">
        <f>($B$1+Table4[[#This Row],[Home Differential]])-Table4[[#This Row],[Away Differential]]</f>
        <v>1.4464958940956718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0.7435228518914504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6.5780527501894892E-2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-0.36406236312551898</v>
      </c>
      <c r="H394" t="s">
        <v>38</v>
      </c>
      <c r="I394">
        <f>VLOOKUP(Table4[[#This Row],[Visitor]],'NHL Model'!$A$6:$B$38,2,FALSE)</f>
        <v>-1.2664425175465013</v>
      </c>
      <c r="J394">
        <f>($B$1+Table4[[#This Row],[Home Differential]])-Table4[[#This Row],[Away Differential]]</f>
        <v>1.0105106163240842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0.64848266238015961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0.12356443864734086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4.6716977502832858E-2</v>
      </c>
      <c r="H395" t="s">
        <v>23</v>
      </c>
      <c r="I395">
        <f>VLOOKUP(Table4[[#This Row],[Visitor]],'NHL Model'!$A$6:$B$38,2,FALSE)</f>
        <v>0.12350258496936412</v>
      </c>
      <c r="J395">
        <f>($B$1+Table4[[#This Row],[Home Differential]])-Table4[[#This Row],[Away Differential]]</f>
        <v>3.1344854436570702E-2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0.51351196089809914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0.26369453398541087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-0.55013344272463272</v>
      </c>
      <c r="H396" t="s">
        <v>27</v>
      </c>
      <c r="I396">
        <f>VLOOKUP(Table4[[#This Row],[Visitor]],'NHL Model'!$A$6:$B$38,2,FALSE)</f>
        <v>-0.39747316405117561</v>
      </c>
      <c r="J396">
        <f>($B$1+Table4[[#This Row],[Home Differential]])-Table4[[#This Row],[Away Differential]]</f>
        <v>-4.4529816770355168E-2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0.4656099605072086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0.28557271430910713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-0.72584022159035511</v>
      </c>
      <c r="H397" t="s">
        <v>40</v>
      </c>
      <c r="I397">
        <f>VLOOKUP(Table4[[#This Row],[Visitor]],'NHL Model'!$A$6:$B$38,2,FALSE)</f>
        <v>-0.41982036690375685</v>
      </c>
      <c r="J397">
        <f>($B$1+Table4[[#This Row],[Home Differential]])-Table4[[#This Row],[Away Differential]]</f>
        <v>-0.19788939278349632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0.48124427773360662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0.26910749938412754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-0.62425830840281982</v>
      </c>
      <c r="H398" t="s">
        <v>37</v>
      </c>
      <c r="I398">
        <f>VLOOKUP(Table4[[#This Row],[Visitor]],'NHL Model'!$A$6:$B$38,2,FALSE)</f>
        <v>0.6987740059316554</v>
      </c>
      <c r="J398">
        <f>($B$1+Table4[[#This Row],[Home Differential]])-Table4[[#This Row],[Away Differential]]</f>
        <v>-1.2149018524313733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0.68728308868268018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9.7791866623844467E-2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3.6611055984458557E-5</v>
      </c>
      <c r="H399" t="s">
        <v>19</v>
      </c>
      <c r="I399">
        <f>VLOOKUP(Table4[[#This Row],[Visitor]],'NHL Model'!$A$6:$B$38,2,FALSE)</f>
        <v>-0.38129365484385536</v>
      </c>
      <c r="J399">
        <f>($B$1+Table4[[#This Row],[Home Differential]])-Table4[[#This Row],[Away Differential]]</f>
        <v>0.48946072780294175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0.59254571503241338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0.35111042440327406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-0.42661371358543798</v>
      </c>
      <c r="H400" t="s">
        <v>17</v>
      </c>
      <c r="I400">
        <f>VLOOKUP(Table4[[#This Row],[Visitor]],'NHL Model'!$A$6:$B$38,2,FALSE)</f>
        <v>-0.12154868922444324</v>
      </c>
      <c r="J400">
        <f>($B$1+Table4[[#This Row],[Home Differential]])-Table4[[#This Row],[Away Differential]]</f>
        <v>-0.19693456245789281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0.48344618226283015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0.26682784661884523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-1.236228034931707</v>
      </c>
      <c r="H401" t="s">
        <v>55</v>
      </c>
      <c r="I401">
        <f>VLOOKUP(Table4[[#This Row],[Visitor]],'NHL Model'!$A$6:$B$38,2,FALSE)</f>
        <v>0.14062496747196682</v>
      </c>
      <c r="J401">
        <f>($B$1+Table4[[#This Row],[Home Differential]])-Table4[[#This Row],[Away Differential]]</f>
        <v>-1.2687225405005718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0.59620282339624686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0.35545780662565635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-0.11283731617452618</v>
      </c>
      <c r="H402" t="s">
        <v>33</v>
      </c>
      <c r="I402">
        <f>VLOOKUP(Table4[[#This Row],[Visitor]],'NHL Model'!$A$6:$B$38,2,FALSE)</f>
        <v>-0.46908405058827807</v>
      </c>
      <c r="J402">
        <f>($B$1+Table4[[#This Row],[Home Differential]])-Table4[[#This Row],[Away Differential]]</f>
        <v>0.46437719631685381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0.55928685226974173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0.19422807858231245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0.31465989886768042</v>
      </c>
      <c r="H403" t="s">
        <v>16</v>
      </c>
      <c r="I403">
        <f>VLOOKUP(Table4[[#This Row],[Visitor]],'NHL Model'!$A$6:$B$38,2,FALSE)</f>
        <v>-0.77822387693813933</v>
      </c>
      <c r="J403">
        <f>($B$1+Table4[[#This Row],[Home Differential]])-Table4[[#This Row],[Away Differential]]</f>
        <v>1.2010142377089217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0.71183560018101411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8.3038721323036357E-2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-0.75050764651940183</v>
      </c>
      <c r="H404" t="s">
        <v>31</v>
      </c>
      <c r="I404">
        <f>VLOOKUP(Table4[[#This Row],[Visitor]],'NHL Model'!$A$6:$B$38,2,FALSE)</f>
        <v>-0.39000953236289804</v>
      </c>
      <c r="J404">
        <f>($B$1+Table4[[#This Row],[Home Differential]])-Table4[[#This Row],[Away Differential]]</f>
        <v>-0.25236765225340185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0.4870927532801882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0.2372593502980743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0.24554986733769732</v>
      </c>
      <c r="H405" t="s">
        <v>36</v>
      </c>
      <c r="I405">
        <f>VLOOKUP(Table4[[#This Row],[Visitor]],'NHL Model'!$A$6:$B$38,2,FALSE)</f>
        <v>-0.179282670690569</v>
      </c>
      <c r="J405">
        <f>($B$1+Table4[[#This Row],[Home Differential]])-Table4[[#This Row],[Away Differential]]</f>
        <v>0.53296299993136831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0.61549807970270387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0.14784172671230827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-6.98902744359894E-2</v>
      </c>
      <c r="H406" t="s">
        <v>22</v>
      </c>
      <c r="I406">
        <f>VLOOKUP(Table4[[#This Row],[Visitor]],'NHL Model'!$A$6:$B$38,2,FALSE)</f>
        <v>-0.12498445042942641</v>
      </c>
      <c r="J406">
        <f>($B$1+Table4[[#This Row],[Home Differential]])-Table4[[#This Row],[Away Differential]]</f>
        <v>0.16322463789653896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0.57390268910998332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0.32936429656767019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0.12350258496936412</v>
      </c>
      <c r="H407" t="s">
        <v>40</v>
      </c>
      <c r="I407">
        <f>VLOOKUP(Table4[[#This Row],[Visitor]],'NHL Model'!$A$6:$B$38,2,FALSE)</f>
        <v>-0.41982036690375685</v>
      </c>
      <c r="J407">
        <f>($B$1+Table4[[#This Row],[Home Differential]])-Table4[[#This Row],[Away Differential]]</f>
        <v>0.6514534137762229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0.6517545086626918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0.1212749222367632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-0.55013344272463272</v>
      </c>
      <c r="H408" t="s">
        <v>28</v>
      </c>
      <c r="I408">
        <f>VLOOKUP(Table4[[#This Row],[Visitor]],'NHL Model'!$A$6:$B$38,2,FALSE)</f>
        <v>-0.36066890819319958</v>
      </c>
      <c r="J408">
        <f>($B$1+Table4[[#This Row],[Home Differential]])-Table4[[#This Row],[Away Differential]]</f>
        <v>-8.13340726283312E-2</v>
      </c>
      <c r="K408" t="str">
        <f>IF(Table4[[#This Row],[HomeIce Differential]]&gt;0,Table4[[#This Row],[Home]],Table4[[#This Row],[Visitor]])</f>
        <v>Columbus Blue Jackets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0.46873156263616422</v>
      </c>
      <c r="M408" t="str">
        <f>IF(OR((NHL2025_26Results[[#This Row],[Winning Team]]="")),"-",IF(Table4[[#This Row],[Predicted Winner]]=NHL2025_26Results[[#This Row],[Winning Team]],"YES","NO"))</f>
        <v>YES</v>
      </c>
      <c r="N408">
        <f>IF(Table4[[#This Row],[Adjusted Correct]]="-", "",IF(Table4[[#This Row],[Adjusted Correct]]="YES",(Table4[[#This Row],[Strength of Win]]-1)^2,(Table4[[#This Row],[Strength of Win]]-0)^2))</f>
        <v>0.28224615253901192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-0.39747316405117561</v>
      </c>
      <c r="H409" t="s">
        <v>14</v>
      </c>
      <c r="I409">
        <f>VLOOKUP(Table4[[#This Row],[Visitor]],'NHL Model'!$A$6:$B$38,2,FALSE)</f>
        <v>3.6611055984458557E-5</v>
      </c>
      <c r="J409">
        <f>($B$1+Table4[[#This Row],[Home Differential]])-Table4[[#This Row],[Away Differential]]</f>
        <v>-0.28937931320405813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0.54759503994559477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0.204670247881828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-0.46908405058827807</v>
      </c>
      <c r="H410" t="s">
        <v>55</v>
      </c>
      <c r="I410">
        <f>VLOOKUP(Table4[[#This Row],[Visitor]],'NHL Model'!$A$6:$B$38,2,FALSE)</f>
        <v>0.14062496747196682</v>
      </c>
      <c r="J410">
        <f>($B$1+Table4[[#This Row],[Home Differential]])-Table4[[#This Row],[Away Differential]]</f>
        <v>-0.50157855615714297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0.51384661604314352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0.26403834481898975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-1.236228034931707</v>
      </c>
      <c r="H411" t="s">
        <v>31</v>
      </c>
      <c r="I411">
        <f>VLOOKUP(Table4[[#This Row],[Visitor]],'NHL Model'!$A$6:$B$38,2,FALSE)</f>
        <v>-0.39000953236289804</v>
      </c>
      <c r="J411">
        <f>($B$1+Table4[[#This Row],[Home Differential]])-Table4[[#This Row],[Away Differential]]</f>
        <v>-0.73808804066570688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0.53923692678622182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0.21230260963740552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1.1504937678265921</v>
      </c>
      <c r="H412" t="s">
        <v>38</v>
      </c>
      <c r="I412">
        <f>VLOOKUP(Table4[[#This Row],[Visitor]],'NHL Model'!$A$6:$B$38,2,FALSE)</f>
        <v>-1.2664425175465013</v>
      </c>
      <c r="J412">
        <f>($B$1+Table4[[#This Row],[Home Differential]])-Table4[[#This Row],[Away Differential]]</f>
        <v>2.5250667472761954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0.89685900719412159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1.063806439698226E-2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-0.1792260169918948</v>
      </c>
      <c r="H413" t="s">
        <v>21</v>
      </c>
      <c r="I413">
        <f>VLOOKUP(Table4[[#This Row],[Visitor]],'NHL Model'!$A$6:$B$38,2,FALSE)</f>
        <v>-2.9858233272404857E-2</v>
      </c>
      <c r="J413">
        <f>($B$1+Table4[[#This Row],[Home Differential]])-Table4[[#This Row],[Away Differential]]</f>
        <v>-4.1237321816387992E-2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0.42152544951625159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0.17768370458987798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-0.12154868922444324</v>
      </c>
      <c r="H414" t="s">
        <v>34</v>
      </c>
      <c r="I414">
        <f>VLOOKUP(Table4[[#This Row],[Visitor]],'NHL Model'!$A$6:$B$38,2,FALSE)</f>
        <v>4.6716977502832858E-2</v>
      </c>
      <c r="J414">
        <f>($B$1+Table4[[#This Row],[Home Differential]])-Table4[[#This Row],[Away Differential]]</f>
        <v>-6.013520482417415E-2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0.52298469858918106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0.22754359778005445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-0.34412098011518399</v>
      </c>
      <c r="H415" t="s">
        <v>19</v>
      </c>
      <c r="I415">
        <f>VLOOKUP(Table4[[#This Row],[Visitor]],'NHL Model'!$A$6:$B$38,2,FALSE)</f>
        <v>-0.38129365484385536</v>
      </c>
      <c r="J415">
        <f>($B$1+Table4[[#This Row],[Home Differential]])-Table4[[#This Row],[Away Differential]]</f>
        <v>0.1453031366317733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0.55559891688356844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0.30869015644219439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-0.36406236312551898</v>
      </c>
      <c r="H416" t="s">
        <v>22</v>
      </c>
      <c r="I416">
        <f>VLOOKUP(Table4[[#This Row],[Visitor]],'NHL Model'!$A$6:$B$38,2,FALSE)</f>
        <v>-0.12498445042942641</v>
      </c>
      <c r="J416">
        <f>($B$1+Table4[[#This Row],[Home Differential]])-Table4[[#This Row],[Away Differential]]</f>
        <v>-0.13094745079299064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0.47405777224349582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0.27661522693747459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-0.18787166436597766</v>
      </c>
      <c r="H417" t="s">
        <v>36</v>
      </c>
      <c r="I417">
        <f>VLOOKUP(Table4[[#This Row],[Visitor]],'NHL Model'!$A$6:$B$38,2,FALSE)</f>
        <v>-0.179282670690569</v>
      </c>
      <c r="J417">
        <f>($B$1+Table4[[#This Row],[Home Differential]])-Table4[[#This Row],[Away Differential]]</f>
        <v>9.9541468227693289E-2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0.5569046922859584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0.31014283629011802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-0.72584022159035511</v>
      </c>
      <c r="H418" t="s">
        <v>16</v>
      </c>
      <c r="I418">
        <f>VLOOKUP(Table4[[#This Row],[Visitor]],'NHL Model'!$A$6:$B$38,2,FALSE)</f>
        <v>-0.77822387693813933</v>
      </c>
      <c r="J418">
        <f>($B$1+Table4[[#This Row],[Home Differential]])-Table4[[#This Row],[Away Differential]]</f>
        <v>0.16051411725088616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0.55723188109821176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0.19604360711582808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-6.98902744359894E-2</v>
      </c>
      <c r="H419" t="s">
        <v>37</v>
      </c>
      <c r="I419">
        <f>VLOOKUP(Table4[[#This Row],[Visitor]],'NHL Model'!$A$6:$B$38,2,FALSE)</f>
        <v>0.6987740059316554</v>
      </c>
      <c r="J419">
        <f>($B$1+Table4[[#This Row],[Home Differential]])-Table4[[#This Row],[Away Differential]]</f>
        <v>-0.66053381846454284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0.61139254779384178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0.37380084749784509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-0.62425830840281982</v>
      </c>
      <c r="H420" t="s">
        <v>39</v>
      </c>
      <c r="I420">
        <f>VLOOKUP(Table4[[#This Row],[Visitor]],'NHL Model'!$A$6:$B$38,2,FALSE)</f>
        <v>0.24554986733769732</v>
      </c>
      <c r="J420">
        <f>($B$1+Table4[[#This Row],[Home Differential]])-Table4[[#This Row],[Away Differential]]</f>
        <v>-0.76167771383741523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0.58713893118019955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0.34473212450742713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-0.11283731617452618</v>
      </c>
      <c r="H421" t="s">
        <v>10</v>
      </c>
      <c r="I421">
        <f>VLOOKUP(Table4[[#This Row],[Visitor]],'NHL Model'!$A$6:$B$38,2,FALSE)</f>
        <v>-0.75050764651940183</v>
      </c>
      <c r="J421">
        <f>($B$1+Table4[[#This Row],[Home Differential]])-Table4[[#This Row],[Away Differential]]</f>
        <v>0.74580079224797757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0.62006492385266054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0.14435066208708464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-0.39000953236289804</v>
      </c>
      <c r="H422" t="s">
        <v>55</v>
      </c>
      <c r="I422">
        <f>VLOOKUP(Table4[[#This Row],[Visitor]],'NHL Model'!$A$6:$B$38,2,FALSE)</f>
        <v>0.14062496747196682</v>
      </c>
      <c r="J422">
        <f>($B$1+Table4[[#This Row],[Home Differential]])-Table4[[#This Row],[Away Differential]]</f>
        <v>-0.42250403793176294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0.46932075993441269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0.28162045583658923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-0.18787166436597766</v>
      </c>
      <c r="H423" t="s">
        <v>40</v>
      </c>
      <c r="I423">
        <f>VLOOKUP(Table4[[#This Row],[Visitor]],'NHL Model'!$A$6:$B$38,2,FALSE)</f>
        <v>-0.41982036690375685</v>
      </c>
      <c r="J423">
        <f>($B$1+Table4[[#This Row],[Home Differential]])-Table4[[#This Row],[Away Differential]]</f>
        <v>0.34007916444088115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0.58355491335189069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0.17342651019335126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-0.55013344272463272</v>
      </c>
      <c r="H424" t="s">
        <v>39</v>
      </c>
      <c r="I424">
        <f>VLOOKUP(Table4[[#This Row],[Visitor]],'NHL Model'!$A$6:$B$38,2,FALSE)</f>
        <v>0.24554986733769732</v>
      </c>
      <c r="J424">
        <f>($B$1+Table4[[#This Row],[Home Differential]])-Table4[[#This Row],[Away Differential]]</f>
        <v>-0.68755284815922812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0.57918130792771649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0.17708837159742735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-0.39747316405117561</v>
      </c>
      <c r="H425" t="s">
        <v>23</v>
      </c>
      <c r="I425">
        <f>VLOOKUP(Table4[[#This Row],[Visitor]],'NHL Model'!$A$6:$B$38,2,FALSE)</f>
        <v>0.12350258496936412</v>
      </c>
      <c r="J425">
        <f>($B$1+Table4[[#This Row],[Home Differential]])-Table4[[#This Row],[Away Differential]]</f>
        <v>-0.41284528711743779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0.53417376192398003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0.28534160792801688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-0.46908405058827807</v>
      </c>
      <c r="H426" t="s">
        <v>22</v>
      </c>
      <c r="I426">
        <f>VLOOKUP(Table4[[#This Row],[Visitor]],'NHL Model'!$A$6:$B$38,2,FALSE)</f>
        <v>-0.12498445042942641</v>
      </c>
      <c r="J426">
        <f>($B$1+Table4[[#This Row],[Home Differential]])-Table4[[#This Row],[Away Differential]]</f>
        <v>-0.23596913825574972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0.48533230224800122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0.26488283910934285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-2.9858233272404857E-2</v>
      </c>
      <c r="H427" t="s">
        <v>35</v>
      </c>
      <c r="I427">
        <f>VLOOKUP(Table4[[#This Row],[Visitor]],'NHL Model'!$A$6:$B$38,2,FALSE)</f>
        <v>-1.236228034931707</v>
      </c>
      <c r="J427">
        <f>($B$1+Table4[[#This Row],[Home Differential]])-Table4[[#This Row],[Away Differential]]</f>
        <v>1.3145002635624041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0.72862498929027297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7.3644396437704457E-2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0.31465989886768042</v>
      </c>
      <c r="H428" t="s">
        <v>19</v>
      </c>
      <c r="I428">
        <f>VLOOKUP(Table4[[#This Row],[Visitor]],'NHL Model'!$A$6:$B$38,2,FALSE)</f>
        <v>-0.38129365484385536</v>
      </c>
      <c r="J428">
        <f>($B$1+Table4[[#This Row],[Home Differential]])-Table4[[#This Row],[Away Differential]]</f>
        <v>0.80408401561463771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0.66922343304854526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0.44786000334128073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-0.36066890819319958</v>
      </c>
      <c r="H429" t="s">
        <v>26</v>
      </c>
      <c r="I429">
        <f>VLOOKUP(Table4[[#This Row],[Visitor]],'NHL Model'!$A$6:$B$38,2,FALSE)</f>
        <v>-0.1792260169918948</v>
      </c>
      <c r="J429">
        <f>($B$1+Table4[[#This Row],[Home Differential]])-Table4[[#This Row],[Away Differential]]</f>
        <v>-7.3312429298202836E-2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0.50715713794981865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0.25720836257345137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-0.77822387693813933</v>
      </c>
      <c r="H430" t="s">
        <v>34</v>
      </c>
      <c r="I430">
        <f>VLOOKUP(Table4[[#This Row],[Visitor]],'NHL Model'!$A$6:$B$38,2,FALSE)</f>
        <v>4.6716977502832858E-2</v>
      </c>
      <c r="J430">
        <f>($B$1+Table4[[#This Row],[Home Differential]])-Table4[[#This Row],[Away Differential]]</f>
        <v>-0.71681039253787027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0.59348160533253969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0.35222041586808839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-0.12154868922444324</v>
      </c>
      <c r="H431" t="s">
        <v>32</v>
      </c>
      <c r="I431">
        <f>VLOOKUP(Table4[[#This Row],[Visitor]],'NHL Model'!$A$6:$B$38,2,FALSE)</f>
        <v>-0.42661371358543798</v>
      </c>
      <c r="J431">
        <f>($B$1+Table4[[#This Row],[Home Differential]])-Table4[[#This Row],[Away Differential]]</f>
        <v>0.41319548626409669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0.58435831322233045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0.17275801178738637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-0.34412098011518399</v>
      </c>
      <c r="H432" t="s">
        <v>29</v>
      </c>
      <c r="I432">
        <f>VLOOKUP(Table4[[#This Row],[Visitor]],'NHL Model'!$A$6:$B$38,2,FALSE)</f>
        <v>-0.72584022159035511</v>
      </c>
      <c r="J432">
        <f>($B$1+Table4[[#This Row],[Home Differential]])-Table4[[#This Row],[Away Differential]]</f>
        <v>0.48984970337827305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0.59258747323399097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0.35115991343384595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-0.36406236312551898</v>
      </c>
      <c r="H433" t="s">
        <v>10</v>
      </c>
      <c r="I433">
        <f>VLOOKUP(Table4[[#This Row],[Visitor]],'NHL Model'!$A$6:$B$38,2,FALSE)</f>
        <v>-0.75050764651940183</v>
      </c>
      <c r="J433">
        <f>($B$1+Table4[[#This Row],[Home Differential]])-Table4[[#This Row],[Away Differential]]</f>
        <v>0.49457574529698478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0.59309483416774067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0.35176148231645982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-6.98902744359894E-2</v>
      </c>
      <c r="H434" t="s">
        <v>12</v>
      </c>
      <c r="I434">
        <f>VLOOKUP(Table4[[#This Row],[Visitor]],'NHL Model'!$A$6:$B$38,2,FALSE)</f>
        <v>1.1504937678265921</v>
      </c>
      <c r="J434">
        <f>($B$1+Table4[[#This Row],[Home Differential]])-Table4[[#This Row],[Away Differential]]</f>
        <v>-1.1122535803594795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0.62920912888667091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0.39590412787432322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-0.179282670690569</v>
      </c>
      <c r="H435" t="s">
        <v>15</v>
      </c>
      <c r="I435">
        <f>VLOOKUP(Table4[[#This Row],[Visitor]],'NHL Model'!$A$6:$B$38,2,FALSE)</f>
        <v>-0.62425830840281982</v>
      </c>
      <c r="J435">
        <f>($B$1+Table4[[#This Row],[Home Differential]])-Table4[[#This Row],[Away Differential]]</f>
        <v>0.55310609961535273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0.55552532605087657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0.30860838788393274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0.6987740059316554</v>
      </c>
      <c r="H436" t="s">
        <v>14</v>
      </c>
      <c r="I436">
        <f>VLOOKUP(Table4[[#This Row],[Visitor]],'NHL Model'!$A$6:$B$38,2,FALSE)</f>
        <v>3.6611055984458557E-5</v>
      </c>
      <c r="J436">
        <f>($B$1+Table4[[#This Row],[Home Differential]])-Table4[[#This Row],[Away Differential]]</f>
        <v>0.80686785677877293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0.60001988970849407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0.36002386804579339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-0.39000953236289804</v>
      </c>
      <c r="H437" t="s">
        <v>22</v>
      </c>
      <c r="I437">
        <f>VLOOKUP(Table4[[#This Row],[Visitor]],'NHL Model'!$A$6:$B$38,2,FALSE)</f>
        <v>-0.12498445042942641</v>
      </c>
      <c r="J437">
        <f>($B$1+Table4[[#This Row],[Home Differential]])-Table4[[#This Row],[Away Differential]]</f>
        <v>-0.15689462003036969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0.44080644613927039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0.19431032295793349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0.24554986733769732</v>
      </c>
      <c r="H438" t="s">
        <v>33</v>
      </c>
      <c r="I438">
        <f>VLOOKUP(Table4[[#This Row],[Visitor]],'NHL Model'!$A$6:$B$38,2,FALSE)</f>
        <v>-0.46908405058827807</v>
      </c>
      <c r="J438">
        <f>($B$1+Table4[[#This Row],[Home Differential]])-Table4[[#This Row],[Away Differential]]</f>
        <v>0.82276437982907735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0.61702820245942136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0.14666739771146195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-0.55013344272463272</v>
      </c>
      <c r="H439" t="s">
        <v>20</v>
      </c>
      <c r="I439">
        <f>VLOOKUP(Table4[[#This Row],[Visitor]],'NHL Model'!$A$6:$B$38,2,FALSE)</f>
        <v>-0.11283731617452618</v>
      </c>
      <c r="J439">
        <f>($B$1+Table4[[#This Row],[Home Differential]])-Table4[[#This Row],[Away Differential]]</f>
        <v>-0.32916566464700459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0.50669340544617403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0.24335139623029284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-1.2664425175465013</v>
      </c>
      <c r="H440" t="s">
        <v>55</v>
      </c>
      <c r="I440">
        <f>VLOOKUP(Table4[[#This Row],[Visitor]],'NHL Model'!$A$6:$B$38,2,FALSE)</f>
        <v>0.14062496747196682</v>
      </c>
      <c r="J440">
        <f>($B$1+Table4[[#This Row],[Home Differential]])-Table4[[#This Row],[Away Differential]]</f>
        <v>-1.2989370231153661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0.59944647810263219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0.16044312390438512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-0.41982036690375685</v>
      </c>
      <c r="H441" t="s">
        <v>23</v>
      </c>
      <c r="I441">
        <f>VLOOKUP(Table4[[#This Row],[Visitor]],'NHL Model'!$A$6:$B$38,2,FALSE)</f>
        <v>0.12350258496936412</v>
      </c>
      <c r="J441">
        <f>($B$1+Table4[[#This Row],[Home Differential]])-Table4[[#This Row],[Away Differential]]</f>
        <v>-0.43519248997001903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0.53657283029895297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0.287910402215029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-2.9858233272404857E-2</v>
      </c>
      <c r="H442" t="s">
        <v>24</v>
      </c>
      <c r="I442">
        <f>VLOOKUP(Table4[[#This Row],[Visitor]],'NHL Model'!$A$6:$B$38,2,FALSE)</f>
        <v>-0.55013344272463272</v>
      </c>
      <c r="J442">
        <f>($B$1+Table4[[#This Row],[Home Differential]])-Table4[[#This Row],[Away Differential]]</f>
        <v>0.62840567135532976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0.62628558194457473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0.13966246626250517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0.31465989886768042</v>
      </c>
      <c r="H443" t="s">
        <v>29</v>
      </c>
      <c r="I443">
        <f>VLOOKUP(Table4[[#This Row],[Visitor]],'NHL Model'!$A$6:$B$38,2,FALSE)</f>
        <v>-0.72584022159035511</v>
      </c>
      <c r="J443">
        <f>($B$1+Table4[[#This Row],[Home Differential]])-Table4[[#This Row],[Away Differential]]</f>
        <v>1.1486305823611374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0.7062119893989679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8.6311395172912156E-2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-0.77822387693813933</v>
      </c>
      <c r="H444" t="s">
        <v>55</v>
      </c>
      <c r="I444">
        <f>VLOOKUP(Table4[[#This Row],[Visitor]],'NHL Model'!$A$6:$B$38,2,FALSE)</f>
        <v>0.14062496747196682</v>
      </c>
      <c r="J444">
        <f>($B$1+Table4[[#This Row],[Home Differential]])-Table4[[#This Row],[Away Differential]]</f>
        <v>-0.81071838250700423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0.54703410647463202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0.29924631364649906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-0.12154868922444324</v>
      </c>
      <c r="H445" t="s">
        <v>40</v>
      </c>
      <c r="I445">
        <f>VLOOKUP(Table4[[#This Row],[Visitor]],'NHL Model'!$A$6:$B$38,2,FALSE)</f>
        <v>-0.41982036690375685</v>
      </c>
      <c r="J445">
        <f>($B$1+Table4[[#This Row],[Home Differential]])-Table4[[#This Row],[Away Differential]]</f>
        <v>0.40640213958241556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0.58362901822770585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0.1733647944620241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-0.34412098011518399</v>
      </c>
      <c r="H446" t="s">
        <v>28</v>
      </c>
      <c r="I446">
        <f>VLOOKUP(Table4[[#This Row],[Visitor]],'NHL Model'!$A$6:$B$38,2,FALSE)</f>
        <v>-0.36066890819319958</v>
      </c>
      <c r="J446">
        <f>($B$1+Table4[[#This Row],[Home Differential]])-Table4[[#This Row],[Away Differential]]</f>
        <v>0.12467838998111752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0.55338476159273298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0.19946517117757998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-0.36406236312551898</v>
      </c>
      <c r="H447" t="s">
        <v>10</v>
      </c>
      <c r="I447">
        <f>VLOOKUP(Table4[[#This Row],[Visitor]],'NHL Model'!$A$6:$B$38,2,FALSE)</f>
        <v>-0.75050764651940183</v>
      </c>
      <c r="J447">
        <f>($B$1+Table4[[#This Row],[Home Differential]])-Table4[[#This Row],[Away Differential]]</f>
        <v>0.49457574529698478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0.59309483416774067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0.16557181398097848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-0.62425830840281982</v>
      </c>
      <c r="H448" t="s">
        <v>12</v>
      </c>
      <c r="I448">
        <f>VLOOKUP(Table4[[#This Row],[Visitor]],'NHL Model'!$A$6:$B$38,2,FALSE)</f>
        <v>1.1504937678265921</v>
      </c>
      <c r="J448">
        <f>($B$1+Table4[[#This Row],[Home Differential]])-Table4[[#This Row],[Away Differential]]</f>
        <v>-1.66662161432631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0.70523479040425208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8.6886528788025205E-2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-0.179282670690569</v>
      </c>
      <c r="H449" t="s">
        <v>35</v>
      </c>
      <c r="I449">
        <f>VLOOKUP(Table4[[#This Row],[Visitor]],'NHL Model'!$A$6:$B$38,2,FALSE)</f>
        <v>-1.236228034931707</v>
      </c>
      <c r="J449">
        <f>($B$1+Table4[[#This Row],[Home Differential]])-Table4[[#This Row],[Away Differential]]</f>
        <v>1.16507582614424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0.66507590267053263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0.44232595631302379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-0.42661371358543798</v>
      </c>
      <c r="H450" t="s">
        <v>26</v>
      </c>
      <c r="I450">
        <f>VLOOKUP(Table4[[#This Row],[Visitor]],'NHL Model'!$A$6:$B$38,2,FALSE)</f>
        <v>-0.1792260169918948</v>
      </c>
      <c r="J450">
        <f>($B$1+Table4[[#This Row],[Home Differential]])-Table4[[#This Row],[Away Differential]]</f>
        <v>-0.13925723469044124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0.51423659653592935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0.23596608414499748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0.6987740059316554</v>
      </c>
      <c r="H451" t="s">
        <v>30</v>
      </c>
      <c r="I451">
        <f>VLOOKUP(Table4[[#This Row],[Visitor]],'NHL Model'!$A$6:$B$38,2,FALSE)</f>
        <v>-6.98902744359894E-2</v>
      </c>
      <c r="J451">
        <f>($B$1+Table4[[#This Row],[Home Differential]])-Table4[[#This Row],[Away Differential]]</f>
        <v>0.87679474227074672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0.6341276879885358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0.40211792467368579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-0.38129365484385536</v>
      </c>
      <c r="H452" t="s">
        <v>18</v>
      </c>
      <c r="I452">
        <f>VLOOKUP(Table4[[#This Row],[Visitor]],'NHL Model'!$A$6:$B$38,2,FALSE)</f>
        <v>-0.18787166436597766</v>
      </c>
      <c r="J452">
        <f>($B$1+Table4[[#This Row],[Home Differential]])-Table4[[#This Row],[Away Differential]]</f>
        <v>-8.529152857477576E-2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0.50844314579718408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0.24162814091376841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-1.2664425175465013</v>
      </c>
      <c r="H453" t="s">
        <v>34</v>
      </c>
      <c r="I453">
        <f>VLOOKUP(Table4[[#This Row],[Visitor]],'NHL Model'!$A$6:$B$38,2,FALSE)</f>
        <v>4.6716977502832858E-2</v>
      </c>
      <c r="J453">
        <f>($B$1+Table4[[#This Row],[Home Differential]])-Table4[[#This Row],[Away Differential]]</f>
        <v>-1.2050290331462321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0.64589397696053985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0.4171790294739024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-0.39000953236289804</v>
      </c>
      <c r="H454" t="s">
        <v>10</v>
      </c>
      <c r="I454">
        <f>VLOOKUP(Table4[[#This Row],[Visitor]],'NHL Model'!$A$6:$B$38,2,FALSE)</f>
        <v>-0.75050764651940183</v>
      </c>
      <c r="J454">
        <f>($B$1+Table4[[#This Row],[Home Differential]])-Table4[[#This Row],[Away Differential]]</f>
        <v>0.46862857605960573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0.6263461602719661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0.13961719194350325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0.31465989886768042</v>
      </c>
      <c r="H455" t="s">
        <v>33</v>
      </c>
      <c r="I455">
        <f>VLOOKUP(Table4[[#This Row],[Visitor]],'NHL Model'!$A$6:$B$38,2,FALSE)</f>
        <v>-0.46908405058827807</v>
      </c>
      <c r="J455">
        <f>($B$1+Table4[[#This Row],[Home Differential]])-Table4[[#This Row],[Away Differential]]</f>
        <v>0.89187441135906043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0.64857210817093347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0.42064577949728904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0.24554986733769732</v>
      </c>
      <c r="H456" t="s">
        <v>14</v>
      </c>
      <c r="I456">
        <f>VLOOKUP(Table4[[#This Row],[Visitor]],'NHL Model'!$A$6:$B$38,2,FALSE)</f>
        <v>3.6611055984458557E-5</v>
      </c>
      <c r="J456">
        <f>($B$1+Table4[[#This Row],[Home Differential]])-Table4[[#This Row],[Away Differential]]</f>
        <v>0.35364371818481483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0.54072760563700895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0.21093113222391477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-0.34412098011518399</v>
      </c>
      <c r="H457" t="s">
        <v>30</v>
      </c>
      <c r="I457">
        <f>VLOOKUP(Table4[[#This Row],[Visitor]],'NHL Model'!$A$6:$B$38,2,FALSE)</f>
        <v>-6.98902744359894E-2</v>
      </c>
      <c r="J457">
        <f>($B$1+Table4[[#This Row],[Home Differential]])-Table4[[#This Row],[Away Differential]]</f>
        <v>-0.16610024377609267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0.50768461990175284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0.25774367328478726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-0.18787166436597766</v>
      </c>
      <c r="H458" t="s">
        <v>35</v>
      </c>
      <c r="I458">
        <f>VLOOKUP(Table4[[#This Row],[Visitor]],'NHL Model'!$A$6:$B$38,2,FALSE)</f>
        <v>-1.236228034931707</v>
      </c>
      <c r="J458">
        <f>($B$1+Table4[[#This Row],[Home Differential]])-Table4[[#This Row],[Away Differential]]</f>
        <v>1.1564868324688313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0.67119978910532385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0.45050915689503124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-0.62425830840281982</v>
      </c>
      <c r="H459" t="s">
        <v>20</v>
      </c>
      <c r="I459">
        <f>VLOOKUP(Table4[[#This Row],[Visitor]],'NHL Model'!$A$6:$B$38,2,FALSE)</f>
        <v>-0.11283731617452618</v>
      </c>
      <c r="J459">
        <f>($B$1+Table4[[#This Row],[Home Differential]])-Table4[[#This Row],[Away Differential]]</f>
        <v>-0.40329053032519169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0.51465102869865709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0.23556362394327179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-0.39747316405117561</v>
      </c>
      <c r="H460" t="s">
        <v>12</v>
      </c>
      <c r="I460">
        <f>VLOOKUP(Table4[[#This Row],[Visitor]],'NHL Model'!$A$6:$B$38,2,FALSE)</f>
        <v>1.1504937678265921</v>
      </c>
      <c r="J460">
        <f>($B$1+Table4[[#This Row],[Home Differential]])-Table4[[#This Row],[Away Differential]]</f>
        <v>-1.4398364699746657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0.68088842941595262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0.10183219448061745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-0.12498445042942641</v>
      </c>
      <c r="H461" t="s">
        <v>28</v>
      </c>
      <c r="I461">
        <f>VLOOKUP(Table4[[#This Row],[Visitor]],'NHL Model'!$A$6:$B$38,2,FALSE)</f>
        <v>-0.36066890819319958</v>
      </c>
      <c r="J461">
        <f>($B$1+Table4[[#This Row],[Home Differential]])-Table4[[#This Row],[Away Differential]]</f>
        <v>0.34381491966687511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0.57691001088851634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0.17900513888635536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-0.77822387693813933</v>
      </c>
      <c r="H462" t="s">
        <v>23</v>
      </c>
      <c r="I462">
        <f>VLOOKUP(Table4[[#This Row],[Visitor]],'NHL Model'!$A$6:$B$38,2,FALSE)</f>
        <v>0.12350258496936412</v>
      </c>
      <c r="J462">
        <f>($B$1+Table4[[#This Row],[Home Differential]])-Table4[[#This Row],[Away Differential]]</f>
        <v>-0.79359600000440156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0.57504898913077129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0.33068133990032195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-0.42661371358543798</v>
      </c>
      <c r="H463" t="s">
        <v>34</v>
      </c>
      <c r="I463">
        <f>VLOOKUP(Table4[[#This Row],[Visitor]],'NHL Model'!$A$6:$B$38,2,FALSE)</f>
        <v>4.6716977502832858E-2</v>
      </c>
      <c r="J463">
        <f>($B$1+Table4[[#This Row],[Home Differential]])-Table4[[#This Row],[Away Differential]]</f>
        <v>-0.36520022918516892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0.55573474149534607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0.19737161991420699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-0.38129365484385536</v>
      </c>
      <c r="H464" t="s">
        <v>37</v>
      </c>
      <c r="I464">
        <f>VLOOKUP(Table4[[#This Row],[Visitor]],'NHL Model'!$A$6:$B$38,2,FALSE)</f>
        <v>0.6987740059316554</v>
      </c>
      <c r="J464">
        <f>($B$1+Table4[[#This Row],[Home Differential]])-Table4[[#This Row],[Away Differential]]</f>
        <v>-0.97193719887240881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0.66119978776870303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0.43718515934537794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0.14062496747196682</v>
      </c>
      <c r="H465" t="s">
        <v>13</v>
      </c>
      <c r="I465">
        <f>VLOOKUP(Table4[[#This Row],[Visitor]],'NHL Model'!$A$6:$B$38,2,FALSE)</f>
        <v>-0.36406236312551898</v>
      </c>
      <c r="J465">
        <f>($B$1+Table4[[#This Row],[Home Differential]])-Table4[[#This Row],[Away Differential]]</f>
        <v>0.61281779250058777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0.60297870931559716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0.36358332388790343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-1.2664425175465013</v>
      </c>
      <c r="H466" t="s">
        <v>26</v>
      </c>
      <c r="I466">
        <f>VLOOKUP(Table4[[#This Row],[Visitor]],'NHL Model'!$A$6:$B$38,2,FALSE)</f>
        <v>-0.1792260169918948</v>
      </c>
      <c r="J466">
        <f>($B$1+Table4[[#This Row],[Home Differential]])-Table4[[#This Row],[Away Differential]]</f>
        <v>-0.97908603865150445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0.60439583200112312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0.15650265773808361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0.31465989886768042</v>
      </c>
      <c r="H467" t="s">
        <v>28</v>
      </c>
      <c r="I467">
        <f>VLOOKUP(Table4[[#This Row],[Visitor]],'NHL Model'!$A$6:$B$38,2,FALSE)</f>
        <v>-0.36066890819319958</v>
      </c>
      <c r="J467">
        <f>($B$1+Table4[[#This Row],[Home Differential]])-Table4[[#This Row],[Away Differential]]</f>
        <v>0.78345926896398188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0.6670092777577098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0.11088282109944206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-0.12154868922444324</v>
      </c>
      <c r="H468" t="s">
        <v>23</v>
      </c>
      <c r="I468">
        <f>VLOOKUP(Table4[[#This Row],[Visitor]],'NHL Model'!$A$6:$B$38,2,FALSE)</f>
        <v>0.12350258496936412</v>
      </c>
      <c r="J468">
        <f>($B$1+Table4[[#This Row],[Home Differential]])-Table4[[#This Row],[Away Differential]]</f>
        <v>-0.13692081229070541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0.50455208238741267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0.24546863906664912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-0.18787166436597766</v>
      </c>
      <c r="H469" t="s">
        <v>37</v>
      </c>
      <c r="I469">
        <f>VLOOKUP(Table4[[#This Row],[Visitor]],'NHL Model'!$A$6:$B$38,2,FALSE)</f>
        <v>0.6987740059316554</v>
      </c>
      <c r="J469">
        <f>($B$1+Table4[[#This Row],[Home Differential]])-Table4[[#This Row],[Away Differential]]</f>
        <v>-0.77851520839453114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0.63341618547545386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0.13438369307136686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-0.72584022159035511</v>
      </c>
      <c r="H470" t="s">
        <v>12</v>
      </c>
      <c r="I470">
        <f>VLOOKUP(Table4[[#This Row],[Visitor]],'NHL Model'!$A$6:$B$38,2,FALSE)</f>
        <v>1.1504937678265921</v>
      </c>
      <c r="J470">
        <f>($B$1+Table4[[#This Row],[Home Differential]])-Table4[[#This Row],[Away Differential]]</f>
        <v>-1.7682035275138452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0.71614004584069757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0.51285656525671641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-6.98902744359894E-2</v>
      </c>
      <c r="H471" t="s">
        <v>20</v>
      </c>
      <c r="I471">
        <f>VLOOKUP(Table4[[#This Row],[Visitor]],'NHL Model'!$A$6:$B$38,2,FALSE)</f>
        <v>-0.11283731617452618</v>
      </c>
      <c r="J471">
        <f>($B$1+Table4[[#This Row],[Home Differential]])-Table4[[#This Row],[Away Differential]]</f>
        <v>0.15107750364163874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0.56130630320258001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0.19245215960978665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-0.179282670690569</v>
      </c>
      <c r="H472" t="s">
        <v>24</v>
      </c>
      <c r="I472">
        <f>VLOOKUP(Table4[[#This Row],[Visitor]],'NHL Model'!$A$6:$B$38,2,FALSE)</f>
        <v>-0.55013344272463272</v>
      </c>
      <c r="J472">
        <f>($B$1+Table4[[#This Row],[Home Differential]])-Table4[[#This Row],[Away Differential]]</f>
        <v>0.47898123393716568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0.5621839056712894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0.31605074379582521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-0.39747316405117561</v>
      </c>
      <c r="H473" t="s">
        <v>33</v>
      </c>
      <c r="I473">
        <f>VLOOKUP(Table4[[#This Row],[Visitor]],'NHL Model'!$A$6:$B$38,2,FALSE)</f>
        <v>-0.46908405058827807</v>
      </c>
      <c r="J473">
        <f>($B$1+Table4[[#This Row],[Home Differential]])-Table4[[#This Row],[Away Differential]]</f>
        <v>0.1797413484402044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0.528729969355619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0.22209544178355581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3.6611055984458557E-5</v>
      </c>
      <c r="H474" t="s">
        <v>31</v>
      </c>
      <c r="I474">
        <f>VLOOKUP(Table4[[#This Row],[Visitor]],'NHL Model'!$A$6:$B$38,2,FALSE)</f>
        <v>-0.39000953236289804</v>
      </c>
      <c r="J474">
        <f>($B$1+Table4[[#This Row],[Home Differential]])-Table4[[#This Row],[Away Differential]]</f>
        <v>0.49817660532198443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0.59348140198410981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0.35222017450102455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-1.236228034931707</v>
      </c>
      <c r="H475" t="s">
        <v>21</v>
      </c>
      <c r="I475">
        <f>VLOOKUP(Table4[[#This Row],[Visitor]],'NHL Model'!$A$6:$B$38,2,FALSE)</f>
        <v>-2.9858233272404857E-2</v>
      </c>
      <c r="J475">
        <f>($B$1+Table4[[#This Row],[Home Differential]])-Table4[[#This Row],[Away Differential]]</f>
        <v>-1.0982393397562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0.57790071829306888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0.1781678036175072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-0.41982036690375685</v>
      </c>
      <c r="H476" t="s">
        <v>39</v>
      </c>
      <c r="I476">
        <f>VLOOKUP(Table4[[#This Row],[Visitor]],'NHL Model'!$A$6:$B$38,2,FALSE)</f>
        <v>0.24554986733769732</v>
      </c>
      <c r="J476">
        <f>($B$1+Table4[[#This Row],[Home Differential]])-Table4[[#This Row],[Away Differential]]</f>
        <v>-0.5572397723383522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0.56519163856687293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0.18905831117216085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-0.77822387693813933</v>
      </c>
      <c r="H477" t="s">
        <v>26</v>
      </c>
      <c r="I477">
        <f>VLOOKUP(Table4[[#This Row],[Visitor]],'NHL Model'!$A$6:$B$38,2,FALSE)</f>
        <v>-0.1792260169918948</v>
      </c>
      <c r="J477">
        <f>($B$1+Table4[[#This Row],[Home Differential]])-Table4[[#This Row],[Away Differential]]</f>
        <v>-0.49086739804314261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0.55198346037312296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0.20071881977924108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-0.75050764651940183</v>
      </c>
      <c r="H478" t="s">
        <v>15</v>
      </c>
      <c r="I478">
        <f>VLOOKUP(Table4[[#This Row],[Visitor]],'NHL Model'!$A$6:$B$38,2,FALSE)</f>
        <v>-0.62425830840281982</v>
      </c>
      <c r="J478">
        <f>($B$1+Table4[[#This Row],[Home Differential]])-Table4[[#This Row],[Away Differential]]</f>
        <v>-1.8118876213480073E-2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0.50579813279745689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0.25583175114139384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-0.42661371358543798</v>
      </c>
      <c r="H479" t="s">
        <v>13</v>
      </c>
      <c r="I479">
        <f>VLOOKUP(Table4[[#This Row],[Visitor]],'NHL Model'!$A$6:$B$38,2,FALSE)</f>
        <v>-0.36406236312551898</v>
      </c>
      <c r="J479">
        <f>($B$1+Table4[[#This Row],[Home Differential]])-Table4[[#This Row],[Away Differential]]</f>
        <v>4.557911144318294E-2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0.50560638047913409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0.24442505102294274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0.14062496747196682</v>
      </c>
      <c r="H480" t="s">
        <v>11</v>
      </c>
      <c r="I480">
        <f>VLOOKUP(Table4[[#This Row],[Visitor]],'NHL Model'!$A$6:$B$38,2,FALSE)</f>
        <v>-0.34412098011518399</v>
      </c>
      <c r="J480">
        <f>($B$1+Table4[[#This Row],[Home Differential]])-Table4[[#This Row],[Away Differential]]</f>
        <v>0.59287640949025278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0.58088921271743588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0.33743227745148247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-0.36066890819319958</v>
      </c>
      <c r="H481" t="s">
        <v>36</v>
      </c>
      <c r="I481">
        <f>VLOOKUP(Table4[[#This Row],[Visitor]],'NHL Model'!$A$6:$B$38,2,FALSE)</f>
        <v>-0.179282670690569</v>
      </c>
      <c r="J481">
        <f>($B$1+Table4[[#This Row],[Home Differential]])-Table4[[#This Row],[Away Differential]]</f>
        <v>-7.3255775599528644E-2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0.46869381578084007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0.28228626138952395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1.1504937678265921</v>
      </c>
      <c r="H482" t="s">
        <v>11</v>
      </c>
      <c r="I482">
        <f>VLOOKUP(Table4[[#This Row],[Visitor]],'NHL Model'!$A$6:$B$38,2,FALSE)</f>
        <v>-0.34412098011518399</v>
      </c>
      <c r="J482">
        <f>($B$1+Table4[[#This Row],[Home Differential]])-Table4[[#This Row],[Away Differential]]</f>
        <v>1.602745209844878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0.7407819732284382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6.7193985403342135E-2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-0.12154868922444324</v>
      </c>
      <c r="H483" t="s">
        <v>26</v>
      </c>
      <c r="I483">
        <f>VLOOKUP(Table4[[#This Row],[Visitor]],'NHL Model'!$A$6:$B$38,2,FALSE)</f>
        <v>-0.1792260169918948</v>
      </c>
      <c r="J483">
        <f>($B$1+Table4[[#This Row],[Home Differential]])-Table4[[#This Row],[Away Differential]]</f>
        <v>0.16580778967055351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0.51851344637023578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0.23182930132626783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4.6716977502832858E-2</v>
      </c>
      <c r="H484" t="s">
        <v>39</v>
      </c>
      <c r="I484">
        <f>VLOOKUP(Table4[[#This Row],[Visitor]],'NHL Model'!$A$6:$B$38,2,FALSE)</f>
        <v>0.24554986733769732</v>
      </c>
      <c r="J484">
        <f>($B$1+Table4[[#This Row],[Home Differential]])-Table4[[#This Row],[Away Differential]]</f>
        <v>-9.0702427931762503E-2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0.51510684736982071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0.26533506420727576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-0.55013344272463272</v>
      </c>
      <c r="H485" t="s">
        <v>37</v>
      </c>
      <c r="I485">
        <f>VLOOKUP(Table4[[#This Row],[Visitor]],'NHL Model'!$A$6:$B$38,2,FALSE)</f>
        <v>0.6987740059316554</v>
      </c>
      <c r="J485">
        <f>($B$1+Table4[[#This Row],[Home Differential]])-Table4[[#This Row],[Away Differential]]</f>
        <v>-1.1407769867531861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0.67932546543019712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0.1028321571215597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-0.72584022159035511</v>
      </c>
      <c r="H486" t="s">
        <v>35</v>
      </c>
      <c r="I486">
        <f>VLOOKUP(Table4[[#This Row],[Visitor]],'NHL Model'!$A$6:$B$38,2,FALSE)</f>
        <v>-1.236228034931707</v>
      </c>
      <c r="J486">
        <f>($B$1+Table4[[#This Row],[Home Differential]])-Table4[[#This Row],[Away Differential]]</f>
        <v>0.6185182752444538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0.6064005980198266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0.15492048923915014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-6.98902744359894E-2</v>
      </c>
      <c r="H487" t="s">
        <v>31</v>
      </c>
      <c r="I487">
        <f>VLOOKUP(Table4[[#This Row],[Visitor]],'NHL Model'!$A$6:$B$38,2,FALSE)</f>
        <v>-0.39000953236289804</v>
      </c>
      <c r="J487">
        <f>($B$1+Table4[[#This Row],[Home Differential]])-Table4[[#This Row],[Away Differential]]</f>
        <v>0.42824971983001059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0.60235427192486612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0.1581221250564033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-0.39747316405117561</v>
      </c>
      <c r="H488" t="s">
        <v>20</v>
      </c>
      <c r="I488">
        <f>VLOOKUP(Table4[[#This Row],[Visitor]],'NHL Model'!$A$6:$B$38,2,FALSE)</f>
        <v>-0.11283731617452618</v>
      </c>
      <c r="J488">
        <f>($B$1+Table4[[#This Row],[Home Differential]])-Table4[[#This Row],[Away Differential]]</f>
        <v>-0.17650538597354748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0.49030466771035758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0.25978933175784907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3.6611055984458557E-5</v>
      </c>
      <c r="H489" t="s">
        <v>18</v>
      </c>
      <c r="I489">
        <f>VLOOKUP(Table4[[#This Row],[Visitor]],'NHL Model'!$A$6:$B$38,2,FALSE)</f>
        <v>-0.18787166436597766</v>
      </c>
      <c r="J489">
        <f>($B$1+Table4[[#This Row],[Home Differential]])-Table4[[#This Row],[Away Differential]]</f>
        <v>0.29603873732506408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0.53249429891906397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0.28355017838130547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-0.38129365484385536</v>
      </c>
      <c r="H490" t="s">
        <v>33</v>
      </c>
      <c r="I490">
        <f>VLOOKUP(Table4[[#This Row],[Visitor]],'NHL Model'!$A$6:$B$38,2,FALSE)</f>
        <v>-0.46908405058827807</v>
      </c>
      <c r="J490">
        <f>($B$1+Table4[[#This Row],[Home Differential]])-Table4[[#This Row],[Away Differential]]</f>
        <v>0.19592085764752465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0.53046690928129669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0.28139514184245146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-1.2664425175465013</v>
      </c>
      <c r="H491" t="s">
        <v>23</v>
      </c>
      <c r="I491">
        <f>VLOOKUP(Table4[[#This Row],[Visitor]],'NHL Model'!$A$6:$B$38,2,FALSE)</f>
        <v>0.12350258496936412</v>
      </c>
      <c r="J491">
        <f>($B$1+Table4[[#This Row],[Home Differential]])-Table4[[#This Row],[Away Differential]]</f>
        <v>-1.2818146406127633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0.62746136075877135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0.13878503772770631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-0.41982036690375685</v>
      </c>
      <c r="H492" t="s">
        <v>21</v>
      </c>
      <c r="I492">
        <f>VLOOKUP(Table4[[#This Row],[Visitor]],'NHL Model'!$A$6:$B$38,2,FALSE)</f>
        <v>-2.9858233272404857E-2</v>
      </c>
      <c r="J492">
        <f>($B$1+Table4[[#This Row],[Home Differential]])-Table4[[#This Row],[Away Differential]]</f>
        <v>-0.28183167172825008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0.49025584253963572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0.25983910606497668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-0.12498445042942641</v>
      </c>
      <c r="H493" t="s">
        <v>25</v>
      </c>
      <c r="I493">
        <f>VLOOKUP(Table4[[#This Row],[Visitor]],'NHL Model'!$A$6:$B$38,2,FALSE)</f>
        <v>0.31465989886768042</v>
      </c>
      <c r="J493">
        <f>($B$1+Table4[[#This Row],[Home Differential]])-Table4[[#This Row],[Away Differential]]</f>
        <v>-0.33151388739400489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0.55487727597677605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0.19813423944185518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-1.236228034931707</v>
      </c>
      <c r="H494" t="s">
        <v>10</v>
      </c>
      <c r="I494">
        <f>VLOOKUP(Table4[[#This Row],[Visitor]],'NHL Model'!$A$6:$B$38,2,FALSE)</f>
        <v>-0.75050764651940183</v>
      </c>
      <c r="J494">
        <f>($B$1+Table4[[#This Row],[Home Differential]])-Table4[[#This Row],[Away Differential]]</f>
        <v>-0.37758992650920309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0.50053590318986818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0.25053619038209707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0.14062496747196682</v>
      </c>
      <c r="H495" t="s">
        <v>32</v>
      </c>
      <c r="I495">
        <f>VLOOKUP(Table4[[#This Row],[Visitor]],'NHL Model'!$A$6:$B$38,2,FALSE)</f>
        <v>-0.42661371358543798</v>
      </c>
      <c r="J495">
        <f>($B$1+Table4[[#This Row],[Home Differential]])-Table4[[#This Row],[Away Differential]]</f>
        <v>0.67536914296050676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0.64854064962921631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0.12352367496305329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-0.36066890819319958</v>
      </c>
      <c r="H496" t="s">
        <v>20</v>
      </c>
      <c r="I496">
        <f>VLOOKUP(Table4[[#This Row],[Visitor]],'NHL Model'!$A$6:$B$38,2,FALSE)</f>
        <v>-0.11283731617452618</v>
      </c>
      <c r="J496">
        <f>($B$1+Table4[[#This Row],[Home Differential]])-Table4[[#This Row],[Away Differential]]</f>
        <v>-0.13970113011557145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0.48635357249384442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0.26383265248983639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-0.75050764651940183</v>
      </c>
      <c r="H497" t="s">
        <v>26</v>
      </c>
      <c r="I497">
        <f>VLOOKUP(Table4[[#This Row],[Visitor]],'NHL Model'!$A$6:$B$38,2,FALSE)</f>
        <v>-0.1792260169918948</v>
      </c>
      <c r="J497">
        <f>($B$1+Table4[[#This Row],[Home Differential]])-Table4[[#This Row],[Away Differential]]</f>
        <v>-0.46315116762440511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0.54900800378870418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0.20339378064664945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1.1504937678265921</v>
      </c>
      <c r="H498" t="s">
        <v>29</v>
      </c>
      <c r="I498">
        <f>VLOOKUP(Table4[[#This Row],[Visitor]],'NHL Model'!$A$6:$B$38,2,FALSE)</f>
        <v>-0.72584022159035511</v>
      </c>
      <c r="J498">
        <f>($B$1+Table4[[#This Row],[Home Differential]])-Table4[[#This Row],[Away Differential]]</f>
        <v>1.9844644513200493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0.83882302478407522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2.5978017339754831E-2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0.24554986733769732</v>
      </c>
      <c r="H499" t="s">
        <v>11</v>
      </c>
      <c r="I499">
        <f>VLOOKUP(Table4[[#This Row],[Visitor]],'NHL Model'!$A$6:$B$38,2,FALSE)</f>
        <v>-0.34412098011518399</v>
      </c>
      <c r="J499">
        <f>($B$1+Table4[[#This Row],[Home Differential]])-Table4[[#This Row],[Away Differential]]</f>
        <v>0.69780130935598328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0.57491197284662732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0.33052377652240117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-0.36406236312551898</v>
      </c>
      <c r="H500" t="s">
        <v>16</v>
      </c>
      <c r="I500">
        <f>VLOOKUP(Table4[[#This Row],[Visitor]],'NHL Model'!$A$6:$B$38,2,FALSE)</f>
        <v>-0.77822387693813933</v>
      </c>
      <c r="J500">
        <f>($B$1+Table4[[#This Row],[Home Differential]])-Table4[[#This Row],[Away Differential]]</f>
        <v>0.52229197571572228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0.59607029075215945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0.35529979151736391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4.6716977502832858E-2</v>
      </c>
      <c r="H501" t="s">
        <v>36</v>
      </c>
      <c r="I501">
        <f>VLOOKUP(Table4[[#This Row],[Visitor]],'NHL Model'!$A$6:$B$38,2,FALSE)</f>
        <v>-0.179282670690569</v>
      </c>
      <c r="J501">
        <f>($B$1+Table4[[#This Row],[Home Differential]])-Table4[[#This Row],[Away Differential]]</f>
        <v>0.33413011009650384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0.57504081182472599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0.18059031161458794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-0.55013344272463272</v>
      </c>
      <c r="H502" t="s">
        <v>31</v>
      </c>
      <c r="I502">
        <f>VLOOKUP(Table4[[#This Row],[Visitor]],'NHL Model'!$A$6:$B$38,2,FALSE)</f>
        <v>-0.39000953236289804</v>
      </c>
      <c r="J502">
        <f>($B$1+Table4[[#This Row],[Home Differential]])-Table4[[#This Row],[Away Differential]]</f>
        <v>-5.1993448458632741E-2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0.46558172039363233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0.21676633836469444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-6.98902744359894E-2</v>
      </c>
      <c r="H503" t="s">
        <v>37</v>
      </c>
      <c r="I503">
        <f>VLOOKUP(Table4[[#This Row],[Visitor]],'NHL Model'!$A$6:$B$38,2,FALSE)</f>
        <v>0.6987740059316554</v>
      </c>
      <c r="J503">
        <f>($B$1+Table4[[#This Row],[Home Differential]])-Table4[[#This Row],[Away Differential]]</f>
        <v>-0.66053381846454284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0.61139254779384178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0.37380084749784509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-0.62425830840281982</v>
      </c>
      <c r="H504" t="s">
        <v>18</v>
      </c>
      <c r="I504">
        <f>VLOOKUP(Table4[[#This Row],[Visitor]],'NHL Model'!$A$6:$B$38,2,FALSE)</f>
        <v>-0.18787166436597766</v>
      </c>
      <c r="J504">
        <f>($B$1+Table4[[#This Row],[Home Differential]])-Table4[[#This Row],[Away Differential]]</f>
        <v>-0.32825618213374019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0.53452644671116123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0.2857185222336599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-0.39747316405117561</v>
      </c>
      <c r="H505" t="s">
        <v>25</v>
      </c>
      <c r="I505">
        <f>VLOOKUP(Table4[[#This Row],[Visitor]],'NHL Model'!$A$6:$B$38,2,FALSE)</f>
        <v>0.31465989886768042</v>
      </c>
      <c r="J505">
        <f>($B$1+Table4[[#This Row],[Home Differential]])-Table4[[#This Row],[Away Differential]]</f>
        <v>-0.60400260101575409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0.58413011176564011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0.17294776394005898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3.6611055984458557E-5</v>
      </c>
      <c r="H506" t="s">
        <v>33</v>
      </c>
      <c r="I506">
        <f>VLOOKUP(Table4[[#This Row],[Visitor]],'NHL Model'!$A$6:$B$38,2,FALSE)</f>
        <v>-0.46908405058827807</v>
      </c>
      <c r="J506">
        <f>($B$1+Table4[[#This Row],[Home Differential]])-Table4[[#This Row],[Away Differential]]</f>
        <v>0.57725112354736452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0.57140435399754452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0.32650293576735118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-0.38129365484385536</v>
      </c>
      <c r="H507" t="s">
        <v>17</v>
      </c>
      <c r="I507">
        <f>VLOOKUP(Table4[[#This Row],[Visitor]],'NHL Model'!$A$6:$B$38,2,FALSE)</f>
        <v>-0.12154868922444324</v>
      </c>
      <c r="J507">
        <f>($B$1+Table4[[#This Row],[Home Differential]])-Table4[[#This Row],[Away Differential]]</f>
        <v>-0.15161450371631019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0.47858087896755497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0.27187789977824756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-0.41982036690375685</v>
      </c>
      <c r="H508" t="s">
        <v>22</v>
      </c>
      <c r="I508">
        <f>VLOOKUP(Table4[[#This Row],[Visitor]],'NHL Model'!$A$6:$B$38,2,FALSE)</f>
        <v>-0.12498445042942641</v>
      </c>
      <c r="J508">
        <f>($B$1+Table4[[#This Row],[Home Differential]])-Table4[[#This Row],[Away Differential]]</f>
        <v>-0.1867054545712285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0.48004363384767151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0.23044189039767732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0.31465989886768042</v>
      </c>
      <c r="H509" t="s">
        <v>27</v>
      </c>
      <c r="I509">
        <f>VLOOKUP(Table4[[#This Row],[Visitor]],'NHL Model'!$A$6:$B$38,2,FALSE)</f>
        <v>-0.39747316405117561</v>
      </c>
      <c r="J509">
        <f>($B$1+Table4[[#This Row],[Home Differential]])-Table4[[#This Row],[Away Differential]]</f>
        <v>0.82026352482195797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0.6701483708088839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0.10880209728003355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4.6716977502832858E-2</v>
      </c>
      <c r="H510" t="s">
        <v>21</v>
      </c>
      <c r="I510">
        <f>VLOOKUP(Table4[[#This Row],[Visitor]],'NHL Model'!$A$6:$B$38,2,FALSE)</f>
        <v>-2.9858233272404857E-2</v>
      </c>
      <c r="J510">
        <f>($B$1+Table4[[#This Row],[Home Differential]])-Table4[[#This Row],[Away Differential]]</f>
        <v>0.18470567267833968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0.5598289486574165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0.19375055444003528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-0.18787166436597766</v>
      </c>
      <c r="H511" t="s">
        <v>17</v>
      </c>
      <c r="I511">
        <f>VLOOKUP(Table4[[#This Row],[Visitor]],'NHL Model'!$A$6:$B$38,2,FALSE)</f>
        <v>-0.12154868922444324</v>
      </c>
      <c r="J511">
        <f>($B$1+Table4[[#This Row],[Home Differential]])-Table4[[#This Row],[Away Differential]]</f>
        <v>4.1807486761567536E-2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0.5492352952924564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0.20318881901007899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-0.55013344272463272</v>
      </c>
      <c r="H512" t="s">
        <v>38</v>
      </c>
      <c r="I512">
        <f>VLOOKUP(Table4[[#This Row],[Visitor]],'NHL Model'!$A$6:$B$38,2,FALSE)</f>
        <v>-1.2664425175465013</v>
      </c>
      <c r="J512">
        <f>($B$1+Table4[[#This Row],[Home Differential]])-Table4[[#This Row],[Away Differential]]</f>
        <v>0.8244395367249705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0.62850713141514036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0.3950212142396885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3.6611055984458557E-5</v>
      </c>
      <c r="H513" t="s">
        <v>55</v>
      </c>
      <c r="I513">
        <f>VLOOKUP(Table4[[#This Row],[Visitor]],'NHL Model'!$A$6:$B$38,2,FALSE)</f>
        <v>0.14062496747196682</v>
      </c>
      <c r="J513">
        <f>($B$1+Table4[[#This Row],[Home Differential]])-Table4[[#This Row],[Away Differential]]</f>
        <v>-3.2457894512880406E-2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0.46348449462591534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0.28784888750680948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-0.42661371358543798</v>
      </c>
      <c r="H514" t="s">
        <v>23</v>
      </c>
      <c r="I514">
        <f>VLOOKUP(Table4[[#This Row],[Visitor]],'NHL Model'!$A$6:$B$38,2,FALSE)</f>
        <v>0.12350258496936412</v>
      </c>
      <c r="J514">
        <f>($B$1+Table4[[#This Row],[Home Differential]])-Table4[[#This Row],[Away Differential]]</f>
        <v>-0.44198583665170016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0.53730212529357757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0.21408932325784019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0.24554986733769732</v>
      </c>
      <c r="H515" t="s">
        <v>13</v>
      </c>
      <c r="I515">
        <f>VLOOKUP(Table4[[#This Row],[Visitor]],'NHL Model'!$A$6:$B$38,2,FALSE)</f>
        <v>-0.36406236312551898</v>
      </c>
      <c r="J515">
        <f>($B$1+Table4[[#This Row],[Home Differential]])-Table4[[#This Row],[Away Differential]]</f>
        <v>0.71774269236631827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0.59705276611050517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0.16236647329919524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-0.62425830840281982</v>
      </c>
      <c r="H516" t="s">
        <v>31</v>
      </c>
      <c r="I516">
        <f>VLOOKUP(Table4[[#This Row],[Visitor]],'NHL Model'!$A$6:$B$38,2,FALSE)</f>
        <v>-0.39000953236289804</v>
      </c>
      <c r="J516">
        <f>($B$1+Table4[[#This Row],[Home Differential]])-Table4[[#This Row],[Away Differential]]</f>
        <v>-0.12611831413681984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0.47353934364611533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0.27716082268856312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-1.236228034931707</v>
      </c>
      <c r="H517" t="s">
        <v>29</v>
      </c>
      <c r="I517">
        <f>VLOOKUP(Table4[[#This Row],[Visitor]],'NHL Model'!$A$6:$B$38,2,FALSE)</f>
        <v>-0.72584022159035511</v>
      </c>
      <c r="J517">
        <f>($B$1+Table4[[#This Row],[Home Differential]])-Table4[[#This Row],[Away Differential]]</f>
        <v>-0.40225735143824981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0.50318405738749572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0.24682608083395113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0.6987740059316554</v>
      </c>
      <c r="H518" t="s">
        <v>11</v>
      </c>
      <c r="I518">
        <f>VLOOKUP(Table4[[#This Row],[Visitor]],'NHL Model'!$A$6:$B$38,2,FALSE)</f>
        <v>-0.34412098011518399</v>
      </c>
      <c r="J518">
        <f>($B$1+Table4[[#This Row],[Home Differential]])-Table4[[#This Row],[Away Differential]]</f>
        <v>1.1510254479499413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0.63420583199202063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0.4022170373326911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-0.41982036690375685</v>
      </c>
      <c r="H519" t="s">
        <v>36</v>
      </c>
      <c r="I519">
        <f>VLOOKUP(Table4[[#This Row],[Visitor]],'NHL Model'!$A$6:$B$38,2,FALSE)</f>
        <v>-0.179282670690569</v>
      </c>
      <c r="J519">
        <f>($B$1+Table4[[#This Row],[Home Differential]])-Table4[[#This Row],[Away Differential]]</f>
        <v>-0.13240723431008591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0.47504397937232612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0.27557882359324276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-2.9858233272404857E-2</v>
      </c>
      <c r="H520" t="s">
        <v>55</v>
      </c>
      <c r="I520">
        <f>VLOOKUP(Table4[[#This Row],[Visitor]],'NHL Model'!$A$6:$B$38,2,FALSE)</f>
        <v>0.14062496747196682</v>
      </c>
      <c r="J520">
        <f>($B$1+Table4[[#This Row],[Home Differential]])-Table4[[#This Row],[Away Differential]]</f>
        <v>-6.2352738841269725E-2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0.41918610442213944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0.17571699014060879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-0.36066890819319958</v>
      </c>
      <c r="H521" t="s">
        <v>31</v>
      </c>
      <c r="I521">
        <f>VLOOKUP(Table4[[#This Row],[Visitor]],'NHL Model'!$A$6:$B$38,2,FALSE)</f>
        <v>-0.39000953236289804</v>
      </c>
      <c r="J521">
        <f>($B$1+Table4[[#This Row],[Home Differential]])-Table4[[#This Row],[Away Differential]]</f>
        <v>0.1374710860728004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0.55475811255869734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0.19824033833229363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-0.1792260169918948</v>
      </c>
      <c r="H522" t="s">
        <v>30</v>
      </c>
      <c r="I522">
        <f>VLOOKUP(Table4[[#This Row],[Visitor]],'NHL Model'!$A$6:$B$38,2,FALSE)</f>
        <v>-6.98902744359894E-2</v>
      </c>
      <c r="J522">
        <f>($B$1+Table4[[#This Row],[Home Differential]])-Table4[[#This Row],[Away Differential]]</f>
        <v>-1.2052806528034532E-3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0.44659864035536517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0.19945034556726079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4.6716977502832858E-2</v>
      </c>
      <c r="H523" t="s">
        <v>22</v>
      </c>
      <c r="I523">
        <f>VLOOKUP(Table4[[#This Row],[Visitor]],'NHL Model'!$A$6:$B$38,2,FALSE)</f>
        <v>-0.12498445042942641</v>
      </c>
      <c r="J523">
        <f>($B$1+Table4[[#This Row],[Home Differential]])-Table4[[#This Row],[Away Differential]]</f>
        <v>0.27983188983536122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0.57004115734938077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0.18486460637345994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-0.18787166436597766</v>
      </c>
      <c r="H524" t="s">
        <v>27</v>
      </c>
      <c r="I524">
        <f>VLOOKUP(Table4[[#This Row],[Visitor]],'NHL Model'!$A$6:$B$38,2,FALSE)</f>
        <v>-0.39747316405117561</v>
      </c>
      <c r="J524">
        <f>($B$1+Table4[[#This Row],[Home Differential]])-Table4[[#This Row],[Away Differential]]</f>
        <v>0.31773196158829992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0.58032838051191948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0.33678102922758724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-0.62425830840281982</v>
      </c>
      <c r="H525" t="s">
        <v>38</v>
      </c>
      <c r="I525">
        <f>VLOOKUP(Table4[[#This Row],[Visitor]],'NHL Model'!$A$6:$B$38,2,FALSE)</f>
        <v>-1.2664425175465013</v>
      </c>
      <c r="J525">
        <f>($B$1+Table4[[#This Row],[Home Differential]])-Table4[[#This Row],[Away Differential]]</f>
        <v>0.7503146710467834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0.6205495081626573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0.38508169208091586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3.6611055984458557E-5</v>
      </c>
      <c r="H526" t="s">
        <v>17</v>
      </c>
      <c r="I526">
        <f>VLOOKUP(Table4[[#This Row],[Visitor]],'NHL Model'!$A$6:$B$38,2,FALSE)</f>
        <v>-0.12154868922444324</v>
      </c>
      <c r="J526">
        <f>($B$1+Table4[[#This Row],[Home Differential]])-Table4[[#This Row],[Away Differential]]</f>
        <v>0.22971576218352965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0.56235656574869275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0.31624490704066377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-0.42661371358543798</v>
      </c>
      <c r="H527" t="s">
        <v>12</v>
      </c>
      <c r="I527">
        <f>VLOOKUP(Table4[[#This Row],[Visitor]],'NHL Model'!$A$6:$B$38,2,FALSE)</f>
        <v>1.1504937678265921</v>
      </c>
      <c r="J527">
        <f>($B$1+Table4[[#This Row],[Home Differential]])-Table4[[#This Row],[Away Differential]]</f>
        <v>-1.468977019508928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0.68401679278555017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9.9845387241529943E-2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-0.46908405058827807</v>
      </c>
      <c r="H528" t="s">
        <v>16</v>
      </c>
      <c r="I528">
        <f>VLOOKUP(Table4[[#This Row],[Visitor]],'NHL Model'!$A$6:$B$38,2,FALSE)</f>
        <v>-0.77822387693813933</v>
      </c>
      <c r="J528">
        <f>($B$1+Table4[[#This Row],[Home Differential]])-Table4[[#This Row],[Away Differential]]</f>
        <v>0.4172702882529632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0.58479576074765405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0.17239456029311934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-0.38129365484385536</v>
      </c>
      <c r="H529" t="s">
        <v>10</v>
      </c>
      <c r="I529">
        <f>VLOOKUP(Table4[[#This Row],[Visitor]],'NHL Model'!$A$6:$B$38,2,FALSE)</f>
        <v>-0.75050764651940183</v>
      </c>
      <c r="J529">
        <f>($B$1+Table4[[#This Row],[Home Differential]])-Table4[[#This Row],[Away Differential]]</f>
        <v>0.47734445357864841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0.59124498086421551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0.16708066566869553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-0.1792260169918948</v>
      </c>
      <c r="H530" t="s">
        <v>55</v>
      </c>
      <c r="I530">
        <f>VLOOKUP(Table4[[#This Row],[Visitor]],'NHL Model'!$A$6:$B$38,2,FALSE)</f>
        <v>0.14062496747196682</v>
      </c>
      <c r="J530">
        <f>($B$1+Table4[[#This Row],[Home Differential]])-Table4[[#This Row],[Away Differential]]</f>
        <v>-0.21172052256075968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0.43982755461942968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0.31379316856364803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-0.34412098011518399</v>
      </c>
      <c r="H531" t="s">
        <v>13</v>
      </c>
      <c r="I531">
        <f>VLOOKUP(Table4[[#This Row],[Visitor]],'NHL Model'!$A$6:$B$38,2,FALSE)</f>
        <v>-0.36406236312551898</v>
      </c>
      <c r="J531">
        <f>($B$1+Table4[[#This Row],[Home Differential]])-Table4[[#This Row],[Away Differential]]</f>
        <v>0.12807184491343693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0.51446233034181221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0.2357468286571035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-0.72584022159035511</v>
      </c>
      <c r="H532" t="s">
        <v>25</v>
      </c>
      <c r="I532">
        <f>VLOOKUP(Table4[[#This Row],[Visitor]],'NHL Model'!$A$6:$B$38,2,FALSE)</f>
        <v>0.31465989886768042</v>
      </c>
      <c r="J532">
        <f>($B$1+Table4[[#This Row],[Home Differential]])-Table4[[#This Row],[Away Differential]]</f>
        <v>-0.93236965855493359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0.61938172819038506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0.14487026883533791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-1.236228034931707</v>
      </c>
      <c r="H533" t="s">
        <v>40</v>
      </c>
      <c r="I533">
        <f>VLOOKUP(Table4[[#This Row],[Visitor]],'NHL Model'!$A$6:$B$38,2,FALSE)</f>
        <v>-0.41982036690375685</v>
      </c>
      <c r="J533">
        <f>($B$1+Table4[[#This Row],[Home Differential]])-Table4[[#This Row],[Away Differential]]</f>
        <v>-0.70827720612484812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0.53603660543726772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0.28733524236870905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-0.11283731617452618</v>
      </c>
      <c r="H534" t="s">
        <v>24</v>
      </c>
      <c r="I534">
        <f>VLOOKUP(Table4[[#This Row],[Visitor]],'NHL Model'!$A$6:$B$38,2,FALSE)</f>
        <v>-0.55013344272463272</v>
      </c>
      <c r="J534">
        <f>($B$1+Table4[[#This Row],[Home Differential]])-Table4[[#This Row],[Away Differential]]</f>
        <v>0.54542658845320846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0.56931710035945104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0.32412196076169325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-2.9858233272404857E-2</v>
      </c>
      <c r="H535" t="s">
        <v>17</v>
      </c>
      <c r="I535">
        <f>VLOOKUP(Table4[[#This Row],[Visitor]],'NHL Model'!$A$6:$B$38,2,FALSE)</f>
        <v>-0.12154868922444324</v>
      </c>
      <c r="J535">
        <f>($B$1+Table4[[#This Row],[Home Differential]])-Table4[[#This Row],[Away Differential]]</f>
        <v>0.19982091785514033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0.60671016111301157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0.36809721959777647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0.12350258496936412</v>
      </c>
      <c r="H536" t="s">
        <v>27</v>
      </c>
      <c r="I536">
        <f>VLOOKUP(Table4[[#This Row],[Visitor]],'NHL Model'!$A$6:$B$38,2,FALSE)</f>
        <v>-0.39747316405117561</v>
      </c>
      <c r="J536">
        <f>($B$1+Table4[[#This Row],[Home Differential]])-Table4[[#This Row],[Away Differential]]</f>
        <v>0.62910621092364161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0.64854284506171578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0.12352213175731312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-0.36066890819319958</v>
      </c>
      <c r="H537" t="s">
        <v>34</v>
      </c>
      <c r="I537">
        <f>VLOOKUP(Table4[[#This Row],[Visitor]],'NHL Model'!$A$6:$B$38,2,FALSE)</f>
        <v>4.6716977502832858E-2</v>
      </c>
      <c r="J537">
        <f>($B$1+Table4[[#This Row],[Home Differential]])-Table4[[#This Row],[Away Differential]]</f>
        <v>-0.29925542379293052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0.54865528290923538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0.20371205364574235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-0.77822387693813933</v>
      </c>
      <c r="H538" t="s">
        <v>32</v>
      </c>
      <c r="I538">
        <f>VLOOKUP(Table4[[#This Row],[Visitor]],'NHL Model'!$A$6:$B$38,2,FALSE)</f>
        <v>-0.42661371358543798</v>
      </c>
      <c r="J538">
        <f>($B$1+Table4[[#This Row],[Home Differential]])-Table4[[#This Row],[Away Differential]]</f>
        <v>-0.24347970144959941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0.48613859352102823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0.23633073211060351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-0.18787166436597766</v>
      </c>
      <c r="H539" t="s">
        <v>10</v>
      </c>
      <c r="I539">
        <f>VLOOKUP(Table4[[#This Row],[Visitor]],'NHL Model'!$A$6:$B$38,2,FALSE)</f>
        <v>-0.75050764651940183</v>
      </c>
      <c r="J539">
        <f>($B$1+Table4[[#This Row],[Home Differential]])-Table4[[#This Row],[Away Differential]]</f>
        <v>0.67076644405652608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0.61905561559929012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0.14511862400643583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-0.179282670690569</v>
      </c>
      <c r="H540" t="s">
        <v>14</v>
      </c>
      <c r="I540">
        <f>VLOOKUP(Table4[[#This Row],[Visitor]],'NHL Model'!$A$6:$B$38,2,FALSE)</f>
        <v>3.6611055984458557E-5</v>
      </c>
      <c r="J540">
        <f>($B$1+Table4[[#This Row],[Home Differential]])-Table4[[#This Row],[Away Differential]]</f>
        <v>-7.1188819843451503E-2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0.52417135171963369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0.27475560596358795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-0.46908405058827807</v>
      </c>
      <c r="H541" t="s">
        <v>39</v>
      </c>
      <c r="I541">
        <f>VLOOKUP(Table4[[#This Row],[Visitor]],'NHL Model'!$A$6:$B$38,2,FALSE)</f>
        <v>0.24554986733769732</v>
      </c>
      <c r="J541">
        <f>($B$1+Table4[[#This Row],[Home Differential]])-Table4[[#This Row],[Away Differential]]</f>
        <v>-0.60650345602287348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0.57048030696720264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0.18448716670298848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-1.236228034931707</v>
      </c>
      <c r="H542" t="s">
        <v>15</v>
      </c>
      <c r="I542">
        <f>VLOOKUP(Table4[[#This Row],[Visitor]],'NHL Model'!$A$6:$B$38,2,FALSE)</f>
        <v>-0.62425830840281982</v>
      </c>
      <c r="J542">
        <f>($B$1+Table4[[#This Row],[Home Differential]])-Table4[[#This Row],[Away Differential]]</f>
        <v>-0.5038392646257851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0.55794230630349062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0.19541500455627692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0.6987740059316554</v>
      </c>
      <c r="H543" t="s">
        <v>13</v>
      </c>
      <c r="I543">
        <f>VLOOKUP(Table4[[#This Row],[Visitor]],'NHL Model'!$A$6:$B$38,2,FALSE)</f>
        <v>-0.36406236312551898</v>
      </c>
      <c r="J543">
        <f>($B$1+Table4[[#This Row],[Home Differential]])-Table4[[#This Row],[Away Differential]]</f>
        <v>1.1709668309602763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0.6563205722815173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0.4307566935999384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-0.12498445042942641</v>
      </c>
      <c r="H544" t="s">
        <v>19</v>
      </c>
      <c r="I544">
        <f>VLOOKUP(Table4[[#This Row],[Visitor]],'NHL Model'!$A$6:$B$38,2,FALSE)</f>
        <v>-0.38129365484385536</v>
      </c>
      <c r="J544">
        <f>($B$1+Table4[[#This Row],[Home Differential]])-Table4[[#This Row],[Away Differential]]</f>
        <v>0.36443966631753089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0.57912416617935192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0.17713646749422579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-0.39000953236289804</v>
      </c>
      <c r="H545" t="s">
        <v>39</v>
      </c>
      <c r="I545">
        <f>VLOOKUP(Table4[[#This Row],[Visitor]],'NHL Model'!$A$6:$B$38,2,FALSE)</f>
        <v>0.24554986733769732</v>
      </c>
      <c r="J545">
        <f>($B$1+Table4[[#This Row],[Home Differential]])-Table4[[#This Row],[Away Differential]]</f>
        <v>-0.52742893779749345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0.52548623459786459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0.2251633135561128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1.1504937678265921</v>
      </c>
      <c r="H546" t="s">
        <v>40</v>
      </c>
      <c r="I546">
        <f>VLOOKUP(Table4[[#This Row],[Visitor]],'NHL Model'!$A$6:$B$38,2,FALSE)</f>
        <v>-0.41982036690375685</v>
      </c>
      <c r="J546">
        <f>($B$1+Table4[[#This Row],[Home Differential]])-Table4[[#This Row],[Away Differential]]</f>
        <v>1.6784445966334509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0.80597047673430322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3.7647455898713565E-2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-0.34412098011518399</v>
      </c>
      <c r="H547" t="s">
        <v>25</v>
      </c>
      <c r="I547">
        <f>VLOOKUP(Table4[[#This Row],[Visitor]],'NHL Model'!$A$6:$B$38,2,FALSE)</f>
        <v>0.31465989886768042</v>
      </c>
      <c r="J547">
        <f>($B$1+Table4[[#This Row],[Home Differential]])-Table4[[#This Row],[Away Differential]]</f>
        <v>-0.55065041707976248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0.57840252527255953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0.33454948124167389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-6.98902744359894E-2</v>
      </c>
      <c r="H548" t="s">
        <v>38</v>
      </c>
      <c r="I548">
        <f>VLOOKUP(Table4[[#This Row],[Visitor]],'NHL Model'!$A$6:$B$38,2,FALSE)</f>
        <v>-1.2664425175465013</v>
      </c>
      <c r="J548">
        <f>($B$1+Table4[[#This Row],[Home Differential]])-Table4[[#This Row],[Away Differential]]</f>
        <v>1.3046827050136138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0.69644312373363881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0.48503302459586856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0.14062496747196682</v>
      </c>
      <c r="H549" t="s">
        <v>24</v>
      </c>
      <c r="I549">
        <f>VLOOKUP(Table4[[#This Row],[Visitor]],'NHL Model'!$A$6:$B$38,2,FALSE)</f>
        <v>-0.55013344272463272</v>
      </c>
      <c r="J549">
        <f>($B$1+Table4[[#This Row],[Home Differential]])-Table4[[#This Row],[Away Differential]]</f>
        <v>0.7988888720997015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0.63293396895674292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0.40060540905933523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-0.39000953236289804</v>
      </c>
      <c r="H550" t="s">
        <v>28</v>
      </c>
      <c r="I550">
        <f>VLOOKUP(Table4[[#This Row],[Visitor]],'NHL Model'!$A$6:$B$38,2,FALSE)</f>
        <v>-0.36066890819319958</v>
      </c>
      <c r="J550">
        <f>($B$1+Table4[[#This Row],[Home Differential]])-Table4[[#This Row],[Away Differential]]</f>
        <v>7.8789837733403478E-2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0.58449529443308057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0.17264416034825242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-2.9858233272404857E-2</v>
      </c>
      <c r="H551" t="s">
        <v>38</v>
      </c>
      <c r="I551">
        <f>VLOOKUP(Table4[[#This Row],[Visitor]],'NHL Model'!$A$6:$B$38,2,FALSE)</f>
        <v>-1.2664425175465013</v>
      </c>
      <c r="J551">
        <f>($B$1+Table4[[#This Row],[Home Differential]])-Table4[[#This Row],[Away Differential]]</f>
        <v>1.3447147461771984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0.7318686439966583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0.53563171206550741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0.12350258496936412</v>
      </c>
      <c r="H552" t="s">
        <v>30</v>
      </c>
      <c r="I552">
        <f>VLOOKUP(Table4[[#This Row],[Visitor]],'NHL Model'!$A$6:$B$38,2,FALSE)</f>
        <v>-6.98902744359894E-2</v>
      </c>
      <c r="J552">
        <f>($B$1+Table4[[#This Row],[Home Differential]])-Table4[[#This Row],[Away Differential]]</f>
        <v>0.30152332130845544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0.58479949336449366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0.17239146071038114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-0.77822387693813933</v>
      </c>
      <c r="H553" t="s">
        <v>20</v>
      </c>
      <c r="I553">
        <f>VLOOKUP(Table4[[#This Row],[Visitor]],'NHL Model'!$A$6:$B$38,2,FALSE)</f>
        <v>-0.11283731617452618</v>
      </c>
      <c r="J553">
        <f>($B$1+Table4[[#This Row],[Home Differential]])-Table4[[#This Row],[Away Differential]]</f>
        <v>-0.5572560988605112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0.53117989491714879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0.28215208076419324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-0.34412098011518399</v>
      </c>
      <c r="H554" t="s">
        <v>35</v>
      </c>
      <c r="I554">
        <f>VLOOKUP(Table4[[#This Row],[Visitor]],'NHL Model'!$A$6:$B$38,2,FALSE)</f>
        <v>-1.236228034931707</v>
      </c>
      <c r="J554">
        <f>($B$1+Table4[[#This Row],[Home Differential]])-Table4[[#This Row],[Away Differential]]</f>
        <v>1.0002375167196249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0.64737980093765213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0.4191006066620741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4.6716977502832858E-2</v>
      </c>
      <c r="H555" t="s">
        <v>17</v>
      </c>
      <c r="I555">
        <f>VLOOKUP(Table4[[#This Row],[Visitor]],'NHL Model'!$A$6:$B$38,2,FALSE)</f>
        <v>-0.12154868922444324</v>
      </c>
      <c r="J555">
        <f>($B$1+Table4[[#This Row],[Home Differential]])-Table4[[#This Row],[Away Differential]]</f>
        <v>0.27639612863037805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0.56736790392884651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0.18717053055091978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-0.18787166436597766</v>
      </c>
      <c r="H556" t="s">
        <v>14</v>
      </c>
      <c r="I556">
        <f>VLOOKUP(Table4[[#This Row],[Visitor]],'NHL Model'!$A$6:$B$38,2,FALSE)</f>
        <v>3.6611055984458557E-5</v>
      </c>
      <c r="J556">
        <f>($B$1+Table4[[#This Row],[Home Differential]])-Table4[[#This Row],[Away Differential]]</f>
        <v>-7.9777813518860166E-2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0.51799845378911502</v>
      </c>
      <c r="M556" t="str">
        <f>IF(OR((NHL2025_26Results[[#This Row],[Winning Team]]="")),"-",IF(Table4[[#This Row],[Predicted Winner]]=NHL2025_26Results[[#This Row],[Winning Team]],"YES","NO"))</f>
        <v>NO</v>
      </c>
      <c r="N556">
        <f>IF(Table4[[#This Row],[Adjusted Correct]]="-", "",IF(Table4[[#This Row],[Adjusted Correct]]="YES",(Table4[[#This Row],[Strength of Win]]-1)^2,(Table4[[#This Row],[Strength of Win]]-0)^2))</f>
        <v>0.26832239812791392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-0.72584022159035511</v>
      </c>
      <c r="H557" t="s">
        <v>19</v>
      </c>
      <c r="I557">
        <f>VLOOKUP(Table4[[#This Row],[Visitor]],'NHL Model'!$A$6:$B$38,2,FALSE)</f>
        <v>-0.38129365484385536</v>
      </c>
      <c r="J557">
        <f>($B$1+Table4[[#This Row],[Home Differential]])-Table4[[#This Row],[Away Differential]]</f>
        <v>-0.23641610484339781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0.48538028603425715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0.2355940220706973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-0.62425830840281982</v>
      </c>
      <c r="H558" t="s">
        <v>27</v>
      </c>
      <c r="I558">
        <f>VLOOKUP(Table4[[#This Row],[Visitor]],'NHL Model'!$A$6:$B$38,2,FALSE)</f>
        <v>-0.39747316405117561</v>
      </c>
      <c r="J558">
        <f>($B$1+Table4[[#This Row],[Home Differential]])-Table4[[#This Row],[Away Differential]]</f>
        <v>-0.11865468244854227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0.4735675837596916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0.22426625638799252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-0.179282670690569</v>
      </c>
      <c r="H559" t="s">
        <v>10</v>
      </c>
      <c r="I559">
        <f>VLOOKUP(Table4[[#This Row],[Visitor]],'NHL Model'!$A$6:$B$38,2,FALSE)</f>
        <v>-0.75050764651940183</v>
      </c>
      <c r="J559">
        <f>($B$1+Table4[[#This Row],[Home Differential]])-Table4[[#This Row],[Away Differential]]</f>
        <v>0.67935543773193474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0.6129317291644989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0.14982184628758483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-0.46908405058827807</v>
      </c>
      <c r="H560" t="s">
        <v>32</v>
      </c>
      <c r="I560">
        <f>VLOOKUP(Table4[[#This Row],[Visitor]],'NHL Model'!$A$6:$B$38,2,FALSE)</f>
        <v>-0.42661371358543798</v>
      </c>
      <c r="J560">
        <f>($B$1+Table4[[#This Row],[Home Differential]])-Table4[[#This Row],[Away Differential]]</f>
        <v>6.5660124900261851E-2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0.54704889691046032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0.29926249561095147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0.6987740059316554</v>
      </c>
      <c r="H561" t="s">
        <v>25</v>
      </c>
      <c r="I561">
        <f>VLOOKUP(Table4[[#This Row],[Visitor]],'NHL Model'!$A$6:$B$38,2,FALSE)</f>
        <v>0.31465989886768042</v>
      </c>
      <c r="J561">
        <f>($B$1+Table4[[#This Row],[Home Differential]])-Table4[[#This Row],[Away Differential]]</f>
        <v>0.49224456896707691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0.56348287023118881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0.19054720458160115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-0.12498445042942641</v>
      </c>
      <c r="H562" t="s">
        <v>26</v>
      </c>
      <c r="I562">
        <f>VLOOKUP(Table4[[#This Row],[Visitor]],'NHL Model'!$A$6:$B$38,2,FALSE)</f>
        <v>-0.1792260169918948</v>
      </c>
      <c r="J562">
        <f>($B$1+Table4[[#This Row],[Home Differential]])-Table4[[#This Row],[Away Differential]]</f>
        <v>0.16237202846557036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0.51814460262253237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0.26847382922686197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-2.9858233272404857E-2</v>
      </c>
      <c r="H563" t="s">
        <v>36</v>
      </c>
      <c r="I563">
        <f>VLOOKUP(Table4[[#This Row],[Visitor]],'NHL Model'!$A$6:$B$38,2,FALSE)</f>
        <v>-0.179282670690569</v>
      </c>
      <c r="J563">
        <f>($B$1+Table4[[#This Row],[Home Differential]])-Table4[[#This Row],[Away Differential]]</f>
        <v>0.25755489932126607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0.61434796386319412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0.37742342070285245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0.24554986733769732</v>
      </c>
      <c r="H564" t="s">
        <v>19</v>
      </c>
      <c r="I564">
        <f>VLOOKUP(Table4[[#This Row],[Visitor]],'NHL Model'!$A$6:$B$38,2,FALSE)</f>
        <v>-0.38129365484385536</v>
      </c>
      <c r="J564">
        <f>($B$1+Table4[[#This Row],[Home Differential]])-Table4[[#This Row],[Away Differential]]</f>
        <v>0.73497398408465464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0.63800805072393429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0.13103817134068574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-0.1792260169918948</v>
      </c>
      <c r="H565" t="s">
        <v>22</v>
      </c>
      <c r="I565">
        <f>VLOOKUP(Table4[[#This Row],[Visitor]],'NHL Model'!$A$6:$B$38,2,FALSE)</f>
        <v>-0.12498445042942641</v>
      </c>
      <c r="J565">
        <f>($B$1+Table4[[#This Row],[Home Differential]])-Table4[[#This Row],[Away Differential]]</f>
        <v>5.3888895340633555E-2</v>
      </c>
      <c r="K565" t="str">
        <f>IF(Table4[[#This Row],[HomeIce Differential]]&gt;0,Table4[[#This Row],[Home]],Table4[[#This Row],[Visitor]])</f>
        <v>Detroit Red Wings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0.58868675917571256</v>
      </c>
      <c r="M565" t="str">
        <f>IF(OR((NHL2025_26Results[[#This Row],[Winning Team]]="")),"-",IF(Table4[[#This Row],[Predicted Winner]]=NHL2025_26Results[[#This Row],[Winning Team]],"YES","NO"))</f>
        <v>YES</v>
      </c>
      <c r="N565">
        <f>IF(Table4[[#This Row],[Adjusted Correct]]="-", "",IF(Table4[[#This Row],[Adjusted Correct]]="YES",(Table4[[#This Row],[Strength of Win]]-1)^2,(Table4[[#This Row],[Strength of Win]]-0)^2))</f>
        <v>0.16917858207737826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-0.12154868922444324</v>
      </c>
      <c r="H566" t="s">
        <v>20</v>
      </c>
      <c r="I566">
        <f>VLOOKUP(Table4[[#This Row],[Visitor]],'NHL Model'!$A$6:$B$38,2,FALSE)</f>
        <v>-0.11283731617452618</v>
      </c>
      <c r="J566">
        <f>($B$1+Table4[[#This Row],[Home Differential]])-Table4[[#This Row],[Away Differential]]</f>
        <v>9.9419088853184887E-2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0.53931701182620995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0.21222881559273238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4.6716977502832858E-2</v>
      </c>
      <c r="H567" t="s">
        <v>12</v>
      </c>
      <c r="I567">
        <f>VLOOKUP(Table4[[#This Row],[Visitor]],'NHL Model'!$A$6:$B$38,2,FALSE)</f>
        <v>1.1504937678265921</v>
      </c>
      <c r="J567">
        <f>($B$1+Table4[[#This Row],[Home Differential]])-Table4[[#This Row],[Away Differential]]</f>
        <v>-0.99564632842065726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0.63320270659387334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0.13454025445006015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-0.55013344272463272</v>
      </c>
      <c r="H568" t="s">
        <v>23</v>
      </c>
      <c r="I568">
        <f>VLOOKUP(Table4[[#This Row],[Visitor]],'NHL Model'!$A$6:$B$38,2,FALSE)</f>
        <v>0.12350258496936412</v>
      </c>
      <c r="J568">
        <f>($B$1+Table4[[#This Row],[Home Differential]])-Table4[[#This Row],[Away Differential]]</f>
        <v>-0.56550556579089495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0.55056249965979653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0.20199406671205039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-0.72584022159035511</v>
      </c>
      <c r="H569" t="s">
        <v>15</v>
      </c>
      <c r="I569">
        <f>VLOOKUP(Table4[[#This Row],[Visitor]],'NHL Model'!$A$6:$B$38,2,FALSE)</f>
        <v>-0.62425830840281982</v>
      </c>
      <c r="J569">
        <f>($B$1+Table4[[#This Row],[Home Differential]])-Table4[[#This Row],[Away Differential]]</f>
        <v>6.5485487155666489E-3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0.49685002140017048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0.25315990096500884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3.6611055984458557E-5</v>
      </c>
      <c r="H570" t="s">
        <v>18</v>
      </c>
      <c r="I570">
        <f>VLOOKUP(Table4[[#This Row],[Visitor]],'NHL Model'!$A$6:$B$38,2,FALSE)</f>
        <v>-0.18787166436597766</v>
      </c>
      <c r="J570">
        <f>($B$1+Table4[[#This Row],[Home Differential]])-Table4[[#This Row],[Away Differential]]</f>
        <v>0.29603873732506408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0.53249429891906397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0.21856158054317751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0.14062496747196682</v>
      </c>
      <c r="H571" t="s">
        <v>40</v>
      </c>
      <c r="I571">
        <f>VLOOKUP(Table4[[#This Row],[Visitor]],'NHL Model'!$A$6:$B$38,2,FALSE)</f>
        <v>-0.41982036690375685</v>
      </c>
      <c r="J571">
        <f>($B$1+Table4[[#This Row],[Home Differential]])-Table4[[#This Row],[Away Differential]]</f>
        <v>0.66857579627882568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0.64781135463459172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0.12403684192432132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-0.39000953236289804</v>
      </c>
      <c r="H572" t="s">
        <v>32</v>
      </c>
      <c r="I572">
        <f>VLOOKUP(Table4[[#This Row],[Visitor]],'NHL Model'!$A$6:$B$38,2,FALSE)</f>
        <v>-0.42661371358543798</v>
      </c>
      <c r="J572">
        <f>($B$1+Table4[[#This Row],[Home Differential]])-Table4[[#This Row],[Away Differential]]</f>
        <v>0.14473464312564188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0.59157475301919127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0.34996068840971717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-0.36406236312551898</v>
      </c>
      <c r="H573" t="s">
        <v>28</v>
      </c>
      <c r="I573">
        <f>VLOOKUP(Table4[[#This Row],[Visitor]],'NHL Model'!$A$6:$B$38,2,FALSE)</f>
        <v>-0.36066890819319958</v>
      </c>
      <c r="J573">
        <f>($B$1+Table4[[#This Row],[Home Differential]])-Table4[[#This Row],[Away Differential]]</f>
        <v>0.10473700697078253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0.55124396832885514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0.30386991261894386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-0.39747316405117561</v>
      </c>
      <c r="H574" t="s">
        <v>38</v>
      </c>
      <c r="I574">
        <f>VLOOKUP(Table4[[#This Row],[Visitor]],'NHL Model'!$A$6:$B$38,2,FALSE)</f>
        <v>-1.2664425175465013</v>
      </c>
      <c r="J574">
        <f>($B$1+Table4[[#This Row],[Home Differential]])-Table4[[#This Row],[Away Differential]]</f>
        <v>0.97709981539842761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0.64489586915095687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0.12609894374605435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0.6987740059316554</v>
      </c>
      <c r="H575" t="s">
        <v>35</v>
      </c>
      <c r="I575">
        <f>VLOOKUP(Table4[[#This Row],[Visitor]],'NHL Model'!$A$6:$B$38,2,FALSE)</f>
        <v>-1.236228034931707</v>
      </c>
      <c r="J575">
        <f>($B$1+Table4[[#This Row],[Home Differential]])-Table4[[#This Row],[Away Differential]]</f>
        <v>2.0431325027664644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0.7889078198266023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4.4559908530358197E-2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-2.9858233272404857E-2</v>
      </c>
      <c r="H576" t="s">
        <v>18</v>
      </c>
      <c r="I576">
        <f>VLOOKUP(Table4[[#This Row],[Visitor]],'NHL Model'!$A$6:$B$38,2,FALSE)</f>
        <v>-0.18787166436597766</v>
      </c>
      <c r="J576">
        <f>($B$1+Table4[[#This Row],[Home Differential]])-Table4[[#This Row],[Away Differential]]</f>
        <v>0.26614389299667474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0.57746058088508656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0.33346072247614161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0.31465989886768042</v>
      </c>
      <c r="H577" t="s">
        <v>11</v>
      </c>
      <c r="I577">
        <f>VLOOKUP(Table4[[#This Row],[Visitor]],'NHL Model'!$A$6:$B$38,2,FALSE)</f>
        <v>-0.34412098011518399</v>
      </c>
      <c r="J577">
        <f>($B$1+Table4[[#This Row],[Home Differential]])-Table4[[#This Row],[Away Differential]]</f>
        <v>0.76691134088596635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0.60660307673719149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0.36796729270702705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-0.75050764651940183</v>
      </c>
      <c r="H578" t="s">
        <v>27</v>
      </c>
      <c r="I578">
        <f>VLOOKUP(Table4[[#This Row],[Visitor]],'NHL Model'!$A$6:$B$38,2,FALSE)</f>
        <v>-0.39747316405117561</v>
      </c>
      <c r="J578">
        <f>($B$1+Table4[[#This Row],[Home Differential]])-Table4[[#This Row],[Away Differential]]</f>
        <v>-0.24490402056512428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0.48712099339376452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0.2630448754173989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1.1504937678265921</v>
      </c>
      <c r="H579" t="s">
        <v>55</v>
      </c>
      <c r="I579">
        <f>VLOOKUP(Table4[[#This Row],[Visitor]],'NHL Model'!$A$6:$B$38,2,FALSE)</f>
        <v>0.14062496747196682</v>
      </c>
      <c r="J579">
        <f>($B$1+Table4[[#This Row],[Home Differential]])-Table4[[#This Row],[Away Differential]]</f>
        <v>1.1179992622577273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0.74580425877532397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6.4615474856762459E-2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-0.1792260169918948</v>
      </c>
      <c r="H580" t="s">
        <v>39</v>
      </c>
      <c r="I580">
        <f>VLOOKUP(Table4[[#This Row],[Visitor]],'NHL Model'!$A$6:$B$38,2,FALSE)</f>
        <v>0.24554986733769732</v>
      </c>
      <c r="J580">
        <f>($B$1+Table4[[#This Row],[Home Differential]])-Table4[[#This Row],[Away Differential]]</f>
        <v>-0.31664542242649019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0.49584891856620361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0.24586615004327361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-0.12154868922444324</v>
      </c>
      <c r="H581" t="s">
        <v>16</v>
      </c>
      <c r="I581">
        <f>VLOOKUP(Table4[[#This Row],[Visitor]],'NHL Model'!$A$6:$B$38,2,FALSE)</f>
        <v>-0.77822387693813933</v>
      </c>
      <c r="J581">
        <f>($B$1+Table4[[#This Row],[Home Differential]])-Table4[[#This Row],[Away Differential]]</f>
        <v>0.76480564961679809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0.62210517705952406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0.14280449720521365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-0.36406236312551898</v>
      </c>
      <c r="H582" t="s">
        <v>32</v>
      </c>
      <c r="I582">
        <f>VLOOKUP(Table4[[#This Row],[Visitor]],'NHL Model'!$A$6:$B$38,2,FALSE)</f>
        <v>-0.42661371358543798</v>
      </c>
      <c r="J582">
        <f>($B$1+Table4[[#This Row],[Home Differential]])-Table4[[#This Row],[Away Differential]]</f>
        <v>0.17068181236302093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0.55832342691496573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0.3117250490420711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4.6716977502832858E-2</v>
      </c>
      <c r="H583" t="s">
        <v>29</v>
      </c>
      <c r="I583">
        <f>VLOOKUP(Table4[[#This Row],[Visitor]],'NHL Model'!$A$6:$B$38,2,FALSE)</f>
        <v>-0.72584022159035511</v>
      </c>
      <c r="J583">
        <f>($B$1+Table4[[#This Row],[Home Differential]])-Table4[[#This Row],[Away Differential]]</f>
        <v>0.88068766099628992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0.63454560956298978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0.40264813061566629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-6.98902744359894E-2</v>
      </c>
      <c r="H584" t="s">
        <v>24</v>
      </c>
      <c r="I584">
        <f>VLOOKUP(Table4[[#This Row],[Visitor]],'NHL Model'!$A$6:$B$38,2,FALSE)</f>
        <v>-0.55013344272463272</v>
      </c>
      <c r="J584">
        <f>($B$1+Table4[[#This Row],[Home Differential]])-Table4[[#This Row],[Away Differential]]</f>
        <v>0.58837363019174527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0.59043716794893419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0.16774171339768953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-0.179282670690569</v>
      </c>
      <c r="H585" t="s">
        <v>23</v>
      </c>
      <c r="I585">
        <f>VLOOKUP(Table4[[#This Row],[Visitor]],'NHL Model'!$A$6:$B$38,2,FALSE)</f>
        <v>0.12350258496936412</v>
      </c>
      <c r="J585">
        <f>($B$1+Table4[[#This Row],[Home Differential]])-Table4[[#This Row],[Away Differential]]</f>
        <v>-0.19465479375683115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0.51075007369801895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0.23936549038649388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-0.38129365484385536</v>
      </c>
      <c r="H586" t="s">
        <v>14</v>
      </c>
      <c r="I586">
        <f>VLOOKUP(Table4[[#This Row],[Visitor]],'NHL Model'!$A$6:$B$38,2,FALSE)</f>
        <v>3.6611055984458557E-5</v>
      </c>
      <c r="J586">
        <f>($B$1+Table4[[#This Row],[Home Differential]])-Table4[[#This Row],[Away Differential]]</f>
        <v>-0.27319980399673788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0.54585810001991708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0.29796106535735378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-0.11283731617452618</v>
      </c>
      <c r="H587" t="s">
        <v>33</v>
      </c>
      <c r="I587">
        <f>VLOOKUP(Table4[[#This Row],[Visitor]],'NHL Model'!$A$6:$B$38,2,FALSE)</f>
        <v>-0.46908405058827807</v>
      </c>
      <c r="J587">
        <f>($B$1+Table4[[#This Row],[Home Differential]])-Table4[[#This Row],[Away Differential]]</f>
        <v>0.46437719631685381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0.55928685226974173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0.19422807858231245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-0.12498445042942641</v>
      </c>
      <c r="H588" t="s">
        <v>15</v>
      </c>
      <c r="I588">
        <f>VLOOKUP(Table4[[#This Row],[Visitor]],'NHL Model'!$A$6:$B$38,2,FALSE)</f>
        <v>-0.62425830840281982</v>
      </c>
      <c r="J588">
        <f>($B$1+Table4[[#This Row],[Home Differential]])-Table4[[#This Row],[Away Differential]]</f>
        <v>0.60740431987649535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0.56135447361377944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0.31511884504620341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0.12350258496936412</v>
      </c>
      <c r="H589" t="s">
        <v>21</v>
      </c>
      <c r="I589">
        <f>VLOOKUP(Table4[[#This Row],[Visitor]],'NHL Model'!$A$6:$B$38,2,FALSE)</f>
        <v>-2.9858233272404857E-2</v>
      </c>
      <c r="J589">
        <f>($B$1+Table4[[#This Row],[Home Differential]])-Table4[[#This Row],[Away Differential]]</f>
        <v>0.26149128014487089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0.60989039580689064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0.15218550328370445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0.31465989886768042</v>
      </c>
      <c r="H590" t="s">
        <v>26</v>
      </c>
      <c r="I590">
        <f>VLOOKUP(Table4[[#This Row],[Visitor]],'NHL Model'!$A$6:$B$38,2,FALSE)</f>
        <v>-0.1792260169918948</v>
      </c>
      <c r="J590">
        <f>($B$1+Table4[[#This Row],[Home Differential]])-Table4[[#This Row],[Away Differential]]</f>
        <v>0.60201637776267714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0.60881509483743979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0.15302563002704123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-0.77822387693813933</v>
      </c>
      <c r="H591" t="s">
        <v>17</v>
      </c>
      <c r="I591">
        <f>VLOOKUP(Table4[[#This Row],[Visitor]],'NHL Model'!$A$6:$B$38,2,FALSE)</f>
        <v>-0.12154868922444324</v>
      </c>
      <c r="J591">
        <f>($B$1+Table4[[#This Row],[Home Differential]])-Table4[[#This Row],[Away Differential]]</f>
        <v>-0.5485447258105941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0.52119304610002382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0.27164219130302153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0.24554986733769732</v>
      </c>
      <c r="H592" t="s">
        <v>10</v>
      </c>
      <c r="I592">
        <f>VLOOKUP(Table4[[#This Row],[Visitor]],'NHL Model'!$A$6:$B$38,2,FALSE)</f>
        <v>-0.75050764651940183</v>
      </c>
      <c r="J592">
        <f>($B$1+Table4[[#This Row],[Home Differential]])-Table4[[#This Row],[Away Differential]]</f>
        <v>1.1041879757602011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0.67764476127198436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0.45920242247936466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-0.34412098011518399</v>
      </c>
      <c r="H593" t="s">
        <v>37</v>
      </c>
      <c r="I593">
        <f>VLOOKUP(Table4[[#This Row],[Visitor]],'NHL Model'!$A$6:$B$38,2,FALSE)</f>
        <v>0.6987740059316554</v>
      </c>
      <c r="J593">
        <f>($B$1+Table4[[#This Row],[Home Differential]])-Table4[[#This Row],[Away Differential]]</f>
        <v>-0.93476452414373745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0.65720914120130014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0.11750557287595019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-0.36406236312551898</v>
      </c>
      <c r="H594" t="s">
        <v>31</v>
      </c>
      <c r="I594">
        <f>VLOOKUP(Table4[[#This Row],[Visitor]],'NHL Model'!$A$6:$B$38,2,FALSE)</f>
        <v>-0.39000953236289804</v>
      </c>
      <c r="J594">
        <f>($B$1+Table4[[#This Row],[Home Differential]])-Table4[[#This Row],[Away Differential]]</f>
        <v>0.13407763114048099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0.55439381057138704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0.19856487605708889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-0.55013344272463272</v>
      </c>
      <c r="H595" t="s">
        <v>22</v>
      </c>
      <c r="I595">
        <f>VLOOKUP(Table4[[#This Row],[Visitor]],'NHL Model'!$A$6:$B$38,2,FALSE)</f>
        <v>-0.12498445042942641</v>
      </c>
      <c r="J595">
        <f>($B$1+Table4[[#This Row],[Home Differential]])-Table4[[#This Row],[Away Differential]]</f>
        <v>-0.31701853039210437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0.49403330320851513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0.25600229826208637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-6.98902744359894E-2</v>
      </c>
      <c r="H596" t="s">
        <v>15</v>
      </c>
      <c r="I596">
        <f>VLOOKUP(Table4[[#This Row],[Visitor]],'NHL Model'!$A$6:$B$38,2,FALSE)</f>
        <v>-0.62425830840281982</v>
      </c>
      <c r="J596">
        <f>($B$1+Table4[[#This Row],[Home Differential]])-Table4[[#This Row],[Away Differential]]</f>
        <v>0.66249849586993237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0.58380122600145723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0.17322141947789008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-1.236228034931707</v>
      </c>
      <c r="H597" t="s">
        <v>29</v>
      </c>
      <c r="I597">
        <f>VLOOKUP(Table4[[#This Row],[Visitor]],'NHL Model'!$A$6:$B$38,2,FALSE)</f>
        <v>-0.72584022159035511</v>
      </c>
      <c r="J597">
        <f>($B$1+Table4[[#This Row],[Home Differential]])-Table4[[#This Row],[Away Differential]]</f>
        <v>-0.40225735143824981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0.50318405738749572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0.25319419560894257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-0.38129365484385536</v>
      </c>
      <c r="H598" t="s">
        <v>36</v>
      </c>
      <c r="I598">
        <f>VLOOKUP(Table4[[#This Row],[Visitor]],'NHL Model'!$A$6:$B$38,2,FALSE)</f>
        <v>-0.179282670690569</v>
      </c>
      <c r="J598">
        <f>($B$1+Table4[[#This Row],[Home Differential]])-Table4[[#This Row],[Away Differential]]</f>
        <v>-9.3880522250184423E-2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0.47090797107167559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0.22175431721884206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-1.2664425175465013</v>
      </c>
      <c r="H599" t="s">
        <v>33</v>
      </c>
      <c r="I599">
        <f>VLOOKUP(Table4[[#This Row],[Visitor]],'NHL Model'!$A$6:$B$38,2,FALSE)</f>
        <v>-0.46908405058827807</v>
      </c>
      <c r="J599">
        <f>($B$1+Table4[[#This Row],[Home Differential]])-Table4[[#This Row],[Away Differential]]</f>
        <v>-0.68922800505512116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0.56455762947917232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0.18961005804479777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-0.11283731617452618</v>
      </c>
      <c r="H600" t="s">
        <v>12</v>
      </c>
      <c r="I600">
        <f>VLOOKUP(Table4[[#This Row],[Visitor]],'NHL Model'!$A$6:$B$38,2,FALSE)</f>
        <v>1.1504937678265921</v>
      </c>
      <c r="J600">
        <f>($B$1+Table4[[#This Row],[Home Differential]])-Table4[[#This Row],[Away Differential]]</f>
        <v>-1.1552006220980162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0.65033154650182989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0.12226802737180195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-0.41982036690375685</v>
      </c>
      <c r="H601" t="s">
        <v>34</v>
      </c>
      <c r="I601">
        <f>VLOOKUP(Table4[[#This Row],[Visitor]],'NHL Model'!$A$6:$B$38,2,FALSE)</f>
        <v>4.6716977502832858E-2</v>
      </c>
      <c r="J601">
        <f>($B$1+Table4[[#This Row],[Home Differential]])-Table4[[#This Row],[Away Differential]]</f>
        <v>-0.35840688250348779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0.55500544650072148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0.19802015264402226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-0.36066890819319958</v>
      </c>
      <c r="H602" t="s">
        <v>30</v>
      </c>
      <c r="I602">
        <f>VLOOKUP(Table4[[#This Row],[Visitor]],'NHL Model'!$A$6:$B$38,2,FALSE)</f>
        <v>-6.98902744359894E-2</v>
      </c>
      <c r="J602">
        <f>($B$1+Table4[[#This Row],[Home Differential]])-Table4[[#This Row],[Away Differential]]</f>
        <v>-0.18264817185410825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0.50946111117832027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0.25955062380304883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-0.75050764651940183</v>
      </c>
      <c r="H603" t="s">
        <v>14</v>
      </c>
      <c r="I603">
        <f>VLOOKUP(Table4[[#This Row],[Visitor]],'NHL Model'!$A$6:$B$38,2,FALSE)</f>
        <v>3.6611055984458557E-5</v>
      </c>
      <c r="J603">
        <f>($B$1+Table4[[#This Row],[Home Differential]])-Table4[[#This Row],[Away Differential]]</f>
        <v>-0.64241379567228429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0.58549481056796715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0.17181455206608542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-0.1792260169918948</v>
      </c>
      <c r="H604" t="s">
        <v>19</v>
      </c>
      <c r="I604">
        <f>VLOOKUP(Table4[[#This Row],[Visitor]],'NHL Model'!$A$6:$B$38,2,FALSE)</f>
        <v>-0.38129365484385536</v>
      </c>
      <c r="J604">
        <f>($B$1+Table4[[#This Row],[Home Differential]])-Table4[[#This Row],[Away Differential]]</f>
        <v>0.31019809975506252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0.61620265503889893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0.14730040199919042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-0.42661371358543798</v>
      </c>
      <c r="H605" t="s">
        <v>27</v>
      </c>
      <c r="I605">
        <f>VLOOKUP(Table4[[#This Row],[Visitor]],'NHL Model'!$A$6:$B$38,2,FALSE)</f>
        <v>-0.39747316405117561</v>
      </c>
      <c r="J605">
        <f>($B$1+Table4[[#This Row],[Home Differential]])-Table4[[#This Row],[Away Differential]]</f>
        <v>7.8989912368839565E-2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0.54765041385901025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0.20462014808192469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0.6987740059316554</v>
      </c>
      <c r="H606" t="s">
        <v>18</v>
      </c>
      <c r="I606">
        <f>VLOOKUP(Table4[[#This Row],[Visitor]],'NHL Model'!$A$6:$B$38,2,FALSE)</f>
        <v>-0.18787166436597766</v>
      </c>
      <c r="J606">
        <f>($B$1+Table4[[#This Row],[Home Differential]])-Table4[[#This Row],[Away Differential]]</f>
        <v>0.99477613220073502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0.63740574270992401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0.13147459541974182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-0.39000953236289804</v>
      </c>
      <c r="H607" t="s">
        <v>33</v>
      </c>
      <c r="I607">
        <f>VLOOKUP(Table4[[#This Row],[Visitor]],'NHL Model'!$A$6:$B$38,2,FALSE)</f>
        <v>-0.46908405058827807</v>
      </c>
      <c r="J607">
        <f>($B$1+Table4[[#This Row],[Home Differential]])-Table4[[#This Row],[Away Differential]]</f>
        <v>0.18720498012848197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0.56594878844972873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0.32029803114771582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0.31465989886768042</v>
      </c>
      <c r="H608" t="s">
        <v>15</v>
      </c>
      <c r="I608">
        <f>VLOOKUP(Table4[[#This Row],[Visitor]],'NHL Model'!$A$6:$B$38,2,FALSE)</f>
        <v>-0.62425830840281982</v>
      </c>
      <c r="J608">
        <f>($B$1+Table4[[#This Row],[Home Differential]])-Table4[[#This Row],[Away Differential]]</f>
        <v>1.0470486691736021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0.65205701708255537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0.12106431936148916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-0.77822387693813933</v>
      </c>
      <c r="H609" t="s">
        <v>21</v>
      </c>
      <c r="I609">
        <f>VLOOKUP(Table4[[#This Row],[Visitor]],'NHL Model'!$A$6:$B$38,2,FALSE)</f>
        <v>-2.9858233272404857E-2</v>
      </c>
      <c r="J609">
        <f>($B$1+Table4[[#This Row],[Home Differential]])-Table4[[#This Row],[Away Differential]]</f>
        <v>-0.6402351817626325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0.52873200137145404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0.27955752927426331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1.1504937678265921</v>
      </c>
      <c r="H610" t="s">
        <v>13</v>
      </c>
      <c r="I610">
        <f>VLOOKUP(Table4[[#This Row],[Visitor]],'NHL Model'!$A$6:$B$38,2,FALSE)</f>
        <v>-0.36406236312551898</v>
      </c>
      <c r="J610">
        <f>($B$1+Table4[[#This Row],[Home Differential]])-Table4[[#This Row],[Away Differential]]</f>
        <v>1.6226865928552132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0.76243768146304369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5.6435855188654294E-2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-0.34412098011518399</v>
      </c>
      <c r="H611" t="s">
        <v>22</v>
      </c>
      <c r="I611">
        <f>VLOOKUP(Table4[[#This Row],[Visitor]],'NHL Model'!$A$6:$B$38,2,FALSE)</f>
        <v>-0.12498445042942641</v>
      </c>
      <c r="J611">
        <f>($B$1+Table4[[#This Row],[Home Differential]])-Table4[[#This Row],[Away Differential]]</f>
        <v>-0.11100606778265565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0.47191697897961804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0.22270563504924926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-0.179282670690569</v>
      </c>
      <c r="H612" t="s">
        <v>28</v>
      </c>
      <c r="I612">
        <f>VLOOKUP(Table4[[#This Row],[Visitor]],'NHL Model'!$A$6:$B$38,2,FALSE)</f>
        <v>-0.36066890819319958</v>
      </c>
      <c r="J612">
        <f>($B$1+Table4[[#This Row],[Home Differential]])-Table4[[#This Row],[Away Differential]]</f>
        <v>0.28951669940573255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0.57108086332561347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0.32613335245672803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-0.42661371358543798</v>
      </c>
      <c r="H613" t="s">
        <v>38</v>
      </c>
      <c r="I613">
        <f>VLOOKUP(Table4[[#This Row],[Visitor]],'NHL Model'!$A$6:$B$38,2,FALSE)</f>
        <v>-1.2664425175465013</v>
      </c>
      <c r="J613">
        <f>($B$1+Table4[[#This Row],[Home Differential]])-Table4[[#This Row],[Away Differential]]</f>
        <v>0.94795926586416523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0.64176750578135933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0.41186553147682708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-1.236228034931707</v>
      </c>
      <c r="H614" t="s">
        <v>23</v>
      </c>
      <c r="I614">
        <f>VLOOKUP(Table4[[#This Row],[Visitor]],'NHL Model'!$A$6:$B$38,2,FALSE)</f>
        <v>0.12350258496936412</v>
      </c>
      <c r="J614">
        <f>($B$1+Table4[[#This Row],[Home Differential]])-Table4[[#This Row],[Away Differential]]</f>
        <v>-1.251600157997969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0.62421770605238613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0.14121233244453088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0.14062496747196682</v>
      </c>
      <c r="H615" t="s">
        <v>29</v>
      </c>
      <c r="I615">
        <f>VLOOKUP(Table4[[#This Row],[Visitor]],'NHL Model'!$A$6:$B$38,2,FALSE)</f>
        <v>-0.72584022159035511</v>
      </c>
      <c r="J615">
        <f>($B$1+Table4[[#This Row],[Home Differential]])-Table4[[#This Row],[Away Differential]]</f>
        <v>0.97459565096542389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0.68066390268436372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0.46330334841750898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-0.11283731617452618</v>
      </c>
      <c r="H616" t="s">
        <v>34</v>
      </c>
      <c r="I616">
        <f>VLOOKUP(Table4[[#This Row],[Visitor]],'NHL Model'!$A$6:$B$38,2,FALSE)</f>
        <v>4.6716977502832858E-2</v>
      </c>
      <c r="J616">
        <f>($B$1+Table4[[#This Row],[Home Differential]])-Table4[[#This Row],[Away Differential]]</f>
        <v>-5.1423831774257085E-2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0.5220494952116258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0.2284366850274617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-0.41982036690375685</v>
      </c>
      <c r="H617" t="s">
        <v>17</v>
      </c>
      <c r="I617">
        <f>VLOOKUP(Table4[[#This Row],[Visitor]],'NHL Model'!$A$6:$B$38,2,FALSE)</f>
        <v>-0.12154868922444324</v>
      </c>
      <c r="J617">
        <f>($B$1+Table4[[#This Row],[Home Differential]])-Table4[[#This Row],[Away Differential]]</f>
        <v>-0.19014121577621168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0.48271688726820555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0.26758181871749442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-0.75050764651940183</v>
      </c>
      <c r="H618" t="s">
        <v>30</v>
      </c>
      <c r="I618">
        <f>VLOOKUP(Table4[[#This Row],[Visitor]],'NHL Model'!$A$6:$B$38,2,FALSE)</f>
        <v>-6.98902744359894E-2</v>
      </c>
      <c r="J618">
        <f>($B$1+Table4[[#This Row],[Home Differential]])-Table4[[#This Row],[Away Differential]]</f>
        <v>-0.5724869101803105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0.5513119770172058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0.20132094196820846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-0.34412098011518399</v>
      </c>
      <c r="H619" t="s">
        <v>18</v>
      </c>
      <c r="I619">
        <f>VLOOKUP(Table4[[#This Row],[Visitor]],'NHL Model'!$A$6:$B$38,2,FALSE)</f>
        <v>-0.18787166436597766</v>
      </c>
      <c r="J619">
        <f>($B$1+Table4[[#This Row],[Home Differential]])-Table4[[#This Row],[Away Differential]]</f>
        <v>-4.8118853846104398E-2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0.50445249922978119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0.24556732551961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3.6611055984458557E-5</v>
      </c>
      <c r="H620" t="s">
        <v>25</v>
      </c>
      <c r="I620">
        <f>VLOOKUP(Table4[[#This Row],[Visitor]],'NHL Model'!$A$6:$B$38,2,FALSE)</f>
        <v>0.31465989886768042</v>
      </c>
      <c r="J620">
        <f>($B$1+Table4[[#This Row],[Home Differential]])-Table4[[#This Row],[Away Differential]]</f>
        <v>-0.20649282590859402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0.54145572712371459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0.29317430443507048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-0.38129365484385536</v>
      </c>
      <c r="H621" t="s">
        <v>24</v>
      </c>
      <c r="I621">
        <f>VLOOKUP(Table4[[#This Row],[Visitor]],'NHL Model'!$A$6:$B$38,2,FALSE)</f>
        <v>-0.55013344272463272</v>
      </c>
      <c r="J621">
        <f>($B$1+Table4[[#This Row],[Home Differential]])-Table4[[#This Row],[Away Differential]]</f>
        <v>0.2769702497838793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0.54049715737100601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0.21114286238412602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-1.2664425175465013</v>
      </c>
      <c r="H622" t="s">
        <v>27</v>
      </c>
      <c r="I622">
        <f>VLOOKUP(Table4[[#This Row],[Visitor]],'NHL Model'!$A$6:$B$38,2,FALSE)</f>
        <v>-0.39747316405117561</v>
      </c>
      <c r="J622">
        <f>($B$1+Table4[[#This Row],[Home Differential]])-Table4[[#This Row],[Away Differential]]</f>
        <v>-0.76083889159222362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0.54250882160618352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0.2092981783081628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-0.39000953236289804</v>
      </c>
      <c r="H623" t="s">
        <v>37</v>
      </c>
      <c r="I623">
        <f>VLOOKUP(Table4[[#This Row],[Visitor]],'NHL Model'!$A$6:$B$38,2,FALSE)</f>
        <v>0.6987740059316554</v>
      </c>
      <c r="J623">
        <f>($B$1+Table4[[#This Row],[Home Differential]])-Table4[[#This Row],[Away Differential]]</f>
        <v>-0.98065307639145149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0.62582527221192819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0.14000672691527763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-0.36066890819319958</v>
      </c>
      <c r="H624" t="s">
        <v>24</v>
      </c>
      <c r="I624">
        <f>VLOOKUP(Table4[[#This Row],[Visitor]],'NHL Model'!$A$6:$B$38,2,FALSE)</f>
        <v>-0.55013344272463272</v>
      </c>
      <c r="J624">
        <f>($B$1+Table4[[#This Row],[Home Differential]])-Table4[[#This Row],[Away Differential]]</f>
        <v>0.29759499643453508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0.54271131266184147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0.29453556889113908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-0.77822387693813933</v>
      </c>
      <c r="H625" t="s">
        <v>27</v>
      </c>
      <c r="I625">
        <f>VLOOKUP(Table4[[#This Row],[Visitor]],'NHL Model'!$A$6:$B$38,2,FALSE)</f>
        <v>-0.39747316405117561</v>
      </c>
      <c r="J625">
        <f>($B$1+Table4[[#This Row],[Home Differential]])-Table4[[#This Row],[Away Differential]]</f>
        <v>-0.27262025098386178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0.4900964499781833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0.24019453028121793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1.1504937678265921</v>
      </c>
      <c r="H626" t="s">
        <v>35</v>
      </c>
      <c r="I626">
        <f>VLOOKUP(Table4[[#This Row],[Visitor]],'NHL Model'!$A$6:$B$38,2,FALSE)</f>
        <v>-1.236228034931707</v>
      </c>
      <c r="J626">
        <f>($B$1+Table4[[#This Row],[Home Differential]])-Table4[[#This Row],[Away Differential]]</f>
        <v>2.4948522646614011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0.89361535248773638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1.1317693226308578E-2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0.24554986733769732</v>
      </c>
      <c r="H627" t="s">
        <v>23</v>
      </c>
      <c r="I627">
        <f>VLOOKUP(Table4[[#This Row],[Visitor]],'NHL Model'!$A$6:$B$38,2,FALSE)</f>
        <v>0.12350258496936412</v>
      </c>
      <c r="J627">
        <f>($B$1+Table4[[#This Row],[Home Differential]])-Table4[[#This Row],[Away Differential]]</f>
        <v>0.23017774427143517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0.5541223358922186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0.30705156313464871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-0.1792260169918948</v>
      </c>
      <c r="H628" t="s">
        <v>40</v>
      </c>
      <c r="I628">
        <f>VLOOKUP(Table4[[#This Row],[Visitor]],'NHL Model'!$A$6:$B$38,2,FALSE)</f>
        <v>-0.41982036690375685</v>
      </c>
      <c r="J628">
        <f>($B$1+Table4[[#This Row],[Home Differential]])-Table4[[#This Row],[Away Differential]]</f>
        <v>0.34872481181496401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0.62033866333954946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0.14414273055479998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-0.12154868922444324</v>
      </c>
      <c r="H629" t="s">
        <v>21</v>
      </c>
      <c r="I629">
        <f>VLOOKUP(Table4[[#This Row],[Visitor]],'NHL Model'!$A$6:$B$38,2,FALSE)</f>
        <v>-2.9858233272404857E-2</v>
      </c>
      <c r="J629">
        <f>($B$1+Table4[[#This Row],[Home Differential]])-Table4[[#This Row],[Away Differential]]</f>
        <v>1.6440005951063565E-2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0.54176490537190469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0.29350921269262886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-0.46908405058827807</v>
      </c>
      <c r="H630" t="s">
        <v>34</v>
      </c>
      <c r="I630">
        <f>VLOOKUP(Table4[[#This Row],[Visitor]],'NHL Model'!$A$6:$B$38,2,FALSE)</f>
        <v>4.6716977502832858E-2</v>
      </c>
      <c r="J630">
        <f>($B$1+Table4[[#This Row],[Home Differential]])-Table4[[#This Row],[Away Differential]]</f>
        <v>-0.40767056618800901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0.56029411490105119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0.31392949519275237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-0.11283731617452618</v>
      </c>
      <c r="H631" t="s">
        <v>29</v>
      </c>
      <c r="I631">
        <f>VLOOKUP(Table4[[#This Row],[Visitor]],'NHL Model'!$A$6:$B$38,2,FALSE)</f>
        <v>-0.72584022159035511</v>
      </c>
      <c r="J631">
        <f>($B$1+Table4[[#This Row],[Home Differential]])-Table4[[#This Row],[Away Differential]]</f>
        <v>0.72113336731893085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0.61741676965503312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0.38120346745125622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-0.12498445042942641</v>
      </c>
      <c r="H632" t="s">
        <v>15</v>
      </c>
      <c r="I632">
        <f>VLOOKUP(Table4[[#This Row],[Visitor]],'NHL Model'!$A$6:$B$38,2,FALSE)</f>
        <v>-0.62425830840281982</v>
      </c>
      <c r="J632">
        <f>($B$1+Table4[[#This Row],[Home Differential]])-Table4[[#This Row],[Away Differential]]</f>
        <v>0.60740431987649535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0.56135447361377944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0.19240989781864451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0.31465989886768042</v>
      </c>
      <c r="H633" t="s">
        <v>18</v>
      </c>
      <c r="I633">
        <f>VLOOKUP(Table4[[#This Row],[Visitor]],'NHL Model'!$A$6:$B$38,2,FALSE)</f>
        <v>-0.18787166436597766</v>
      </c>
      <c r="J633">
        <f>($B$1+Table4[[#This Row],[Home Differential]])-Table4[[#This Row],[Away Differential]]</f>
        <v>0.61066202513676004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0.60974324228090981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0.3717868215072363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-0.75050764651940183</v>
      </c>
      <c r="H634" t="s">
        <v>39</v>
      </c>
      <c r="I634">
        <f>VLOOKUP(Table4[[#This Row],[Visitor]],'NHL Model'!$A$6:$B$38,2,FALSE)</f>
        <v>0.24554986733769732</v>
      </c>
      <c r="J634">
        <f>($B$1+Table4[[#This Row],[Home Differential]])-Table4[[#This Row],[Away Differential]]</f>
        <v>-0.88792705195399724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0.60069234081427236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0.36083128831292993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-0.36406236312551898</v>
      </c>
      <c r="H635" t="s">
        <v>37</v>
      </c>
      <c r="I635">
        <f>VLOOKUP(Table4[[#This Row],[Visitor]],'NHL Model'!$A$6:$B$38,2,FALSE)</f>
        <v>0.6987740059316554</v>
      </c>
      <c r="J635">
        <f>($B$1+Table4[[#This Row],[Home Differential]])-Table4[[#This Row],[Away Differential]]</f>
        <v>-0.95470590715407244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0.65934993446517787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0.11604246714887861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-6.98902744359894E-2</v>
      </c>
      <c r="H636" t="s">
        <v>55</v>
      </c>
      <c r="I636">
        <f>VLOOKUP(Table4[[#This Row],[Visitor]],'NHL Model'!$A$6:$B$38,2,FALSE)</f>
        <v>0.14062496747196682</v>
      </c>
      <c r="J636">
        <f>($B$1+Table4[[#This Row],[Home Differential]])-Table4[[#This Row],[Away Differential]]</f>
        <v>-0.10238478000485426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0.45461162468515892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0.29744847992856194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-0.179282670690569</v>
      </c>
      <c r="H637" t="s">
        <v>22</v>
      </c>
      <c r="I637">
        <f>VLOOKUP(Table4[[#This Row],[Visitor]],'NHL Model'!$A$6:$B$38,2,FALSE)</f>
        <v>-0.12498445042942641</v>
      </c>
      <c r="J637">
        <f>($B$1+Table4[[#This Row],[Home Differential]])-Table4[[#This Row],[Away Differential]]</f>
        <v>5.3832241641959364E-2</v>
      </c>
      <c r="K637" t="str">
        <f>IF(Table4[[#This Row],[HomeIce Differential]]&gt;0,Table4[[#This Row],[Home]],Table4[[#This Row],[Visitor]])</f>
        <v>Ottawa Senators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0.54577912275326257</v>
      </c>
      <c r="M637" t="str">
        <f>IF(OR((NHL2025_26Results[[#This Row],[Winning Team]]="")),"-",IF(Table4[[#This Row],[Predicted Winner]]=NHL2025_26Results[[#This Row],[Winning Team]],"YES","NO"))</f>
        <v>YES</v>
      </c>
      <c r="N637">
        <f>IF(Table4[[#This Row],[Adjusted Correct]]="-", "",IF(Table4[[#This Row],[Adjusted Correct]]="YES",(Table4[[#This Row],[Strength of Win]]-1)^2,(Table4[[#This Row],[Strength of Win]]-0)^2))</f>
        <v>0.20631660532679572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3.6611055984458557E-5</v>
      </c>
      <c r="H638" t="s">
        <v>26</v>
      </c>
      <c r="I638">
        <f>VLOOKUP(Table4[[#This Row],[Visitor]],'NHL Model'!$A$6:$B$38,2,FALSE)</f>
        <v>-0.1792260169918948</v>
      </c>
      <c r="J638">
        <f>($B$1+Table4[[#This Row],[Home Differential]])-Table4[[#This Row],[Away Differential]]</f>
        <v>0.28739308995098123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0.53156615147559383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0.21943027044338631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-0.42661371358543798</v>
      </c>
      <c r="H639" t="s">
        <v>29</v>
      </c>
      <c r="I639">
        <f>VLOOKUP(Table4[[#This Row],[Visitor]],'NHL Model'!$A$6:$B$38,2,FALSE)</f>
        <v>-0.72584022159035511</v>
      </c>
      <c r="J639">
        <f>($B$1+Table4[[#This Row],[Home Differential]])-Table4[[#This Row],[Away Differential]]</f>
        <v>0.40735696990801906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0.58373152337131295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0.17327944463476777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-0.38129365484385536</v>
      </c>
      <c r="H640" t="s">
        <v>40</v>
      </c>
      <c r="I640">
        <f>VLOOKUP(Table4[[#This Row],[Visitor]],'NHL Model'!$A$6:$B$38,2,FALSE)</f>
        <v>-0.41982036690375685</v>
      </c>
      <c r="J640">
        <f>($B$1+Table4[[#This Row],[Home Differential]])-Table4[[#This Row],[Away Differential]]</f>
        <v>0.14665717396300343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0.55574427861681608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0.19736314598169313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-0.39000953236289804</v>
      </c>
      <c r="H641" t="s">
        <v>34</v>
      </c>
      <c r="I641">
        <f>VLOOKUP(Table4[[#This Row],[Visitor]],'NHL Model'!$A$6:$B$38,2,FALSE)</f>
        <v>4.6716977502832858E-2</v>
      </c>
      <c r="J641">
        <f>($B$1+Table4[[#This Row],[Home Differential]])-Table4[[#This Row],[Away Differential]]</f>
        <v>-0.32859604796262898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0.5152761995319326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0.23495716274020681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-0.34412098011518399</v>
      </c>
      <c r="H642" t="s">
        <v>15</v>
      </c>
      <c r="I642">
        <f>VLOOKUP(Table4[[#This Row],[Visitor]],'NHL Model'!$A$6:$B$38,2,FALSE)</f>
        <v>-0.62425830840281982</v>
      </c>
      <c r="J642">
        <f>($B$1+Table4[[#This Row],[Home Differential]])-Table4[[#This Row],[Away Differential]]</f>
        <v>0.38826779019073776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0.53782922431799607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0.28926027453049735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-1.236228034931707</v>
      </c>
      <c r="H643" t="s">
        <v>20</v>
      </c>
      <c r="I643">
        <f>VLOOKUP(Table4[[#This Row],[Visitor]],'NHL Model'!$A$6:$B$38,2,FALSE)</f>
        <v>-0.11283731617452618</v>
      </c>
      <c r="J643">
        <f>($B$1+Table4[[#This Row],[Home Differential]])-Table4[[#This Row],[Away Differential]]</f>
        <v>-1.0152602568540787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0.58034861183876363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0.33680451126317995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-1.2664425175465013</v>
      </c>
      <c r="H644" t="s">
        <v>32</v>
      </c>
      <c r="I644">
        <f>VLOOKUP(Table4[[#This Row],[Visitor]],'NHL Model'!$A$6:$B$38,2,FALSE)</f>
        <v>-0.42661371358543798</v>
      </c>
      <c r="J644">
        <f>($B$1+Table4[[#This Row],[Home Differential]])-Table4[[#This Row],[Away Differential]]</f>
        <v>-0.73169834205796125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0.53855096514902834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0.21293521176489327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0.31465989886768042</v>
      </c>
      <c r="H645" t="s">
        <v>12</v>
      </c>
      <c r="I645">
        <f>VLOOKUP(Table4[[#This Row],[Visitor]],'NHL Model'!$A$6:$B$38,2,FALSE)</f>
        <v>1.1504937678265921</v>
      </c>
      <c r="J645">
        <f>($B$1+Table4[[#This Row],[Home Differential]])-Table4[[#This Row],[Away Differential]]</f>
        <v>-0.72770340705580971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0.56088071237801107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0.19282574876164305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-0.36066890819319958</v>
      </c>
      <c r="H646" t="s">
        <v>23</v>
      </c>
      <c r="I646">
        <f>VLOOKUP(Table4[[#This Row],[Visitor]],'NHL Model'!$A$6:$B$38,2,FALSE)</f>
        <v>0.12350258496936412</v>
      </c>
      <c r="J646">
        <f>($B$1+Table4[[#This Row],[Home Differential]])-Table4[[#This Row],[Away Differential]]</f>
        <v>-0.37604103125946176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0.53022266670746698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0.28113607629037762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-0.77822387693813933</v>
      </c>
      <c r="H647" t="s">
        <v>29</v>
      </c>
      <c r="I647">
        <f>VLOOKUP(Table4[[#This Row],[Visitor]],'NHL Model'!$A$6:$B$38,2,FALSE)</f>
        <v>-0.72584022159035511</v>
      </c>
      <c r="J647">
        <f>($B$1+Table4[[#This Row],[Home Differential]])-Table4[[#This Row],[Away Differential]]</f>
        <v>5.5746806555317718E-2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0.54598465953411923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0.29809924844658808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-0.1792260169918948</v>
      </c>
      <c r="H648" t="s">
        <v>14</v>
      </c>
      <c r="I648">
        <f>VLOOKUP(Table4[[#This Row],[Visitor]],'NHL Model'!$A$6:$B$38,2,FALSE)</f>
        <v>3.6611055984458557E-5</v>
      </c>
      <c r="J648">
        <f>($B$1+Table4[[#This Row],[Home Differential]])-Table4[[#This Row],[Away Differential]]</f>
        <v>-7.1132166144777312E-2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0.48060931705446691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0.26976668153062722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-0.12154868922444324</v>
      </c>
      <c r="H649" t="s">
        <v>27</v>
      </c>
      <c r="I649">
        <f>VLOOKUP(Table4[[#This Row],[Visitor]],'NHL Model'!$A$6:$B$38,2,FALSE)</f>
        <v>-0.39747316405117561</v>
      </c>
      <c r="J649">
        <f>($B$1+Table4[[#This Row],[Home Differential]])-Table4[[#This Row],[Away Differential]]</f>
        <v>0.38405493672983432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0.58040045676517527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0.33686469021322407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-0.36406236312551898</v>
      </c>
      <c r="H650" t="s">
        <v>34</v>
      </c>
      <c r="I650">
        <f>VLOOKUP(Table4[[#This Row],[Visitor]],'NHL Model'!$A$6:$B$38,2,FALSE)</f>
        <v>4.6716977502832858E-2</v>
      </c>
      <c r="J650">
        <f>($B$1+Table4[[#This Row],[Home Differential]])-Table4[[#This Row],[Away Differential]]</f>
        <v>-0.30264887872524993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0.54901958489654579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0.30142250459997544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-0.55013344272463272</v>
      </c>
      <c r="H651" t="s">
        <v>55</v>
      </c>
      <c r="I651">
        <f>VLOOKUP(Table4[[#This Row],[Visitor]],'NHL Model'!$A$6:$B$38,2,FALSE)</f>
        <v>0.14062496747196682</v>
      </c>
      <c r="J651">
        <f>($B$1+Table4[[#This Row],[Home Differential]])-Table4[[#This Row],[Away Differential]]</f>
        <v>-0.58262794829349762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0.52254761700365737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0.273056012036201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-6.98902744359894E-2</v>
      </c>
      <c r="H652" t="s">
        <v>19</v>
      </c>
      <c r="I652">
        <f>VLOOKUP(Table4[[#This Row],[Visitor]],'NHL Model'!$A$6:$B$38,2,FALSE)</f>
        <v>-0.38129365484385536</v>
      </c>
      <c r="J652">
        <f>($B$1+Table4[[#This Row],[Home Differential]])-Table4[[#This Row],[Away Differential]]</f>
        <v>0.41953384231096791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0.6014185849731698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0.15886714440479027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-0.179282670690569</v>
      </c>
      <c r="H653" t="s">
        <v>40</v>
      </c>
      <c r="I653">
        <f>VLOOKUP(Table4[[#This Row],[Visitor]],'NHL Model'!$A$6:$B$38,2,FALSE)</f>
        <v>-0.41982036690375685</v>
      </c>
      <c r="J653">
        <f>($B$1+Table4[[#This Row],[Home Differential]])-Table4[[#This Row],[Away Differential]]</f>
        <v>0.34866815811628982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0.57743102691709947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0.17856453701233713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-0.46908405058827807</v>
      </c>
      <c r="H654" t="s">
        <v>37</v>
      </c>
      <c r="I654">
        <f>VLOOKUP(Table4[[#This Row],[Visitor]],'NHL Model'!$A$6:$B$38,2,FALSE)</f>
        <v>0.6987740059316554</v>
      </c>
      <c r="J654">
        <f>($B$1+Table4[[#This Row],[Home Differential]])-Table4[[#This Row],[Away Differential]]</f>
        <v>-1.0597275946168314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0.67062446446968327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0.10848824340588294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-1.236228034931707</v>
      </c>
      <c r="H655" t="s">
        <v>18</v>
      </c>
      <c r="I655">
        <f>VLOOKUP(Table4[[#This Row],[Visitor]],'NHL Model'!$A$6:$B$38,2,FALSE)</f>
        <v>-0.18787166436597766</v>
      </c>
      <c r="J655">
        <f>($B$1+Table4[[#This Row],[Home Differential]])-Table4[[#This Row],[Away Differential]]</f>
        <v>-0.94022590866262723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0.60022402985126777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0.36026888601089557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-1.2664425175465013</v>
      </c>
      <c r="H656" t="s">
        <v>21</v>
      </c>
      <c r="I656">
        <f>VLOOKUP(Table4[[#This Row],[Visitor]],'NHL Model'!$A$6:$B$38,2,FALSE)</f>
        <v>-2.9858233272404857E-2</v>
      </c>
      <c r="J656">
        <f>($B$1+Table4[[#This Row],[Home Differential]])-Table4[[#This Row],[Away Differential]]</f>
        <v>-1.1284538223709943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0.5811443729994541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0.17544003627002044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-0.12498445042942641</v>
      </c>
      <c r="H657" t="s">
        <v>10</v>
      </c>
      <c r="I657">
        <f>VLOOKUP(Table4[[#This Row],[Visitor]],'NHL Model'!$A$6:$B$38,2,FALSE)</f>
        <v>-0.75050764651940183</v>
      </c>
      <c r="J657">
        <f>($B$1+Table4[[#This Row],[Home Differential]])-Table4[[#This Row],[Away Differential]]</f>
        <v>0.73365365799307736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0.61876087672740188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0.382865022568463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-0.36066890819319958</v>
      </c>
      <c r="H658" t="s">
        <v>14</v>
      </c>
      <c r="I658">
        <f>VLOOKUP(Table4[[#This Row],[Visitor]],'NHL Model'!$A$6:$B$38,2,FALSE)</f>
        <v>3.6611055984458557E-5</v>
      </c>
      <c r="J658">
        <f>($B$1+Table4[[#This Row],[Home Differential]])-Table4[[#This Row],[Away Differential]]</f>
        <v>-0.2525750573460821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0.54364394472908162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0.20826084918243351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-0.75050764651940183</v>
      </c>
      <c r="H659" t="s">
        <v>20</v>
      </c>
      <c r="I659">
        <f>VLOOKUP(Table4[[#This Row],[Visitor]],'NHL Model'!$A$6:$B$38,2,FALSE)</f>
        <v>-0.11283731617452618</v>
      </c>
      <c r="J659">
        <f>($B$1+Table4[[#This Row],[Home Differential]])-Table4[[#This Row],[Away Differential]]</f>
        <v>-0.5295398684417737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0.52820443833273001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0.27899992867439477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0.24554986733769732</v>
      </c>
      <c r="H660" t="s">
        <v>18</v>
      </c>
      <c r="I660">
        <f>VLOOKUP(Table4[[#This Row],[Visitor]],'NHL Model'!$A$6:$B$38,2,FALSE)</f>
        <v>-0.18787166436597766</v>
      </c>
      <c r="J660">
        <f>($B$1+Table4[[#This Row],[Home Differential]])-Table4[[#This Row],[Away Differential]]</f>
        <v>0.54155199360677697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0.57813793653891188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0.33424347366547091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-0.34412098011518399</v>
      </c>
      <c r="H661" t="s">
        <v>12</v>
      </c>
      <c r="I661">
        <f>VLOOKUP(Table4[[#This Row],[Visitor]],'NHL Model'!$A$6:$B$38,2,FALSE)</f>
        <v>1.1504937678265921</v>
      </c>
      <c r="J661">
        <f>($B$1+Table4[[#This Row],[Home Differential]])-Table4[[#This Row],[Away Differential]]</f>
        <v>-1.3864842860386741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0.67516084292287204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0.45584216381632309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-0.55013344272463272</v>
      </c>
      <c r="H662" t="s">
        <v>25</v>
      </c>
      <c r="I662">
        <f>VLOOKUP(Table4[[#This Row],[Visitor]],'NHL Model'!$A$6:$B$38,2,FALSE)</f>
        <v>0.31465989886768042</v>
      </c>
      <c r="J662">
        <f>($B$1+Table4[[#This Row],[Home Differential]])-Table4[[#This Row],[Away Differential]]</f>
        <v>-0.7566628796892112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0.60051884950145662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0.15958518960363988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-0.77822387693813933</v>
      </c>
      <c r="H663" t="s">
        <v>32</v>
      </c>
      <c r="I663">
        <f>VLOOKUP(Table4[[#This Row],[Visitor]],'NHL Model'!$A$6:$B$38,2,FALSE)</f>
        <v>-0.42661371358543798</v>
      </c>
      <c r="J663">
        <f>($B$1+Table4[[#This Row],[Home Differential]])-Table4[[#This Row],[Away Differential]]</f>
        <v>-0.24347970144959941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0.48613859352102823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0.264053545068547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-0.36406236312551898</v>
      </c>
      <c r="H664" t="s">
        <v>34</v>
      </c>
      <c r="I664">
        <f>VLOOKUP(Table4[[#This Row],[Visitor]],'NHL Model'!$A$6:$B$38,2,FALSE)</f>
        <v>4.6716977502832858E-2</v>
      </c>
      <c r="J664">
        <f>($B$1+Table4[[#This Row],[Home Differential]])-Table4[[#This Row],[Away Differential]]</f>
        <v>-0.30264887872524993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0.54901958489654579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0.30142250459997544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-0.62425830840281982</v>
      </c>
      <c r="H665" t="s">
        <v>55</v>
      </c>
      <c r="I665">
        <f>VLOOKUP(Table4[[#This Row],[Visitor]],'NHL Model'!$A$6:$B$38,2,FALSE)</f>
        <v>0.14062496747196682</v>
      </c>
      <c r="J665">
        <f>($B$1+Table4[[#This Row],[Home Differential]])-Table4[[#This Row],[Away Differential]]</f>
        <v>-0.65675281397168472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0.53050524025614032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0.22042532942694451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-0.179282670690569</v>
      </c>
      <c r="H666" t="s">
        <v>26</v>
      </c>
      <c r="I666">
        <f>VLOOKUP(Table4[[#This Row],[Visitor]],'NHL Model'!$A$6:$B$38,2,FALSE)</f>
        <v>-0.1792260169918948</v>
      </c>
      <c r="J666">
        <f>($B$1+Table4[[#This Row],[Home Differential]])-Table4[[#This Row],[Away Differential]]</f>
        <v>0.10807380820442776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0.51231545505962939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0.26246712549295514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-0.12498445042942641</v>
      </c>
      <c r="H667" t="s">
        <v>31</v>
      </c>
      <c r="I667">
        <f>VLOOKUP(Table4[[#This Row],[Visitor]],'NHL Model'!$A$6:$B$38,2,FALSE)</f>
        <v>-0.39000953236289804</v>
      </c>
      <c r="J667">
        <f>($B$1+Table4[[#This Row],[Home Differential]])-Table4[[#This Row],[Away Differential]]</f>
        <v>0.37315554383657357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0.58005985313104824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0.17634972695231677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0.12350258496936412</v>
      </c>
      <c r="H668" t="s">
        <v>38</v>
      </c>
      <c r="I668">
        <f>VLOOKUP(Table4[[#This Row],[Visitor]],'NHL Model'!$A$6:$B$38,2,FALSE)</f>
        <v>-1.2664425175465013</v>
      </c>
      <c r="J668">
        <f>($B$1+Table4[[#This Row],[Home Differential]])-Table4[[#This Row],[Away Differential]]</f>
        <v>1.4980755644189674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0.74264303912251028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6.6232605312097778E-2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0.31465989886768042</v>
      </c>
      <c r="H669" t="s">
        <v>39</v>
      </c>
      <c r="I669">
        <f>VLOOKUP(Table4[[#This Row],[Visitor]],'NHL Model'!$A$6:$B$38,2,FALSE)</f>
        <v>0.24554986733769732</v>
      </c>
      <c r="J669">
        <f>($B$1+Table4[[#This Row],[Home Differential]])-Table4[[#This Row],[Away Differential]]</f>
        <v>0.17724049343308504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0.55717185944344261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0.19609676206877816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-0.12154868922444324</v>
      </c>
      <c r="H670" t="s">
        <v>29</v>
      </c>
      <c r="I670">
        <f>VLOOKUP(Table4[[#This Row],[Visitor]],'NHL Model'!$A$6:$B$38,2,FALSE)</f>
        <v>-0.72584022159035511</v>
      </c>
      <c r="J670">
        <f>($B$1+Table4[[#This Row],[Home Differential]])-Table4[[#This Row],[Away Differential]]</f>
        <v>0.71242199426901376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0.61648156627747785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0.14708638900497661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-6.98902744359894E-2</v>
      </c>
      <c r="H671" t="s">
        <v>24</v>
      </c>
      <c r="I671">
        <f>VLOOKUP(Table4[[#This Row],[Visitor]],'NHL Model'!$A$6:$B$38,2,FALSE)</f>
        <v>-0.55013344272463272</v>
      </c>
      <c r="J671">
        <f>($B$1+Table4[[#This Row],[Home Differential]])-Table4[[#This Row],[Away Differential]]</f>
        <v>0.58837363019174527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0.59043716794893419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0.16774171339768953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-0.39747316405117561</v>
      </c>
      <c r="H672" t="s">
        <v>31</v>
      </c>
      <c r="I672">
        <f>VLOOKUP(Table4[[#This Row],[Visitor]],'NHL Model'!$A$6:$B$38,2,FALSE)</f>
        <v>-0.39000953236289804</v>
      </c>
      <c r="J672">
        <f>($B$1+Table4[[#This Row],[Home Differential]])-Table4[[#This Row],[Away Differential]]</f>
        <v>0.10066683021482437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0.55080701734218429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0.20177433566902472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-0.42661371358543798</v>
      </c>
      <c r="H673" t="s">
        <v>21</v>
      </c>
      <c r="I673">
        <f>VLOOKUP(Table4[[#This Row],[Visitor]],'NHL Model'!$A$6:$B$38,2,FALSE)</f>
        <v>-2.9858233272404857E-2</v>
      </c>
      <c r="J673">
        <f>($B$1+Table4[[#This Row],[Home Differential]])-Table4[[#This Row],[Away Differential]]</f>
        <v>-0.28862501840993121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0.49098513753426032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0.24106640527953652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-0.46908405058827807</v>
      </c>
      <c r="H674" t="s">
        <v>28</v>
      </c>
      <c r="I674">
        <f>VLOOKUP(Table4[[#This Row],[Visitor]],'NHL Model'!$A$6:$B$38,2,FALSE)</f>
        <v>-0.36066890819319958</v>
      </c>
      <c r="J674">
        <f>($B$1+Table4[[#This Row],[Home Differential]])-Table4[[#This Row],[Away Differential]]</f>
        <v>-2.8468049197655221E-4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0.46003056167565037</v>
      </c>
      <c r="M674" t="str">
        <f>IF(OR((NHL2025_26Results[[#This Row],[Winning Team]]="")),"-",IF(Table4[[#This Row],[Predicted Winner]]=NHL2025_26Results[[#This Row],[Winning Team]],"YES","NO"))</f>
        <v>NO</v>
      </c>
      <c r="N674">
        <f>IF(Table4[[#This Row],[Adjusted Correct]]="-", "",IF(Table4[[#This Row],[Adjusted Correct]]="YES",(Table4[[#This Row],[Strength of Win]]-1)^2,(Table4[[#This Row],[Strength of Win]]-0)^2))</f>
        <v>0.21162811767561437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0.6987740059316554</v>
      </c>
      <c r="H675" t="s">
        <v>12</v>
      </c>
      <c r="I675">
        <f>VLOOKUP(Table4[[#This Row],[Visitor]],'NHL Model'!$A$6:$B$38,2,FALSE)</f>
        <v>1.1504937678265921</v>
      </c>
      <c r="J675">
        <f>($B$1+Table4[[#This Row],[Home Differential]])-Table4[[#This Row],[Away Differential]]</f>
        <v>-0.34358929999183474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0.53328866734351466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0.28439680271702183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-0.38129365484385536</v>
      </c>
      <c r="H676" t="s">
        <v>11</v>
      </c>
      <c r="I676">
        <f>VLOOKUP(Table4[[#This Row],[Visitor]],'NHL Model'!$A$6:$B$38,2,FALSE)</f>
        <v>-0.34412098011518399</v>
      </c>
      <c r="J676">
        <f>($B$1+Table4[[#This Row],[Home Differential]])-Table4[[#This Row],[Away Differential]]</f>
        <v>7.0957787174430575E-2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0.48832978992086928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0.26180640388242177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-0.41982036690375685</v>
      </c>
      <c r="H677" t="s">
        <v>20</v>
      </c>
      <c r="I677">
        <f>VLOOKUP(Table4[[#This Row],[Visitor]],'NHL Model'!$A$6:$B$38,2,FALSE)</f>
        <v>-0.11283731617452618</v>
      </c>
      <c r="J677">
        <f>($B$1+Table4[[#This Row],[Home Differential]])-Table4[[#This Row],[Away Differential]]</f>
        <v>-0.19885258882612872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0.49270373608533052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0.25734949938178192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-0.75050764651940183</v>
      </c>
      <c r="H678" t="s">
        <v>35</v>
      </c>
      <c r="I678">
        <f>VLOOKUP(Table4[[#This Row],[Visitor]],'NHL Model'!$A$6:$B$38,2,FALSE)</f>
        <v>-1.236228034931707</v>
      </c>
      <c r="J678">
        <f>($B$1+Table4[[#This Row],[Home Differential]])-Table4[[#This Row],[Away Differential]]</f>
        <v>0.59385085031540708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0.60375244382219917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0.15701212577687942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-0.36406236312551898</v>
      </c>
      <c r="H679" t="s">
        <v>33</v>
      </c>
      <c r="I679">
        <f>VLOOKUP(Table4[[#This Row],[Visitor]],'NHL Model'!$A$6:$B$38,2,FALSE)</f>
        <v>-0.46908405058827807</v>
      </c>
      <c r="J679">
        <f>($B$1+Table4[[#This Row],[Home Differential]])-Table4[[#This Row],[Away Differential]]</f>
        <v>0.21315214936586102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0.53231676258482175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0.28336113572878546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-0.18787166436597766</v>
      </c>
      <c r="H680" t="s">
        <v>16</v>
      </c>
      <c r="I680">
        <f>VLOOKUP(Table4[[#This Row],[Visitor]],'NHL Model'!$A$6:$B$38,2,FALSE)</f>
        <v>-0.77822387693813933</v>
      </c>
      <c r="J680">
        <f>($B$1+Table4[[#This Row],[Home Differential]])-Table4[[#This Row],[Away Differential]]</f>
        <v>0.69848267447526358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0.62203107218370901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0.1428605103945966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0.14062496747196682</v>
      </c>
      <c r="H681" t="s">
        <v>36</v>
      </c>
      <c r="I681">
        <f>VLOOKUP(Table4[[#This Row],[Visitor]],'NHL Model'!$A$6:$B$38,2,FALSE)</f>
        <v>-0.179282670690569</v>
      </c>
      <c r="J681">
        <f>($B$1+Table4[[#This Row],[Home Differential]])-Table4[[#This Row],[Away Differential]]</f>
        <v>0.42803810006563781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0.62117297061226362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0.14350991819473688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-0.12498445042942641</v>
      </c>
      <c r="H682" t="s">
        <v>39</v>
      </c>
      <c r="I682">
        <f>VLOOKUP(Table4[[#This Row],[Visitor]],'NHL Model'!$A$6:$B$38,2,FALSE)</f>
        <v>0.24554986733769732</v>
      </c>
      <c r="J682">
        <f>($B$1+Table4[[#This Row],[Home Differential]])-Table4[[#This Row],[Away Differential]]</f>
        <v>-0.26240385586402176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0.53353973440303593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0.21758517938079028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-2.9858233272404857E-2</v>
      </c>
      <c r="H683" t="s">
        <v>16</v>
      </c>
      <c r="I683">
        <f>VLOOKUP(Table4[[#This Row],[Visitor]],'NHL Model'!$A$6:$B$38,2,FALSE)</f>
        <v>-0.77822387693813933</v>
      </c>
      <c r="J683">
        <f>($B$1+Table4[[#This Row],[Home Differential]])-Table4[[#This Row],[Away Differential]]</f>
        <v>0.85649610556883637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0.67945627236865813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0.10274828132379588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0.31465989886768042</v>
      </c>
      <c r="H684" t="s">
        <v>31</v>
      </c>
      <c r="I684">
        <f>VLOOKUP(Table4[[#This Row],[Visitor]],'NHL Model'!$A$6:$B$38,2,FALSE)</f>
        <v>-0.39000953236289804</v>
      </c>
      <c r="J684">
        <f>($B$1+Table4[[#This Row],[Home Differential]])-Table4[[#This Row],[Away Differential]]</f>
        <v>0.8127998931336804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0.67015912000024169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0.10879500611901496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1.1504937678265921</v>
      </c>
      <c r="H685" t="s">
        <v>36</v>
      </c>
      <c r="I685">
        <f>VLOOKUP(Table4[[#This Row],[Visitor]],'NHL Model'!$A$6:$B$38,2,FALSE)</f>
        <v>-0.179282670690569</v>
      </c>
      <c r="J685">
        <f>($B$1+Table4[[#This Row],[Home Differential]])-Table4[[#This Row],[Away Differential]]</f>
        <v>1.4379069004202631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0.77936549234863817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4.8679585966558844E-2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-0.1792260169918948</v>
      </c>
      <c r="H686" t="s">
        <v>38</v>
      </c>
      <c r="I686">
        <f>VLOOKUP(Table4[[#This Row],[Visitor]],'NHL Model'!$A$6:$B$38,2,FALSE)</f>
        <v>-1.2664425175465013</v>
      </c>
      <c r="J686">
        <f>($B$1+Table4[[#This Row],[Home Differential]])-Table4[[#This Row],[Away Differential]]</f>
        <v>1.1953469624577084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0.71122719379936794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8.3389733600987795E-2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-0.18787166436597766</v>
      </c>
      <c r="H687" t="s">
        <v>11</v>
      </c>
      <c r="I687">
        <f>VLOOKUP(Table4[[#This Row],[Visitor]],'NHL Model'!$A$6:$B$38,2,FALSE)</f>
        <v>-0.34412098011518399</v>
      </c>
      <c r="J687">
        <f>($B$1+Table4[[#This Row],[Home Differential]])-Table4[[#This Row],[Away Differential]]</f>
        <v>0.2643797776523083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0.51618718467266145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0.23407484027496539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-0.72584022159035511</v>
      </c>
      <c r="H688" t="s">
        <v>30</v>
      </c>
      <c r="I688">
        <f>VLOOKUP(Table4[[#This Row],[Visitor]],'NHL Model'!$A$6:$B$38,2,FALSE)</f>
        <v>-6.98902744359894E-2</v>
      </c>
      <c r="J688">
        <f>($B$1+Table4[[#This Row],[Home Differential]])-Table4[[#This Row],[Away Differential]]</f>
        <v>-0.54781948525126378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0.54866382281957837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0.30103199047099372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-0.62425830840281982</v>
      </c>
      <c r="H689" t="s">
        <v>23</v>
      </c>
      <c r="I689">
        <f>VLOOKUP(Table4[[#This Row],[Visitor]],'NHL Model'!$A$6:$B$38,2,FALSE)</f>
        <v>0.12350258496936412</v>
      </c>
      <c r="J689">
        <f>($B$1+Table4[[#This Row],[Home Differential]])-Table4[[#This Row],[Away Differential]]</f>
        <v>-0.63963043146908194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0.55852012291227959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0.19490448187338871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-0.39747316405117561</v>
      </c>
      <c r="H690" t="s">
        <v>19</v>
      </c>
      <c r="I690">
        <f>VLOOKUP(Table4[[#This Row],[Visitor]],'NHL Model'!$A$6:$B$38,2,FALSE)</f>
        <v>-0.38129365484385536</v>
      </c>
      <c r="J690">
        <f>($B$1+Table4[[#This Row],[Home Differential]])-Table4[[#This Row],[Away Differential]]</f>
        <v>9.1950952695781685E-2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0.54987133039048786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0.30235847998540505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3.6611055984458557E-5</v>
      </c>
      <c r="H691" t="s">
        <v>24</v>
      </c>
      <c r="I691">
        <f>VLOOKUP(Table4[[#This Row],[Visitor]],'NHL Model'!$A$6:$B$38,2,FALSE)</f>
        <v>-0.55013344272463272</v>
      </c>
      <c r="J691">
        <f>($B$1+Table4[[#This Row],[Home Differential]])-Table4[[#This Row],[Away Differential]]</f>
        <v>0.65830051568371917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0.58143460208725395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0.17519699232985544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-0.42661371358543798</v>
      </c>
      <c r="H692" t="s">
        <v>34</v>
      </c>
      <c r="I692">
        <f>VLOOKUP(Table4[[#This Row],[Visitor]],'NHL Model'!$A$6:$B$38,2,FALSE)</f>
        <v>4.6716977502832858E-2</v>
      </c>
      <c r="J692">
        <f>($B$1+Table4[[#This Row],[Home Differential]])-Table4[[#This Row],[Away Differential]]</f>
        <v>-0.36520022918516892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0.55573474149534607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0.19737161991420699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-0.11283731617452618</v>
      </c>
      <c r="H693" t="s">
        <v>28</v>
      </c>
      <c r="I693">
        <f>VLOOKUP(Table4[[#This Row],[Visitor]],'NHL Model'!$A$6:$B$38,2,FALSE)</f>
        <v>-0.36066890819319958</v>
      </c>
      <c r="J693">
        <f>($B$1+Table4[[#This Row],[Home Differential]])-Table4[[#This Row],[Away Differential]]</f>
        <v>0.35596205392177538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0.57821405801377501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0.17790338085720714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-0.41982036690375685</v>
      </c>
      <c r="H694" t="s">
        <v>17</v>
      </c>
      <c r="I694">
        <f>VLOOKUP(Table4[[#This Row],[Visitor]],'NHL Model'!$A$6:$B$38,2,FALSE)</f>
        <v>-0.12154868922444324</v>
      </c>
      <c r="J694">
        <f>($B$1+Table4[[#This Row],[Home Differential]])-Table4[[#This Row],[Away Differential]]</f>
        <v>-0.19014121577621168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0.48271688726820555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0.26758181871749442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-0.75050764651940183</v>
      </c>
      <c r="H695" t="s">
        <v>22</v>
      </c>
      <c r="I695">
        <f>VLOOKUP(Table4[[#This Row],[Visitor]],'NHL Model'!$A$6:$B$38,2,FALSE)</f>
        <v>-0.12498445042942641</v>
      </c>
      <c r="J695">
        <f>($B$1+Table4[[#This Row],[Home Differential]])-Table4[[#This Row],[Away Differential]]</f>
        <v>-0.51739273418687348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0.515544336095071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0.23469729028956554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0.14062496747196682</v>
      </c>
      <c r="H696" t="s">
        <v>35</v>
      </c>
      <c r="I696">
        <f>VLOOKUP(Table4[[#This Row],[Visitor]],'NHL Model'!$A$6:$B$38,2,FALSE)</f>
        <v>-1.236228034931707</v>
      </c>
      <c r="J696">
        <f>($B$1+Table4[[#This Row],[Home Differential]])-Table4[[#This Row],[Away Differential]]</f>
        <v>1.4849834643067759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0.73545623038802488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6.9983406040513771E-2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-0.41982036690375685</v>
      </c>
      <c r="H697" t="s">
        <v>13</v>
      </c>
      <c r="I697">
        <f>VLOOKUP(Table4[[#This Row],[Visitor]],'NHL Model'!$A$6:$B$38,2,FALSE)</f>
        <v>-0.36406236312551898</v>
      </c>
      <c r="J697">
        <f>($B$1+Table4[[#This Row],[Home Differential]])-Table4[[#This Row],[Away Differential]]</f>
        <v>5.2372458124864074E-2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0.50633567547375868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0.2437044653099501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-2.9858233272404857E-2</v>
      </c>
      <c r="H698" t="s">
        <v>15</v>
      </c>
      <c r="I698">
        <f>VLOOKUP(Table4[[#This Row],[Visitor]],'NHL Model'!$A$6:$B$38,2,FALSE)</f>
        <v>-0.62425830840281982</v>
      </c>
      <c r="J698">
        <f>($B$1+Table4[[#This Row],[Home Differential]])-Table4[[#This Row],[Away Differential]]</f>
        <v>0.70253053703351687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0.6197819678370492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0.38412968765596506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0.12350258496936412</v>
      </c>
      <c r="H699" t="s">
        <v>31</v>
      </c>
      <c r="I699">
        <f>VLOOKUP(Table4[[#This Row],[Visitor]],'NHL Model'!$A$6:$B$38,2,FALSE)</f>
        <v>-0.39000953236289804</v>
      </c>
      <c r="J699">
        <f>($B$1+Table4[[#This Row],[Home Differential]])-Table4[[#This Row],[Away Differential]]</f>
        <v>0.62164257923536415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0.6485541873137376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0.12351415925470743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0.31465989886768042</v>
      </c>
      <c r="H700" t="s">
        <v>32</v>
      </c>
      <c r="I700">
        <f>VLOOKUP(Table4[[#This Row],[Visitor]],'NHL Model'!$A$6:$B$38,2,FALSE)</f>
        <v>-0.42661371358543798</v>
      </c>
      <c r="J700">
        <f>($B$1+Table4[[#This Row],[Home Differential]])-Table4[[#This Row],[Away Differential]]</f>
        <v>0.84940407435622034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0.67408873634382049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0.10621815177796776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1.1504937678265921</v>
      </c>
      <c r="H701" t="s">
        <v>28</v>
      </c>
      <c r="I701">
        <f>VLOOKUP(Table4[[#This Row],[Visitor]],'NHL Model'!$A$6:$B$38,2,FALSE)</f>
        <v>-0.36066890819319958</v>
      </c>
      <c r="J701">
        <f>($B$1+Table4[[#This Row],[Home Differential]])-Table4[[#This Row],[Away Differential]]</f>
        <v>1.6192931379228936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0.79962031314281712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4.015201890498267E-2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-0.12154868922444324</v>
      </c>
      <c r="H702" t="s">
        <v>13</v>
      </c>
      <c r="I702">
        <f>VLOOKUP(Table4[[#This Row],[Visitor]],'NHL Model'!$A$6:$B$38,2,FALSE)</f>
        <v>-0.36406236312551898</v>
      </c>
      <c r="J702">
        <f>($B$1+Table4[[#This Row],[Home Differential]])-Table4[[#This Row],[Away Differential]]</f>
        <v>0.35064413580417769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0.5383564233852991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0.28982763860021143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4.6716977502832858E-2</v>
      </c>
      <c r="H703" t="s">
        <v>30</v>
      </c>
      <c r="I703">
        <f>VLOOKUP(Table4[[#This Row],[Visitor]],'NHL Model'!$A$6:$B$38,2,FALSE)</f>
        <v>-6.98902744359894E-2</v>
      </c>
      <c r="J703">
        <f>($B$1+Table4[[#This Row],[Home Differential]])-Table4[[#This Row],[Away Differential]]</f>
        <v>0.2247377138419242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0.53427351642724574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0.28544819035553443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-0.18787166436597766</v>
      </c>
      <c r="H704" t="s">
        <v>26</v>
      </c>
      <c r="I704">
        <f>VLOOKUP(Table4[[#This Row],[Visitor]],'NHL Model'!$A$6:$B$38,2,FALSE)</f>
        <v>-0.1792260169918948</v>
      </c>
      <c r="J704">
        <f>($B$1+Table4[[#This Row],[Home Differential]])-Table4[[#This Row],[Away Differential]]</f>
        <v>9.9484814529019097E-2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0.51849262287269537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0.26883459997340708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-0.72584022159035511</v>
      </c>
      <c r="H705" t="s">
        <v>10</v>
      </c>
      <c r="I705">
        <f>VLOOKUP(Table4[[#This Row],[Visitor]],'NHL Model'!$A$6:$B$38,2,FALSE)</f>
        <v>-0.75050764651940183</v>
      </c>
      <c r="J705">
        <f>($B$1+Table4[[#This Row],[Home Differential]])-Table4[[#This Row],[Away Differential]]</f>
        <v>0.13279788683214866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0.55425642451379287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0.30720018411481376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-0.179282670690569</v>
      </c>
      <c r="H706" t="s">
        <v>11</v>
      </c>
      <c r="I706">
        <f>VLOOKUP(Table4[[#This Row],[Visitor]],'NHL Model'!$A$6:$B$38,2,FALSE)</f>
        <v>-0.34412098011518399</v>
      </c>
      <c r="J706">
        <f>($B$1+Table4[[#This Row],[Home Differential]])-Table4[[#This Row],[Away Differential]]</f>
        <v>0.27296877132771696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0.51001653822115278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0.26011686925908861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-0.39747316405117561</v>
      </c>
      <c r="H707" t="s">
        <v>37</v>
      </c>
      <c r="I707">
        <f>VLOOKUP(Table4[[#This Row],[Visitor]],'NHL Model'!$A$6:$B$38,2,FALSE)</f>
        <v>0.6987740059316554</v>
      </c>
      <c r="J707">
        <f>($B$1+Table4[[#This Row],[Home Differential]])-Table4[[#This Row],[Away Differential]]</f>
        <v>-0.98811670807972907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0.66293672769438061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0.11361164953737213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3.6611055984458557E-5</v>
      </c>
      <c r="H708" t="s">
        <v>16</v>
      </c>
      <c r="I708">
        <f>VLOOKUP(Table4[[#This Row],[Visitor]],'NHL Model'!$A$6:$B$38,2,FALSE)</f>
        <v>-0.77822387693813933</v>
      </c>
      <c r="J708">
        <f>($B$1+Table4[[#This Row],[Home Differential]])-Table4[[#This Row],[Away Differential]]</f>
        <v>0.88639094989722578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0.63515788216488223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0.40342553527617842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-0.46908405058827807</v>
      </c>
      <c r="H709" t="s">
        <v>39</v>
      </c>
      <c r="I709">
        <f>VLOOKUP(Table4[[#This Row],[Visitor]],'NHL Model'!$A$6:$B$38,2,FALSE)</f>
        <v>0.24554986733769732</v>
      </c>
      <c r="J709">
        <f>($B$1+Table4[[#This Row],[Home Differential]])-Table4[[#This Row],[Away Differential]]</f>
        <v>-0.60650345602287348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0.57048030696720264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0.32544778063739377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-0.38129365484385536</v>
      </c>
      <c r="H710" t="s">
        <v>38</v>
      </c>
      <c r="I710">
        <f>VLOOKUP(Table4[[#This Row],[Visitor]],'NHL Model'!$A$6:$B$38,2,FALSE)</f>
        <v>-1.2664425175465013</v>
      </c>
      <c r="J710">
        <f>($B$1+Table4[[#This Row],[Home Differential]])-Table4[[#This Row],[Away Differential]]</f>
        <v>0.99327932460574786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0.64663280907663445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0.12486837162107028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-0.11283731617452618</v>
      </c>
      <c r="H711" t="s">
        <v>35</v>
      </c>
      <c r="I711">
        <f>VLOOKUP(Table4[[#This Row],[Visitor]],'NHL Model'!$A$6:$B$38,2,FALSE)</f>
        <v>-1.236228034931707</v>
      </c>
      <c r="J711">
        <f>($B$1+Table4[[#This Row],[Home Differential]])-Table4[[#This Row],[Away Differential]]</f>
        <v>1.2315211806602828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0.67220909735869427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0.10744687585440196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-2.9858233272404857E-2</v>
      </c>
      <c r="H712" t="s">
        <v>14</v>
      </c>
      <c r="I712">
        <f>VLOOKUP(Table4[[#This Row],[Visitor]],'NHL Model'!$A$6:$B$38,2,FALSE)</f>
        <v>3.6611055984458557E-5</v>
      </c>
      <c r="J712">
        <f>($B$1+Table4[[#This Row],[Home Differential]])-Table4[[#This Row],[Away Differential]]</f>
        <v>7.8235617574712632E-2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0.54015350496669357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0.21145879899441672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-0.72584022159035511</v>
      </c>
      <c r="H713" t="s">
        <v>22</v>
      </c>
      <c r="I713">
        <f>VLOOKUP(Table4[[#This Row],[Visitor]],'NHL Model'!$A$6:$B$38,2,FALSE)</f>
        <v>-0.12498445042942641</v>
      </c>
      <c r="J713">
        <f>($B$1+Table4[[#This Row],[Home Differential]])-Table4[[#This Row],[Away Differential]]</f>
        <v>-0.49272530925782676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0.51289618189744357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0.26306249340497551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-0.46908405058827807</v>
      </c>
      <c r="H714" t="s">
        <v>20</v>
      </c>
      <c r="I714">
        <f>VLOOKUP(Table4[[#This Row],[Visitor]],'NHL Model'!$A$6:$B$38,2,FALSE)</f>
        <v>-0.11283731617452618</v>
      </c>
      <c r="J714">
        <f>($B$1+Table4[[#This Row],[Home Differential]])-Table4[[#This Row],[Away Differential]]</f>
        <v>-0.24811627251064994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0.49799240448566023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0.25201162595408888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0.14062496747196682</v>
      </c>
      <c r="H715" t="s">
        <v>28</v>
      </c>
      <c r="I715">
        <f>VLOOKUP(Table4[[#This Row],[Visitor]],'NHL Model'!$A$6:$B$38,2,FALSE)</f>
        <v>-0.36066890819319958</v>
      </c>
      <c r="J715">
        <f>($B$1+Table4[[#This Row],[Home Differential]])-Table4[[#This Row],[Away Differential]]</f>
        <v>0.60942433756826841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0.64146119104310562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0.41147245961443962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-0.41982036690375685</v>
      </c>
      <c r="H716" t="s">
        <v>24</v>
      </c>
      <c r="I716">
        <f>VLOOKUP(Table4[[#This Row],[Visitor]],'NHL Model'!$A$6:$B$38,2,FALSE)</f>
        <v>-0.55013344272463272</v>
      </c>
      <c r="J716">
        <f>($B$1+Table4[[#This Row],[Home Differential]])-Table4[[#This Row],[Away Differential]]</f>
        <v>0.23844353772397781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0.53636114907035548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0.21496098409136113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0.12350258496936412</v>
      </c>
      <c r="H717" t="s">
        <v>11</v>
      </c>
      <c r="I717">
        <f>VLOOKUP(Table4[[#This Row],[Visitor]],'NHL Model'!$A$6:$B$38,2,FALSE)</f>
        <v>-0.34412098011518399</v>
      </c>
      <c r="J717">
        <f>($B$1+Table4[[#This Row],[Home Differential]])-Table4[[#This Row],[Away Differential]]</f>
        <v>0.57575402698764999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0.58497043491923573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0.3421904097295998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-0.75050764651940183</v>
      </c>
      <c r="H718" t="s">
        <v>17</v>
      </c>
      <c r="I718">
        <f>VLOOKUP(Table4[[#This Row],[Visitor]],'NHL Model'!$A$6:$B$38,2,FALSE)</f>
        <v>-0.12154868922444324</v>
      </c>
      <c r="J718">
        <f>($B$1+Table4[[#This Row],[Home Differential]])-Table4[[#This Row],[Away Differential]]</f>
        <v>-0.52082849539185661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0.51821758951560504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0.23211429105215406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1.1504937678265921</v>
      </c>
      <c r="H719" t="s">
        <v>19</v>
      </c>
      <c r="I719">
        <f>VLOOKUP(Table4[[#This Row],[Visitor]],'NHL Model'!$A$6:$B$38,2,FALSE)</f>
        <v>-0.38129365484385536</v>
      </c>
      <c r="J719">
        <f>($B$1+Table4[[#This Row],[Home Differential]])-Table4[[#This Row],[Away Differential]]</f>
        <v>1.6399178845735496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0.80183446843365269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0.64293851476827835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-0.1792260169918948</v>
      </c>
      <c r="H720" t="s">
        <v>25</v>
      </c>
      <c r="I720">
        <f>VLOOKUP(Table4[[#This Row],[Visitor]],'NHL Model'!$A$6:$B$38,2,FALSE)</f>
        <v>0.31465989886768042</v>
      </c>
      <c r="J720">
        <f>($B$1+Table4[[#This Row],[Home Differential]])-Table4[[#This Row],[Away Differential]]</f>
        <v>-0.38575545395647326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0.51714066303328676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0.26743446536250742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-0.36406236312551898</v>
      </c>
      <c r="H721" t="s">
        <v>39</v>
      </c>
      <c r="I721">
        <f>VLOOKUP(Table4[[#This Row],[Visitor]],'NHL Model'!$A$6:$B$38,2,FALSE)</f>
        <v>0.24554986733769732</v>
      </c>
      <c r="J721">
        <f>($B$1+Table4[[#This Row],[Home Differential]])-Table4[[#This Row],[Away Differential]]</f>
        <v>-0.50148176856011439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0.55920577696269724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0.19429954706305941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4.6716977502832858E-2</v>
      </c>
      <c r="H722" t="s">
        <v>24</v>
      </c>
      <c r="I722">
        <f>VLOOKUP(Table4[[#This Row],[Visitor]],'NHL Model'!$A$6:$B$38,2,FALSE)</f>
        <v>-0.55013344272463272</v>
      </c>
      <c r="J722">
        <f>($B$1+Table4[[#This Row],[Home Differential]])-Table4[[#This Row],[Away Differential]]</f>
        <v>0.70498088213056753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0.58644594026740759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0.34391884085612379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-0.18787166436597766</v>
      </c>
      <c r="H723" t="s">
        <v>38</v>
      </c>
      <c r="I723">
        <f>VLOOKUP(Table4[[#This Row],[Visitor]],'NHL Model'!$A$6:$B$38,2,FALSE)</f>
        <v>-1.2664425175465013</v>
      </c>
      <c r="J723">
        <f>($B$1+Table4[[#This Row],[Home Differential]])-Table4[[#This Row],[Away Differential]]</f>
        <v>1.1867013150836256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0.67444344381170918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0.10598707127717977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-0.62425830840281982</v>
      </c>
      <c r="H724" t="s">
        <v>32</v>
      </c>
      <c r="I724">
        <f>VLOOKUP(Table4[[#This Row],[Visitor]],'NHL Model'!$A$6:$B$38,2,FALSE)</f>
        <v>-0.42661371358543798</v>
      </c>
      <c r="J724">
        <f>($B$1+Table4[[#This Row],[Home Differential]])-Table4[[#This Row],[Away Differential]]</f>
        <v>-8.9514132914279898E-2</v>
      </c>
      <c r="K724" t="str">
        <f>IF(Table4[[#This Row],[HomeIce Differential]]&gt;0,Table4[[#This Row],[Home]],Table4[[#This Row],[Visitor]])</f>
        <v>Seattle Kraken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0.46960972730253653</v>
      </c>
      <c r="M724" t="str">
        <f>IF(OR((NHL2025_26Results[[#This Row],[Winning Team]]="")),"-",IF(Table4[[#This Row],[Predicted Winner]]=NHL2025_26Results[[#This Row],[Winning Team]],"YES","NO"))</f>
        <v>YES</v>
      </c>
      <c r="N724">
        <f>IF(Table4[[#This Row],[Adjusted Correct]]="-", "",IF(Table4[[#This Row],[Adjusted Correct]]="YES",(Table4[[#This Row],[Strength of Win]]-1)^2,(Table4[[#This Row],[Strength of Win]]-0)^2))</f>
        <v>0.28131384137208959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-0.39747316405117561</v>
      </c>
      <c r="H725" t="s">
        <v>37</v>
      </c>
      <c r="I725">
        <f>VLOOKUP(Table4[[#This Row],[Visitor]],'NHL Model'!$A$6:$B$38,2,FALSE)</f>
        <v>0.6987740059316554</v>
      </c>
      <c r="J725">
        <f>($B$1+Table4[[#This Row],[Home Differential]])-Table4[[#This Row],[Away Differential]]</f>
        <v>-0.98811670807972907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0.66293672769438061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0.11361164953737213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-0.39000953236289804</v>
      </c>
      <c r="H726" t="s">
        <v>39</v>
      </c>
      <c r="I726">
        <f>VLOOKUP(Table4[[#This Row],[Visitor]],'NHL Model'!$A$6:$B$38,2,FALSE)</f>
        <v>0.24554986733769732</v>
      </c>
      <c r="J726">
        <f>($B$1+Table4[[#This Row],[Home Differential]])-Table4[[#This Row],[Away Differential]]</f>
        <v>-0.52742893779749345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0.52548623459786459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0.27613578275184197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-2.9858233272404857E-2</v>
      </c>
      <c r="H727" t="s">
        <v>26</v>
      </c>
      <c r="I727">
        <f>VLOOKUP(Table4[[#This Row],[Visitor]],'NHL Model'!$A$6:$B$38,2,FALSE)</f>
        <v>-0.1792260169918948</v>
      </c>
      <c r="J727">
        <f>($B$1+Table4[[#This Row],[Home Differential]])-Table4[[#This Row],[Away Differential]]</f>
        <v>0.25749824562259188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0.57653243344161642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0.17932477992687904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-0.36066890819319958</v>
      </c>
      <c r="H728" t="s">
        <v>16</v>
      </c>
      <c r="I728">
        <f>VLOOKUP(Table4[[#This Row],[Visitor]],'NHL Model'!$A$6:$B$38,2,FALSE)</f>
        <v>-0.77822387693813933</v>
      </c>
      <c r="J728">
        <f>($B$1+Table4[[#This Row],[Home Differential]])-Table4[[#This Row],[Away Differential]]</f>
        <v>0.52568543064804163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0.59643459273946986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0.16286503793735754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-0.72584022159035511</v>
      </c>
      <c r="H729" t="s">
        <v>17</v>
      </c>
      <c r="I729">
        <f>VLOOKUP(Table4[[#This Row],[Visitor]],'NHL Model'!$A$6:$B$38,2,FALSE)</f>
        <v>-0.12154868922444324</v>
      </c>
      <c r="J729">
        <f>($B$1+Table4[[#This Row],[Home Differential]])-Table4[[#This Row],[Away Differential]]</f>
        <v>-0.49616107046280994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0.51556943531797761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0.26581184263409829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-0.179282670690569</v>
      </c>
      <c r="H730" t="s">
        <v>38</v>
      </c>
      <c r="I730">
        <f>VLOOKUP(Table4[[#This Row],[Visitor]],'NHL Model'!$A$6:$B$38,2,FALSE)</f>
        <v>-1.2664425175465013</v>
      </c>
      <c r="J730">
        <f>($B$1+Table4[[#This Row],[Home Differential]])-Table4[[#This Row],[Away Differential]]</f>
        <v>1.1952903087590343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0.66831955737691795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0.11001191601864363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3.6611055984458557E-5</v>
      </c>
      <c r="H731" t="s">
        <v>37</v>
      </c>
      <c r="I731">
        <f>VLOOKUP(Table4[[#This Row],[Visitor]],'NHL Model'!$A$6:$B$38,2,FALSE)</f>
        <v>0.6987740059316554</v>
      </c>
      <c r="J731">
        <f>($B$1+Table4[[#This Row],[Home Differential]])-Table4[[#This Row],[Away Differential]]</f>
        <v>-0.59060693297256894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0.62026234305245509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0.14420068810401129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-1.236228034931707</v>
      </c>
      <c r="H732" t="s">
        <v>25</v>
      </c>
      <c r="I732">
        <f>VLOOKUP(Table4[[#This Row],[Visitor]],'NHL Model'!$A$6:$B$38,2,FALSE)</f>
        <v>0.31465989886768042</v>
      </c>
      <c r="J732">
        <f>($B$1+Table4[[#This Row],[Home Differential]])-Table4[[#This Row],[Away Differential]]</f>
        <v>-1.4427574718962854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0.67417405589404611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0.45451065764062842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0.14062496747196682</v>
      </c>
      <c r="H733" t="s">
        <v>19</v>
      </c>
      <c r="I733">
        <f>VLOOKUP(Table4[[#This Row],[Visitor]],'NHL Model'!$A$6:$B$38,2,FALSE)</f>
        <v>-0.38129365484385536</v>
      </c>
      <c r="J733">
        <f>($B$1+Table4[[#This Row],[Home Differential]])-Table4[[#This Row],[Away Differential]]</f>
        <v>0.63004908421892414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0.64367534633394119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0.12696725881023677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-0.41982036690375685</v>
      </c>
      <c r="H734" t="s">
        <v>30</v>
      </c>
      <c r="I734">
        <f>VLOOKUP(Table4[[#This Row],[Visitor]],'NHL Model'!$A$6:$B$38,2,FALSE)</f>
        <v>-6.98902744359894E-2</v>
      </c>
      <c r="J734">
        <f>($B$1+Table4[[#This Row],[Home Differential]])-Table4[[#This Row],[Away Differential]]</f>
        <v>-0.24179963056466552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0.51581127476980637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0.26606127117965267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-0.12498445042942641</v>
      </c>
      <c r="H735" t="s">
        <v>18</v>
      </c>
      <c r="I735">
        <f>VLOOKUP(Table4[[#This Row],[Visitor]],'NHL Model'!$A$6:$B$38,2,FALSE)</f>
        <v>-0.18787166436597766</v>
      </c>
      <c r="J735">
        <f>($B$1+Table4[[#This Row],[Home Differential]])-Table4[[#This Row],[Away Differential]]</f>
        <v>0.17101767583965322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0.5190727500660024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0.23129101972907778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0.12350258496936412</v>
      </c>
      <c r="H736" t="s">
        <v>27</v>
      </c>
      <c r="I736">
        <f>VLOOKUP(Table4[[#This Row],[Visitor]],'NHL Model'!$A$6:$B$38,2,FALSE)</f>
        <v>-0.39747316405117561</v>
      </c>
      <c r="J736">
        <f>($B$1+Table4[[#This Row],[Home Differential]])-Table4[[#This Row],[Away Differential]]</f>
        <v>0.62910621092364161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0.64854284506171578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0.12352213175731312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-0.36406236312551898</v>
      </c>
      <c r="H737" t="s">
        <v>20</v>
      </c>
      <c r="I737">
        <f>VLOOKUP(Table4[[#This Row],[Visitor]],'NHL Model'!$A$6:$B$38,2,FALSE)</f>
        <v>-0.11283731617452618</v>
      </c>
      <c r="J737">
        <f>($B$1+Table4[[#This Row],[Home Differential]])-Table4[[#This Row],[Away Differential]]</f>
        <v>-0.14309458504789085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0.48671787448115483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0.26345854037714345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-0.55013344272463272</v>
      </c>
      <c r="H738" t="s">
        <v>32</v>
      </c>
      <c r="I738">
        <f>VLOOKUP(Table4[[#This Row],[Visitor]],'NHL Model'!$A$6:$B$38,2,FALSE)</f>
        <v>-0.42661371358543798</v>
      </c>
      <c r="J738">
        <f>($B$1+Table4[[#This Row],[Home Differential]])-Table4[[#This Row],[Away Differential]]</f>
        <v>-1.5389267236092796E-2</v>
      </c>
      <c r="K738" t="str">
        <f>IF(Table4[[#This Row],[HomeIce Differential]]&gt;0,Table4[[#This Row],[Home]],Table4[[#This Row],[Visitor]])</f>
        <v>Seattle Kraken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0.46165210405005352</v>
      </c>
      <c r="M738" t="str">
        <f>IF(OR((NHL2025_26Results[[#This Row],[Winning Team]]="")),"-",IF(Table4[[#This Row],[Predicted Winner]]=NHL2025_26Results[[#This Row],[Winning Team]],"YES","NO"))</f>
        <v>NO</v>
      </c>
      <c r="N738">
        <f>IF(Table4[[#This Row],[Adjusted Correct]]="-", "",IF(Table4[[#This Row],[Adjusted Correct]]="YES",(Table4[[#This Row],[Strength of Win]]-1)^2,(Table4[[#This Row],[Strength of Win]]-0)^2))</f>
        <v>0.21312266517384146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-0.62425830840281982</v>
      </c>
      <c r="H739" t="s">
        <v>36</v>
      </c>
      <c r="I739">
        <f>VLOOKUP(Table4[[#This Row],[Visitor]],'NHL Model'!$A$6:$B$38,2,FALSE)</f>
        <v>-0.179282670690569</v>
      </c>
      <c r="J739">
        <f>($B$1+Table4[[#This Row],[Home Differential]])-Table4[[#This Row],[Away Differential]]</f>
        <v>-0.33684517580914886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0.49699127198565268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0.25301778045861167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-2.9858233272404857E-2</v>
      </c>
      <c r="H740" t="s">
        <v>32</v>
      </c>
      <c r="I740">
        <f>VLOOKUP(Table4[[#This Row],[Visitor]],'NHL Model'!$A$6:$B$38,2,FALSE)</f>
        <v>-0.42661371358543798</v>
      </c>
      <c r="J740">
        <f>($B$1+Table4[[#This Row],[Home Differential]])-Table4[[#This Row],[Away Differential]]</f>
        <v>0.50488594221613503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0.64170940853146441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0.12837214793487306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0.12350258496936412</v>
      </c>
      <c r="H741" t="s">
        <v>18</v>
      </c>
      <c r="I741">
        <f>VLOOKUP(Table4[[#This Row],[Visitor]],'NHL Model'!$A$6:$B$38,2,FALSE)</f>
        <v>-0.18787166436597766</v>
      </c>
      <c r="J741">
        <f>($B$1+Table4[[#This Row],[Home Differential]])-Table4[[#This Row],[Away Differential]]</f>
        <v>0.41950471123844368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0.58811657561652175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0.16964795528186044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-0.36066890819319958</v>
      </c>
      <c r="H742" t="s">
        <v>38</v>
      </c>
      <c r="I742">
        <f>VLOOKUP(Table4[[#This Row],[Visitor]],'NHL Model'!$A$6:$B$38,2,FALSE)</f>
        <v>-1.2664425175465013</v>
      </c>
      <c r="J742">
        <f>($B$1+Table4[[#This Row],[Home Differential]])-Table4[[#This Row],[Away Differential]]</f>
        <v>1.0139040712564036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0.64884696436746991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0.12330845443394095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-0.75050764651940183</v>
      </c>
      <c r="H743" t="s">
        <v>16</v>
      </c>
      <c r="I743">
        <f>VLOOKUP(Table4[[#This Row],[Visitor]],'NHL Model'!$A$6:$B$38,2,FALSE)</f>
        <v>-0.77822387693813933</v>
      </c>
      <c r="J743">
        <f>($B$1+Table4[[#This Row],[Home Differential]])-Table4[[#This Row],[Away Differential]]</f>
        <v>0.13584669232183944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0.55458372690058433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0.30756311014294191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-0.12154868922444324</v>
      </c>
      <c r="H744" t="s">
        <v>30</v>
      </c>
      <c r="I744">
        <f>VLOOKUP(Table4[[#This Row],[Visitor]],'NHL Model'!$A$6:$B$38,2,FALSE)</f>
        <v>-6.98902744359894E-2</v>
      </c>
      <c r="J744">
        <f>($B$1+Table4[[#This Row],[Home Differential]])-Table4[[#This Row],[Away Differential]]</f>
        <v>5.6472047114648108E-2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0.51620947314173382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0.26647222016126643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4.6716977502832858E-2</v>
      </c>
      <c r="H745" t="s">
        <v>40</v>
      </c>
      <c r="I745">
        <f>VLOOKUP(Table4[[#This Row],[Visitor]],'NHL Model'!$A$6:$B$38,2,FALSE)</f>
        <v>-0.41982036690375685</v>
      </c>
      <c r="J745">
        <f>($B$1+Table4[[#This Row],[Home Differential]])-Table4[[#This Row],[Away Differential]]</f>
        <v>0.57466780630969172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0.60169306151321766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0.36203454027314874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3.6611055984458557E-5</v>
      </c>
      <c r="H746" t="s">
        <v>27</v>
      </c>
      <c r="I746">
        <f>VLOOKUP(Table4[[#This Row],[Visitor]],'NHL Model'!$A$6:$B$38,2,FALSE)</f>
        <v>-0.39747316405117561</v>
      </c>
      <c r="J746">
        <f>($B$1+Table4[[#This Row],[Home Differential]])-Table4[[#This Row],[Away Differential]]</f>
        <v>0.50564023701026206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0.59345316187053343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0.16528033159306668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0.14062496747196682</v>
      </c>
      <c r="H747" t="s">
        <v>39</v>
      </c>
      <c r="I747">
        <f>VLOOKUP(Table4[[#This Row],[Visitor]],'NHL Model'!$A$6:$B$38,2,FALSE)</f>
        <v>0.24554986733769732</v>
      </c>
      <c r="J747">
        <f>($B$1+Table4[[#This Row],[Home Differential]])-Table4[[#This Row],[Away Differential]]</f>
        <v>3.2055620373714622E-3</v>
      </c>
      <c r="K747" t="str">
        <f>IF(Table4[[#This Row],[HomeIce Differential]]&gt;0,Table4[[#This Row],[Home]],Table4[[#This Row],[Visitor]])</f>
        <v>Utah Mammoth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0.53147966201216046</v>
      </c>
      <c r="M747" t="str">
        <f>IF(OR((NHL2025_26Results[[#This Row],[Winning Team]]="")),"-",IF(Table4[[#This Row],[Predicted Winner]]=NHL2025_26Results[[#This Row],[Winning Team]],"YES","NO"))</f>
        <v>YES</v>
      </c>
      <c r="N747">
        <f>IF(Table4[[#This Row],[Adjusted Correct]]="-", "",IF(Table4[[#This Row],[Adjusted Correct]]="YES",(Table4[[#This Row],[Strength of Win]]-1)^2,(Table4[[#This Row],[Strength of Win]]-0)^2))</f>
        <v>0.21951130710823941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-0.11283731617452618</v>
      </c>
      <c r="H748" t="s">
        <v>19</v>
      </c>
      <c r="I748">
        <f>VLOOKUP(Table4[[#This Row],[Visitor]],'NHL Model'!$A$6:$B$38,2,FALSE)</f>
        <v>-0.38129365484385536</v>
      </c>
      <c r="J748">
        <f>($B$1+Table4[[#This Row],[Home Differential]])-Table4[[#This Row],[Away Differential]]</f>
        <v>0.3765868005724311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0.58042821330461059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0.17604048419076135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-0.12498445042942641</v>
      </c>
      <c r="H749" t="s">
        <v>33</v>
      </c>
      <c r="I749">
        <f>VLOOKUP(Table4[[#This Row],[Visitor]],'NHL Model'!$A$6:$B$38,2,FALSE)</f>
        <v>-0.46908405058827807</v>
      </c>
      <c r="J749">
        <f>($B$1+Table4[[#This Row],[Home Differential]])-Table4[[#This Row],[Away Differential]]</f>
        <v>0.4522300620619536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0.55798280514448306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0.31134481083690613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0.31465989886768042</v>
      </c>
      <c r="H750" t="s">
        <v>11</v>
      </c>
      <c r="I750">
        <f>VLOOKUP(Table4[[#This Row],[Visitor]],'NHL Model'!$A$6:$B$38,2,FALSE)</f>
        <v>-0.34412098011518399</v>
      </c>
      <c r="J750">
        <f>($B$1+Table4[[#This Row],[Home Differential]])-Table4[[#This Row],[Away Differential]]</f>
        <v>0.76691134088596635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0.60660307673719149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0.15476113923264403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1.1504937678265921</v>
      </c>
      <c r="H751" t="s">
        <v>29</v>
      </c>
      <c r="I751">
        <f>VLOOKUP(Table4[[#This Row],[Visitor]],'NHL Model'!$A$6:$B$38,2,FALSE)</f>
        <v>-0.72584022159035511</v>
      </c>
      <c r="J751">
        <f>($B$1+Table4[[#This Row],[Home Differential]])-Table4[[#This Row],[Away Differential]]</f>
        <v>1.9844644513200493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0.83882302478407522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0.70362406690790524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-0.1792260169918948</v>
      </c>
      <c r="H752" t="s">
        <v>33</v>
      </c>
      <c r="I752">
        <f>VLOOKUP(Table4[[#This Row],[Visitor]],'NHL Model'!$A$6:$B$38,2,FALSE)</f>
        <v>-0.46908405058827807</v>
      </c>
      <c r="J752">
        <f>($B$1+Table4[[#This Row],[Home Differential]])-Table4[[#This Row],[Away Differential]]</f>
        <v>0.39798849549948523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0.59555133016128703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0.16357872653430425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-0.36406236312551898</v>
      </c>
      <c r="H753" t="s">
        <v>31</v>
      </c>
      <c r="I753">
        <f>VLOOKUP(Table4[[#This Row],[Visitor]],'NHL Model'!$A$6:$B$38,2,FALSE)</f>
        <v>-0.39000953236289804</v>
      </c>
      <c r="J753">
        <f>($B$1+Table4[[#This Row],[Home Differential]])-Table4[[#This Row],[Away Differential]]</f>
        <v>0.13407763114048099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0.55439381057138704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0.30735249719986296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-1.236228034931707</v>
      </c>
      <c r="H754" t="s">
        <v>37</v>
      </c>
      <c r="I754">
        <f>VLOOKUP(Table4[[#This Row],[Visitor]],'NHL Model'!$A$6:$B$38,2,FALSE)</f>
        <v>0.6987740059316554</v>
      </c>
      <c r="J754">
        <f>($B$1+Table4[[#This Row],[Home Differential]])-Table4[[#This Row],[Away Differential]]</f>
        <v>-1.8268715789602603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0.75298067182278672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0.56697989213869526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-0.39000953236289804</v>
      </c>
      <c r="H755" t="s">
        <v>13</v>
      </c>
      <c r="I755">
        <f>VLOOKUP(Table4[[#This Row],[Visitor]],'NHL Model'!$A$6:$B$38,2,FALSE)</f>
        <v>-0.36406236312551898</v>
      </c>
      <c r="J755">
        <f>($B$1+Table4[[#This Row],[Home Differential]])-Table4[[#This Row],[Away Differential]]</f>
        <v>8.2183292665722885E-2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0.54601281270557211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0.20610436622750594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0.12350258496936412</v>
      </c>
      <c r="H756" t="s">
        <v>34</v>
      </c>
      <c r="I756">
        <f>VLOOKUP(Table4[[#This Row],[Visitor]],'NHL Model'!$A$6:$B$38,2,FALSE)</f>
        <v>4.6716977502832858E-2</v>
      </c>
      <c r="J756">
        <f>($B$1+Table4[[#This Row],[Home Differential]])-Table4[[#This Row],[Away Differential]]</f>
        <v>0.1849160693696332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0.54576809696224926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0.29786281566179512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-0.77822387693813933</v>
      </c>
      <c r="H757" t="s">
        <v>30</v>
      </c>
      <c r="I757">
        <f>VLOOKUP(Table4[[#This Row],[Visitor]],'NHL Model'!$A$6:$B$38,2,FALSE)</f>
        <v>-6.98902744359894E-2</v>
      </c>
      <c r="J757">
        <f>($B$1+Table4[[#This Row],[Home Differential]])-Table4[[#This Row],[Away Differential]]</f>
        <v>-0.600203140599048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0.55428743360162469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0.30723455904867553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-0.75050764651940183</v>
      </c>
      <c r="H758" t="s">
        <v>21</v>
      </c>
      <c r="I758">
        <f>VLOOKUP(Table4[[#This Row],[Visitor]],'NHL Model'!$A$6:$B$38,2,FALSE)</f>
        <v>-2.9858233272404857E-2</v>
      </c>
      <c r="J758">
        <f>($B$1+Table4[[#This Row],[Home Differential]])-Table4[[#This Row],[Away Differential]]</f>
        <v>-0.612518951343895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0.52575654478703515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0.22490685481233139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-0.55013344272463272</v>
      </c>
      <c r="H759" t="s">
        <v>25</v>
      </c>
      <c r="I759">
        <f>VLOOKUP(Table4[[#This Row],[Visitor]],'NHL Model'!$A$6:$B$38,2,FALSE)</f>
        <v>0.31465989886768042</v>
      </c>
      <c r="J759">
        <f>($B$1+Table4[[#This Row],[Home Differential]])-Table4[[#This Row],[Away Differential]]</f>
        <v>-0.7566628796892112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0.60051884950145662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0.15958518960363988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-0.179282670690569</v>
      </c>
      <c r="H760" t="s">
        <v>18</v>
      </c>
      <c r="I760">
        <f>VLOOKUP(Table4[[#This Row],[Visitor]],'NHL Model'!$A$6:$B$38,2,FALSE)</f>
        <v>-0.18787166436597766</v>
      </c>
      <c r="J760">
        <f>($B$1+Table4[[#This Row],[Home Differential]])-Table4[[#This Row],[Away Differential]]</f>
        <v>0.11671945557851061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0.51324360250309953</v>
      </c>
      <c r="M760" t="str">
        <f>IF(OR((NHL2025_26Results[[#This Row],[Winning Team]]="")),"-",IF(Table4[[#This Row],[Predicted Winner]]=NHL2025_26Results[[#This Row],[Winning Team]],"YES","NO"))</f>
        <v>NO</v>
      </c>
      <c r="N760">
        <f>IF(Table4[[#This Row],[Adjusted Correct]]="-", "",IF(Table4[[#This Row],[Adjusted Correct]]="YES",(Table4[[#This Row],[Strength of Win]]-1)^2,(Table4[[#This Row],[Strength of Win]]-0)^2))</f>
        <v>0.26341899551035963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-0.39747316405117561</v>
      </c>
      <c r="H761" t="s">
        <v>15</v>
      </c>
      <c r="I761">
        <f>VLOOKUP(Table4[[#This Row],[Visitor]],'NHL Model'!$A$6:$B$38,2,FALSE)</f>
        <v>-0.62425830840281982</v>
      </c>
      <c r="J761">
        <f>($B$1+Table4[[#This Row],[Home Differential]])-Table4[[#This Row],[Away Differential]]</f>
        <v>0.33491560625474615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0.53210163782491549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0.28313215297595751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3.6611055984458557E-5</v>
      </c>
      <c r="H762" t="s">
        <v>28</v>
      </c>
      <c r="I762">
        <f>VLOOKUP(Table4[[#This Row],[Visitor]],'NHL Model'!$A$6:$B$38,2,FALSE)</f>
        <v>-0.36066890819319958</v>
      </c>
      <c r="J762">
        <f>($B$1+Table4[[#This Row],[Home Differential]])-Table4[[#This Row],[Away Differential]]</f>
        <v>0.46883598115228597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0.59033155974157792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0.3484913504269242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0.14062496747196682</v>
      </c>
      <c r="H763" t="s">
        <v>32</v>
      </c>
      <c r="I763">
        <f>VLOOKUP(Table4[[#This Row],[Visitor]],'NHL Model'!$A$6:$B$38,2,FALSE)</f>
        <v>-0.42661371358543798</v>
      </c>
      <c r="J763">
        <f>($B$1+Table4[[#This Row],[Home Differential]])-Table4[[#This Row],[Away Differential]]</f>
        <v>0.67536914296050676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0.64854064962921631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0.12352367496305329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-1.2664425175465013</v>
      </c>
      <c r="H764" t="s">
        <v>17</v>
      </c>
      <c r="I764">
        <f>VLOOKUP(Table4[[#This Row],[Visitor]],'NHL Model'!$A$6:$B$38,2,FALSE)</f>
        <v>-0.12154868922444324</v>
      </c>
      <c r="J764">
        <f>($B$1+Table4[[#This Row],[Home Differential]])-Table4[[#This Row],[Away Differential]]</f>
        <v>-1.0367633664189559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0.57360541772802398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0.18181233979089292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-0.11283731617452618</v>
      </c>
      <c r="H765" t="s">
        <v>29</v>
      </c>
      <c r="I765">
        <f>VLOOKUP(Table4[[#This Row],[Visitor]],'NHL Model'!$A$6:$B$38,2,FALSE)</f>
        <v>-0.72584022159035511</v>
      </c>
      <c r="J765">
        <f>($B$1+Table4[[#This Row],[Home Differential]])-Table4[[#This Row],[Away Differential]]</f>
        <v>0.72113336731893085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0.61741676965503312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0.14636992814118999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-0.41982036690375685</v>
      </c>
      <c r="H766" t="s">
        <v>19</v>
      </c>
      <c r="I766">
        <f>VLOOKUP(Table4[[#This Row],[Visitor]],'NHL Model'!$A$6:$B$38,2,FALSE)</f>
        <v>-0.38129365484385536</v>
      </c>
      <c r="J766">
        <f>($B$1+Table4[[#This Row],[Home Differential]])-Table4[[#This Row],[Away Differential]]</f>
        <v>6.9603749843200446E-2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0.54747226201551491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0.29972587767638459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-0.12498445042942641</v>
      </c>
      <c r="H767" t="s">
        <v>11</v>
      </c>
      <c r="I767">
        <f>VLOOKUP(Table4[[#This Row],[Visitor]],'NHL Model'!$A$6:$B$38,2,FALSE)</f>
        <v>-0.34412098011518399</v>
      </c>
      <c r="J767">
        <f>($B$1+Table4[[#This Row],[Home Differential]])-Table4[[#This Row],[Away Differential]]</f>
        <v>0.32726699158885952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0.51584568578405565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0.26609677154202266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0.24554986733769732</v>
      </c>
      <c r="H768" t="s">
        <v>37</v>
      </c>
      <c r="I768">
        <f>VLOOKUP(Table4[[#This Row],[Visitor]],'NHL Model'!$A$6:$B$38,2,FALSE)</f>
        <v>0.6987740059316554</v>
      </c>
      <c r="J768">
        <f>($B$1+Table4[[#This Row],[Home Differential]])-Table4[[#This Row],[Away Differential]]</f>
        <v>-0.34509367669085611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0.57478314001349129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0.18080937801678615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-0.1792260169918948</v>
      </c>
      <c r="H769" t="s">
        <v>36</v>
      </c>
      <c r="I769">
        <f>VLOOKUP(Table4[[#This Row],[Visitor]],'NHL Model'!$A$6:$B$38,2,FALSE)</f>
        <v>-0.179282670690569</v>
      </c>
      <c r="J769">
        <f>($B$1+Table4[[#This Row],[Home Differential]])-Table4[[#This Row],[Away Differential]]</f>
        <v>0.10818711560177614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0.59370390457327638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0.16507651715900132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-0.12154868922444324</v>
      </c>
      <c r="H770" t="s">
        <v>35</v>
      </c>
      <c r="I770">
        <f>VLOOKUP(Table4[[#This Row],[Visitor]],'NHL Model'!$A$6:$B$38,2,FALSE)</f>
        <v>-1.236228034931707</v>
      </c>
      <c r="J770">
        <f>($B$1+Table4[[#This Row],[Home Differential]])-Table4[[#This Row],[Away Differential]]</f>
        <v>1.2228098076103657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0.6712738939811389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0.1080608527783235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-0.39000953236289804</v>
      </c>
      <c r="H771" t="s">
        <v>15</v>
      </c>
      <c r="I771">
        <f>VLOOKUP(Table4[[#This Row],[Visitor]],'NHL Model'!$A$6:$B$38,2,FALSE)</f>
        <v>-0.62425830840281982</v>
      </c>
      <c r="J771">
        <f>($B$1+Table4[[#This Row],[Home Differential]])-Table4[[#This Row],[Away Differential]]</f>
        <v>0.34237923794302372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0.56940193238841186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0.18541469583083384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0.31465989886768042</v>
      </c>
      <c r="H772" t="s">
        <v>23</v>
      </c>
      <c r="I772">
        <f>VLOOKUP(Table4[[#This Row],[Visitor]],'NHL Model'!$A$6:$B$38,2,FALSE)</f>
        <v>0.12350258496936412</v>
      </c>
      <c r="J772">
        <f>($B$1+Table4[[#This Row],[Home Differential]])-Table4[[#This Row],[Away Differential]]</f>
        <v>0.29928777580141824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0.5856605821251345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0.17167715320488242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-0.77822387693813933</v>
      </c>
      <c r="H773" t="s">
        <v>24</v>
      </c>
      <c r="I773">
        <f>VLOOKUP(Table4[[#This Row],[Visitor]],'NHL Model'!$A$6:$B$38,2,FALSE)</f>
        <v>-0.55013344272463272</v>
      </c>
      <c r="J773">
        <f>($B$1+Table4[[#This Row],[Home Differential]])-Table4[[#This Row],[Away Differential]]</f>
        <v>-0.11995997231040467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0.50211500976146295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0.24788946350482813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-0.75050764651940183</v>
      </c>
      <c r="H774" t="s">
        <v>40</v>
      </c>
      <c r="I774">
        <f>VLOOKUP(Table4[[#This Row],[Visitor]],'NHL Model'!$A$6:$B$38,2,FALSE)</f>
        <v>-0.41982036690375685</v>
      </c>
      <c r="J774">
        <f>($B$1+Table4[[#This Row],[Home Differential]])-Table4[[#This Row],[Away Differential]]</f>
        <v>-0.22255681771254304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0.48389243193123405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0.23415188568032397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1.1504937678265921</v>
      </c>
      <c r="H775" t="s">
        <v>22</v>
      </c>
      <c r="I775">
        <f>VLOOKUP(Table4[[#This Row],[Visitor]],'NHL Model'!$A$6:$B$38,2,FALSE)</f>
        <v>-0.12498445042942641</v>
      </c>
      <c r="J775">
        <f>($B$1+Table4[[#This Row],[Home Differential]])-Table4[[#This Row],[Away Differential]]</f>
        <v>1.3836086801591205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0.77431857257046621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5.0932106686631923E-2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-0.34412098011518399</v>
      </c>
      <c r="H776" t="s">
        <v>33</v>
      </c>
      <c r="I776">
        <f>VLOOKUP(Table4[[#This Row],[Visitor]],'NHL Model'!$A$6:$B$38,2,FALSE)</f>
        <v>-0.46908405058827807</v>
      </c>
      <c r="J776">
        <f>($B$1+Table4[[#This Row],[Home Differential]])-Table4[[#This Row],[Away Differential]]</f>
        <v>0.23309353237619601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0.53445755584869958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0.28564487900376584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-0.42661371358543798</v>
      </c>
      <c r="H777" t="s">
        <v>14</v>
      </c>
      <c r="I777">
        <f>VLOOKUP(Table4[[#This Row],[Visitor]],'NHL Model'!$A$6:$B$38,2,FALSE)</f>
        <v>3.6611055984458557E-5</v>
      </c>
      <c r="J777">
        <f>($B$1+Table4[[#This Row],[Home Differential]])-Table4[[#This Row],[Away Differential]]</f>
        <v>-0.3185198627383205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0.55072340331519232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0.20184946032868334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-0.38129365484385536</v>
      </c>
      <c r="H778" t="s">
        <v>34</v>
      </c>
      <c r="I778">
        <f>VLOOKUP(Table4[[#This Row],[Visitor]],'NHL Model'!$A$6:$B$38,2,FALSE)</f>
        <v>4.6716977502832858E-2</v>
      </c>
      <c r="J778">
        <f>($B$1+Table4[[#This Row],[Home Differential]])-Table4[[#This Row],[Away Differential]]</f>
        <v>-0.3198801704435863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0.55086943820007084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0.20171826154271999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-1.2664425175465013</v>
      </c>
      <c r="H779" t="s">
        <v>30</v>
      </c>
      <c r="I779">
        <f>VLOOKUP(Table4[[#This Row],[Visitor]],'NHL Model'!$A$6:$B$38,2,FALSE)</f>
        <v>-6.98902744359894E-2</v>
      </c>
      <c r="J779">
        <f>($B$1+Table4[[#This Row],[Home Differential]])-Table4[[#This Row],[Away Differential]]</f>
        <v>-1.0884217812074097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0.60669980522962486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0.15468504320641502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-0.11283731617452618</v>
      </c>
      <c r="H780" t="s">
        <v>27</v>
      </c>
      <c r="I780">
        <f>VLOOKUP(Table4[[#This Row],[Visitor]],'NHL Model'!$A$6:$B$38,2,FALSE)</f>
        <v>-0.39747316405117561</v>
      </c>
      <c r="J780">
        <f>($B$1+Table4[[#This Row],[Home Differential]])-Table4[[#This Row],[Away Differential]]</f>
        <v>0.39276630977975135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0.58133566014273053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0.33795114975358431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-0.36066890819319958</v>
      </c>
      <c r="H781" t="s">
        <v>36</v>
      </c>
      <c r="I781">
        <f>VLOOKUP(Table4[[#This Row],[Visitor]],'NHL Model'!$A$6:$B$38,2,FALSE)</f>
        <v>-0.179282670690569</v>
      </c>
      <c r="J781">
        <f>($B$1+Table4[[#This Row],[Home Differential]])-Table4[[#This Row],[Away Differential]]</f>
        <v>-7.3255775599528644E-2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0.46869381578084007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0.28228626138952395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0.24554986733769732</v>
      </c>
      <c r="H782" t="s">
        <v>21</v>
      </c>
      <c r="I782">
        <f>VLOOKUP(Table4[[#This Row],[Visitor]],'NHL Model'!$A$6:$B$38,2,FALSE)</f>
        <v>-2.9858233272404857E-2</v>
      </c>
      <c r="J782">
        <f>($B$1+Table4[[#This Row],[Home Differential]])-Table4[[#This Row],[Away Differential]]</f>
        <v>0.38353856251320412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0.60027994616878377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0.15977612143483039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-0.12154868922444324</v>
      </c>
      <c r="H783" t="s">
        <v>24</v>
      </c>
      <c r="I783">
        <f>VLOOKUP(Table4[[#This Row],[Visitor]],'NHL Model'!$A$6:$B$38,2,FALSE)</f>
        <v>-0.55013344272463272</v>
      </c>
      <c r="J783">
        <f>($B$1+Table4[[#This Row],[Home Differential]])-Table4[[#This Row],[Away Differential]]</f>
        <v>0.53671521540329148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0.56838189698189578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0.32305798081673837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-0.36406236312551898</v>
      </c>
      <c r="H784" t="s">
        <v>15</v>
      </c>
      <c r="I784">
        <f>VLOOKUP(Table4[[#This Row],[Visitor]],'NHL Model'!$A$6:$B$38,2,FALSE)</f>
        <v>-0.62425830840281982</v>
      </c>
      <c r="J784">
        <f>($B$1+Table4[[#This Row],[Home Differential]])-Table4[[#This Row],[Away Differential]]</f>
        <v>0.36832640718040277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0.53568843105411823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0.21558523305698632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-0.18787166436597766</v>
      </c>
      <c r="H785" t="s">
        <v>34</v>
      </c>
      <c r="I785">
        <f>VLOOKUP(Table4[[#This Row],[Visitor]],'NHL Model'!$A$6:$B$38,2,FALSE)</f>
        <v>4.6716977502832858E-2</v>
      </c>
      <c r="J785">
        <f>($B$1+Table4[[#This Row],[Home Differential]])-Table4[[#This Row],[Away Differential]]</f>
        <v>-0.12645817996570857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0.52300979196926878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0.2735392424957378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-0.72584022159035511</v>
      </c>
      <c r="H786" t="s">
        <v>23</v>
      </c>
      <c r="I786">
        <f>VLOOKUP(Table4[[#This Row],[Visitor]],'NHL Model'!$A$6:$B$38,2,FALSE)</f>
        <v>0.12350258496936412</v>
      </c>
      <c r="J786">
        <f>($B$1+Table4[[#This Row],[Home Differential]])-Table4[[#This Row],[Away Differential]]</f>
        <v>-0.74121234465661723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0.56942537834872498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0.18539450481013864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0.6987740059316554</v>
      </c>
      <c r="H787" t="s">
        <v>33</v>
      </c>
      <c r="I787">
        <f>VLOOKUP(Table4[[#This Row],[Visitor]],'NHL Model'!$A$6:$B$38,2,FALSE)</f>
        <v>-0.46908405058827807</v>
      </c>
      <c r="J787">
        <f>($B$1+Table4[[#This Row],[Home Differential]])-Table4[[#This Row],[Away Differential]]</f>
        <v>1.2759885184230355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0.67627407464538247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0.1047984747467034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-0.41982036690375685</v>
      </c>
      <c r="H788" t="s">
        <v>35</v>
      </c>
      <c r="I788">
        <f>VLOOKUP(Table4[[#This Row],[Visitor]],'NHL Model'!$A$6:$B$38,2,FALSE)</f>
        <v>-1.236228034931707</v>
      </c>
      <c r="J788">
        <f>($B$1+Table4[[#This Row],[Home Differential]])-Table4[[#This Row],[Away Differential]]</f>
        <v>0.924538129931052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0.6392531460695986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0.13013829262068236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-0.77822387693813933</v>
      </c>
      <c r="H789" t="s">
        <v>14</v>
      </c>
      <c r="I789">
        <f>VLOOKUP(Table4[[#This Row],[Visitor]],'NHL Model'!$A$6:$B$38,2,FALSE)</f>
        <v>3.6611055984458557E-5</v>
      </c>
      <c r="J789">
        <f>($B$1+Table4[[#This Row],[Home Differential]])-Table4[[#This Row],[Away Differential]]</f>
        <v>-0.67013002609102179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0.58847026715238593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0.16935672101762861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1.1504937678265921</v>
      </c>
      <c r="H790" t="s">
        <v>31</v>
      </c>
      <c r="I790">
        <f>VLOOKUP(Table4[[#This Row],[Visitor]],'NHL Model'!$A$6:$B$38,2,FALSE)</f>
        <v>-0.39000953236289804</v>
      </c>
      <c r="J790">
        <f>($B$1+Table4[[#This Row],[Home Differential]])-Table4[[#This Row],[Away Differential]]</f>
        <v>1.6486337620925922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0.80277015538534902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0.64443992237741743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-0.42661371358543798</v>
      </c>
      <c r="H791" t="s">
        <v>30</v>
      </c>
      <c r="I791">
        <f>VLOOKUP(Table4[[#This Row],[Visitor]],'NHL Model'!$A$6:$B$38,2,FALSE)</f>
        <v>-6.98902744359894E-2</v>
      </c>
      <c r="J791">
        <f>($B$1+Table4[[#This Row],[Home Differential]])-Table4[[#This Row],[Away Differential]]</f>
        <v>-0.24859297724634666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0.51654056976443097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0.26681416021256299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-0.38129365484385536</v>
      </c>
      <c r="H792" t="s">
        <v>26</v>
      </c>
      <c r="I792">
        <f>VLOOKUP(Table4[[#This Row],[Visitor]],'NHL Model'!$A$6:$B$38,2,FALSE)</f>
        <v>-0.1792260169918948</v>
      </c>
      <c r="J792">
        <f>($B$1+Table4[[#This Row],[Home Differential]])-Table4[[#This Row],[Away Differential]]</f>
        <v>-9.3937175948858614E-2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0.50937129324065411</v>
      </c>
      <c r="M792" t="str">
        <f>IF(OR((NHL2025_26Results[[#This Row],[Winning Team]]="")),"-",IF(Table4[[#This Row],[Predicted Winner]]=NHL2025_26Results[[#This Row],[Winning Team]],"YES","NO"))</f>
        <v>YES</v>
      </c>
      <c r="N792">
        <f>IF(Table4[[#This Row],[Adjusted Correct]]="-", "",IF(Table4[[#This Row],[Adjusted Correct]]="YES",(Table4[[#This Row],[Strength of Win]]-1)^2,(Table4[[#This Row],[Strength of Win]]-0)^2))</f>
        <v>0.24071652789634823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0.14062496747196682</v>
      </c>
      <c r="H793" t="s">
        <v>27</v>
      </c>
      <c r="I793">
        <f>VLOOKUP(Table4[[#This Row],[Visitor]],'NHL Model'!$A$6:$B$38,2,FALSE)</f>
        <v>-0.39747316405117561</v>
      </c>
      <c r="J793">
        <f>($B$1+Table4[[#This Row],[Home Differential]])-Table4[[#This Row],[Away Differential]]</f>
        <v>0.64622859342624439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0.6445966588382247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0.12631153490895325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-1.2664425175465013</v>
      </c>
      <c r="H794" t="s">
        <v>22</v>
      </c>
      <c r="I794">
        <f>VLOOKUP(Table4[[#This Row],[Visitor]],'NHL Model'!$A$6:$B$38,2,FALSE)</f>
        <v>-0.12498445042942641</v>
      </c>
      <c r="J794">
        <f>($B$1+Table4[[#This Row],[Home Differential]])-Table4[[#This Row],[Away Differential]]</f>
        <v>-1.0333276052139728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0.57093216430748994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0.32596353624083468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-2.9858233272404857E-2</v>
      </c>
      <c r="H795" t="s">
        <v>20</v>
      </c>
      <c r="I795">
        <f>VLOOKUP(Table4[[#This Row],[Visitor]],'NHL Model'!$A$6:$B$38,2,FALSE)</f>
        <v>-0.11283731617452618</v>
      </c>
      <c r="J795">
        <f>($B$1+Table4[[#This Row],[Home Differential]])-Table4[[#This Row],[Away Differential]]</f>
        <v>0.19110954480522327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0.59692092626489346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0.16247273968315146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0.31465989886768042</v>
      </c>
      <c r="H796" t="s">
        <v>10</v>
      </c>
      <c r="I796">
        <f>VLOOKUP(Table4[[#This Row],[Visitor]],'NHL Model'!$A$6:$B$38,2,FALSE)</f>
        <v>-0.75050764651940183</v>
      </c>
      <c r="J796">
        <f>($B$1+Table4[[#This Row],[Home Differential]])-Table4[[#This Row],[Away Differential]]</f>
        <v>1.1732980072901842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0.70886014359659533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0.50248270317978572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-0.36066890819319958</v>
      </c>
      <c r="H797" t="s">
        <v>39</v>
      </c>
      <c r="I797">
        <f>VLOOKUP(Table4[[#This Row],[Visitor]],'NHL Model'!$A$6:$B$38,2,FALSE)</f>
        <v>0.24554986733769732</v>
      </c>
      <c r="J797">
        <f>($B$1+Table4[[#This Row],[Home Differential]])-Table4[[#This Row],[Away Differential]]</f>
        <v>-0.49808831362779493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0.55884147497538683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0.3123037941526659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-0.12154868922444324</v>
      </c>
      <c r="H798" t="s">
        <v>14</v>
      </c>
      <c r="I798">
        <f>VLOOKUP(Table4[[#This Row],[Visitor]],'NHL Model'!$A$6:$B$38,2,FALSE)</f>
        <v>3.6611055984458557E-5</v>
      </c>
      <c r="J798">
        <f>($B$1+Table4[[#This Row],[Home Differential]])-Table4[[#This Row],[Away Differential]]</f>
        <v>-1.3454838377325751E-2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0.51797336040902731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0.23234968127536548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4.6716977502832858E-2</v>
      </c>
      <c r="H799" t="s">
        <v>26</v>
      </c>
      <c r="I799">
        <f>VLOOKUP(Table4[[#This Row],[Visitor]],'NHL Model'!$A$6:$B$38,2,FALSE)</f>
        <v>-0.1792260169918948</v>
      </c>
      <c r="J799">
        <f>($B$1+Table4[[#This Row],[Home Differential]])-Table4[[#This Row],[Away Differential]]</f>
        <v>0.33407345639782959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0.53657748965574759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0.21476042309376875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-0.18787166436597766</v>
      </c>
      <c r="H800" t="s">
        <v>23</v>
      </c>
      <c r="I800">
        <f>VLOOKUP(Table4[[#This Row],[Visitor]],'NHL Model'!$A$6:$B$38,2,FALSE)</f>
        <v>0.12350258496936412</v>
      </c>
      <c r="J800">
        <f>($B$1+Table4[[#This Row],[Home Differential]])-Table4[[#This Row],[Away Differential]]</f>
        <v>-0.20324378743223981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0.50457771572606536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0.2454432397552033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-0.72584022159035511</v>
      </c>
      <c r="H801" t="s">
        <v>36</v>
      </c>
      <c r="I801">
        <f>VLOOKUP(Table4[[#This Row],[Visitor]],'NHL Model'!$A$6:$B$38,2,FALSE)</f>
        <v>-0.179282670690569</v>
      </c>
      <c r="J801">
        <f>($B$1+Table4[[#This Row],[Home Differential]])-Table4[[#This Row],[Away Differential]]</f>
        <v>-0.43842708899668414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0.50789652742209812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0.25795888256742605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-0.41982036690375685</v>
      </c>
      <c r="H802" t="s">
        <v>11</v>
      </c>
      <c r="I802">
        <f>VLOOKUP(Table4[[#This Row],[Visitor]],'NHL Model'!$A$6:$B$38,2,FALSE)</f>
        <v>-0.34412098011518399</v>
      </c>
      <c r="J802">
        <f>($B$1+Table4[[#This Row],[Home Differential]])-Table4[[#This Row],[Away Differential]]</f>
        <v>3.2431075114529084E-2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0.4841937816202187</v>
      </c>
      <c r="M802" t="str">
        <f>IF(OR((NHL2025_26Results[[#This Row],[Winning Team]]="")),"-",IF(Table4[[#This Row],[Predicted Winner]]=NHL2025_26Results[[#This Row],[Winning Team]],"YES","NO"))</f>
        <v>NO</v>
      </c>
      <c r="N802">
        <f>IF(Table4[[#This Row],[Adjusted Correct]]="-", "",IF(Table4[[#This Row],[Adjusted Correct]]="YES",(Table4[[#This Row],[Strength of Win]]-1)^2,(Table4[[#This Row],[Strength of Win]]-0)^2))</f>
        <v>0.23444361815968803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-0.77822387693813933</v>
      </c>
      <c r="H803" t="s">
        <v>22</v>
      </c>
      <c r="I803">
        <f>VLOOKUP(Table4[[#This Row],[Visitor]],'NHL Model'!$A$6:$B$38,2,FALSE)</f>
        <v>-0.12498445042942641</v>
      </c>
      <c r="J803">
        <f>($B$1+Table4[[#This Row],[Home Differential]])-Table4[[#This Row],[Away Differential]]</f>
        <v>-0.54510896460561098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0.51851979267948978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0.23182319004140151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-0.75050764651940183</v>
      </c>
      <c r="H804" t="s">
        <v>37</v>
      </c>
      <c r="I804">
        <f>VLOOKUP(Table4[[#This Row],[Visitor]],'NHL Model'!$A$6:$B$38,2,FALSE)</f>
        <v>0.6987740059316554</v>
      </c>
      <c r="J804">
        <f>($B$1+Table4[[#This Row],[Home Differential]])-Table4[[#This Row],[Away Differential]]</f>
        <v>-1.3411511905479552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0.70083649831675299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8.9498800739382142E-2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1.1504937678265921</v>
      </c>
      <c r="H805" t="s">
        <v>27</v>
      </c>
      <c r="I805">
        <f>VLOOKUP(Table4[[#This Row],[Visitor]],'NHL Model'!$A$6:$B$38,2,FALSE)</f>
        <v>-0.39747316405117561</v>
      </c>
      <c r="J805">
        <f>($B$1+Table4[[#This Row],[Home Differential]])-Table4[[#This Row],[Away Differential]]</f>
        <v>1.6560973937808696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0.80278918057459925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0.64447046844763656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0.24554986733769732</v>
      </c>
      <c r="H806" t="s">
        <v>35</v>
      </c>
      <c r="I806">
        <f>VLOOKUP(Table4[[#This Row],[Visitor]],'NHL Model'!$A$6:$B$38,2,FALSE)</f>
        <v>-1.236228034931707</v>
      </c>
      <c r="J806">
        <f>($B$1+Table4[[#This Row],[Home Differential]])-Table4[[#This Row],[Away Differential]]</f>
        <v>1.5899083641725062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0.72978893477801798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7.301401976839822E-2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-0.42661371358543798</v>
      </c>
      <c r="H807" t="s">
        <v>31</v>
      </c>
      <c r="I807">
        <f>VLOOKUP(Table4[[#This Row],[Visitor]],'NHL Model'!$A$6:$B$38,2,FALSE)</f>
        <v>-0.39000953236289804</v>
      </c>
      <c r="J807">
        <f>($B$1+Table4[[#This Row],[Home Differential]])-Table4[[#This Row],[Away Differential]]</f>
        <v>7.1526280680561993E-2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0.54767865397258675</v>
      </c>
      <c r="M807" t="str">
        <f>IF(OR((NHL2025_26Results[[#This Row],[Winning Team]]="")),"-",IF(Table4[[#This Row],[Predicted Winner]]=NHL2025_26Results[[#This Row],[Winning Team]],"YES","NO"))</f>
        <v>NO</v>
      </c>
      <c r="N807">
        <f>IF(Table4[[#This Row],[Adjusted Correct]]="-", "",IF(Table4[[#This Row],[Adjusted Correct]]="YES",(Table4[[#This Row],[Strength of Win]]-1)^2,(Table4[[#This Row],[Strength of Win]]-0)^2))</f>
        <v>0.29995190801722443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-0.46908405058827807</v>
      </c>
      <c r="H808" t="s">
        <v>15</v>
      </c>
      <c r="I808">
        <f>VLOOKUP(Table4[[#This Row],[Visitor]],'NHL Model'!$A$6:$B$38,2,FALSE)</f>
        <v>-0.62425830840281982</v>
      </c>
      <c r="J808">
        <f>($B$1+Table4[[#This Row],[Home Differential]])-Table4[[#This Row],[Away Differential]]</f>
        <v>0.26330471971764369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0.52441390104961283</v>
      </c>
      <c r="M808" t="str">
        <f>IF(OR((NHL2025_26Results[[#This Row],[Winning Team]]="")),"-",IF(Table4[[#This Row],[Predicted Winner]]=NHL2025_26Results[[#This Row],[Winning Team]],"YES","NO"))</f>
        <v>YES</v>
      </c>
      <c r="N808">
        <f>IF(Table4[[#This Row],[Adjusted Correct]]="-", "",IF(Table4[[#This Row],[Adjusted Correct]]="YES",(Table4[[#This Row],[Strength of Win]]-1)^2,(Table4[[#This Row],[Strength of Win]]-0)^2))</f>
        <v>0.22618213751484745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-0.38129365484385536</v>
      </c>
      <c r="H809" t="s">
        <v>20</v>
      </c>
      <c r="I809">
        <f>VLOOKUP(Table4[[#This Row],[Visitor]],'NHL Model'!$A$6:$B$38,2,FALSE)</f>
        <v>-0.11283731617452618</v>
      </c>
      <c r="J809">
        <f>($B$1+Table4[[#This Row],[Home Differential]])-Table4[[#This Row],[Away Differential]]</f>
        <v>-0.16032587676622723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0.48856772778467994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0.26156296906332521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-1.2664425175465013</v>
      </c>
      <c r="H810" t="s">
        <v>24</v>
      </c>
      <c r="I810">
        <f>VLOOKUP(Table4[[#This Row],[Visitor]],'NHL Model'!$A$6:$B$38,2,FALSE)</f>
        <v>-0.55013344272463272</v>
      </c>
      <c r="J810">
        <f>($B$1+Table4[[#This Row],[Home Differential]])-Table4[[#This Row],[Away Differential]]</f>
        <v>-0.60817861291876651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0.554527381389463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0.19844585393172895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-2.9858233272404857E-2</v>
      </c>
      <c r="H811" t="s">
        <v>18</v>
      </c>
      <c r="I811">
        <f>VLOOKUP(Table4[[#This Row],[Visitor]],'NHL Model'!$A$6:$B$38,2,FALSE)</f>
        <v>-0.18787166436597766</v>
      </c>
      <c r="J811">
        <f>($B$1+Table4[[#This Row],[Home Differential]])-Table4[[#This Row],[Away Differential]]</f>
        <v>0.26614389299667474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0.57746058088508656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0.17853956070596846</v>
      </c>
      <c r="O811">
        <v>0.28971319127978878</v>
      </c>
      <c r="P811" s="11">
        <v>0.55688251695954605</v>
      </c>
      <c r="Q811" t="s">
        <v>21</v>
      </c>
      <c r="R811" t="s">
        <v>248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-0.36066890819319958</v>
      </c>
      <c r="H812" t="s">
        <v>37</v>
      </c>
      <c r="I812">
        <f>VLOOKUP(Table4[[#This Row],[Visitor]],'NHL Model'!$A$6:$B$38,2,FALSE)</f>
        <v>0.6987740059316554</v>
      </c>
      <c r="J812">
        <f>($B$1+Table4[[#This Row],[Home Differential]])-Table4[[#This Row],[Away Differential]]</f>
        <v>-0.95131245222175309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0.65898563247786757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0.43426206381225513</v>
      </c>
      <c r="O812">
        <v>-1.132143048165877</v>
      </c>
      <c r="P812" s="11">
        <v>0.67373589439274417</v>
      </c>
      <c r="Q812" t="s">
        <v>37</v>
      </c>
      <c r="R812" t="s">
        <v>249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-0.12154868922444324</v>
      </c>
      <c r="H813" t="s">
        <v>22</v>
      </c>
      <c r="I813">
        <f>VLOOKUP(Table4[[#This Row],[Visitor]],'NHL Model'!$A$6:$B$38,2,FALSE)</f>
        <v>-0.12498445042942641</v>
      </c>
      <c r="J813">
        <f>($B$1+Table4[[#This Row],[Home Differential]])-Table4[[#This Row],[Away Differential]]</f>
        <v>0.11156622310808512</v>
      </c>
      <c r="K813" t="str">
        <f>IF(Table4[[#This Row],[HomeIce Differential]]&gt;0,Table4[[#This Row],[Home]],Table4[[#This Row],[Visitor]])</f>
        <v>Edmonton Oilers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0.55197711406386885</v>
      </c>
      <c r="M813" t="str">
        <f>IF(OR((NHL2025_26Results[[#This Row],[Winning Team]]="")),"-",IF(Table4[[#This Row],[Predicted Winner]]=NHL2025_26Results[[#This Row],[Winning Team]],"YES","NO"))</f>
        <v>YES</v>
      </c>
      <c r="N813">
        <f>IF(Table4[[#This Row],[Adjusted Correct]]="-", "",IF(Table4[[#This Row],[Adjusted Correct]]="YES",(Table4[[#This Row],[Strength of Win]]-1)^2,(Table4[[#This Row],[Strength of Win]]-0)^2))</f>
        <v>0.20072450632253958</v>
      </c>
      <c r="O813">
        <v>-3.9623684797399535E-2</v>
      </c>
      <c r="P813" s="11">
        <v>0.46377717585596401</v>
      </c>
      <c r="Q813" t="s">
        <v>22</v>
      </c>
      <c r="R813" t="s">
        <v>249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4.6716977502832858E-2</v>
      </c>
      <c r="H814" t="s">
        <v>11</v>
      </c>
      <c r="I814">
        <f>VLOOKUP(Table4[[#This Row],[Visitor]],'NHL Model'!$A$6:$B$38,2,FALSE)</f>
        <v>-0.34412098011518399</v>
      </c>
      <c r="J814">
        <f>($B$1+Table4[[#This Row],[Home Differential]])-Table4[[#This Row],[Away Differential]]</f>
        <v>0.49896841952111881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0.53427857281727098</v>
      </c>
      <c r="M814" t="str">
        <f>IF(OR((NHL2025_26Results[[#This Row],[Winning Team]]="")),"-",IF(Table4[[#This Row],[Predicted Winner]]=NHL2025_26Results[[#This Row],[Winning Team]],"YES","NO"))</f>
        <v>NO</v>
      </c>
      <c r="N814">
        <f>IF(Table4[[#This Row],[Adjusted Correct]]="-", "",IF(Table4[[#This Row],[Adjusted Correct]]="YES",(Table4[[#This Row],[Strength of Win]]-1)^2,(Table4[[#This Row],[Strength of Win]]-0)^2))</f>
        <v>0.28545359337165993</v>
      </c>
      <c r="O814">
        <v>0.60511488462578689</v>
      </c>
      <c r="P814" s="11">
        <v>0.55517074816469469</v>
      </c>
      <c r="Q814" t="s">
        <v>34</v>
      </c>
      <c r="R814" t="s">
        <v>249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-0.72584022159035511</v>
      </c>
      <c r="H815" t="s">
        <v>55</v>
      </c>
      <c r="I815">
        <f>VLOOKUP(Table4[[#This Row],[Visitor]],'NHL Model'!$A$6:$B$38,2,FALSE)</f>
        <v>0.14062496747196682</v>
      </c>
      <c r="J815">
        <f>($B$1+Table4[[#This Row],[Home Differential]])-Table4[[#This Row],[Away Differential]]</f>
        <v>-0.75833472715922001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0.54141049569258581</v>
      </c>
      <c r="M815" t="str">
        <f>IF(OR((NHL2025_26Results[[#This Row],[Winning Team]]="")),"-",IF(Table4[[#This Row],[Predicted Winner]]=NHL2025_26Results[[#This Row],[Winning Team]],"YES","NO"))</f>
        <v>YES</v>
      </c>
      <c r="N815">
        <f>IF(Table4[[#This Row],[Adjusted Correct]]="-", "",IF(Table4[[#This Row],[Adjusted Correct]]="YES",(Table4[[#This Row],[Strength of Win]]-1)^2,(Table4[[#This Row],[Strength of Win]]-0)^2))</f>
        <v>0.21030433346091987</v>
      </c>
      <c r="O815">
        <v>-0.67430119684244139</v>
      </c>
      <c r="P815" s="11">
        <v>0.52427858018212503</v>
      </c>
      <c r="Q815" t="s">
        <v>55</v>
      </c>
      <c r="R815" t="s">
        <v>248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-6.98902744359894E-2</v>
      </c>
      <c r="H816" t="s">
        <v>23</v>
      </c>
      <c r="I816">
        <f>VLOOKUP(Table4[[#This Row],[Visitor]],'NHL Model'!$A$6:$B$38,2,FALSE)</f>
        <v>0.12350258496936412</v>
      </c>
      <c r="J816">
        <f>($B$1+Table4[[#This Row],[Home Differential]])-Table4[[#This Row],[Away Differential]]</f>
        <v>-8.5262397502251563E-2</v>
      </c>
      <c r="K816" t="str">
        <f>IF(Table4[[#This Row],[HomeIce Differential]]&gt;0,Table4[[#This Row],[Home]],Table4[[#This Row],[Visitor]])</f>
        <v>Buffalo Sabres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0.48249528781376144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0.26781112713496169</v>
      </c>
      <c r="O816">
        <v>4.5418386163908246E-2</v>
      </c>
      <c r="P816" s="11">
        <v>0.55291890449121051</v>
      </c>
      <c r="Q816" t="s">
        <v>30</v>
      </c>
      <c r="R816" t="s">
        <v>249</v>
      </c>
    </row>
    <row r="817" spans="4:18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-0.179282670690569</v>
      </c>
      <c r="H817" t="s">
        <v>25</v>
      </c>
      <c r="I817">
        <f>VLOOKUP(Table4[[#This Row],[Visitor]],'NHL Model'!$A$6:$B$38,2,FALSE)</f>
        <v>0.31465989886768042</v>
      </c>
      <c r="J817">
        <f>($B$1+Table4[[#This Row],[Home Differential]])-Table4[[#This Row],[Away Differential]]</f>
        <v>-0.38581210765514745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0.56070642353967903</v>
      </c>
      <c r="M817" t="str">
        <f>IF(OR((NHL2025_26Results[[#This Row],[Winning Team]]="")),"-",IF(Table4[[#This Row],[Predicted Winner]]=NHL2025_26Results[[#This Row],[Winning Team]],"YES","NO"))</f>
        <v>YES</v>
      </c>
      <c r="N817">
        <f>IF(Table4[[#This Row],[Adjusted Correct]]="-", "",IF(Table4[[#This Row],[Adjusted Correct]]="YES",(Table4[[#This Row],[Strength of Win]]-1)^2,(Table4[[#This Row],[Strength of Win]]-0)^2))</f>
        <v>0.19297884631929987</v>
      </c>
      <c r="O817">
        <v>-0.49648488414843145</v>
      </c>
      <c r="P817" s="11">
        <v>0.55873636419766592</v>
      </c>
      <c r="Q817" t="s">
        <v>25</v>
      </c>
      <c r="R817" t="s">
        <v>248</v>
      </c>
    </row>
    <row r="818" spans="4:18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-1.236228034931707</v>
      </c>
      <c r="H818" t="s">
        <v>13</v>
      </c>
      <c r="I818">
        <f>VLOOKUP(Table4[[#This Row],[Visitor]],'NHL Model'!$A$6:$B$38,2,FALSE)</f>
        <v>-0.36406236312551898</v>
      </c>
      <c r="J818">
        <f>($B$1+Table4[[#This Row],[Home Differential]])-Table4[[#This Row],[Away Differential]]</f>
        <v>-0.76403520990308593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0.58130920027967448</v>
      </c>
      <c r="M818" t="str">
        <f>IF(OR((NHL2025_26Results[[#This Row],[Winning Team]]="")),"-",IF(Table4[[#This Row],[Predicted Winner]]=NHL2025_26Results[[#This Row],[Winning Team]],"YES","NO"))</f>
        <v>YES</v>
      </c>
      <c r="N818">
        <f>IF(Table4[[#This Row],[Adjusted Correct]]="-", "",IF(Table4[[#This Row],[Adjusted Correct]]="YES",(Table4[[#This Row],[Strength of Win]]-1)^2,(Table4[[#This Row],[Strength of Win]]-0)^2))</f>
        <v>0.17530198577044573</v>
      </c>
      <c r="O818">
        <v>-0.71503141186574892</v>
      </c>
      <c r="P818" s="11">
        <v>0.54893046814441815</v>
      </c>
      <c r="Q818" t="s">
        <v>13</v>
      </c>
      <c r="R818" t="s">
        <v>248</v>
      </c>
    </row>
    <row r="819" spans="4:18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-0.41982036690375685</v>
      </c>
      <c r="H819" t="s">
        <v>26</v>
      </c>
      <c r="I819">
        <f>VLOOKUP(Table4[[#This Row],[Visitor]],'NHL Model'!$A$6:$B$38,2,FALSE)</f>
        <v>-0.1792260169918948</v>
      </c>
      <c r="J819">
        <f>($B$1+Table4[[#This Row],[Home Differential]])-Table4[[#This Row],[Away Differential]]</f>
        <v>-0.13246388800876011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0.51350730154130464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0.2366751456536231</v>
      </c>
      <c r="O819">
        <v>-4.730581321234098E-2</v>
      </c>
      <c r="P819" s="11">
        <v>0.49507552180897402</v>
      </c>
      <c r="Q819" t="s">
        <v>26</v>
      </c>
      <c r="R819" t="s">
        <v>248</v>
      </c>
    </row>
    <row r="820" spans="4:18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-0.77822387693813933</v>
      </c>
      <c r="H820" t="s">
        <v>31</v>
      </c>
      <c r="I820">
        <f>VLOOKUP(Table4[[#This Row],[Visitor]],'NHL Model'!$A$6:$B$38,2,FALSE)</f>
        <v>-0.39000953236289804</v>
      </c>
      <c r="J820">
        <f>($B$1+Table4[[#This Row],[Home Differential]])-Table4[[#This Row],[Away Differential]]</f>
        <v>-0.28008388267213935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0.49006820986460703</v>
      </c>
      <c r="M820" t="str">
        <f>IF(OR((NHL2025_26Results[[#This Row],[Winning Team]]="")),"-",IF(Table4[[#This Row],[Predicted Winner]]=NHL2025_26Results[[#This Row],[Winning Team]],"YES","NO"))</f>
        <v>YES</v>
      </c>
      <c r="N820">
        <f>IF(Table4[[#This Row],[Adjusted Correct]]="-", "",IF(Table4[[#This Row],[Adjusted Correct]]="YES",(Table4[[#This Row],[Strength of Win]]-1)^2,(Table4[[#This Row],[Strength of Win]]-0)^2))</f>
        <v>0.26003043059068653</v>
      </c>
      <c r="O820">
        <v>-0.31262526030502658</v>
      </c>
      <c r="P820" s="11">
        <v>0.49121784224070153</v>
      </c>
      <c r="Q820" t="s">
        <v>31</v>
      </c>
      <c r="R820" t="s">
        <v>248</v>
      </c>
    </row>
    <row r="821" spans="4:18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-0.75050764651940183</v>
      </c>
      <c r="H821" t="s">
        <v>11</v>
      </c>
      <c r="I821">
        <f>VLOOKUP(Table4[[#This Row],[Visitor]],'NHL Model'!$A$6:$B$38,2,FALSE)</f>
        <v>-0.34412098011518399</v>
      </c>
      <c r="J821">
        <f>($B$1+Table4[[#This Row],[Home Differential]])-Table4[[#This Row],[Away Differential]]</f>
        <v>-0.2982562045011159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0.55130692062718067</v>
      </c>
      <c r="M821" t="str">
        <f>IF(OR((NHL2025_26Results[[#This Row],[Winning Team]]="")),"-",IF(Table4[[#This Row],[Predicted Winner]]=NHL2025_26Results[[#This Row],[Winning Team]],"YES","NO"))</f>
        <v>YES</v>
      </c>
      <c r="N821">
        <f>IF(Table4[[#This Row],[Adjusted Correct]]="-", "",IF(Table4[[#This Row],[Adjusted Correct]]="YES",(Table4[[#This Row],[Strength of Win]]-1)^2,(Table4[[#This Row],[Strength of Win]]-0)^2))</f>
        <v>0.20132547947706314</v>
      </c>
      <c r="O821">
        <v>-0.18484039202528868</v>
      </c>
      <c r="P821" s="11">
        <v>0.529865959700626</v>
      </c>
      <c r="Q821" t="s">
        <v>11</v>
      </c>
      <c r="R821" t="s">
        <v>248</v>
      </c>
    </row>
    <row r="822" spans="4:18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-0.179282670690569</v>
      </c>
      <c r="H822" t="s">
        <v>20</v>
      </c>
      <c r="I822">
        <f>VLOOKUP(Table4[[#This Row],[Visitor]],'NHL Model'!$A$6:$B$38,2,FALSE)</f>
        <v>-0.11283731617452618</v>
      </c>
      <c r="J822">
        <f>($B$1+Table4[[#This Row],[Home Differential]])-Table4[[#This Row],[Away Differential]]</f>
        <v>4.1685107387059134E-2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0.53311902051560367</v>
      </c>
      <c r="M822" t="str">
        <f>IF(OR((NHL2025_26Results[[#This Row],[Winning Team]]="")),"-",IF(Table4[[#This Row],[Predicted Winner]]=NHL2025_26Results[[#This Row],[Winning Team]],"YES","NO"))</f>
        <v>YES</v>
      </c>
      <c r="N822">
        <f>IF(Table4[[#This Row],[Adjusted Correct]]="-", "",IF(Table4[[#This Row],[Adjusted Correct]]="YES",(Table4[[#This Row],[Strength of Win]]-1)^2,(Table4[[#This Row],[Strength of Win]]-0)^2))</f>
        <v>0.2179778490043093</v>
      </c>
      <c r="O822">
        <v>-0.30316305877798577</v>
      </c>
      <c r="P822" s="11">
        <v>0.52083901226422091</v>
      </c>
      <c r="Q822" t="s">
        <v>20</v>
      </c>
      <c r="R822" t="s">
        <v>249</v>
      </c>
    </row>
    <row r="823" spans="4:18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-0.42661371358543798</v>
      </c>
      <c r="H823" t="s">
        <v>24</v>
      </c>
      <c r="I823">
        <f>VLOOKUP(Table4[[#This Row],[Visitor]],'NHL Model'!$A$6:$B$38,2,FALSE)</f>
        <v>-0.55013344272463272</v>
      </c>
      <c r="J823">
        <f>($B$1+Table4[[#This Row],[Home Differential]])-Table4[[#This Row],[Away Differential]]</f>
        <v>0.23165019104229667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0.53563185407573077</v>
      </c>
      <c r="M823" t="str">
        <f>IF(OR((NHL2025_26Results[[#This Row],[Winning Team]]="")),"-",IF(Table4[[#This Row],[Predicted Winner]]=NHL2025_26Results[[#This Row],[Winning Team]],"YES","NO"))</f>
        <v>YES</v>
      </c>
      <c r="N823">
        <f>IF(Table4[[#This Row],[Adjusted Correct]]="-", "",IF(Table4[[#This Row],[Adjusted Correct]]="YES",(Table4[[#This Row],[Strength of Win]]-1)^2,(Table4[[#This Row],[Strength of Win]]-0)^2))</f>
        <v>0.21563777494914341</v>
      </c>
      <c r="O823">
        <v>5.214609264583997E-2</v>
      </c>
      <c r="P823" s="11">
        <v>0.50719918785247953</v>
      </c>
      <c r="Q823" t="s">
        <v>32</v>
      </c>
      <c r="R823" t="s">
        <v>248</v>
      </c>
    </row>
    <row r="824" spans="4:18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-0.38129365484385536</v>
      </c>
      <c r="H824" t="s">
        <v>12</v>
      </c>
      <c r="I824">
        <f>VLOOKUP(Table4[[#This Row],[Visitor]],'NHL Model'!$A$6:$B$38,2,FALSE)</f>
        <v>1.1504937678265921</v>
      </c>
      <c r="J824">
        <f>($B$1+Table4[[#This Row],[Home Differential]])-Table4[[#This Row],[Away Differential]]</f>
        <v>-1.4236569607673455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0.67915148949027504</v>
      </c>
      <c r="M824" t="str">
        <f>IF(OR((NHL2025_26Results[[#This Row],[Winning Team]]="")),"-",IF(Table4[[#This Row],[Predicted Winner]]=NHL2025_26Results[[#This Row],[Winning Team]],"YES","NO"))</f>
        <v>YES</v>
      </c>
      <c r="N824">
        <f>IF(Table4[[#This Row],[Adjusted Correct]]="-", "",IF(Table4[[#This Row],[Adjusted Correct]]="YES",(Table4[[#This Row],[Strength of Win]]-1)^2,(Table4[[#This Row],[Strength of Win]]-0)^2))</f>
        <v>0.10294376669630909</v>
      </c>
      <c r="O824">
        <v>-1.400969941198051</v>
      </c>
      <c r="P824" s="11">
        <v>0.66444455593251006</v>
      </c>
      <c r="Q824" t="s">
        <v>12</v>
      </c>
      <c r="R824" t="s">
        <v>248</v>
      </c>
    </row>
    <row r="825" spans="4:18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-1.2664425175465013</v>
      </c>
      <c r="H825" t="s">
        <v>14</v>
      </c>
      <c r="I825">
        <f>VLOOKUP(Table4[[#This Row],[Visitor]],'NHL Model'!$A$6:$B$38,2,FALSE)</f>
        <v>3.6611055984458557E-5</v>
      </c>
      <c r="J825">
        <f>($B$1+Table4[[#This Row],[Home Differential]])-Table4[[#This Row],[Away Differential]]</f>
        <v>-1.1583486666993836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0.64088263878038609</v>
      </c>
      <c r="M825" t="str">
        <f>IF(OR((NHL2025_26Results[[#This Row],[Winning Team]]="")),"-",IF(Table4[[#This Row],[Predicted Winner]]=NHL2025_26Results[[#This Row],[Winning Team]],"YES","NO"))</f>
        <v>YES</v>
      </c>
      <c r="N825">
        <f>IF(Table4[[#This Row],[Adjusted Correct]]="-", "",IF(Table4[[#This Row],[Adjusted Correct]]="YES",(Table4[[#This Row],[Strength of Win]]-1)^2,(Table4[[#This Row],[Strength of Win]]-0)^2))</f>
        <v>0.12896527912933867</v>
      </c>
      <c r="O825">
        <v>-1.163193519796452</v>
      </c>
      <c r="P825" s="11">
        <v>0.6252440048483735</v>
      </c>
      <c r="Q825" t="s">
        <v>14</v>
      </c>
      <c r="R825" t="s">
        <v>248</v>
      </c>
    </row>
    <row r="826" spans="4:18" x14ac:dyDescent="0.2">
      <c r="D826" s="1">
        <v>46048</v>
      </c>
      <c r="E826" s="2">
        <v>0.85416666666666663</v>
      </c>
      <c r="F826" t="s">
        <v>17</v>
      </c>
      <c r="G826">
        <f>VLOOKUP(Table4[[#This Row],[Home]],'NHL Model'!$A$6:$B$38,2,FALSE)</f>
        <v>-0.12154868922444324</v>
      </c>
      <c r="H826" t="s">
        <v>31</v>
      </c>
      <c r="I826">
        <f>VLOOKUP(Table4[[#This Row],[Visitor]],'NHL Model'!$A$6:$B$38,2,FALSE)</f>
        <v>-0.39000953236289804</v>
      </c>
      <c r="J826">
        <f>($B$1+Table4[[#This Row],[Home Differential]])-Table4[[#This Row],[Away Differential]]</f>
        <v>0.37659130504155675</v>
      </c>
      <c r="K826" t="str">
        <f>IF(Table4[[#This Row],[HomeIce Differential]]&gt;0,Table4[[#This Row],[Home]],Table4[[#This Row],[Visitor]])</f>
        <v>Edmonton Oilers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0.58042869687875165</v>
      </c>
      <c r="M826" t="str">
        <f>IF(OR((NHL2025_26Results[[#This Row],[Winning Team]]="")),"-",IF(Table4[[#This Row],[Predicted Winner]]=NHL2025_26Results[[#This Row],[Winning Team]],"YES","NO"))</f>
        <v>YES</v>
      </c>
      <c r="N826">
        <f>IF(Table4[[#This Row],[Adjusted Correct]]="-", "",IF(Table4[[#This Row],[Adjusted Correct]]="YES",(Table4[[#This Row],[Strength of Win]]-1)^2,(Table4[[#This Row],[Strength of Win]]-0)^2))</f>
        <v>0.17604007840286245</v>
      </c>
      <c r="O826">
        <v>0.26921712069157122</v>
      </c>
      <c r="P826" s="11">
        <v>0.56580986785483767</v>
      </c>
      <c r="Q826" t="s">
        <v>17</v>
      </c>
      <c r="R826" t="s">
        <v>248</v>
      </c>
    </row>
    <row r="827" spans="4:18" x14ac:dyDescent="0.2">
      <c r="D827" s="1">
        <v>46048</v>
      </c>
      <c r="E827" s="2">
        <v>0.79166666666666663</v>
      </c>
      <c r="F827" t="s">
        <v>15</v>
      </c>
      <c r="G827">
        <f>VLOOKUP(Table4[[#This Row],[Home]],'NHL Model'!$A$6:$B$38,2,FALSE)</f>
        <v>-0.62425830840281982</v>
      </c>
      <c r="H827" t="s">
        <v>21</v>
      </c>
      <c r="I827">
        <f>VLOOKUP(Table4[[#This Row],[Visitor]],'NHL Model'!$A$6:$B$38,2,FALSE)</f>
        <v>-2.9858233272404857E-2</v>
      </c>
      <c r="J827">
        <f>($B$1+Table4[[#This Row],[Home Differential]])-Table4[[#This Row],[Away Differential]]</f>
        <v>-0.48626961322731305</v>
      </c>
      <c r="K827" t="str">
        <f>IF(Table4[[#This Row],[HomeIce Differential]]&gt;0,Table4[[#This Row],[Home]],Table4[[#This Row],[Visitor]])</f>
        <v>Boston Bruins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0.51220313515296234</v>
      </c>
      <c r="M827" t="str">
        <f>IF(OR((NHL2025_26Results[[#This Row],[Winning Team]]="")),"-",IF(Table4[[#This Row],[Predicted Winner]]=NHL2025_26Results[[#This Row],[Winning Team]],"YES","NO"))</f>
        <v>NO</v>
      </c>
      <c r="N827">
        <f>IF(Table4[[#This Row],[Adjusted Correct]]="-", "",IF(Table4[[#This Row],[Adjusted Correct]]="YES",(Table4[[#This Row],[Strength of Win]]-1)^2,(Table4[[#This Row],[Strength of Win]]-0)^2))</f>
        <v>0.26235205166052383</v>
      </c>
      <c r="O827">
        <v>-0.49433283964371144</v>
      </c>
      <c r="P827" s="11">
        <v>0.51162305654663687</v>
      </c>
      <c r="Q827" t="s">
        <v>21</v>
      </c>
      <c r="R827" t="s">
        <v>249</v>
      </c>
    </row>
    <row r="828" spans="4:18" x14ac:dyDescent="0.2">
      <c r="D828" s="1">
        <v>46048</v>
      </c>
      <c r="E828" s="2">
        <v>0.79166666666666663</v>
      </c>
      <c r="F828" t="s">
        <v>27</v>
      </c>
      <c r="G828">
        <f>VLOOKUP(Table4[[#This Row],[Home]],'NHL Model'!$A$6:$B$38,2,FALSE)</f>
        <v>-0.39747316405117561</v>
      </c>
      <c r="H828" t="s">
        <v>30</v>
      </c>
      <c r="I828">
        <f>VLOOKUP(Table4[[#This Row],[Visitor]],'NHL Model'!$A$6:$B$38,2,FALSE)</f>
        <v>-6.98902744359894E-2</v>
      </c>
      <c r="J828">
        <f>($B$1+Table4[[#This Row],[Home Differential]])-Table4[[#This Row],[Away Differential]]</f>
        <v>-0.21945242771208429</v>
      </c>
      <c r="K828" t="str">
        <f>IF(Table4[[#This Row],[HomeIce Differential]]&gt;0,Table4[[#This Row],[Home]],Table4[[#This Row],[Visitor]])</f>
        <v>New York Islanders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0.51341220639483343</v>
      </c>
      <c r="M828" t="str">
        <f>IF(OR((NHL2025_26Results[[#This Row],[Winning Team]]="")),"-",IF(Table4[[#This Row],[Predicted Winner]]=NHL2025_26Results[[#This Row],[Winning Team]],"YES","NO"))</f>
        <v>YES</v>
      </c>
      <c r="N828">
        <f>IF(Table4[[#This Row],[Adjusted Correct]]="-", "",IF(Table4[[#This Row],[Adjusted Correct]]="YES",(Table4[[#This Row],[Strength of Win]]-1)^2,(Table4[[#This Row],[Strength of Win]]-0)^2))</f>
        <v>0.23676768088554417</v>
      </c>
      <c r="O828">
        <v>-1.0661635730219082E-2</v>
      </c>
      <c r="P828" s="11">
        <v>0.48188262275948862</v>
      </c>
      <c r="Q828" t="s">
        <v>30</v>
      </c>
      <c r="R828" t="s">
        <v>248</v>
      </c>
    </row>
    <row r="829" spans="4:18" x14ac:dyDescent="0.2">
      <c r="D829" s="1">
        <v>46048</v>
      </c>
      <c r="E829" s="2">
        <v>0.79166666666666663</v>
      </c>
      <c r="F829" t="s">
        <v>37</v>
      </c>
      <c r="G829">
        <f>VLOOKUP(Table4[[#This Row],[Home]],'NHL Model'!$A$6:$B$38,2,FALSE)</f>
        <v>0.6987740059316554</v>
      </c>
      <c r="H829" t="s">
        <v>55</v>
      </c>
      <c r="I829">
        <f>VLOOKUP(Table4[[#This Row],[Visitor]],'NHL Model'!$A$6:$B$38,2,FALSE)</f>
        <v>0.14062496747196682</v>
      </c>
      <c r="J829">
        <f>($B$1+Table4[[#This Row],[Home Differential]])-Table4[[#This Row],[Away Differential]]</f>
        <v>0.66627950036279049</v>
      </c>
      <c r="K829" t="str">
        <f>IF(Table4[[#This Row],[HomeIce Differential]]&gt;0,Table4[[#This Row],[Home]],Table4[[#This Row],[Visitor]])</f>
        <v>Tampa Bay Lightning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0.64109672611418989</v>
      </c>
      <c r="M829" t="str">
        <f>IF(OR((NHL2025_26Results[[#This Row],[Winning Team]]="")),"-",IF(Table4[[#This Row],[Predicted Winner]]=NHL2025_26Results[[#This Row],[Winning Team]],"YES","NO"))</f>
        <v>YES</v>
      </c>
      <c r="N829">
        <f>IF(Table4[[#This Row],[Adjusted Correct]]="-", "",IF(Table4[[#This Row],[Adjusted Correct]]="YES",(Table4[[#This Row],[Strength of Win]]-1)^2,(Table4[[#This Row],[Strength of Win]]-0)^2))</f>
        <v>0.12881156000595284</v>
      </c>
      <c r="O829">
        <v>0.62829701208174682</v>
      </c>
      <c r="P829" s="11">
        <v>0.62789663906438553</v>
      </c>
      <c r="Q829" t="s">
        <v>37</v>
      </c>
      <c r="R829" t="s">
        <v>248</v>
      </c>
    </row>
    <row r="830" spans="4:18" x14ac:dyDescent="0.2">
      <c r="D830" s="1">
        <v>46049</v>
      </c>
      <c r="E830" s="2">
        <v>0.79166666666666663</v>
      </c>
      <c r="F830" t="s">
        <v>21</v>
      </c>
      <c r="G830">
        <f>VLOOKUP(Table4[[#This Row],[Home]],'NHL Model'!$A$6:$B$38,2,FALSE)</f>
        <v>-2.9858233272404857E-2</v>
      </c>
      <c r="H830" t="s">
        <v>29</v>
      </c>
      <c r="I830">
        <f>VLOOKUP(Table4[[#This Row],[Visitor]],'NHL Model'!$A$6:$B$38,2,FALSE)</f>
        <v>-0.72584022159035511</v>
      </c>
      <c r="J830">
        <f>($B$1+Table4[[#This Row],[Home Differential]])-Table4[[#This Row],[Away Differential]]</f>
        <v>0.80411245022105216</v>
      </c>
      <c r="K830" t="str">
        <f>IF(Table4[[#This Row],[HomeIce Differential]]&gt;0,Table4[[#This Row],[Home]],Table4[[#This Row],[Visitor]])</f>
        <v>Boston Bruins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0.67383266158661193</v>
      </c>
      <c r="M830" t="str">
        <f>IF(OR((NHL2025_26Results[[#This Row],[Winning Team]]="")),"-",IF(Table4[[#This Row],[Predicted Winner]]=NHL2025_26Results[[#This Row],[Winning Team]],"YES","NO"))</f>
        <v>YES</v>
      </c>
      <c r="N830">
        <f>IF(Table4[[#This Row],[Adjusted Correct]]="-", "",IF(Table4[[#This Row],[Adjusted Correct]]="YES",(Table4[[#This Row],[Strength of Win]]-1)^2,(Table4[[#This Row],[Strength of Win]]-0)^2))</f>
        <v>0.10638513264767362</v>
      </c>
      <c r="O830">
        <v>0.77808184416177506</v>
      </c>
      <c r="P830" s="11">
        <v>0.66376528315505312</v>
      </c>
      <c r="Q830" t="s">
        <v>21</v>
      </c>
      <c r="R830" t="s">
        <v>248</v>
      </c>
    </row>
    <row r="831" spans="4:18" x14ac:dyDescent="0.2">
      <c r="D831" s="1">
        <v>46049</v>
      </c>
      <c r="E831" s="2">
        <v>0.79166666666666663</v>
      </c>
      <c r="F831" t="s">
        <v>26</v>
      </c>
      <c r="G831">
        <f>VLOOKUP(Table4[[#This Row],[Home]],'NHL Model'!$A$6:$B$38,2,FALSE)</f>
        <v>-0.1792260169918948</v>
      </c>
      <c r="H831" t="s">
        <v>13</v>
      </c>
      <c r="I831">
        <f>VLOOKUP(Table4[[#This Row],[Visitor]],'NHL Model'!$A$6:$B$38,2,FALSE)</f>
        <v>-0.36406236312551898</v>
      </c>
      <c r="J831">
        <f>($B$1+Table4[[#This Row],[Home Differential]])-Table4[[#This Row],[Away Differential]]</f>
        <v>0.29296680803672615</v>
      </c>
      <c r="K831" t="str">
        <f>IF(Table4[[#This Row],[HomeIce Differential]]&gt;0,Table4[[#This Row],[Home]],Table4[[#This Row],[Visitor]])</f>
        <v>Detroit Red Wings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0.57563729384285667</v>
      </c>
      <c r="M831" t="str">
        <f>IF(OR((NHL2025_26Results[[#This Row],[Winning Team]]="")),"-",IF(Table4[[#This Row],[Predicted Winner]]=NHL2025_26Results[[#This Row],[Winning Team]],"YES","NO"))</f>
        <v>NO</v>
      </c>
      <c r="N831">
        <f>IF(Table4[[#This Row],[Adjusted Correct]]="-", "",IF(Table4[[#This Row],[Adjusted Correct]]="YES",(Table4[[#This Row],[Strength of Win]]-1)^2,(Table4[[#This Row],[Strength of Win]]-0)^2))</f>
        <v>0.33135829406272732</v>
      </c>
      <c r="O831">
        <v>0.37119440724254016</v>
      </c>
      <c r="P831" s="11">
        <v>0.60037488204846001</v>
      </c>
      <c r="Q831" t="s">
        <v>26</v>
      </c>
      <c r="R831" t="s">
        <v>249</v>
      </c>
    </row>
    <row r="832" spans="4:18" x14ac:dyDescent="0.2">
      <c r="D832" s="1">
        <v>46049</v>
      </c>
      <c r="E832" s="2">
        <v>0.79166666666666663</v>
      </c>
      <c r="F832" t="s">
        <v>11</v>
      </c>
      <c r="G832">
        <f>VLOOKUP(Table4[[#This Row],[Home]],'NHL Model'!$A$6:$B$38,2,FALSE)</f>
        <v>-0.34412098011518399</v>
      </c>
      <c r="H832" t="s">
        <v>55</v>
      </c>
      <c r="I832">
        <f>VLOOKUP(Table4[[#This Row],[Visitor]],'NHL Model'!$A$6:$B$38,2,FALSE)</f>
        <v>0.14062496747196682</v>
      </c>
      <c r="J832">
        <f>($B$1+Table4[[#This Row],[Home Differential]])-Table4[[#This Row],[Away Differential]]</f>
        <v>-0.3766154856840489</v>
      </c>
      <c r="K832" t="str">
        <f>IF(Table4[[#This Row],[HomeIce Differential]]&gt;0,Table4[[#This Row],[Home]],Table4[[#This Row],[Visitor]])</f>
        <v>Utah Mammoth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0.50043129277476028</v>
      </c>
      <c r="M832" t="str">
        <f>IF(OR((NHL2025_26Results[[#This Row],[Winning Team]]="")),"-",IF(Table4[[#This Row],[Predicted Winner]]=NHL2025_26Results[[#This Row],[Winning Team]],"YES","NO"))</f>
        <v>YES</v>
      </c>
      <c r="N832">
        <f>IF(Table4[[#This Row],[Adjusted Correct]]="-", "",IF(Table4[[#This Row],[Adjusted Correct]]="YES",(Table4[[#This Row],[Strength of Win]]-1)^2,(Table4[[#This Row],[Strength of Win]]-0)^2))</f>
        <v>0.24956889323869727</v>
      </c>
      <c r="O832">
        <v>-0.35049600692600641</v>
      </c>
      <c r="P832" s="11">
        <v>0.4964260061393338</v>
      </c>
      <c r="Q832" t="s">
        <v>55</v>
      </c>
      <c r="R832" t="s">
        <v>248</v>
      </c>
    </row>
    <row r="833" spans="4:18" x14ac:dyDescent="0.2">
      <c r="D833" s="1">
        <v>46049</v>
      </c>
      <c r="E833" s="2">
        <v>0.83333333333333337</v>
      </c>
      <c r="F833" t="s">
        <v>34</v>
      </c>
      <c r="G833">
        <f>VLOOKUP(Table4[[#This Row],[Home]],'NHL Model'!$A$6:$B$38,2,FALSE)</f>
        <v>4.6716977502832858E-2</v>
      </c>
      <c r="H833" t="s">
        <v>10</v>
      </c>
      <c r="I833">
        <f>VLOOKUP(Table4[[#This Row],[Visitor]],'NHL Model'!$A$6:$B$38,2,FALSE)</f>
        <v>-0.75050764651940183</v>
      </c>
      <c r="J833">
        <f>($B$1+Table4[[#This Row],[Home Differential]])-Table4[[#This Row],[Away Differential]]</f>
        <v>0.90535508592533664</v>
      </c>
      <c r="K833" t="str">
        <f>IF(Table4[[#This Row],[HomeIce Differential]]&gt;0,Table4[[#This Row],[Home]],Table4[[#This Row],[Visitor]])</f>
        <v>Minnesota Wild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0.6371937637606172</v>
      </c>
      <c r="M833" t="str">
        <f>IF(OR((NHL2025_26Results[[#This Row],[Winning Team]]="")),"-",IF(Table4[[#This Row],[Predicted Winner]]=NHL2025_26Results[[#This Row],[Winning Team]],"YES","NO"))</f>
        <v>YES</v>
      </c>
      <c r="N833">
        <f>IF(Table4[[#This Row],[Adjusted Correct]]="-", "",IF(Table4[[#This Row],[Adjusted Correct]]="YES",(Table4[[#This Row],[Strength of Win]]-1)^2,(Table4[[#This Row],[Strength of Win]]-0)^2))</f>
        <v>0.13162836505418685</v>
      </c>
      <c r="O833">
        <v>0.89000378529960589</v>
      </c>
      <c r="P833" s="11">
        <v>0.63249544276319769</v>
      </c>
      <c r="Q833" t="s">
        <v>34</v>
      </c>
      <c r="R833" t="s">
        <v>248</v>
      </c>
    </row>
    <row r="834" spans="4:18" x14ac:dyDescent="0.2">
      <c r="D834" s="1">
        <v>46049</v>
      </c>
      <c r="E834" s="2">
        <v>0.79166666666666663</v>
      </c>
      <c r="F834" t="s">
        <v>18</v>
      </c>
      <c r="G834">
        <f>VLOOKUP(Table4[[#This Row],[Home]],'NHL Model'!$A$6:$B$38,2,FALSE)</f>
        <v>-0.18787166436597766</v>
      </c>
      <c r="H834" t="s">
        <v>20</v>
      </c>
      <c r="I834">
        <f>VLOOKUP(Table4[[#This Row],[Visitor]],'NHL Model'!$A$6:$B$38,2,FALSE)</f>
        <v>-0.11283731617452618</v>
      </c>
      <c r="J834">
        <f>($B$1+Table4[[#This Row],[Home Differential]])-Table4[[#This Row],[Away Differential]]</f>
        <v>3.3096113711650471E-2</v>
      </c>
      <c r="K834" t="str">
        <f>IF(Table4[[#This Row],[HomeIce Differential]]&gt;0,Table4[[#This Row],[Home]],Table4[[#This Row],[Visitor]])</f>
        <v>Montreal Canadiens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0.53926729591712452</v>
      </c>
      <c r="M834" t="str">
        <f>IF(OR((NHL2025_26Results[[#This Row],[Winning Team]]="")),"-",IF(Table4[[#This Row],[Predicted Winner]]=NHL2025_26Results[[#This Row],[Winning Team]],"YES","NO"))</f>
        <v>YES</v>
      </c>
      <c r="N834">
        <f>IF(Table4[[#This Row],[Adjusted Correct]]="-", "",IF(Table4[[#This Row],[Adjusted Correct]]="YES",(Table4[[#This Row],[Strength of Win]]-1)^2,(Table4[[#This Row],[Strength of Win]]-0)^2))</f>
        <v>0.2122746246115185</v>
      </c>
      <c r="O834">
        <v>-6.0423521591575213E-3</v>
      </c>
      <c r="P834" s="11">
        <v>0.48139719443356987</v>
      </c>
      <c r="Q834" t="s">
        <v>20</v>
      </c>
      <c r="R834" t="s">
        <v>249</v>
      </c>
    </row>
    <row r="835" spans="4:18" x14ac:dyDescent="0.2">
      <c r="D835" s="1">
        <v>46049</v>
      </c>
      <c r="E835" s="2">
        <v>0.79166666666666663</v>
      </c>
      <c r="F835" t="s">
        <v>24</v>
      </c>
      <c r="G835">
        <f>VLOOKUP(Table4[[#This Row],[Home]],'NHL Model'!$A$6:$B$38,2,FALSE)</f>
        <v>-0.55013344272463272</v>
      </c>
      <c r="H835" t="s">
        <v>40</v>
      </c>
      <c r="I835">
        <f>VLOOKUP(Table4[[#This Row],[Visitor]],'NHL Model'!$A$6:$B$38,2,FALSE)</f>
        <v>-0.41982036690375685</v>
      </c>
      <c r="J835">
        <f>($B$1+Table4[[#This Row],[Home Differential]])-Table4[[#This Row],[Away Differential]]</f>
        <v>-2.218261391777393E-2</v>
      </c>
      <c r="K835" t="str">
        <f>IF(Table4[[#This Row],[HomeIce Differential]]&gt;0,Table4[[#This Row],[Home]],Table4[[#This Row],[Visitor]])</f>
        <v>Winnipeg Jets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0.46238139904467818</v>
      </c>
      <c r="M835" t="str">
        <f>IF(OR((NHL2025_26Results[[#This Row],[Winning Team]]="")),"-",IF(Table4[[#This Row],[Predicted Winner]]=NHL2025_26Results[[#This Row],[Winning Team]],"YES","NO"))</f>
        <v>YES</v>
      </c>
      <c r="N835">
        <f>IF(Table4[[#This Row],[Adjusted Correct]]="-", "",IF(Table4[[#This Row],[Adjusted Correct]]="YES",(Table4[[#This Row],[Strength of Win]]-1)^2,(Table4[[#This Row],[Strength of Win]]-0)^2))</f>
        <v>0.28903376009315762</v>
      </c>
      <c r="O835">
        <v>1.1184829019938392E-2</v>
      </c>
      <c r="P835" s="11">
        <v>0.5411624059689607</v>
      </c>
      <c r="Q835" t="s">
        <v>24</v>
      </c>
      <c r="R835" t="s">
        <v>249</v>
      </c>
    </row>
    <row r="836" spans="4:18" x14ac:dyDescent="0.2">
      <c r="D836" s="1">
        <v>46049</v>
      </c>
      <c r="E836" s="2">
        <v>0.91666666666666663</v>
      </c>
      <c r="F836" t="s">
        <v>32</v>
      </c>
      <c r="G836">
        <f>VLOOKUP(Table4[[#This Row],[Home]],'NHL Model'!$A$6:$B$38,2,FALSE)</f>
        <v>-0.42661371358543798</v>
      </c>
      <c r="H836" t="s">
        <v>22</v>
      </c>
      <c r="I836">
        <f>VLOOKUP(Table4[[#This Row],[Visitor]],'NHL Model'!$A$6:$B$38,2,FALSE)</f>
        <v>-0.12498445042942641</v>
      </c>
      <c r="J836">
        <f>($B$1+Table4[[#This Row],[Home Differential]])-Table4[[#This Row],[Away Differential]]</f>
        <v>-0.19349880125290964</v>
      </c>
      <c r="K836" t="str">
        <f>IF(Table4[[#This Row],[HomeIce Differential]]&gt;0,Table4[[#This Row],[Home]],Table4[[#This Row],[Visitor]])</f>
        <v>Washington Capitals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0.48077292884229611</v>
      </c>
      <c r="M836" t="str">
        <f>IF(OR((NHL2025_26Results[[#This Row],[Winning Team]]="")),"-",IF(Table4[[#This Row],[Predicted Winner]]=NHL2025_26Results[[#This Row],[Winning Team]],"YES","NO"))</f>
        <v>NO</v>
      </c>
      <c r="N836">
        <f>IF(Table4[[#This Row],[Adjusted Correct]]="-", "",IF(Table4[[#This Row],[Adjusted Correct]]="YES",(Table4[[#This Row],[Strength of Win]]-1)^2,(Table4[[#This Row],[Strength of Win]]-0)^2))</f>
        <v>0.23114260910759951</v>
      </c>
      <c r="O836">
        <v>-0.35860393353944703</v>
      </c>
      <c r="P836" s="11">
        <v>0.49726863880493449</v>
      </c>
      <c r="Q836" t="s">
        <v>22</v>
      </c>
      <c r="R836" t="s">
        <v>249</v>
      </c>
    </row>
    <row r="837" spans="4:18" x14ac:dyDescent="0.2">
      <c r="D837" s="1">
        <v>46049</v>
      </c>
      <c r="E837" s="2">
        <v>0.83333333333333337</v>
      </c>
      <c r="F837" t="s">
        <v>35</v>
      </c>
      <c r="G837">
        <f>VLOOKUP(Table4[[#This Row],[Home]],'NHL Model'!$A$6:$B$38,2,FALSE)</f>
        <v>-1.236228034931707</v>
      </c>
      <c r="H837" t="s">
        <v>39</v>
      </c>
      <c r="I837">
        <f>VLOOKUP(Table4[[#This Row],[Visitor]],'NHL Model'!$A$6:$B$38,2,FALSE)</f>
        <v>0.24554986733769732</v>
      </c>
      <c r="J837">
        <f>($B$1+Table4[[#This Row],[Home Differential]])-Table4[[#This Row],[Away Differential]]</f>
        <v>-1.3736474403663022</v>
      </c>
      <c r="K837" t="str">
        <f>IF(Table4[[#This Row],[HomeIce Differential]]&gt;0,Table4[[#This Row],[Home]],Table4[[#This Row],[Visitor]])</f>
        <v>Dallas Stars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0.65283651432030609</v>
      </c>
      <c r="M837" t="str">
        <f>IF(OR((NHL2025_26Results[[#This Row],[Winning Team]]="")),"-",IF(Table4[[#This Row],[Predicted Winner]]=NHL2025_26Results[[#This Row],[Winning Team]],"YES","NO"))</f>
        <v>YES</v>
      </c>
      <c r="N837">
        <f>IF(Table4[[#This Row],[Adjusted Correct]]="-", "",IF(Table4[[#This Row],[Adjusted Correct]]="YES",(Table4[[#This Row],[Strength of Win]]-1)^2,(Table4[[#This Row],[Strength of Win]]-0)^2))</f>
        <v>0.12052248578927503</v>
      </c>
      <c r="O837">
        <v>-1.3879413342554652</v>
      </c>
      <c r="P837" s="11">
        <v>0.64225257737719788</v>
      </c>
      <c r="Q837" t="s">
        <v>39</v>
      </c>
      <c r="R837" t="s">
        <v>248</v>
      </c>
    </row>
    <row r="838" spans="4:18" x14ac:dyDescent="0.2">
      <c r="D838" s="1">
        <v>46049</v>
      </c>
      <c r="E838" s="2">
        <v>0.79166666666666663</v>
      </c>
      <c r="F838" t="s">
        <v>19</v>
      </c>
      <c r="G838">
        <f>VLOOKUP(Table4[[#This Row],[Home]],'NHL Model'!$A$6:$B$38,2,FALSE)</f>
        <v>-0.38129365484385536</v>
      </c>
      <c r="H838" t="s">
        <v>23</v>
      </c>
      <c r="I838">
        <f>VLOOKUP(Table4[[#This Row],[Visitor]],'NHL Model'!$A$6:$B$38,2,FALSE)</f>
        <v>0.12350258496936412</v>
      </c>
      <c r="J838">
        <f>($B$1+Table4[[#This Row],[Home Differential]])-Table4[[#This Row],[Away Differential]]</f>
        <v>-0.39666577791011753</v>
      </c>
      <c r="K838" t="str">
        <f>IF(Table4[[#This Row],[HomeIce Differential]]&gt;0,Table4[[#This Row],[Home]],Table4[[#This Row],[Visitor]])</f>
        <v>Buffalo Sabres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0.53243682199830245</v>
      </c>
      <c r="M838" t="str">
        <f>IF(OR((NHL2025_26Results[[#This Row],[Winning Team]]="")),"-",IF(Table4[[#This Row],[Predicted Winner]]=NHL2025_26Results[[#This Row],[Winning Team]],"YES","NO"))</f>
        <v>YES</v>
      </c>
      <c r="N838">
        <f>IF(Table4[[#This Row],[Adjusted Correct]]="-", "",IF(Table4[[#This Row],[Adjusted Correct]]="YES",(Table4[[#This Row],[Strength of Win]]-1)^2,(Table4[[#This Row],[Strength of Win]]-0)^2))</f>
        <v>0.21861532542304712</v>
      </c>
      <c r="O838">
        <v>-0.30299841707667902</v>
      </c>
      <c r="P838" s="11">
        <v>0.51225895385464537</v>
      </c>
      <c r="Q838" t="s">
        <v>23</v>
      </c>
      <c r="R838" t="s">
        <v>248</v>
      </c>
    </row>
    <row r="839" spans="4:18" x14ac:dyDescent="0.2">
      <c r="D839" s="1">
        <v>46049</v>
      </c>
      <c r="E839" s="2">
        <v>0.91666666666666663</v>
      </c>
      <c r="F839" t="s">
        <v>38</v>
      </c>
      <c r="G839">
        <f>VLOOKUP(Table4[[#This Row],[Home]],'NHL Model'!$A$6:$B$38,2,FALSE)</f>
        <v>-1.2664425175465013</v>
      </c>
      <c r="H839" t="s">
        <v>33</v>
      </c>
      <c r="I839">
        <f>VLOOKUP(Table4[[#This Row],[Visitor]],'NHL Model'!$A$6:$B$38,2,FALSE)</f>
        <v>-0.46908405058827807</v>
      </c>
      <c r="J839">
        <f>($B$1+Table4[[#This Row],[Home Differential]])-Table4[[#This Row],[Away Differential]]</f>
        <v>-0.68922800505512116</v>
      </c>
      <c r="K839" t="str">
        <f>IF(Table4[[#This Row],[HomeIce Differential]]&gt;0,Table4[[#This Row],[Home]],Table4[[#This Row],[Visitor]])</f>
        <v>San Jose Sharks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0.56455762947917232</v>
      </c>
      <c r="M839" t="str">
        <f>IF(OR((NHL2025_26Results[[#This Row],[Winning Team]]="")),"-",IF(Table4[[#This Row],[Predicted Winner]]=NHL2025_26Results[[#This Row],[Winning Team]],"YES","NO"))</f>
        <v>YES</v>
      </c>
      <c r="N839">
        <f>IF(Table4[[#This Row],[Adjusted Correct]]="-", "",IF(Table4[[#This Row],[Adjusted Correct]]="YES",(Table4[[#This Row],[Strength of Win]]-1)^2,(Table4[[#This Row],[Strength of Win]]-0)^2))</f>
        <v>0.18961005804479777</v>
      </c>
      <c r="O839">
        <v>-0.61032563689964092</v>
      </c>
      <c r="P839" s="11">
        <v>0.54419855651727689</v>
      </c>
      <c r="Q839" t="s">
        <v>33</v>
      </c>
      <c r="R839" t="s">
        <v>248</v>
      </c>
    </row>
    <row r="840" spans="4:18" x14ac:dyDescent="0.2">
      <c r="D840" s="1">
        <v>46050</v>
      </c>
      <c r="E840" s="2">
        <v>0.79166666666666663</v>
      </c>
      <c r="F840" t="s">
        <v>28</v>
      </c>
      <c r="G840">
        <f>VLOOKUP(Table4[[#This Row],[Home]],'NHL Model'!$A$6:$B$38,2,FALSE)</f>
        <v>-0.36066890819319958</v>
      </c>
      <c r="H840" t="s">
        <v>27</v>
      </c>
      <c r="I840">
        <f>VLOOKUP(Table4[[#This Row],[Visitor]],'NHL Model'!$A$6:$B$38,2,FALSE)</f>
        <v>-0.39747316405117561</v>
      </c>
      <c r="J840">
        <f>($B$1+Table4[[#This Row],[Home Differential]])-Table4[[#This Row],[Away Differential]]</f>
        <v>0.14493471776107797</v>
      </c>
      <c r="K840" t="str">
        <f>IF(Table4[[#This Row],[HomeIce Differential]]&gt;0,Table4[[#This Row],[Home]],Table4[[#This Row],[Visitor]])</f>
        <v>Columbus Blue Jackets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0.55472987244512095</v>
      </c>
      <c r="M840" t="str">
        <f>IF(OR((NHL2025_26Results[[#This Row],[Winning Team]]="")),"-",IF(Table4[[#This Row],[Predicted Winner]]=NHL2025_26Results[[#This Row],[Winning Team]],"YES","NO"))</f>
        <v>YES</v>
      </c>
      <c r="N840">
        <f>IF(Table4[[#This Row],[Adjusted Correct]]="-", "",IF(Table4[[#This Row],[Adjusted Correct]]="YES",(Table4[[#This Row],[Strength of Win]]-1)^2,(Table4[[#This Row],[Strength of Win]]-0)^2))</f>
        <v>0.19826548649273826</v>
      </c>
      <c r="O840">
        <v>5.921995487882542E-2</v>
      </c>
      <c r="P840" s="11">
        <v>0.53575740381370451</v>
      </c>
      <c r="Q840" t="s">
        <v>28</v>
      </c>
      <c r="R840" t="s">
        <v>248</v>
      </c>
    </row>
    <row r="841" spans="4:18" x14ac:dyDescent="0.2">
      <c r="D841" s="1">
        <v>46050</v>
      </c>
      <c r="E841" s="2">
        <v>0.8125</v>
      </c>
      <c r="F841" t="s">
        <v>30</v>
      </c>
      <c r="G841">
        <f>VLOOKUP(Table4[[#This Row],[Home]],'NHL Model'!$A$6:$B$38,2,FALSE)</f>
        <v>-6.98902744359894E-2</v>
      </c>
      <c r="H841" t="s">
        <v>15</v>
      </c>
      <c r="I841">
        <f>VLOOKUP(Table4[[#This Row],[Visitor]],'NHL Model'!$A$6:$B$38,2,FALSE)</f>
        <v>-0.62425830840281982</v>
      </c>
      <c r="J841">
        <f>($B$1+Table4[[#This Row],[Home Differential]])-Table4[[#This Row],[Away Differential]]</f>
        <v>0.66249849586993237</v>
      </c>
      <c r="K841" t="str">
        <f>IF(Table4[[#This Row],[HomeIce Differential]]&gt;0,Table4[[#This Row],[Home]],Table4[[#This Row],[Visitor]])</f>
        <v>New York Islanders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0.58380122600145723</v>
      </c>
      <c r="M841" t="str">
        <f>IF(OR((NHL2025_26Results[[#This Row],[Winning Team]]="")),"-",IF(Table4[[#This Row],[Predicted Winner]]=NHL2025_26Results[[#This Row],[Winning Team]],"YES","NO"))</f>
        <v>YES</v>
      </c>
      <c r="N841">
        <f>IF(Table4[[#This Row],[Adjusted Correct]]="-", "",IF(Table4[[#This Row],[Adjusted Correct]]="YES",(Table4[[#This Row],[Strength of Win]]-1)^2,(Table4[[#This Row],[Strength of Win]]-0)^2))</f>
        <v>0.17322141947789008</v>
      </c>
      <c r="O841">
        <v>0.56871805696700317</v>
      </c>
      <c r="P841" s="11">
        <v>0.55798168174128493</v>
      </c>
      <c r="Q841" t="s">
        <v>30</v>
      </c>
      <c r="R841" t="s">
        <v>248</v>
      </c>
    </row>
    <row r="842" spans="4:18" x14ac:dyDescent="0.2">
      <c r="D842" s="1">
        <v>46050</v>
      </c>
      <c r="E842" s="2">
        <v>0.8125</v>
      </c>
      <c r="F842" t="s">
        <v>36</v>
      </c>
      <c r="G842">
        <f>VLOOKUP(Table4[[#This Row],[Home]],'NHL Model'!$A$6:$B$38,2,FALSE)</f>
        <v>-0.179282670690569</v>
      </c>
      <c r="H842" t="s">
        <v>12</v>
      </c>
      <c r="I842">
        <f>VLOOKUP(Table4[[#This Row],[Visitor]],'NHL Model'!$A$6:$B$38,2,FALSE)</f>
        <v>1.1504937678265921</v>
      </c>
      <c r="J842">
        <f>($B$1+Table4[[#This Row],[Home Differential]])-Table4[[#This Row],[Away Differential]]</f>
        <v>-1.221645976614059</v>
      </c>
      <c r="K842" t="str">
        <f>IF(Table4[[#This Row],[HomeIce Differential]]&gt;0,Table4[[#This Row],[Home]],Table4[[#This Row],[Visitor]])</f>
        <v>Colorado Avalanche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0.65746474118999154</v>
      </c>
      <c r="M842" t="str">
        <f>IF(OR((NHL2025_26Results[[#This Row],[Winning Team]]="")),"-",IF(Table4[[#This Row],[Predicted Winner]]=NHL2025_26Results[[#This Row],[Winning Team]],"YES","NO"))</f>
        <v>NO</v>
      </c>
      <c r="N842">
        <f>IF(Table4[[#This Row],[Adjusted Correct]]="-", "",IF(Table4[[#This Row],[Adjusted Correct]]="YES",(Table4[[#This Row],[Strength of Win]]-1)^2,(Table4[[#This Row],[Strength of Win]]-0)^2))</f>
        <v>0.43225988590802256</v>
      </c>
      <c r="O842">
        <v>-1.3956054316338331</v>
      </c>
      <c r="P842" s="11">
        <v>0.68602501553148953</v>
      </c>
      <c r="Q842" t="s">
        <v>12</v>
      </c>
      <c r="R842" t="s">
        <v>249</v>
      </c>
    </row>
    <row r="843" spans="4:18" x14ac:dyDescent="0.2">
      <c r="D843" s="1">
        <v>46051</v>
      </c>
      <c r="E843" s="2">
        <v>0.79166666666666663</v>
      </c>
      <c r="F843" t="s">
        <v>21</v>
      </c>
      <c r="G843">
        <f>VLOOKUP(Table4[[#This Row],[Home]],'NHL Model'!$A$6:$B$38,2,FALSE)</f>
        <v>-2.9858233272404857E-2</v>
      </c>
      <c r="H843" t="s">
        <v>27</v>
      </c>
      <c r="I843">
        <f>VLOOKUP(Table4[[#This Row],[Visitor]],'NHL Model'!$A$6:$B$38,2,FALSE)</f>
        <v>-0.39747316405117561</v>
      </c>
      <c r="J843">
        <f>($B$1+Table4[[#This Row],[Home Differential]])-Table4[[#This Row],[Away Differential]]</f>
        <v>0.47574539268187271</v>
      </c>
      <c r="K843" t="str">
        <f>IF(Table4[[#This Row],[HomeIce Differential]]&gt;0,Table4[[#This Row],[Home]],Table4[[#This Row],[Visitor]])</f>
        <v>Boston Bruins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0.63777165208915521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O843">
        <v>0.47574539268187271</v>
      </c>
      <c r="P843" s="11">
        <v>0.63777165208915521</v>
      </c>
      <c r="Q843" t="s">
        <v>21</v>
      </c>
    </row>
    <row r="844" spans="4:18" x14ac:dyDescent="0.2">
      <c r="D844" s="1">
        <v>46051</v>
      </c>
      <c r="E844" s="2">
        <v>0.79166666666666663</v>
      </c>
      <c r="F844" t="s">
        <v>23</v>
      </c>
      <c r="G844">
        <f>VLOOKUP(Table4[[#This Row],[Home]],'NHL Model'!$A$6:$B$38,2,FALSE)</f>
        <v>0.12350258496936412</v>
      </c>
      <c r="H844" t="s">
        <v>13</v>
      </c>
      <c r="I844">
        <f>VLOOKUP(Table4[[#This Row],[Visitor]],'NHL Model'!$A$6:$B$38,2,FALSE)</f>
        <v>-0.36406236312551898</v>
      </c>
      <c r="J844">
        <f>($B$1+Table4[[#This Row],[Home Differential]])-Table4[[#This Row],[Away Differential]]</f>
        <v>0.59569540999798498</v>
      </c>
      <c r="K844" t="str">
        <f>IF(Table4[[#This Row],[HomeIce Differential]]&gt;0,Table4[[#This Row],[Home]],Table4[[#This Row],[Visitor]])</f>
        <v>Buffalo Sabres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0.60703140518811505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O844">
        <v>0.59569540999798498</v>
      </c>
      <c r="P844" s="11">
        <v>0.60703140518811505</v>
      </c>
      <c r="Q844" t="s">
        <v>23</v>
      </c>
    </row>
    <row r="845" spans="4:18" x14ac:dyDescent="0.2">
      <c r="D845" s="1">
        <v>46051</v>
      </c>
      <c r="E845" s="2">
        <v>0.79166666666666663</v>
      </c>
      <c r="F845" t="s">
        <v>25</v>
      </c>
      <c r="G845">
        <f>VLOOKUP(Table4[[#This Row],[Home]],'NHL Model'!$A$6:$B$38,2,FALSE)</f>
        <v>0.31465989886768042</v>
      </c>
      <c r="H845" t="s">
        <v>55</v>
      </c>
      <c r="I845">
        <f>VLOOKUP(Table4[[#This Row],[Visitor]],'NHL Model'!$A$6:$B$38,2,FALSE)</f>
        <v>0.14062496747196682</v>
      </c>
      <c r="J845">
        <f>($B$1+Table4[[#This Row],[Home Differential]])-Table4[[#This Row],[Away Differential]]</f>
        <v>0.28216539329881551</v>
      </c>
      <c r="K845" t="str">
        <f>IF(Table4[[#This Row],[HomeIce Differential]]&gt;0,Table4[[#This Row],[Home]],Table4[[#This Row],[Visitor]])</f>
        <v>Carolina Hurricanes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0.61319322339021665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O845">
        <v>0.28216539329881551</v>
      </c>
      <c r="P845" s="11">
        <v>0.61319322339021665</v>
      </c>
      <c r="Q845" t="s">
        <v>25</v>
      </c>
    </row>
    <row r="846" spans="4:18" x14ac:dyDescent="0.2">
      <c r="D846" s="1">
        <v>46051</v>
      </c>
      <c r="E846" s="2">
        <v>0.8125</v>
      </c>
      <c r="F846" t="s">
        <v>26</v>
      </c>
      <c r="G846">
        <f>VLOOKUP(Table4[[#This Row],[Home]],'NHL Model'!$A$6:$B$38,2,FALSE)</f>
        <v>-0.1792260169918948</v>
      </c>
      <c r="H846" t="s">
        <v>22</v>
      </c>
      <c r="I846">
        <f>VLOOKUP(Table4[[#This Row],[Visitor]],'NHL Model'!$A$6:$B$38,2,FALSE)</f>
        <v>-0.12498445042942641</v>
      </c>
      <c r="J846">
        <f>($B$1+Table4[[#This Row],[Home Differential]])-Table4[[#This Row],[Away Differential]]</f>
        <v>5.3888895340633555E-2</v>
      </c>
      <c r="K846" t="str">
        <f>IF(Table4[[#This Row],[HomeIce Differential]]&gt;0,Table4[[#This Row],[Home]],Table4[[#This Row],[Visitor]])</f>
        <v>Detroit Red Wings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0.58868675917571256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O846">
        <v>5.3888895340633555E-2</v>
      </c>
      <c r="P846" s="11">
        <v>0.58868675917571256</v>
      </c>
      <c r="Q846" t="s">
        <v>26</v>
      </c>
    </row>
    <row r="847" spans="4:18" x14ac:dyDescent="0.2">
      <c r="D847" s="1">
        <v>46051</v>
      </c>
      <c r="E847" s="2">
        <v>0.875</v>
      </c>
      <c r="F847" t="s">
        <v>17</v>
      </c>
      <c r="G847">
        <f>VLOOKUP(Table4[[#This Row],[Home]],'NHL Model'!$A$6:$B$38,2,FALSE)</f>
        <v>-0.12154868922444324</v>
      </c>
      <c r="H847" t="s">
        <v>33</v>
      </c>
      <c r="I847">
        <f>VLOOKUP(Table4[[#This Row],[Visitor]],'NHL Model'!$A$6:$B$38,2,FALSE)</f>
        <v>-0.46908405058827807</v>
      </c>
      <c r="J847">
        <f>($B$1+Table4[[#This Row],[Home Differential]])-Table4[[#This Row],[Away Differential]]</f>
        <v>0.45566582326693678</v>
      </c>
      <c r="K847" t="str">
        <f>IF(Table4[[#This Row],[HomeIce Differential]]&gt;0,Table4[[#This Row],[Home]],Table4[[#This Row],[Visitor]])</f>
        <v>Edmonton Oilers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0.55835164889218647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O847">
        <v>0.45566582326693678</v>
      </c>
      <c r="P847" s="11">
        <v>0.55835164889218647</v>
      </c>
      <c r="Q847" t="s">
        <v>17</v>
      </c>
    </row>
    <row r="848" spans="4:18" x14ac:dyDescent="0.2">
      <c r="D848" s="1">
        <v>46051</v>
      </c>
      <c r="E848" s="2">
        <v>0.83333333333333337</v>
      </c>
      <c r="F848" t="s">
        <v>34</v>
      </c>
      <c r="G848">
        <f>VLOOKUP(Table4[[#This Row],[Home]],'NHL Model'!$A$6:$B$38,2,FALSE)</f>
        <v>4.6716977502832858E-2</v>
      </c>
      <c r="H848" t="s">
        <v>16</v>
      </c>
      <c r="I848">
        <f>VLOOKUP(Table4[[#This Row],[Visitor]],'NHL Model'!$A$6:$B$38,2,FALSE)</f>
        <v>-0.77822387693813933</v>
      </c>
      <c r="J848">
        <f>($B$1+Table4[[#This Row],[Home Differential]])-Table4[[#This Row],[Away Differential]]</f>
        <v>0.93307131634407414</v>
      </c>
      <c r="K848" t="str">
        <f>IF(Table4[[#This Row],[HomeIce Differential]]&gt;0,Table4[[#This Row],[Home]],Table4[[#This Row],[Visitor]])</f>
        <v>Minnesota Wild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0.64016922034503598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O848">
        <v>0.93307131634407414</v>
      </c>
      <c r="P848" s="11">
        <v>0.64016922034503598</v>
      </c>
      <c r="Q848" t="s">
        <v>34</v>
      </c>
    </row>
    <row r="849" spans="4:17" x14ac:dyDescent="0.2">
      <c r="D849" s="1">
        <v>46051</v>
      </c>
      <c r="E849" s="2">
        <v>0.79166666666666663</v>
      </c>
      <c r="F849" t="s">
        <v>18</v>
      </c>
      <c r="G849">
        <f>VLOOKUP(Table4[[#This Row],[Home]],'NHL Model'!$A$6:$B$38,2,FALSE)</f>
        <v>-0.18787166436597766</v>
      </c>
      <c r="H849" t="s">
        <v>12</v>
      </c>
      <c r="I849">
        <f>VLOOKUP(Table4[[#This Row],[Visitor]],'NHL Model'!$A$6:$B$38,2,FALSE)</f>
        <v>1.1504937678265921</v>
      </c>
      <c r="J849">
        <f>($B$1+Table4[[#This Row],[Home Differential]])-Table4[[#This Row],[Away Differential]]</f>
        <v>-1.2302349702894677</v>
      </c>
      <c r="K849" t="str">
        <f>IF(Table4[[#This Row],[HomeIce Differential]]&gt;0,Table4[[#This Row],[Home]],Table4[[#This Row],[Visitor]])</f>
        <v>Colorado Avalanche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0.65130178637224168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O849">
        <v>-1.2302349702894677</v>
      </c>
      <c r="P849" s="11">
        <v>0.65130178637224168</v>
      </c>
      <c r="Q849" t="s">
        <v>12</v>
      </c>
    </row>
    <row r="850" spans="4:17" x14ac:dyDescent="0.2">
      <c r="D850" s="1">
        <v>46051</v>
      </c>
      <c r="E850" s="2">
        <v>0.79166666666666663</v>
      </c>
      <c r="F850" t="s">
        <v>24</v>
      </c>
      <c r="G850">
        <f>VLOOKUP(Table4[[#This Row],[Home]],'NHL Model'!$A$6:$B$38,2,FALSE)</f>
        <v>-0.55013344272463272</v>
      </c>
      <c r="H850" t="s">
        <v>29</v>
      </c>
      <c r="I850">
        <f>VLOOKUP(Table4[[#This Row],[Visitor]],'NHL Model'!$A$6:$B$38,2,FALSE)</f>
        <v>-0.72584022159035511</v>
      </c>
      <c r="J850">
        <f>($B$1+Table4[[#This Row],[Home Differential]])-Table4[[#This Row],[Away Differential]]</f>
        <v>0.28383724076882433</v>
      </c>
      <c r="K850" t="str">
        <f>IF(Table4[[#This Row],[HomeIce Differential]]&gt;0,Table4[[#This Row],[Home]],Table4[[#This Row],[Visitor]])</f>
        <v>New Jersey Devils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0.57047114900509388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O850">
        <v>0.28383724076882433</v>
      </c>
      <c r="P850" s="11">
        <v>0.57047114900509388</v>
      </c>
      <c r="Q850" t="s">
        <v>24</v>
      </c>
    </row>
    <row r="851" spans="4:17" x14ac:dyDescent="0.2">
      <c r="D851" s="1">
        <v>46051</v>
      </c>
      <c r="E851" s="2">
        <v>0.79166666666666663</v>
      </c>
      <c r="F851" t="s">
        <v>15</v>
      </c>
      <c r="G851">
        <f>VLOOKUP(Table4[[#This Row],[Home]],'NHL Model'!$A$6:$B$38,2,FALSE)</f>
        <v>-0.62425830840281982</v>
      </c>
      <c r="H851" t="s">
        <v>30</v>
      </c>
      <c r="I851">
        <f>VLOOKUP(Table4[[#This Row],[Visitor]],'NHL Model'!$A$6:$B$38,2,FALSE)</f>
        <v>-6.98902744359894E-2</v>
      </c>
      <c r="J851">
        <f>($B$1+Table4[[#This Row],[Home Differential]])-Table4[[#This Row],[Away Differential]]</f>
        <v>-0.44623757206372849</v>
      </c>
      <c r="K851" t="str">
        <f>IF(Table4[[#This Row],[HomeIce Differential]]&gt;0,Table4[[#This Row],[Home]],Table4[[#This Row],[Visitor]])</f>
        <v>New York Islanders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0.53775856738313299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O851">
        <v>-0.44623757206372849</v>
      </c>
      <c r="P851" s="11">
        <v>0.53775856738313299</v>
      </c>
      <c r="Q851" t="s">
        <v>30</v>
      </c>
    </row>
    <row r="852" spans="4:17" x14ac:dyDescent="0.2">
      <c r="D852" s="1">
        <v>46051</v>
      </c>
      <c r="E852" s="2">
        <v>0.79166666666666663</v>
      </c>
      <c r="F852" t="s">
        <v>14</v>
      </c>
      <c r="G852">
        <f>VLOOKUP(Table4[[#This Row],[Home]],'NHL Model'!$A$6:$B$38,2,FALSE)</f>
        <v>3.6611055984458557E-5</v>
      </c>
      <c r="H852" t="s">
        <v>10</v>
      </c>
      <c r="I852">
        <f>VLOOKUP(Table4[[#This Row],[Visitor]],'NHL Model'!$A$6:$B$38,2,FALSE)</f>
        <v>-0.75050764651940183</v>
      </c>
      <c r="J852">
        <f>($B$1+Table4[[#This Row],[Home Differential]])-Table4[[#This Row],[Away Differential]]</f>
        <v>0.85867471947848828</v>
      </c>
      <c r="K852" t="str">
        <f>IF(Table4[[#This Row],[HomeIce Differential]]&gt;0,Table4[[#This Row],[Home]],Table4[[#This Row],[Visitor]])</f>
        <v>Pittsburgh Penguins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0.63218242558046345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O852">
        <v>0.85867471947848828</v>
      </c>
      <c r="P852" s="11">
        <v>0.63218242558046345</v>
      </c>
      <c r="Q852" t="s">
        <v>14</v>
      </c>
    </row>
    <row r="853" spans="4:17" x14ac:dyDescent="0.2">
      <c r="D853" s="1">
        <v>46051</v>
      </c>
      <c r="E853" s="2">
        <v>0.91666666666666663</v>
      </c>
      <c r="F853" t="s">
        <v>32</v>
      </c>
      <c r="G853">
        <f>VLOOKUP(Table4[[#This Row],[Home]],'NHL Model'!$A$6:$B$38,2,FALSE)</f>
        <v>-0.42661371358543798</v>
      </c>
      <c r="H853" t="s">
        <v>19</v>
      </c>
      <c r="I853">
        <f>VLOOKUP(Table4[[#This Row],[Visitor]],'NHL Model'!$A$6:$B$38,2,FALSE)</f>
        <v>-0.38129365484385536</v>
      </c>
      <c r="J853">
        <f>($B$1+Table4[[#This Row],[Home Differential]])-Table4[[#This Row],[Away Differential]]</f>
        <v>6.2810403161519313E-2</v>
      </c>
      <c r="K853" t="str">
        <f>IF(Table4[[#This Row],[HomeIce Differential]]&gt;0,Table4[[#This Row],[Home]],Table4[[#This Row],[Visitor]])</f>
        <v>Seattle Kraken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0.54674296702089031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O853">
        <v>6.2810403161519313E-2</v>
      </c>
      <c r="P853" s="11">
        <v>0.54674296702089031</v>
      </c>
      <c r="Q853" t="s">
        <v>32</v>
      </c>
    </row>
    <row r="854" spans="4:17" x14ac:dyDescent="0.2">
      <c r="D854" s="1">
        <v>46051</v>
      </c>
      <c r="E854" s="2">
        <v>0.83333333333333337</v>
      </c>
      <c r="F854" t="s">
        <v>35</v>
      </c>
      <c r="G854">
        <f>VLOOKUP(Table4[[#This Row],[Home]],'NHL Model'!$A$6:$B$38,2,FALSE)</f>
        <v>-1.236228034931707</v>
      </c>
      <c r="H854" t="s">
        <v>11</v>
      </c>
      <c r="I854">
        <f>VLOOKUP(Table4[[#This Row],[Visitor]],'NHL Model'!$A$6:$B$38,2,FALSE)</f>
        <v>-0.34412098011518399</v>
      </c>
      <c r="J854">
        <f>($B$1+Table4[[#This Row],[Home Differential]])-Table4[[#This Row],[Away Differential]]</f>
        <v>-0.78397659291342092</v>
      </c>
      <c r="K854" t="str">
        <f>IF(Table4[[#This Row],[HomeIce Differential]]&gt;0,Table4[[#This Row],[Home]],Table4[[#This Row],[Visitor]])</f>
        <v>Florida Panthers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0.60345109413321429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O854">
        <v>-0.78397659291342092</v>
      </c>
      <c r="P854" s="11">
        <v>0.60345109413321429</v>
      </c>
      <c r="Q854" t="s">
        <v>11</v>
      </c>
    </row>
    <row r="855" spans="4:17" x14ac:dyDescent="0.2">
      <c r="D855" s="1">
        <v>46051</v>
      </c>
      <c r="E855" s="2">
        <v>0.79166666666666663</v>
      </c>
      <c r="F855" t="s">
        <v>37</v>
      </c>
      <c r="G855">
        <f>VLOOKUP(Table4[[#This Row],[Home]],'NHL Model'!$A$6:$B$38,2,FALSE)</f>
        <v>0.6987740059316554</v>
      </c>
      <c r="H855" t="s">
        <v>40</v>
      </c>
      <c r="I855">
        <f>VLOOKUP(Table4[[#This Row],[Visitor]],'NHL Model'!$A$6:$B$38,2,FALSE)</f>
        <v>-0.41982036690375685</v>
      </c>
      <c r="J855">
        <f>($B$1+Table4[[#This Row],[Home Differential]])-Table4[[#This Row],[Away Differential]]</f>
        <v>1.2267248347385142</v>
      </c>
      <c r="K855" t="str">
        <f>IF(Table4[[#This Row],[HomeIce Differential]]&gt;0,Table4[[#This Row],[Home]],Table4[[#This Row],[Visitor]])</f>
        <v>Tampa Bay Lightning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0.70126294407316914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O855">
        <v>1.2267248347385142</v>
      </c>
      <c r="P855" s="11">
        <v>0.70126294407316914</v>
      </c>
      <c r="Q855" t="s">
        <v>37</v>
      </c>
    </row>
    <row r="856" spans="4:17" x14ac:dyDescent="0.2">
      <c r="D856" s="1">
        <v>46051</v>
      </c>
      <c r="E856" s="2">
        <v>0.91666666666666663</v>
      </c>
      <c r="F856" t="s">
        <v>38</v>
      </c>
      <c r="G856">
        <f>VLOOKUP(Table4[[#This Row],[Home]],'NHL Model'!$A$6:$B$38,2,FALSE)</f>
        <v>-1.2664425175465013</v>
      </c>
      <c r="H856" t="s">
        <v>31</v>
      </c>
      <c r="I856">
        <f>VLOOKUP(Table4[[#This Row],[Visitor]],'NHL Model'!$A$6:$B$38,2,FALSE)</f>
        <v>-0.39000953236289804</v>
      </c>
      <c r="J856">
        <f>($B$1+Table4[[#This Row],[Home Differential]])-Table4[[#This Row],[Away Differential]]</f>
        <v>-0.76830252328050119</v>
      </c>
      <c r="K856" t="str">
        <f>IF(Table4[[#This Row],[HomeIce Differential]]&gt;0,Table4[[#This Row],[Home]],Table4[[#This Row],[Visitor]])</f>
        <v>Anaheim Ducks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0.54248058149260714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O856">
        <v>-0.76830252328050119</v>
      </c>
      <c r="P856" s="11">
        <v>0.54248058149260714</v>
      </c>
      <c r="Q856" t="s">
        <v>31</v>
      </c>
    </row>
    <row r="857" spans="4:17" x14ac:dyDescent="0.2">
      <c r="D857" s="1">
        <v>46051</v>
      </c>
      <c r="E857" s="2">
        <v>0.91666666666666663</v>
      </c>
      <c r="F857" t="s">
        <v>20</v>
      </c>
      <c r="G857">
        <f>VLOOKUP(Table4[[#This Row],[Home]],'NHL Model'!$A$6:$B$38,2,FALSE)</f>
        <v>-0.11283731617452618</v>
      </c>
      <c r="H857" t="s">
        <v>39</v>
      </c>
      <c r="I857">
        <f>VLOOKUP(Table4[[#This Row],[Visitor]],'NHL Model'!$A$6:$B$38,2,FALSE)</f>
        <v>0.24554986733769732</v>
      </c>
      <c r="J857">
        <f>($B$1+Table4[[#This Row],[Home Differential]])-Table4[[#This Row],[Away Differential]]</f>
        <v>-0.25025672160912155</v>
      </c>
      <c r="K857" t="str">
        <f>IF(Table4[[#This Row],[HomeIce Differential]]&gt;0,Table4[[#This Row],[Home]],Table4[[#This Row],[Visitor]])</f>
        <v>Dallas Stars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0.53223568727777726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O857">
        <v>-0.25025672160912155</v>
      </c>
      <c r="P857" s="11">
        <v>0.53223568727777726</v>
      </c>
      <c r="Q857" t="s">
        <v>39</v>
      </c>
    </row>
    <row r="858" spans="4:17" x14ac:dyDescent="0.2">
      <c r="D858" s="1">
        <v>46052</v>
      </c>
      <c r="E858" s="2">
        <v>0.85416666666666663</v>
      </c>
      <c r="F858" t="s">
        <v>10</v>
      </c>
      <c r="G858">
        <f>VLOOKUP(Table4[[#This Row],[Home]],'NHL Model'!$A$6:$B$38,2,FALSE)</f>
        <v>-0.75050764651940183</v>
      </c>
      <c r="H858" t="s">
        <v>28</v>
      </c>
      <c r="I858">
        <f>VLOOKUP(Table4[[#This Row],[Visitor]],'NHL Model'!$A$6:$B$38,2,FALSE)</f>
        <v>-0.36066890819319958</v>
      </c>
      <c r="J858">
        <f>($B$1+Table4[[#This Row],[Home Differential]])-Table4[[#This Row],[Away Differential]]</f>
        <v>-0.28170827642310031</v>
      </c>
      <c r="K858" t="str">
        <f>IF(Table4[[#This Row],[HomeIce Differential]]&gt;0,Table4[[#This Row],[Home]],Table4[[#This Row],[Visitor]])</f>
        <v>Columbus Blue Jackets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0.49024259552272009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7" x14ac:dyDescent="0.2">
      <c r="D859" s="1">
        <v>46053</v>
      </c>
      <c r="E859" s="2">
        <v>0.79166666666666663</v>
      </c>
      <c r="F859" t="s">
        <v>23</v>
      </c>
      <c r="G859">
        <f>VLOOKUP(Table4[[#This Row],[Home]],'NHL Model'!$A$6:$B$38,2,FALSE)</f>
        <v>0.12350258496936412</v>
      </c>
      <c r="H859" t="s">
        <v>18</v>
      </c>
      <c r="I859">
        <f>VLOOKUP(Table4[[#This Row],[Visitor]],'NHL Model'!$A$6:$B$38,2,FALSE)</f>
        <v>-0.18787166436597766</v>
      </c>
      <c r="J859">
        <f>($B$1+Table4[[#This Row],[Home Differential]])-Table4[[#This Row],[Away Differential]]</f>
        <v>0.41950471123844368</v>
      </c>
      <c r="K859" t="str">
        <f>IF(Table4[[#This Row],[HomeIce Differential]]&gt;0,Table4[[#This Row],[Home]],Table4[[#This Row],[Visitor]])</f>
        <v>Buffalo Sabres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0.58811657561652175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7" x14ac:dyDescent="0.2">
      <c r="D860" s="1">
        <v>46053</v>
      </c>
      <c r="E860" s="2">
        <v>0.66666666666666663</v>
      </c>
      <c r="F860" t="s">
        <v>16</v>
      </c>
      <c r="G860">
        <f>VLOOKUP(Table4[[#This Row],[Home]],'NHL Model'!$A$6:$B$38,2,FALSE)</f>
        <v>-0.77822387693813933</v>
      </c>
      <c r="H860" t="s">
        <v>33</v>
      </c>
      <c r="I860">
        <f>VLOOKUP(Table4[[#This Row],[Visitor]],'NHL Model'!$A$6:$B$38,2,FALSE)</f>
        <v>-0.46908405058827807</v>
      </c>
      <c r="J860">
        <f>($B$1+Table4[[#This Row],[Home Differential]])-Table4[[#This Row],[Away Differential]]</f>
        <v>-0.20100936444675932</v>
      </c>
      <c r="K860" t="str">
        <f>IF(Table4[[#This Row],[HomeIce Differential]]&gt;0,Table4[[#This Row],[Home]],Table4[[#This Row],[Visitor]])</f>
        <v>San Jose Sharks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0.51214525785117215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7" x14ac:dyDescent="0.2">
      <c r="D861" s="1">
        <v>46053</v>
      </c>
      <c r="E861" s="2">
        <v>0.54166666666666663</v>
      </c>
      <c r="F861" t="s">
        <v>26</v>
      </c>
      <c r="G861">
        <f>VLOOKUP(Table4[[#This Row],[Home]],'NHL Model'!$A$6:$B$38,2,FALSE)</f>
        <v>-0.1792260169918948</v>
      </c>
      <c r="H861" t="s">
        <v>12</v>
      </c>
      <c r="I861">
        <f>VLOOKUP(Table4[[#This Row],[Visitor]],'NHL Model'!$A$6:$B$38,2,FALSE)</f>
        <v>1.1504937678265921</v>
      </c>
      <c r="J861">
        <f>($B$1+Table4[[#This Row],[Home Differential]])-Table4[[#This Row],[Away Differential]]</f>
        <v>-1.2215893229153849</v>
      </c>
      <c r="K861" t="str">
        <f>IF(Table4[[#This Row],[HomeIce Differential]]&gt;0,Table4[[#This Row],[Home]],Table4[[#This Row],[Visitor]])</f>
        <v>Colorado Avalanche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0.61390149038765751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7" x14ac:dyDescent="0.2">
      <c r="D862" s="1">
        <v>46053</v>
      </c>
      <c r="E862" s="2">
        <v>0.91666666666666663</v>
      </c>
      <c r="F862" t="s">
        <v>17</v>
      </c>
      <c r="G862">
        <f>VLOOKUP(Table4[[#This Row],[Home]],'NHL Model'!$A$6:$B$38,2,FALSE)</f>
        <v>-0.12154868922444324</v>
      </c>
      <c r="H862" t="s">
        <v>34</v>
      </c>
      <c r="I862">
        <f>VLOOKUP(Table4[[#This Row],[Visitor]],'NHL Model'!$A$6:$B$38,2,FALSE)</f>
        <v>4.6716977502832858E-2</v>
      </c>
      <c r="J862">
        <f>($B$1+Table4[[#This Row],[Home Differential]])-Table4[[#This Row],[Away Differential]]</f>
        <v>-6.013520482417415E-2</v>
      </c>
      <c r="K862" t="str">
        <f>IF(Table4[[#This Row],[HomeIce Differential]]&gt;0,Table4[[#This Row],[Home]],Table4[[#This Row],[Visitor]])</f>
        <v>Minnesota Wild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0.52298469858918106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7" x14ac:dyDescent="0.2">
      <c r="D863" s="1">
        <v>46053</v>
      </c>
      <c r="E863" s="2">
        <v>0.66666666666666663</v>
      </c>
      <c r="F863" t="s">
        <v>11</v>
      </c>
      <c r="G863">
        <f>VLOOKUP(Table4[[#This Row],[Home]],'NHL Model'!$A$6:$B$38,2,FALSE)</f>
        <v>-0.34412098011518399</v>
      </c>
      <c r="H863" t="s">
        <v>40</v>
      </c>
      <c r="I863">
        <f>VLOOKUP(Table4[[#This Row],[Visitor]],'NHL Model'!$A$6:$B$38,2,FALSE)</f>
        <v>-0.41982036690375685</v>
      </c>
      <c r="J863">
        <f>($B$1+Table4[[#This Row],[Home Differential]])-Table4[[#This Row],[Away Differential]]</f>
        <v>0.18382984869167479</v>
      </c>
      <c r="K863" t="str">
        <f>IF(Table4[[#This Row],[HomeIce Differential]]&gt;0,Table4[[#This Row],[Home]],Table4[[#This Row],[Visitor]])</f>
        <v>Florida Panthers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0.55973492518421897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7" x14ac:dyDescent="0.2">
      <c r="D864" s="1">
        <v>46053</v>
      </c>
      <c r="E864" s="2">
        <v>0.79166666666666663</v>
      </c>
      <c r="F864" t="s">
        <v>30</v>
      </c>
      <c r="G864">
        <f>VLOOKUP(Table4[[#This Row],[Home]],'NHL Model'!$A$6:$B$38,2,FALSE)</f>
        <v>-6.98902744359894E-2</v>
      </c>
      <c r="H864" t="s">
        <v>29</v>
      </c>
      <c r="I864">
        <f>VLOOKUP(Table4[[#This Row],[Visitor]],'NHL Model'!$A$6:$B$38,2,FALSE)</f>
        <v>-0.72584022159035511</v>
      </c>
      <c r="J864">
        <f>($B$1+Table4[[#This Row],[Home Differential]])-Table4[[#This Row],[Away Differential]]</f>
        <v>0.76408040905746766</v>
      </c>
      <c r="K864" t="str">
        <f>IF(Table4[[#This Row],[HomeIce Differential]]&gt;0,Table4[[#This Row],[Home]],Table4[[#This Row],[Visitor]])</f>
        <v>New York Islanders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0.63840714132359233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36</v>
      </c>
      <c r="G865">
        <f>VLOOKUP(Table4[[#This Row],[Home]],'NHL Model'!$A$6:$B$38,2,FALSE)</f>
        <v>-0.179282670690569</v>
      </c>
      <c r="H865" t="s">
        <v>24</v>
      </c>
      <c r="I865">
        <f>VLOOKUP(Table4[[#This Row],[Visitor]],'NHL Model'!$A$6:$B$38,2,FALSE)</f>
        <v>-0.55013344272463272</v>
      </c>
      <c r="J865">
        <f>($B$1+Table4[[#This Row],[Home Differential]])-Table4[[#This Row],[Away Differential]]</f>
        <v>0.47898123393716568</v>
      </c>
      <c r="K865" t="str">
        <f>IF(Table4[[#This Row],[HomeIce Differential]]&gt;0,Table4[[#This Row],[Home]],Table4[[#This Row],[Visitor]])</f>
        <v>Ottawa Senators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0.5621839056712894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0.52083333333333337</v>
      </c>
      <c r="F866" t="s">
        <v>27</v>
      </c>
      <c r="G866">
        <f>VLOOKUP(Table4[[#This Row],[Home]],'NHL Model'!$A$6:$B$38,2,FALSE)</f>
        <v>-0.39747316405117561</v>
      </c>
      <c r="H866" t="s">
        <v>13</v>
      </c>
      <c r="I866">
        <f>VLOOKUP(Table4[[#This Row],[Visitor]],'NHL Model'!$A$6:$B$38,2,FALSE)</f>
        <v>-0.36406236312551898</v>
      </c>
      <c r="J866">
        <f>($B$1+Table4[[#This Row],[Home Differential]])-Table4[[#This Row],[Away Differential]]</f>
        <v>7.4719660977445312E-2</v>
      </c>
      <c r="K866" t="str">
        <f>IF(Table4[[#This Row],[HomeIce Differential]]&gt;0,Table4[[#This Row],[Home]],Table4[[#This Row],[Visitor]])</f>
        <v>Philadelphia Flyers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0.50873474384873163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0.64583333333333337</v>
      </c>
      <c r="F867" t="s">
        <v>14</v>
      </c>
      <c r="G867">
        <f>VLOOKUP(Table4[[#This Row],[Home]],'NHL Model'!$A$6:$B$38,2,FALSE)</f>
        <v>3.6611055984458557E-5</v>
      </c>
      <c r="H867" t="s">
        <v>15</v>
      </c>
      <c r="I867">
        <f>VLOOKUP(Table4[[#This Row],[Visitor]],'NHL Model'!$A$6:$B$38,2,FALSE)</f>
        <v>-0.62425830840281982</v>
      </c>
      <c r="J867">
        <f>($B$1+Table4[[#This Row],[Home Differential]])-Table4[[#This Row],[Away Differential]]</f>
        <v>0.73242538136190627</v>
      </c>
      <c r="K867" t="str">
        <f>IF(Table4[[#This Row],[HomeIce Differential]]&gt;0,Table4[[#This Row],[Home]],Table4[[#This Row],[Visitor]])</f>
        <v>Pittsburgh Penguins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0.57477602246684101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0.79166666666666663</v>
      </c>
      <c r="F868" t="s">
        <v>35</v>
      </c>
      <c r="G868">
        <f>VLOOKUP(Table4[[#This Row],[Home]],'NHL Model'!$A$6:$B$38,2,FALSE)</f>
        <v>-1.236228034931707</v>
      </c>
      <c r="H868" t="s">
        <v>28</v>
      </c>
      <c r="I868">
        <f>VLOOKUP(Table4[[#This Row],[Visitor]],'NHL Model'!$A$6:$B$38,2,FALSE)</f>
        <v>-0.36066890819319958</v>
      </c>
      <c r="J868">
        <f>($B$1+Table4[[#This Row],[Home Differential]])-Table4[[#This Row],[Away Differential]]</f>
        <v>-0.76742866483540539</v>
      </c>
      <c r="K868" t="str">
        <f>IF(Table4[[#This Row],[HomeIce Differential]]&gt;0,Table4[[#This Row],[Home]],Table4[[#This Row],[Visitor]])</f>
        <v>Columbus Blue Jackets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0.54238676902875382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0.875</v>
      </c>
      <c r="F869" t="s">
        <v>55</v>
      </c>
      <c r="G869">
        <f>VLOOKUP(Table4[[#This Row],[Home]],'NHL Model'!$A$6:$B$38,2,FALSE)</f>
        <v>0.14062496747196682</v>
      </c>
      <c r="H869" t="s">
        <v>39</v>
      </c>
      <c r="I869">
        <f>VLOOKUP(Table4[[#This Row],[Visitor]],'NHL Model'!$A$6:$B$38,2,FALSE)</f>
        <v>0.24554986733769732</v>
      </c>
      <c r="J869">
        <f>($B$1+Table4[[#This Row],[Home Differential]])-Table4[[#This Row],[Away Differential]]</f>
        <v>3.2055620373714622E-3</v>
      </c>
      <c r="K869" t="str">
        <f>IF(Table4[[#This Row],[HomeIce Differential]]&gt;0,Table4[[#This Row],[Home]],Table4[[#This Row],[Visitor]])</f>
        <v>Utah Mammoth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0.53147966201216046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0.79166666666666663</v>
      </c>
      <c r="F870" t="s">
        <v>38</v>
      </c>
      <c r="G870">
        <f>VLOOKUP(Table4[[#This Row],[Home]],'NHL Model'!$A$6:$B$38,2,FALSE)</f>
        <v>-1.2664425175465013</v>
      </c>
      <c r="H870" t="s">
        <v>19</v>
      </c>
      <c r="I870">
        <f>VLOOKUP(Table4[[#This Row],[Visitor]],'NHL Model'!$A$6:$B$38,2,FALSE)</f>
        <v>-0.38129365484385536</v>
      </c>
      <c r="J870">
        <f>($B$1+Table4[[#This Row],[Home Differential]])-Table4[[#This Row],[Away Differential]]</f>
        <v>-0.77701840079954387</v>
      </c>
      <c r="K870" t="str">
        <f>IF(Table4[[#This Row],[HomeIce Differential]]&gt;0,Table4[[#This Row],[Home]],Table4[[#This Row],[Visitor]])</f>
        <v>Toronto Maple Leafs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0.54341626844430357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0.91666666666666663</v>
      </c>
      <c r="F871" t="s">
        <v>20</v>
      </c>
      <c r="G871">
        <f>VLOOKUP(Table4[[#This Row],[Home]],'NHL Model'!$A$6:$B$38,2,FALSE)</f>
        <v>-0.11283731617452618</v>
      </c>
      <c r="H871" t="s">
        <v>32</v>
      </c>
      <c r="I871">
        <f>VLOOKUP(Table4[[#This Row],[Visitor]],'NHL Model'!$A$6:$B$38,2,FALSE)</f>
        <v>-0.42661371358543798</v>
      </c>
      <c r="J871">
        <f>($B$1+Table4[[#This Row],[Home Differential]])-Table4[[#This Row],[Away Differential]]</f>
        <v>0.42190685931401373</v>
      </c>
      <c r="K871" t="str">
        <f>IF(Table4[[#This Row],[HomeIce Differential]]&gt;0,Table4[[#This Row],[Home]],Table4[[#This Row],[Visitor]])</f>
        <v>Vegas Golden Knights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0.58529351659988571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0.70833333333333337</v>
      </c>
      <c r="F872" t="s">
        <v>22</v>
      </c>
      <c r="G872">
        <f>VLOOKUP(Table4[[#This Row],[Home]],'NHL Model'!$A$6:$B$38,2,FALSE)</f>
        <v>-0.12498445042942641</v>
      </c>
      <c r="H872" t="s">
        <v>25</v>
      </c>
      <c r="I872">
        <f>VLOOKUP(Table4[[#This Row],[Visitor]],'NHL Model'!$A$6:$B$38,2,FALSE)</f>
        <v>0.31465989886768042</v>
      </c>
      <c r="J872">
        <f>($B$1+Table4[[#This Row],[Home Differential]])-Table4[[#This Row],[Away Differential]]</f>
        <v>-0.33151388739400489</v>
      </c>
      <c r="K872" t="str">
        <f>IF(Table4[[#This Row],[HomeIce Differential]]&gt;0,Table4[[#This Row],[Home]],Table4[[#This Row],[Visitor]])</f>
        <v>Carolina Hurricanes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0.55487727597677605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46054</v>
      </c>
      <c r="E873" s="2">
        <v>0.89583333333333337</v>
      </c>
      <c r="F873" t="s">
        <v>31</v>
      </c>
      <c r="G873">
        <f>VLOOKUP(Table4[[#This Row],[Home]],'NHL Model'!$A$6:$B$38,2,FALSE)</f>
        <v>-0.39000953236289804</v>
      </c>
      <c r="H873" t="s">
        <v>20</v>
      </c>
      <c r="I873">
        <f>VLOOKUP(Table4[[#This Row],[Visitor]],'NHL Model'!$A$6:$B$38,2,FALSE)</f>
        <v>-0.11283731617452618</v>
      </c>
      <c r="J873">
        <f>($B$1+Table4[[#This Row],[Home Differential]])-Table4[[#This Row],[Away Differential]]</f>
        <v>-0.16904175428526991</v>
      </c>
      <c r="K873" t="str">
        <f>IF(Table4[[#This Row],[HomeIce Differential]]&gt;0,Table4[[#This Row],[Home]],Table4[[#This Row],[Visitor]])</f>
        <v>Vegas Golden Knights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0.45329380313862044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0.625</v>
      </c>
      <c r="F874" t="s">
        <v>25</v>
      </c>
      <c r="G874">
        <f>VLOOKUP(Table4[[#This Row],[Home]],'NHL Model'!$A$6:$B$38,2,FALSE)</f>
        <v>0.31465989886768042</v>
      </c>
      <c r="H874" t="s">
        <v>13</v>
      </c>
      <c r="I874">
        <f>VLOOKUP(Table4[[#This Row],[Visitor]],'NHL Model'!$A$6:$B$38,2,FALSE)</f>
        <v>-0.36406236312551898</v>
      </c>
      <c r="J874">
        <f>($B$1+Table4[[#This Row],[Home Differential]])-Table4[[#This Row],[Away Differential]]</f>
        <v>0.78685272389630134</v>
      </c>
      <c r="K874" t="str">
        <f>IF(Table4[[#This Row],[HomeIce Differential]]&gt;0,Table4[[#This Row],[Home]],Table4[[#This Row],[Visitor]])</f>
        <v>Carolina Hurricanes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0.628658071852503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0.54166666666666663</v>
      </c>
      <c r="F875" t="s">
        <v>37</v>
      </c>
      <c r="G875">
        <f>VLOOKUP(Table4[[#This Row],[Home]],'NHL Model'!$A$6:$B$38,2,FALSE)</f>
        <v>0.6987740059316554</v>
      </c>
      <c r="H875" t="s">
        <v>21</v>
      </c>
      <c r="I875">
        <f>VLOOKUP(Table4[[#This Row],[Visitor]],'NHL Model'!$A$6:$B$38,2,FALSE)</f>
        <v>-2.9858233272404857E-2</v>
      </c>
      <c r="J875">
        <f>($B$1+Table4[[#This Row],[Home Differential]])-Table4[[#This Row],[Away Differential]]</f>
        <v>0.83676270110716222</v>
      </c>
      <c r="K875" t="str">
        <f>IF(Table4[[#This Row],[HomeIce Differential]]&gt;0,Table4[[#This Row],[Home]],Table4[[#This Row],[Visitor]])</f>
        <v>Tampa Bay Lightning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0.65939883121736798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46055</v>
      </c>
      <c r="E876" s="2">
        <v>0.91666666666666663</v>
      </c>
      <c r="F876" t="s">
        <v>16</v>
      </c>
      <c r="G876">
        <f>VLOOKUP(Table4[[#This Row],[Home]],'NHL Model'!$A$6:$B$38,2,FALSE)</f>
        <v>-0.77822387693813933</v>
      </c>
      <c r="H876" t="s">
        <v>19</v>
      </c>
      <c r="I876">
        <f>VLOOKUP(Table4[[#This Row],[Visitor]],'NHL Model'!$A$6:$B$38,2,FALSE)</f>
        <v>-0.38129365484385536</v>
      </c>
      <c r="J876">
        <f>($B$1+Table4[[#This Row],[Home Differential]])-Table4[[#This Row],[Away Differential]]</f>
        <v>-0.28879976019118203</v>
      </c>
      <c r="K876" t="str">
        <f>IF(Table4[[#This Row],[HomeIce Differential]]&gt;0,Table4[[#This Row],[Home]],Table4[[#This Row],[Visitor]])</f>
        <v>Toronto Maple Leafs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0.49100389681630341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0.85416666666666663</v>
      </c>
      <c r="F877" t="s">
        <v>10</v>
      </c>
      <c r="G877">
        <f>VLOOKUP(Table4[[#This Row],[Home]],'NHL Model'!$A$6:$B$38,2,FALSE)</f>
        <v>-0.75050764651940183</v>
      </c>
      <c r="H877" t="s">
        <v>33</v>
      </c>
      <c r="I877">
        <f>VLOOKUP(Table4[[#This Row],[Visitor]],'NHL Model'!$A$6:$B$38,2,FALSE)</f>
        <v>-0.46908405058827807</v>
      </c>
      <c r="J877">
        <f>($B$1+Table4[[#This Row],[Home Differential]])-Table4[[#This Row],[Away Differential]]</f>
        <v>-0.17329313402802182</v>
      </c>
      <c r="K877" t="str">
        <f>IF(Table4[[#This Row],[HomeIce Differential]]&gt;0,Table4[[#This Row],[Home]],Table4[[#This Row],[Visitor]])</f>
        <v>San Jose Sharks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0.50916980126675337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0.875</v>
      </c>
      <c r="F878" t="s">
        <v>12</v>
      </c>
      <c r="G878">
        <f>VLOOKUP(Table4[[#This Row],[Home]],'NHL Model'!$A$6:$B$38,2,FALSE)</f>
        <v>1.1504937678265921</v>
      </c>
      <c r="H878" t="s">
        <v>26</v>
      </c>
      <c r="I878">
        <f>VLOOKUP(Table4[[#This Row],[Visitor]],'NHL Model'!$A$6:$B$38,2,FALSE)</f>
        <v>-0.1792260169918948</v>
      </c>
      <c r="J878">
        <f>($B$1+Table4[[#This Row],[Home Differential]])-Table4[[#This Row],[Away Differential]]</f>
        <v>1.437850246721589</v>
      </c>
      <c r="K878" t="str">
        <f>IF(Table4[[#This Row],[HomeIce Differential]]&gt;0,Table4[[#This Row],[Home]],Table4[[#This Row],[Visitor]])</f>
        <v>Colorado Avalanche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0.74259470444798037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0.85416666666666663</v>
      </c>
      <c r="F879" t="s">
        <v>39</v>
      </c>
      <c r="G879">
        <f>VLOOKUP(Table4[[#This Row],[Home]],'NHL Model'!$A$6:$B$38,2,FALSE)</f>
        <v>0.24554986733769732</v>
      </c>
      <c r="H879" t="s">
        <v>40</v>
      </c>
      <c r="I879">
        <f>VLOOKUP(Table4[[#This Row],[Visitor]],'NHL Model'!$A$6:$B$38,2,FALSE)</f>
        <v>-0.41982036690375685</v>
      </c>
      <c r="J879">
        <f>($B$1+Table4[[#This Row],[Home Differential]])-Table4[[#This Row],[Away Differential]]</f>
        <v>0.77350069614455608</v>
      </c>
      <c r="K879" t="str">
        <f>IF(Table4[[#This Row],[HomeIce Differential]]&gt;0,Table4[[#This Row],[Home]],Table4[[#This Row],[Visitor]])</f>
        <v>Dallas Stars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0.64214405902458482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0.79166666666666663</v>
      </c>
      <c r="F880" t="s">
        <v>11</v>
      </c>
      <c r="G880">
        <f>VLOOKUP(Table4[[#This Row],[Home]],'NHL Model'!$A$6:$B$38,2,FALSE)</f>
        <v>-0.34412098011518399</v>
      </c>
      <c r="H880" t="s">
        <v>23</v>
      </c>
      <c r="I880">
        <f>VLOOKUP(Table4[[#This Row],[Visitor]],'NHL Model'!$A$6:$B$38,2,FALSE)</f>
        <v>0.12350258496936412</v>
      </c>
      <c r="J880">
        <f>($B$1+Table4[[#This Row],[Home Differential]])-Table4[[#This Row],[Away Differential]]</f>
        <v>-0.35949310318144617</v>
      </c>
      <c r="K880" t="str">
        <f>IF(Table4[[#This Row],[HomeIce Differential]]&gt;0,Table4[[#This Row],[Home]],Table4[[#This Row],[Visitor]])</f>
        <v>Buffalo Sabres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0.52844617543089945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0.8125</v>
      </c>
      <c r="F881" t="s">
        <v>34</v>
      </c>
      <c r="G881">
        <f>VLOOKUP(Table4[[#This Row],[Home]],'NHL Model'!$A$6:$B$38,2,FALSE)</f>
        <v>4.6716977502832858E-2</v>
      </c>
      <c r="H881" t="s">
        <v>18</v>
      </c>
      <c r="I881">
        <f>VLOOKUP(Table4[[#This Row],[Visitor]],'NHL Model'!$A$6:$B$38,2,FALSE)</f>
        <v>-0.18787166436597766</v>
      </c>
      <c r="J881">
        <f>($B$1+Table4[[#This Row],[Home Differential]])-Table4[[#This Row],[Away Differential]]</f>
        <v>0.3427191037719125</v>
      </c>
      <c r="K881" t="str">
        <f>IF(Table4[[#This Row],[HomeIce Differential]]&gt;0,Table4[[#This Row],[Home]],Table4[[#This Row],[Visitor]])</f>
        <v>Minnesota Wild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0.53750563709921773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0.83333333333333337</v>
      </c>
      <c r="F882" t="s">
        <v>29</v>
      </c>
      <c r="G882">
        <f>VLOOKUP(Table4[[#This Row],[Home]],'NHL Model'!$A$6:$B$38,2,FALSE)</f>
        <v>-0.72584022159035511</v>
      </c>
      <c r="H882" t="s">
        <v>35</v>
      </c>
      <c r="I882">
        <f>VLOOKUP(Table4[[#This Row],[Visitor]],'NHL Model'!$A$6:$B$38,2,FALSE)</f>
        <v>-1.236228034931707</v>
      </c>
      <c r="J882">
        <f>($B$1+Table4[[#This Row],[Home Differential]])-Table4[[#This Row],[Away Differential]]</f>
        <v>0.6185182752444538</v>
      </c>
      <c r="K882" t="str">
        <f>IF(Table4[[#This Row],[HomeIce Differential]]&gt;0,Table4[[#This Row],[Home]],Table4[[#This Row],[Visitor]])</f>
        <v>Nashville Predators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0.6064005980198266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0.79166666666666663</v>
      </c>
      <c r="F883" t="s">
        <v>14</v>
      </c>
      <c r="G883">
        <f>VLOOKUP(Table4[[#This Row],[Home]],'NHL Model'!$A$6:$B$38,2,FALSE)</f>
        <v>3.6611055984458557E-5</v>
      </c>
      <c r="H883" t="s">
        <v>36</v>
      </c>
      <c r="I883">
        <f>VLOOKUP(Table4[[#This Row],[Visitor]],'NHL Model'!$A$6:$B$38,2,FALSE)</f>
        <v>-0.179282670690569</v>
      </c>
      <c r="J883">
        <f>($B$1+Table4[[#This Row],[Home Differential]])-Table4[[#This Row],[Away Differential]]</f>
        <v>0.28744974364965542</v>
      </c>
      <c r="K883" t="str">
        <f>IF(Table4[[#This Row],[HomeIce Differential]]&gt;0,Table4[[#This Row],[Home]],Table4[[#This Row],[Visitor]])</f>
        <v>Pittsburgh Penguins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0.57002947364457224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0.89583333333333337</v>
      </c>
      <c r="F884" t="s">
        <v>55</v>
      </c>
      <c r="G884">
        <f>VLOOKUP(Table4[[#This Row],[Home]],'NHL Model'!$A$6:$B$38,2,FALSE)</f>
        <v>0.14062496747196682</v>
      </c>
      <c r="H884" t="s">
        <v>38</v>
      </c>
      <c r="I884">
        <f>VLOOKUP(Table4[[#This Row],[Visitor]],'NHL Model'!$A$6:$B$38,2,FALSE)</f>
        <v>-1.2664425175465013</v>
      </c>
      <c r="J884">
        <f>($B$1+Table4[[#This Row],[Home Differential]])-Table4[[#This Row],[Away Differential]]</f>
        <v>1.5151979469215702</v>
      </c>
      <c r="K884" t="str">
        <f>IF(Table4[[#This Row],[HomeIce Differential]]&gt;0,Table4[[#This Row],[Home]],Table4[[#This Row],[Visitor]])</f>
        <v>Utah Mammoth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0.7386998850944102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0.79166666666666663</v>
      </c>
      <c r="F885" t="s">
        <v>22</v>
      </c>
      <c r="G885">
        <f>VLOOKUP(Table4[[#This Row],[Home]],'NHL Model'!$A$6:$B$38,2,FALSE)</f>
        <v>-0.12498445042942641</v>
      </c>
      <c r="H885" t="s">
        <v>30</v>
      </c>
      <c r="I885">
        <f>VLOOKUP(Table4[[#This Row],[Visitor]],'NHL Model'!$A$6:$B$38,2,FALSE)</f>
        <v>-6.98902744359894E-2</v>
      </c>
      <c r="J885">
        <f>($B$1+Table4[[#This Row],[Home Differential]])-Table4[[#This Row],[Away Differential]]</f>
        <v>5.3036285909664943E-2</v>
      </c>
      <c r="K885" t="str">
        <f>IF(Table4[[#This Row],[HomeIce Differential]]&gt;0,Table4[[#This Row],[Home]],Table4[[#This Row],[Visitor]])</f>
        <v>Washington Capitals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0.51584062939403041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46056</v>
      </c>
      <c r="E886" s="2">
        <v>0.91666666666666663</v>
      </c>
      <c r="F886" t="s">
        <v>31</v>
      </c>
      <c r="G886">
        <f>VLOOKUP(Table4[[#This Row],[Home]],'NHL Model'!$A$6:$B$38,2,FALSE)</f>
        <v>-0.39000953236289804</v>
      </c>
      <c r="H886" t="s">
        <v>32</v>
      </c>
      <c r="I886">
        <f>VLOOKUP(Table4[[#This Row],[Visitor]],'NHL Model'!$A$6:$B$38,2,FALSE)</f>
        <v>-0.42661371358543798</v>
      </c>
      <c r="J886">
        <f>($B$1+Table4[[#This Row],[Home Differential]])-Table4[[#This Row],[Away Differential]]</f>
        <v>0.14473464312564188</v>
      </c>
      <c r="K886" t="str">
        <f>IF(Table4[[#This Row],[HomeIce Differential]]&gt;0,Table4[[#This Row],[Home]],Table4[[#This Row],[Visitor]])</f>
        <v>Anaheim Ducks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0.59157475301919127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0.79166666666666663</v>
      </c>
      <c r="F887" t="s">
        <v>25</v>
      </c>
      <c r="G887">
        <f>VLOOKUP(Table4[[#This Row],[Home]],'NHL Model'!$A$6:$B$38,2,FALSE)</f>
        <v>0.31465989886768042</v>
      </c>
      <c r="H887" t="s">
        <v>36</v>
      </c>
      <c r="I887">
        <f>VLOOKUP(Table4[[#This Row],[Visitor]],'NHL Model'!$A$6:$B$38,2,FALSE)</f>
        <v>-0.179282670690569</v>
      </c>
      <c r="J887">
        <f>($B$1+Table4[[#This Row],[Home Differential]])-Table4[[#This Row],[Away Differential]]</f>
        <v>0.60207303146135138</v>
      </c>
      <c r="K887" t="str">
        <f>IF(Table4[[#This Row],[HomeIce Differential]]&gt;0,Table4[[#This Row],[Home]],Table4[[#This Row],[Visitor]])</f>
        <v>Carolina Hurricanes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0.64672468258292282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0.85416666666666663</v>
      </c>
      <c r="F888" t="s">
        <v>17</v>
      </c>
      <c r="G888">
        <f>VLOOKUP(Table4[[#This Row],[Home]],'NHL Model'!$A$6:$B$38,2,FALSE)</f>
        <v>-0.12154868922444324</v>
      </c>
      <c r="H888" t="s">
        <v>19</v>
      </c>
      <c r="I888">
        <f>VLOOKUP(Table4[[#This Row],[Visitor]],'NHL Model'!$A$6:$B$38,2,FALSE)</f>
        <v>-0.38129365484385536</v>
      </c>
      <c r="J888">
        <f>($B$1+Table4[[#This Row],[Home Differential]])-Table4[[#This Row],[Away Differential]]</f>
        <v>0.36787542752251406</v>
      </c>
      <c r="K888" t="str">
        <f>IF(Table4[[#This Row],[HomeIce Differential]]&gt;0,Table4[[#This Row],[Home]],Table4[[#This Row],[Visitor]])</f>
        <v>Edmonton Oilers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0.57949300992705521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0.79166666666666663</v>
      </c>
      <c r="F889" t="s">
        <v>24</v>
      </c>
      <c r="G889">
        <f>VLOOKUP(Table4[[#This Row],[Home]],'NHL Model'!$A$6:$B$38,2,FALSE)</f>
        <v>-0.55013344272463272</v>
      </c>
      <c r="H889" t="s">
        <v>28</v>
      </c>
      <c r="I889">
        <f>VLOOKUP(Table4[[#This Row],[Visitor]],'NHL Model'!$A$6:$B$38,2,FALSE)</f>
        <v>-0.36066890819319958</v>
      </c>
      <c r="J889">
        <f>($B$1+Table4[[#This Row],[Home Differential]])-Table4[[#This Row],[Away Differential]]</f>
        <v>-8.13340726283312E-2</v>
      </c>
      <c r="K889" t="str">
        <f>IF(Table4[[#This Row],[HomeIce Differential]]&gt;0,Table4[[#This Row],[Home]],Table4[[#This Row],[Visitor]])</f>
        <v>Columbus Blue Jackets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0.46873156263616422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0.8125</v>
      </c>
      <c r="F890" t="s">
        <v>30</v>
      </c>
      <c r="G890">
        <f>VLOOKUP(Table4[[#This Row],[Home]],'NHL Model'!$A$6:$B$38,2,FALSE)</f>
        <v>-6.98902744359894E-2</v>
      </c>
      <c r="H890" t="s">
        <v>14</v>
      </c>
      <c r="I890">
        <f>VLOOKUP(Table4[[#This Row],[Visitor]],'NHL Model'!$A$6:$B$38,2,FALSE)</f>
        <v>3.6611055984458557E-5</v>
      </c>
      <c r="J890">
        <f>($B$1+Table4[[#This Row],[Home Differential]])-Table4[[#This Row],[Away Differential]]</f>
        <v>3.8203576411128093E-2</v>
      </c>
      <c r="K890" t="str">
        <f>IF(Table4[[#This Row],[HomeIce Differential]]&gt;0,Table4[[#This Row],[Home]],Table4[[#This Row],[Visitor]])</f>
        <v>New York Islanders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0.50410131829846494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0.79166666666666663</v>
      </c>
      <c r="F891" t="s">
        <v>27</v>
      </c>
      <c r="G891">
        <f>VLOOKUP(Table4[[#This Row],[Home]],'NHL Model'!$A$6:$B$38,2,FALSE)</f>
        <v>-0.39747316405117561</v>
      </c>
      <c r="H891" t="s">
        <v>22</v>
      </c>
      <c r="I891">
        <f>VLOOKUP(Table4[[#This Row],[Visitor]],'NHL Model'!$A$6:$B$38,2,FALSE)</f>
        <v>-0.12498445042942641</v>
      </c>
      <c r="J891">
        <f>($B$1+Table4[[#This Row],[Home Differential]])-Table4[[#This Row],[Away Differential]]</f>
        <v>-0.16435825171864726</v>
      </c>
      <c r="K891" t="str">
        <f>IF(Table4[[#This Row],[HomeIce Differential]]&gt;0,Table4[[#This Row],[Home]],Table4[[#This Row],[Visitor]])</f>
        <v>Washington Capitals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0.47764456547269857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0.8125</v>
      </c>
      <c r="F892" t="s">
        <v>37</v>
      </c>
      <c r="G892">
        <f>VLOOKUP(Table4[[#This Row],[Home]],'NHL Model'!$A$6:$B$38,2,FALSE)</f>
        <v>0.6987740059316554</v>
      </c>
      <c r="H892" t="s">
        <v>23</v>
      </c>
      <c r="I892">
        <f>VLOOKUP(Table4[[#This Row],[Visitor]],'NHL Model'!$A$6:$B$38,2,FALSE)</f>
        <v>0.12350258496936412</v>
      </c>
      <c r="J892">
        <f>($B$1+Table4[[#This Row],[Home Differential]])-Table4[[#This Row],[Away Differential]]</f>
        <v>0.68340188286539316</v>
      </c>
      <c r="K892" t="str">
        <f>IF(Table4[[#This Row],[HomeIce Differential]]&gt;0,Table4[[#This Row],[Home]],Table4[[#This Row],[Visitor]])</f>
        <v>Tampa Bay Lightning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0.61336613245938909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46057</v>
      </c>
      <c r="E893" s="2">
        <v>0.79166666666666663</v>
      </c>
      <c r="F893" t="s">
        <v>28</v>
      </c>
      <c r="G893">
        <f>VLOOKUP(Table4[[#This Row],[Home]],'NHL Model'!$A$6:$B$38,2,FALSE)</f>
        <v>-0.36066890819319958</v>
      </c>
      <c r="H893" t="s">
        <v>10</v>
      </c>
      <c r="I893">
        <f>VLOOKUP(Table4[[#This Row],[Visitor]],'NHL Model'!$A$6:$B$38,2,FALSE)</f>
        <v>-0.75050764651940183</v>
      </c>
      <c r="J893">
        <f>($B$1+Table4[[#This Row],[Home Differential]])-Table4[[#This Row],[Away Differential]]</f>
        <v>0.49796920022930419</v>
      </c>
      <c r="K893" t="str">
        <f>IF(Table4[[#This Row],[HomeIce Differential]]&gt;0,Table4[[#This Row],[Home]],Table4[[#This Row],[Visitor]])</f>
        <v>Columbus Blue Jackets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0.59345913615505097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0.91666666666666663</v>
      </c>
      <c r="F894" t="s">
        <v>16</v>
      </c>
      <c r="G894">
        <f>VLOOKUP(Table4[[#This Row],[Home]],'NHL Model'!$A$6:$B$38,2,FALSE)</f>
        <v>-0.77822387693813933</v>
      </c>
      <c r="H894" t="s">
        <v>17</v>
      </c>
      <c r="I894">
        <f>VLOOKUP(Table4[[#This Row],[Visitor]],'NHL Model'!$A$6:$B$38,2,FALSE)</f>
        <v>-0.12154868922444324</v>
      </c>
      <c r="J894">
        <f>($B$1+Table4[[#This Row],[Home Differential]])-Table4[[#This Row],[Away Differential]]</f>
        <v>-0.5485447258105941</v>
      </c>
      <c r="K894" t="str">
        <f>IF(Table4[[#This Row],[HomeIce Differential]]&gt;0,Table4[[#This Row],[Home]],Table4[[#This Row],[Visitor]])</f>
        <v>Edmonton Oilers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0.52119304610002382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0.875</v>
      </c>
      <c r="F895" t="s">
        <v>12</v>
      </c>
      <c r="G895">
        <f>VLOOKUP(Table4[[#This Row],[Home]],'NHL Model'!$A$6:$B$38,2,FALSE)</f>
        <v>1.1504937678265921</v>
      </c>
      <c r="H895" t="s">
        <v>33</v>
      </c>
      <c r="I895">
        <f>VLOOKUP(Table4[[#This Row],[Visitor]],'NHL Model'!$A$6:$B$38,2,FALSE)</f>
        <v>-0.46908405058827807</v>
      </c>
      <c r="J895">
        <f>($B$1+Table4[[#This Row],[Home Differential]])-Table4[[#This Row],[Away Differential]]</f>
        <v>1.7277082803179722</v>
      </c>
      <c r="K895" t="str">
        <f>IF(Table4[[#This Row],[HomeIce Differential]]&gt;0,Table4[[#This Row],[Home]],Table4[[#This Row],[Visitor]])</f>
        <v>Colorado Avalanche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0.78213562856708574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0.89583333333333337</v>
      </c>
      <c r="F896" t="s">
        <v>39</v>
      </c>
      <c r="G896">
        <f>VLOOKUP(Table4[[#This Row],[Home]],'NHL Model'!$A$6:$B$38,2,FALSE)</f>
        <v>0.24554986733769732</v>
      </c>
      <c r="H896" t="s">
        <v>35</v>
      </c>
      <c r="I896">
        <f>VLOOKUP(Table4[[#This Row],[Visitor]],'NHL Model'!$A$6:$B$38,2,FALSE)</f>
        <v>-1.236228034931707</v>
      </c>
      <c r="J896">
        <f>($B$1+Table4[[#This Row],[Home Differential]])-Table4[[#This Row],[Away Differential]]</f>
        <v>1.5899083641725062</v>
      </c>
      <c r="K896" t="str">
        <f>IF(Table4[[#This Row],[HomeIce Differential]]&gt;0,Table4[[#This Row],[Home]],Table4[[#This Row],[Visitor]])</f>
        <v>Dallas Stars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0.72978893477801798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0.79166666666666663</v>
      </c>
      <c r="F897" t="s">
        <v>11</v>
      </c>
      <c r="G897">
        <f>VLOOKUP(Table4[[#This Row],[Home]],'NHL Model'!$A$6:$B$38,2,FALSE)</f>
        <v>-0.34412098011518399</v>
      </c>
      <c r="H897" t="s">
        <v>21</v>
      </c>
      <c r="I897">
        <f>VLOOKUP(Table4[[#This Row],[Visitor]],'NHL Model'!$A$6:$B$38,2,FALSE)</f>
        <v>-2.9858233272404857E-2</v>
      </c>
      <c r="J897">
        <f>($B$1+Table4[[#This Row],[Home Differential]])-Table4[[#This Row],[Away Differential]]</f>
        <v>-0.2061322849396772</v>
      </c>
      <c r="K897" t="str">
        <f>IF(Table4[[#This Row],[HomeIce Differential]]&gt;0,Table4[[#This Row],[Home]],Table4[[#This Row],[Visitor]])</f>
        <v>Boston Bruins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0.48212918767158219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0.91666666666666663</v>
      </c>
      <c r="F898" t="s">
        <v>13</v>
      </c>
      <c r="G898">
        <f>VLOOKUP(Table4[[#This Row],[Home]],'NHL Model'!$A$6:$B$38,2,FALSE)</f>
        <v>-0.36406236312551898</v>
      </c>
      <c r="H898" t="s">
        <v>32</v>
      </c>
      <c r="I898">
        <f>VLOOKUP(Table4[[#This Row],[Visitor]],'NHL Model'!$A$6:$B$38,2,FALSE)</f>
        <v>-0.42661371358543798</v>
      </c>
      <c r="J898">
        <f>($B$1+Table4[[#This Row],[Home Differential]])-Table4[[#This Row],[Away Differential]]</f>
        <v>0.17068181236302093</v>
      </c>
      <c r="K898" t="str">
        <f>IF(Table4[[#This Row],[HomeIce Differential]]&gt;0,Table4[[#This Row],[Home]],Table4[[#This Row],[Visitor]])</f>
        <v>Los Angeles Kings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0.55832342691496573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0.83333333333333337</v>
      </c>
      <c r="F899" t="s">
        <v>29</v>
      </c>
      <c r="G899">
        <f>VLOOKUP(Table4[[#This Row],[Home]],'NHL Model'!$A$6:$B$38,2,FALSE)</f>
        <v>-0.72584022159035511</v>
      </c>
      <c r="H899" t="s">
        <v>34</v>
      </c>
      <c r="I899">
        <f>VLOOKUP(Table4[[#This Row],[Visitor]],'NHL Model'!$A$6:$B$38,2,FALSE)</f>
        <v>4.6716977502832858E-2</v>
      </c>
      <c r="J899">
        <f>($B$1+Table4[[#This Row],[Home Differential]])-Table4[[#This Row],[Away Differential]]</f>
        <v>-0.66442673719008605</v>
      </c>
      <c r="K899" t="str">
        <f>IF(Table4[[#This Row],[HomeIce Differential]]&gt;0,Table4[[#This Row],[Home]],Table4[[#This Row],[Visitor]])</f>
        <v>Minnesota Wild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0.58785799455049348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0.875</v>
      </c>
      <c r="F900" t="s">
        <v>55</v>
      </c>
      <c r="G900">
        <f>VLOOKUP(Table4[[#This Row],[Home]],'NHL Model'!$A$6:$B$38,2,FALSE)</f>
        <v>0.14062496747196682</v>
      </c>
      <c r="H900" t="s">
        <v>26</v>
      </c>
      <c r="I900">
        <f>VLOOKUP(Table4[[#This Row],[Visitor]],'NHL Model'!$A$6:$B$38,2,FALSE)</f>
        <v>-0.1792260169918948</v>
      </c>
      <c r="J900">
        <f>($B$1+Table4[[#This Row],[Home Differential]])-Table4[[#This Row],[Away Differential]]</f>
        <v>0.42798144636696356</v>
      </c>
      <c r="K900" t="str">
        <f>IF(Table4[[#This Row],[HomeIce Differential]]&gt;0,Table4[[#This Row],[Home]],Table4[[#This Row],[Visitor]])</f>
        <v>Utah Mammoth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0.58313573230053384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0.91666666666666663</v>
      </c>
      <c r="F901" t="s">
        <v>20</v>
      </c>
      <c r="G901">
        <f>VLOOKUP(Table4[[#This Row],[Home]],'NHL Model'!$A$6:$B$38,2,FALSE)</f>
        <v>-0.11283731617452618</v>
      </c>
      <c r="H901" t="s">
        <v>38</v>
      </c>
      <c r="I901">
        <f>VLOOKUP(Table4[[#This Row],[Visitor]],'NHL Model'!$A$6:$B$38,2,FALSE)</f>
        <v>-1.2664425175465013</v>
      </c>
      <c r="J901">
        <f>($B$1+Table4[[#This Row],[Home Differential]])-Table4[[#This Row],[Away Differential]]</f>
        <v>1.2617356632750771</v>
      </c>
      <c r="K901" t="str">
        <f>IF(Table4[[#This Row],[HomeIce Differential]]&gt;0,Table4[[#This Row],[Home]],Table4[[#This Row],[Visitor]])</f>
        <v>Vegas Golden Knights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0.6754527520650796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0.79166666666666663</v>
      </c>
      <c r="F902" t="s">
        <v>40</v>
      </c>
      <c r="G902">
        <f>VLOOKUP(Table4[[#This Row],[Home]],'NHL Model'!$A$6:$B$38,2,FALSE)</f>
        <v>-0.41982036690375685</v>
      </c>
      <c r="H902" t="s">
        <v>18</v>
      </c>
      <c r="I902">
        <f>VLOOKUP(Table4[[#This Row],[Visitor]],'NHL Model'!$A$6:$B$38,2,FALSE)</f>
        <v>-0.18787166436597766</v>
      </c>
      <c r="J902">
        <f>($B$1+Table4[[#This Row],[Home Differential]])-Table4[[#This Row],[Away Differential]]</f>
        <v>-0.12381824063467725</v>
      </c>
      <c r="K902" t="str">
        <f>IF(Table4[[#This Row],[HomeIce Differential]]&gt;0,Table4[[#This Row],[Home]],Table4[[#This Row],[Visitor]])</f>
        <v>Montreal Canadiens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0.51257915409783461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46058</v>
      </c>
      <c r="E903" s="2">
        <v>0.79166666666666663</v>
      </c>
      <c r="F903" t="s">
        <v>23</v>
      </c>
      <c r="G903">
        <f>VLOOKUP(Table4[[#This Row],[Home]],'NHL Model'!$A$6:$B$38,2,FALSE)</f>
        <v>0.12350258496936412</v>
      </c>
      <c r="H903" t="s">
        <v>14</v>
      </c>
      <c r="I903">
        <f>VLOOKUP(Table4[[#This Row],[Visitor]],'NHL Model'!$A$6:$B$38,2,FALSE)</f>
        <v>3.6611055984458557E-5</v>
      </c>
      <c r="J903">
        <f>($B$1+Table4[[#This Row],[Home Differential]])-Table4[[#This Row],[Away Differential]]</f>
        <v>0.23159643581648159</v>
      </c>
      <c r="K903" t="str">
        <f>IF(Table4[[#This Row],[HomeIce Differential]]&gt;0,Table4[[#This Row],[Home]],Table4[[#This Row],[Visitor]])</f>
        <v>Buffalo Sabres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0.55077943514240302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24</v>
      </c>
      <c r="G904">
        <f>VLOOKUP(Table4[[#This Row],[Home]],'NHL Model'!$A$6:$B$38,2,FALSE)</f>
        <v>-0.55013344272463272</v>
      </c>
      <c r="H904" t="s">
        <v>30</v>
      </c>
      <c r="I904">
        <f>VLOOKUP(Table4[[#This Row],[Visitor]],'NHL Model'!$A$6:$B$38,2,FALSE)</f>
        <v>-6.98902744359894E-2</v>
      </c>
      <c r="J904">
        <f>($B$1+Table4[[#This Row],[Home Differential]])-Table4[[#This Row],[Away Differential]]</f>
        <v>-0.37211270638554139</v>
      </c>
      <c r="K904" t="str">
        <f>IF(Table4[[#This Row],[HomeIce Differential]]&gt;0,Table4[[#This Row],[Home]],Table4[[#This Row],[Visitor]])</f>
        <v>New York Islanders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0.52980094413064993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15</v>
      </c>
      <c r="G905">
        <f>VLOOKUP(Table4[[#This Row],[Home]],'NHL Model'!$A$6:$B$38,2,FALSE)</f>
        <v>-0.62425830840281982</v>
      </c>
      <c r="H905" t="s">
        <v>25</v>
      </c>
      <c r="I905">
        <f>VLOOKUP(Table4[[#This Row],[Visitor]],'NHL Model'!$A$6:$B$38,2,FALSE)</f>
        <v>0.31465989886768042</v>
      </c>
      <c r="J905">
        <f>($B$1+Table4[[#This Row],[Home Differential]])-Table4[[#This Row],[Away Differential]]</f>
        <v>-0.8307877453673983</v>
      </c>
      <c r="K905" t="str">
        <f>IF(Table4[[#This Row],[HomeIce Differential]]&gt;0,Table4[[#This Row],[Home]],Table4[[#This Row],[Visitor]])</f>
        <v>Carolina Hurricanes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0.60847647275393957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27</v>
      </c>
      <c r="G906">
        <f>VLOOKUP(Table4[[#This Row],[Home]],'NHL Model'!$A$6:$B$38,2,FALSE)</f>
        <v>-0.39747316405117561</v>
      </c>
      <c r="H906" t="s">
        <v>36</v>
      </c>
      <c r="I906">
        <f>VLOOKUP(Table4[[#This Row],[Visitor]],'NHL Model'!$A$6:$B$38,2,FALSE)</f>
        <v>-0.179282670690569</v>
      </c>
      <c r="J906">
        <f>($B$1+Table4[[#This Row],[Home Differential]])-Table4[[#This Row],[Away Differential]]</f>
        <v>-0.11006003145750468</v>
      </c>
      <c r="K906" t="str">
        <f>IF(Table4[[#This Row],[HomeIce Differential]]&gt;0,Table4[[#This Row],[Home]],Table4[[#This Row],[Visitor]])</f>
        <v>Ottawa Senators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0.47264491099735317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0.8125</v>
      </c>
      <c r="F907" t="s">
        <v>37</v>
      </c>
      <c r="G907">
        <f>VLOOKUP(Table4[[#This Row],[Home]],'NHL Model'!$A$6:$B$38,2,FALSE)</f>
        <v>0.6987740059316554</v>
      </c>
      <c r="H907" t="s">
        <v>11</v>
      </c>
      <c r="I907">
        <f>VLOOKUP(Table4[[#This Row],[Visitor]],'NHL Model'!$A$6:$B$38,2,FALSE)</f>
        <v>-0.34412098011518399</v>
      </c>
      <c r="J907">
        <f>($B$1+Table4[[#This Row],[Home Differential]])-Table4[[#This Row],[Away Differential]]</f>
        <v>1.1510254479499413</v>
      </c>
      <c r="K907" t="str">
        <f>IF(Table4[[#This Row],[HomeIce Differential]]&gt;0,Table4[[#This Row],[Home]],Table4[[#This Row],[Visitor]])</f>
        <v>Tampa Bay Lightning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0.63420583199202063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0.91666666666666663</v>
      </c>
      <c r="F908" t="s">
        <v>20</v>
      </c>
      <c r="G908">
        <f>VLOOKUP(Table4[[#This Row],[Home]],'NHL Model'!$A$6:$B$38,2,FALSE)</f>
        <v>-0.11283731617452618</v>
      </c>
      <c r="H908" t="s">
        <v>13</v>
      </c>
      <c r="I908">
        <f>VLOOKUP(Table4[[#This Row],[Visitor]],'NHL Model'!$A$6:$B$38,2,FALSE)</f>
        <v>-0.36406236312551898</v>
      </c>
      <c r="J908">
        <f>($B$1+Table4[[#This Row],[Home Differential]])-Table4[[#This Row],[Away Differential]]</f>
        <v>0.35935550885409473</v>
      </c>
      <c r="K908" t="str">
        <f>IF(Table4[[#This Row],[HomeIce Differential]]&gt;0,Table4[[#This Row],[Home]],Table4[[#This Row],[Visitor]])</f>
        <v>Vegas Golden Knights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0.53929162676285436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0.79166666666666663</v>
      </c>
      <c r="F909" t="s">
        <v>22</v>
      </c>
      <c r="G909">
        <f>VLOOKUP(Table4[[#This Row],[Home]],'NHL Model'!$A$6:$B$38,2,FALSE)</f>
        <v>-0.12498445042942641</v>
      </c>
      <c r="H909" t="s">
        <v>29</v>
      </c>
      <c r="I909">
        <f>VLOOKUP(Table4[[#This Row],[Visitor]],'NHL Model'!$A$6:$B$38,2,FALSE)</f>
        <v>-0.72584022159035511</v>
      </c>
      <c r="J909">
        <f>($B$1+Table4[[#This Row],[Home Differential]])-Table4[[#This Row],[Away Differential]]</f>
        <v>0.70898623306403064</v>
      </c>
      <c r="K909" t="str">
        <f>IF(Table4[[#This Row],[HomeIce Differential]]&gt;0,Table4[[#This Row],[Home]],Table4[[#This Row],[Visitor]])</f>
        <v>Washington Capitals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0.61611272252977445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46078</v>
      </c>
      <c r="E910" s="2">
        <v>0.9375</v>
      </c>
      <c r="F910" t="s">
        <v>31</v>
      </c>
      <c r="G910">
        <f>VLOOKUP(Table4[[#This Row],[Home]],'NHL Model'!$A$6:$B$38,2,FALSE)</f>
        <v>-0.39000953236289804</v>
      </c>
      <c r="H910" t="s">
        <v>17</v>
      </c>
      <c r="I910">
        <f>VLOOKUP(Table4[[#This Row],[Visitor]],'NHL Model'!$A$6:$B$38,2,FALSE)</f>
        <v>-0.12154868922444324</v>
      </c>
      <c r="J910">
        <f>($B$1+Table4[[#This Row],[Home Differential]])-Table4[[#This Row],[Away Differential]]</f>
        <v>-0.16033038123535287</v>
      </c>
      <c r="K910" t="str">
        <f>IF(Table4[[#This Row],[HomeIce Differential]]&gt;0,Table4[[#This Row],[Home]],Table4[[#This Row],[Visitor]])</f>
        <v>Edmonton Oilers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0.44344166444314204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0.83333333333333337</v>
      </c>
      <c r="F911" t="s">
        <v>39</v>
      </c>
      <c r="G911">
        <f>VLOOKUP(Table4[[#This Row],[Home]],'NHL Model'!$A$6:$B$38,2,FALSE)</f>
        <v>0.24554986733769732</v>
      </c>
      <c r="H911" t="s">
        <v>32</v>
      </c>
      <c r="I911">
        <f>VLOOKUP(Table4[[#This Row],[Visitor]],'NHL Model'!$A$6:$B$38,2,FALSE)</f>
        <v>-0.42661371358543798</v>
      </c>
      <c r="J911">
        <f>($B$1+Table4[[#This Row],[Home Differential]])-Table4[[#This Row],[Away Differential]]</f>
        <v>0.78029404282623727</v>
      </c>
      <c r="K911" t="str">
        <f>IF(Table4[[#This Row],[HomeIce Differential]]&gt;0,Table4[[#This Row],[Home]],Table4[[#This Row],[Visitor]])</f>
        <v>Dallas Stars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0.64287335401920953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0.91666666666666663</v>
      </c>
      <c r="F912" t="s">
        <v>13</v>
      </c>
      <c r="G912">
        <f>VLOOKUP(Table4[[#This Row],[Home]],'NHL Model'!$A$6:$B$38,2,FALSE)</f>
        <v>-0.36406236312551898</v>
      </c>
      <c r="H912" t="s">
        <v>20</v>
      </c>
      <c r="I912">
        <f>VLOOKUP(Table4[[#This Row],[Visitor]],'NHL Model'!$A$6:$B$38,2,FALSE)</f>
        <v>-0.11283731617452618</v>
      </c>
      <c r="J912">
        <f>($B$1+Table4[[#This Row],[Home Differential]])-Table4[[#This Row],[Away Differential]]</f>
        <v>-0.14309458504789085</v>
      </c>
      <c r="K912" t="str">
        <f>IF(Table4[[#This Row],[HomeIce Differential]]&gt;0,Table4[[#This Row],[Home]],Table4[[#This Row],[Visitor]])</f>
        <v>Vegas Golden Knights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0.48671787448115483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0.79166666666666663</v>
      </c>
      <c r="F913" t="s">
        <v>24</v>
      </c>
      <c r="G913">
        <f>VLOOKUP(Table4[[#This Row],[Home]],'NHL Model'!$A$6:$B$38,2,FALSE)</f>
        <v>-0.55013344272463272</v>
      </c>
      <c r="H913" t="s">
        <v>23</v>
      </c>
      <c r="I913">
        <f>VLOOKUP(Table4[[#This Row],[Visitor]],'NHL Model'!$A$6:$B$38,2,FALSE)</f>
        <v>0.12350258496936412</v>
      </c>
      <c r="J913">
        <f>($B$1+Table4[[#This Row],[Home Differential]])-Table4[[#This Row],[Away Differential]]</f>
        <v>-0.56550556579089495</v>
      </c>
      <c r="K913" t="str">
        <f>IF(Table4[[#This Row],[HomeIce Differential]]&gt;0,Table4[[#This Row],[Home]],Table4[[#This Row],[Visitor]])</f>
        <v>Buffalo Sabres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0.55056249965979653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0.8125</v>
      </c>
      <c r="F914" t="s">
        <v>37</v>
      </c>
      <c r="G914">
        <f>VLOOKUP(Table4[[#This Row],[Home]],'NHL Model'!$A$6:$B$38,2,FALSE)</f>
        <v>0.6987740059316554</v>
      </c>
      <c r="H914" t="s">
        <v>19</v>
      </c>
      <c r="I914">
        <f>VLOOKUP(Table4[[#This Row],[Visitor]],'NHL Model'!$A$6:$B$38,2,FALSE)</f>
        <v>-0.38129365484385536</v>
      </c>
      <c r="J914">
        <f>($B$1+Table4[[#This Row],[Home Differential]])-Table4[[#This Row],[Away Differential]]</f>
        <v>1.1881981226786127</v>
      </c>
      <c r="K914" t="str">
        <f>IF(Table4[[#This Row],[HomeIce Differential]]&gt;0,Table4[[#This Row],[Home]],Table4[[#This Row],[Visitor]])</f>
        <v>Tampa Bay Lightning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0.69712693577251861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0.875</v>
      </c>
      <c r="F915" t="s">
        <v>55</v>
      </c>
      <c r="G915">
        <f>VLOOKUP(Table4[[#This Row],[Home]],'NHL Model'!$A$6:$B$38,2,FALSE)</f>
        <v>0.14062496747196682</v>
      </c>
      <c r="H915" t="s">
        <v>12</v>
      </c>
      <c r="I915">
        <f>VLOOKUP(Table4[[#This Row],[Visitor]],'NHL Model'!$A$6:$B$38,2,FALSE)</f>
        <v>1.1504937678265921</v>
      </c>
      <c r="J915">
        <f>($B$1+Table4[[#This Row],[Home Differential]])-Table4[[#This Row],[Away Differential]]</f>
        <v>-0.90173833845152329</v>
      </c>
      <c r="K915" t="str">
        <f>IF(Table4[[#This Row],[HomeIce Differential]]&gt;0,Table4[[#This Row],[Home]],Table4[[#This Row],[Visitor]])</f>
        <v>Colorado Avalanche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0.58660140872560906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0.91666666666666663</v>
      </c>
      <c r="F916" t="s">
        <v>38</v>
      </c>
      <c r="G916">
        <f>VLOOKUP(Table4[[#This Row],[Home]],'NHL Model'!$A$6:$B$38,2,FALSE)</f>
        <v>-1.2664425175465013</v>
      </c>
      <c r="H916" t="s">
        <v>40</v>
      </c>
      <c r="I916">
        <f>VLOOKUP(Table4[[#This Row],[Visitor]],'NHL Model'!$A$6:$B$38,2,FALSE)</f>
        <v>-0.41982036690375685</v>
      </c>
      <c r="J916">
        <f>($B$1+Table4[[#This Row],[Home Differential]])-Table4[[#This Row],[Away Differential]]</f>
        <v>-0.73849168873964244</v>
      </c>
      <c r="K916" t="str">
        <f>IF(Table4[[#This Row],[HomeIce Differential]]&gt;0,Table4[[#This Row],[Home]],Table4[[#This Row],[Visitor]])</f>
        <v>Winnipeg Jets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0.53928026014365305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0.79166666666666663</v>
      </c>
      <c r="F917" t="s">
        <v>22</v>
      </c>
      <c r="G917">
        <f>VLOOKUP(Table4[[#This Row],[Home]],'NHL Model'!$A$6:$B$38,2,FALSE)</f>
        <v>-0.12498445042942641</v>
      </c>
      <c r="H917" t="s">
        <v>27</v>
      </c>
      <c r="I917">
        <f>VLOOKUP(Table4[[#This Row],[Visitor]],'NHL Model'!$A$6:$B$38,2,FALSE)</f>
        <v>-0.39747316405117561</v>
      </c>
      <c r="J917">
        <f>($B$1+Table4[[#This Row],[Home Differential]])-Table4[[#This Row],[Away Differential]]</f>
        <v>0.38061917552485114</v>
      </c>
      <c r="K917" t="str">
        <f>IF(Table4[[#This Row],[HomeIce Differential]]&gt;0,Table4[[#This Row],[Home]],Table4[[#This Row],[Visitor]])</f>
        <v>Washington Capitals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0.58003161301747186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46079</v>
      </c>
      <c r="E918" s="2">
        <v>0.79166666666666663</v>
      </c>
      <c r="F918" t="s">
        <v>21</v>
      </c>
      <c r="G918">
        <f>VLOOKUP(Table4[[#This Row],[Home]],'NHL Model'!$A$6:$B$38,2,FALSE)</f>
        <v>-2.9858233272404857E-2</v>
      </c>
      <c r="H918" t="s">
        <v>28</v>
      </c>
      <c r="I918">
        <f>VLOOKUP(Table4[[#This Row],[Visitor]],'NHL Model'!$A$6:$B$38,2,FALSE)</f>
        <v>-0.36066890819319958</v>
      </c>
      <c r="J918">
        <f>($B$1+Table4[[#This Row],[Home Differential]])-Table4[[#This Row],[Away Differential]]</f>
        <v>0.43894113682389668</v>
      </c>
      <c r="K918" t="str">
        <f>IF(Table4[[#This Row],[HomeIce Differential]]&gt;0,Table4[[#This Row],[Home]],Table4[[#This Row],[Visitor]])</f>
        <v>Boston Bruins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0.63462994994535382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25</v>
      </c>
      <c r="G919">
        <f>VLOOKUP(Table4[[#This Row],[Home]],'NHL Model'!$A$6:$B$38,2,FALSE)</f>
        <v>0.31465989886768042</v>
      </c>
      <c r="H919" t="s">
        <v>37</v>
      </c>
      <c r="I919">
        <f>VLOOKUP(Table4[[#This Row],[Visitor]],'NHL Model'!$A$6:$B$38,2,FALSE)</f>
        <v>0.6987740059316554</v>
      </c>
      <c r="J919">
        <f>($B$1+Table4[[#This Row],[Home Differential]])-Table4[[#This Row],[Away Differential]]</f>
        <v>-0.27598364516087304</v>
      </c>
      <c r="K919" t="str">
        <f>IF(Table4[[#This Row],[HomeIce Differential]]&gt;0,Table4[[#This Row],[Home]],Table4[[#This Row],[Visitor]])</f>
        <v>Tampa Bay Lightning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0.543141545240031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0.875</v>
      </c>
      <c r="F920" t="s">
        <v>12</v>
      </c>
      <c r="G920">
        <f>VLOOKUP(Table4[[#This Row],[Home]],'NHL Model'!$A$6:$B$38,2,FALSE)</f>
        <v>1.1504937678265921</v>
      </c>
      <c r="H920" t="s">
        <v>34</v>
      </c>
      <c r="I920">
        <f>VLOOKUP(Table4[[#This Row],[Visitor]],'NHL Model'!$A$6:$B$38,2,FALSE)</f>
        <v>4.6716977502832858E-2</v>
      </c>
      <c r="J920">
        <f>($B$1+Table4[[#This Row],[Home Differential]])-Table4[[#This Row],[Away Differential]]</f>
        <v>1.2119072522268612</v>
      </c>
      <c r="K920" t="str">
        <f>IF(Table4[[#This Row],[HomeIce Differential]]&gt;0,Table4[[#This Row],[Home]],Table4[[#This Row],[Visitor]])</f>
        <v>Colorado Avalanche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0.70153202918109137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0.79166666666666663</v>
      </c>
      <c r="F921" t="s">
        <v>11</v>
      </c>
      <c r="G921">
        <f>VLOOKUP(Table4[[#This Row],[Home]],'NHL Model'!$A$6:$B$38,2,FALSE)</f>
        <v>-0.34412098011518399</v>
      </c>
      <c r="H921" t="s">
        <v>19</v>
      </c>
      <c r="I921">
        <f>VLOOKUP(Table4[[#This Row],[Visitor]],'NHL Model'!$A$6:$B$38,2,FALSE)</f>
        <v>-0.38129365484385536</v>
      </c>
      <c r="J921">
        <f>($B$1+Table4[[#This Row],[Home Differential]])-Table4[[#This Row],[Away Differential]]</f>
        <v>0.1453031366317733</v>
      </c>
      <c r="K921" t="str">
        <f>IF(Table4[[#This Row],[HomeIce Differential]]&gt;0,Table4[[#This Row],[Home]],Table4[[#This Row],[Visitor]])</f>
        <v>Florida Panthers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0.55559891688356844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0.9375</v>
      </c>
      <c r="F922" t="s">
        <v>13</v>
      </c>
      <c r="G922">
        <f>VLOOKUP(Table4[[#This Row],[Home]],'NHL Model'!$A$6:$B$38,2,FALSE)</f>
        <v>-0.36406236312551898</v>
      </c>
      <c r="H922" t="s">
        <v>17</v>
      </c>
      <c r="I922">
        <f>VLOOKUP(Table4[[#This Row],[Visitor]],'NHL Model'!$A$6:$B$38,2,FALSE)</f>
        <v>-0.12154868922444324</v>
      </c>
      <c r="J922">
        <f>($B$1+Table4[[#This Row],[Home Differential]])-Table4[[#This Row],[Away Differential]]</f>
        <v>-0.13438321199797382</v>
      </c>
      <c r="K922" t="str">
        <f>IF(Table4[[#This Row],[HomeIce Differential]]&gt;0,Table4[[#This Row],[Home]],Table4[[#This Row],[Visitor]])</f>
        <v>Edmonton Oilers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0.47673102566402986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0.79166666666666663</v>
      </c>
      <c r="F923" t="s">
        <v>18</v>
      </c>
      <c r="G923">
        <f>VLOOKUP(Table4[[#This Row],[Home]],'NHL Model'!$A$6:$B$38,2,FALSE)</f>
        <v>-0.18787166436597766</v>
      </c>
      <c r="H923" t="s">
        <v>30</v>
      </c>
      <c r="I923">
        <f>VLOOKUP(Table4[[#This Row],[Visitor]],'NHL Model'!$A$6:$B$38,2,FALSE)</f>
        <v>-6.98902744359894E-2</v>
      </c>
      <c r="J923">
        <f>($B$1+Table4[[#This Row],[Home Differential]])-Table4[[#This Row],[Away Differential]]</f>
        <v>-9.8509280268863075E-3</v>
      </c>
      <c r="K923" t="str">
        <f>IF(Table4[[#This Row],[HomeIce Differential]]&gt;0,Table4[[#This Row],[Home]],Table4[[#This Row],[Visitor]])</f>
        <v>New York Islanders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0.48381616019691875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0.83333333333333337</v>
      </c>
      <c r="F924" t="s">
        <v>29</v>
      </c>
      <c r="G924">
        <f>VLOOKUP(Table4[[#This Row],[Home]],'NHL Model'!$A$6:$B$38,2,FALSE)</f>
        <v>-0.72584022159035511</v>
      </c>
      <c r="H924" t="s">
        <v>10</v>
      </c>
      <c r="I924">
        <f>VLOOKUP(Table4[[#This Row],[Visitor]],'NHL Model'!$A$6:$B$38,2,FALSE)</f>
        <v>-0.75050764651940183</v>
      </c>
      <c r="J924">
        <f>($B$1+Table4[[#This Row],[Home Differential]])-Table4[[#This Row],[Away Differential]]</f>
        <v>0.13279788683214866</v>
      </c>
      <c r="K924" t="str">
        <f>IF(Table4[[#This Row],[HomeIce Differential]]&gt;0,Table4[[#This Row],[Home]],Table4[[#This Row],[Visitor]])</f>
        <v>Nashville Predators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0.55425642451379287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15</v>
      </c>
      <c r="G925">
        <f>VLOOKUP(Table4[[#This Row],[Home]],'NHL Model'!$A$6:$B$38,2,FALSE)</f>
        <v>-0.62425830840281982</v>
      </c>
      <c r="H925" t="s">
        <v>27</v>
      </c>
      <c r="I925">
        <f>VLOOKUP(Table4[[#This Row],[Visitor]],'NHL Model'!$A$6:$B$38,2,FALSE)</f>
        <v>-0.39747316405117561</v>
      </c>
      <c r="J925">
        <f>($B$1+Table4[[#This Row],[Home Differential]])-Table4[[#This Row],[Away Differential]]</f>
        <v>-0.11865468244854227</v>
      </c>
      <c r="K925" t="str">
        <f>IF(Table4[[#This Row],[HomeIce Differential]]&gt;0,Table4[[#This Row],[Home]],Table4[[#This Row],[Visitor]])</f>
        <v>Philadelphia Flyers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0.4735675837596916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0.79166666666666663</v>
      </c>
      <c r="F926" t="s">
        <v>36</v>
      </c>
      <c r="G926">
        <f>VLOOKUP(Table4[[#This Row],[Home]],'NHL Model'!$A$6:$B$38,2,FALSE)</f>
        <v>-0.179282670690569</v>
      </c>
      <c r="H926" t="s">
        <v>26</v>
      </c>
      <c r="I926">
        <f>VLOOKUP(Table4[[#This Row],[Visitor]],'NHL Model'!$A$6:$B$38,2,FALSE)</f>
        <v>-0.1792260169918948</v>
      </c>
      <c r="J926">
        <f>($B$1+Table4[[#This Row],[Home Differential]])-Table4[[#This Row],[Away Differential]]</f>
        <v>0.10807380820442776</v>
      </c>
      <c r="K926" t="str">
        <f>IF(Table4[[#This Row],[HomeIce Differential]]&gt;0,Table4[[#This Row],[Home]],Table4[[#This Row],[Visitor]])</f>
        <v>Ottawa Senators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0.51231545505962939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14</v>
      </c>
      <c r="G927">
        <f>VLOOKUP(Table4[[#This Row],[Home]],'NHL Model'!$A$6:$B$38,2,FALSE)</f>
        <v>3.6611055984458557E-5</v>
      </c>
      <c r="H927" t="s">
        <v>24</v>
      </c>
      <c r="I927">
        <f>VLOOKUP(Table4[[#This Row],[Visitor]],'NHL Model'!$A$6:$B$38,2,FALSE)</f>
        <v>-0.55013344272463272</v>
      </c>
      <c r="J927">
        <f>($B$1+Table4[[#This Row],[Home Differential]])-Table4[[#This Row],[Away Differential]]</f>
        <v>0.65830051568371917</v>
      </c>
      <c r="K927" t="str">
        <f>IF(Table4[[#This Row],[HomeIce Differential]]&gt;0,Table4[[#This Row],[Home]],Table4[[#This Row],[Visitor]])</f>
        <v>Pittsburgh Penguins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0.58143460208725395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0.91666666666666663</v>
      </c>
      <c r="F928" t="s">
        <v>33</v>
      </c>
      <c r="G928">
        <f>VLOOKUP(Table4[[#This Row],[Home]],'NHL Model'!$A$6:$B$38,2,FALSE)</f>
        <v>-0.46908405058827807</v>
      </c>
      <c r="H928" t="s">
        <v>16</v>
      </c>
      <c r="I928">
        <f>VLOOKUP(Table4[[#This Row],[Visitor]],'NHL Model'!$A$6:$B$38,2,FALSE)</f>
        <v>-0.77822387693813933</v>
      </c>
      <c r="J928">
        <f>($B$1+Table4[[#This Row],[Home Differential]])-Table4[[#This Row],[Away Differential]]</f>
        <v>0.4172702882529632</v>
      </c>
      <c r="K928" t="str">
        <f>IF(Table4[[#This Row],[HomeIce Differential]]&gt;0,Table4[[#This Row],[Home]],Table4[[#This Row],[Visitor]])</f>
        <v>San Jose Sharks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0.58479576074765405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0.83333333333333337</v>
      </c>
      <c r="F929" t="s">
        <v>35</v>
      </c>
      <c r="G929">
        <f>VLOOKUP(Table4[[#This Row],[Home]],'NHL Model'!$A$6:$B$38,2,FALSE)</f>
        <v>-1.236228034931707</v>
      </c>
      <c r="H929" t="s">
        <v>32</v>
      </c>
      <c r="I929">
        <f>VLOOKUP(Table4[[#This Row],[Visitor]],'NHL Model'!$A$6:$B$38,2,FALSE)</f>
        <v>-0.42661371358543798</v>
      </c>
      <c r="J929">
        <f>($B$1+Table4[[#This Row],[Home Differential]])-Table4[[#This Row],[Away Differential]]</f>
        <v>-0.70148385944316693</v>
      </c>
      <c r="K929" t="str">
        <f>IF(Table4[[#This Row],[HomeIce Differential]]&gt;0,Table4[[#This Row],[Home]],Table4[[#This Row],[Visitor]])</f>
        <v>Seattle Kraken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0.53530731044264313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46080</v>
      </c>
      <c r="E930" s="2">
        <v>0.91666666666666663</v>
      </c>
      <c r="F930" t="s">
        <v>31</v>
      </c>
      <c r="G930">
        <f>VLOOKUP(Table4[[#This Row],[Home]],'NHL Model'!$A$6:$B$38,2,FALSE)</f>
        <v>-0.39000953236289804</v>
      </c>
      <c r="H930" t="s">
        <v>40</v>
      </c>
      <c r="I930">
        <f>VLOOKUP(Table4[[#This Row],[Visitor]],'NHL Model'!$A$6:$B$38,2,FALSE)</f>
        <v>-0.41982036690375685</v>
      </c>
      <c r="J930">
        <f>($B$1+Table4[[#This Row],[Home Differential]])-Table4[[#This Row],[Away Differential]]</f>
        <v>0.13794129644396075</v>
      </c>
      <c r="K930" t="str">
        <f>IF(Table4[[#This Row],[HomeIce Differential]]&gt;0,Table4[[#This Row],[Home]],Table4[[#This Row],[Visitor]])</f>
        <v>Anaheim Ducks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0.59084545802456667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0.79166666666666663</v>
      </c>
      <c r="F931" t="s">
        <v>11</v>
      </c>
      <c r="G931">
        <f>VLOOKUP(Table4[[#This Row],[Home]],'NHL Model'!$A$6:$B$38,2,FALSE)</f>
        <v>-0.34412098011518399</v>
      </c>
      <c r="H931" t="s">
        <v>23</v>
      </c>
      <c r="I931">
        <f>VLOOKUP(Table4[[#This Row],[Visitor]],'NHL Model'!$A$6:$B$38,2,FALSE)</f>
        <v>0.12350258496936412</v>
      </c>
      <c r="J931">
        <f>($B$1+Table4[[#This Row],[Home Differential]])-Table4[[#This Row],[Away Differential]]</f>
        <v>-0.35949310318144617</v>
      </c>
      <c r="K931" t="str">
        <f>IF(Table4[[#This Row],[HomeIce Differential]]&gt;0,Table4[[#This Row],[Home]],Table4[[#This Row],[Visitor]])</f>
        <v>Buffalo Sabres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0.52844617543089945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0.875</v>
      </c>
      <c r="F932" t="s">
        <v>55</v>
      </c>
      <c r="G932">
        <f>VLOOKUP(Table4[[#This Row],[Home]],'NHL Model'!$A$6:$B$38,2,FALSE)</f>
        <v>0.14062496747196682</v>
      </c>
      <c r="H932" t="s">
        <v>34</v>
      </c>
      <c r="I932">
        <f>VLOOKUP(Table4[[#This Row],[Visitor]],'NHL Model'!$A$6:$B$38,2,FALSE)</f>
        <v>4.6716977502832858E-2</v>
      </c>
      <c r="J932">
        <f>($B$1+Table4[[#This Row],[Home Differential]])-Table4[[#This Row],[Away Differential]]</f>
        <v>0.20203845187223593</v>
      </c>
      <c r="K932" t="str">
        <f>IF(Table4[[#This Row],[HomeIce Differential]]&gt;0,Table4[[#This Row],[Home]],Table4[[#This Row],[Visitor]])</f>
        <v>Utah Mammoth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0.54168969707809245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0.79166666666666663</v>
      </c>
      <c r="F933" t="s">
        <v>22</v>
      </c>
      <c r="G933">
        <f>VLOOKUP(Table4[[#This Row],[Home]],'NHL Model'!$A$6:$B$38,2,FALSE)</f>
        <v>-0.12498445042942641</v>
      </c>
      <c r="H933" t="s">
        <v>20</v>
      </c>
      <c r="I933">
        <f>VLOOKUP(Table4[[#This Row],[Visitor]],'NHL Model'!$A$6:$B$38,2,FALSE)</f>
        <v>-0.11283731617452618</v>
      </c>
      <c r="J933">
        <f>($B$1+Table4[[#This Row],[Home Differential]])-Table4[[#This Row],[Away Differential]]</f>
        <v>9.5983327648201722E-2</v>
      </c>
      <c r="K933" t="str">
        <f>IF(Table4[[#This Row],[HomeIce Differential]]&gt;0,Table4[[#This Row],[Home]],Table4[[#This Row],[Visitor]])</f>
        <v>Washington Capitals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0.53894816807850654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46081</v>
      </c>
      <c r="E934" s="2">
        <v>0.79166666666666663</v>
      </c>
      <c r="F934" t="s">
        <v>25</v>
      </c>
      <c r="G934">
        <f>VLOOKUP(Table4[[#This Row],[Home]],'NHL Model'!$A$6:$B$38,2,FALSE)</f>
        <v>0.31465989886768042</v>
      </c>
      <c r="H934" t="s">
        <v>26</v>
      </c>
      <c r="I934">
        <f>VLOOKUP(Table4[[#This Row],[Visitor]],'NHL Model'!$A$6:$B$38,2,FALSE)</f>
        <v>-0.1792260169918948</v>
      </c>
      <c r="J934">
        <f>($B$1+Table4[[#This Row],[Home Differential]])-Table4[[#This Row],[Away Differential]]</f>
        <v>0.60201637776267714</v>
      </c>
      <c r="K934" t="str">
        <f>IF(Table4[[#This Row],[HomeIce Differential]]&gt;0,Table4[[#This Row],[Home]],Table4[[#This Row],[Visitor]])</f>
        <v>Carolina Hurricanes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0.60881509483743979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0.75</v>
      </c>
      <c r="F935" t="s">
        <v>28</v>
      </c>
      <c r="G935">
        <f>VLOOKUP(Table4[[#This Row],[Home]],'NHL Model'!$A$6:$B$38,2,FALSE)</f>
        <v>-0.36066890819319958</v>
      </c>
      <c r="H935" t="s">
        <v>30</v>
      </c>
      <c r="I935">
        <f>VLOOKUP(Table4[[#This Row],[Visitor]],'NHL Model'!$A$6:$B$38,2,FALSE)</f>
        <v>-6.98902744359894E-2</v>
      </c>
      <c r="J935">
        <f>($B$1+Table4[[#This Row],[Home Differential]])-Table4[[#This Row],[Away Differential]]</f>
        <v>-0.18264817185410825</v>
      </c>
      <c r="K935" t="str">
        <f>IF(Table4[[#This Row],[HomeIce Differential]]&gt;0,Table4[[#This Row],[Home]],Table4[[#This Row],[Visitor]])</f>
        <v>New York Islanders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0.50946111117832027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12</v>
      </c>
      <c r="G936">
        <f>VLOOKUP(Table4[[#This Row],[Home]],'NHL Model'!$A$6:$B$38,2,FALSE)</f>
        <v>1.1504937678265921</v>
      </c>
      <c r="H936" t="s">
        <v>10</v>
      </c>
      <c r="I936">
        <f>VLOOKUP(Table4[[#This Row],[Visitor]],'NHL Model'!$A$6:$B$38,2,FALSE)</f>
        <v>-0.75050764651940183</v>
      </c>
      <c r="J936">
        <f>($B$1+Table4[[#This Row],[Home Differential]])-Table4[[#This Row],[Away Differential]]</f>
        <v>2.0091318762490959</v>
      </c>
      <c r="K936" t="str">
        <f>IF(Table4[[#This Row],[HomeIce Differential]]&gt;0,Table4[[#This Row],[Home]],Table4[[#This Row],[Visitor]])</f>
        <v>Colorado Avalanche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0.84147117898170265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0.83333333333333337</v>
      </c>
      <c r="F937" t="s">
        <v>39</v>
      </c>
      <c r="G937">
        <f>VLOOKUP(Table4[[#This Row],[Home]],'NHL Model'!$A$6:$B$38,2,FALSE)</f>
        <v>0.24554986733769732</v>
      </c>
      <c r="H937" t="s">
        <v>29</v>
      </c>
      <c r="I937">
        <f>VLOOKUP(Table4[[#This Row],[Visitor]],'NHL Model'!$A$6:$B$38,2,FALSE)</f>
        <v>-0.72584022159035511</v>
      </c>
      <c r="J937">
        <f>($B$1+Table4[[#This Row],[Home Differential]])-Table4[[#This Row],[Away Differential]]</f>
        <v>1.0795205508311545</v>
      </c>
      <c r="K937" t="str">
        <f>IF(Table4[[#This Row],[HomeIce Differential]]&gt;0,Table4[[#This Row],[Home]],Table4[[#This Row],[Visitor]])</f>
        <v>Dallas Stars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0.67499660707435694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0.79166666666666663</v>
      </c>
      <c r="F938" t="s">
        <v>13</v>
      </c>
      <c r="G938">
        <f>VLOOKUP(Table4[[#This Row],[Home]],'NHL Model'!$A$6:$B$38,2,FALSE)</f>
        <v>-0.36406236312551898</v>
      </c>
      <c r="H938" t="s">
        <v>16</v>
      </c>
      <c r="I938">
        <f>VLOOKUP(Table4[[#This Row],[Visitor]],'NHL Model'!$A$6:$B$38,2,FALSE)</f>
        <v>-0.77822387693813933</v>
      </c>
      <c r="J938">
        <f>($B$1+Table4[[#This Row],[Home Differential]])-Table4[[#This Row],[Away Differential]]</f>
        <v>0.52229197571572228</v>
      </c>
      <c r="K938" t="str">
        <f>IF(Table4[[#This Row],[HomeIce Differential]]&gt;0,Table4[[#This Row],[Home]],Table4[[#This Row],[Visitor]])</f>
        <v>Los Angeles Kings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0.59607029075215945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18</v>
      </c>
      <c r="G939">
        <f>VLOOKUP(Table4[[#This Row],[Home]],'NHL Model'!$A$6:$B$38,2,FALSE)</f>
        <v>-0.18787166436597766</v>
      </c>
      <c r="H939" t="s">
        <v>22</v>
      </c>
      <c r="I939">
        <f>VLOOKUP(Table4[[#This Row],[Visitor]],'NHL Model'!$A$6:$B$38,2,FALSE)</f>
        <v>-0.12498445042942641</v>
      </c>
      <c r="J939">
        <f>($B$1+Table4[[#This Row],[Home Differential]])-Table4[[#This Row],[Away Differential]]</f>
        <v>4.5243247966550701E-2</v>
      </c>
      <c r="K939" t="str">
        <f>IF(Table4[[#This Row],[HomeIce Differential]]&gt;0,Table4[[#This Row],[Home]],Table4[[#This Row],[Visitor]])</f>
        <v>Montreal Canadiens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0.55190300918805379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0.52083333333333337</v>
      </c>
      <c r="F940" t="s">
        <v>15</v>
      </c>
      <c r="G940">
        <f>VLOOKUP(Table4[[#This Row],[Home]],'NHL Model'!$A$6:$B$38,2,FALSE)</f>
        <v>-0.62425830840281982</v>
      </c>
      <c r="H940" t="s">
        <v>14</v>
      </c>
      <c r="I940">
        <f>VLOOKUP(Table4[[#This Row],[Visitor]],'NHL Model'!$A$6:$B$38,2,FALSE)</f>
        <v>3.6611055984458557E-5</v>
      </c>
      <c r="J940">
        <f>($B$1+Table4[[#This Row],[Home Differential]])-Table4[[#This Row],[Away Differential]]</f>
        <v>-0.51616445755570228</v>
      </c>
      <c r="K940" t="str">
        <f>IF(Table4[[#This Row],[HomeIce Differential]]&gt;0,Table4[[#This Row],[Home]],Table4[[#This Row],[Visitor]])</f>
        <v>Pittsburgh Penguins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0.57194140093389423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0.625</v>
      </c>
      <c r="F941" t="s">
        <v>27</v>
      </c>
      <c r="G941">
        <f>VLOOKUP(Table4[[#This Row],[Home]],'NHL Model'!$A$6:$B$38,2,FALSE)</f>
        <v>-0.39747316405117561</v>
      </c>
      <c r="H941" t="s">
        <v>21</v>
      </c>
      <c r="I941">
        <f>VLOOKUP(Table4[[#This Row],[Visitor]],'NHL Model'!$A$6:$B$38,2,FALSE)</f>
        <v>-2.9858233272404857E-2</v>
      </c>
      <c r="J941">
        <f>($B$1+Table4[[#This Row],[Home Differential]])-Table4[[#This Row],[Away Differential]]</f>
        <v>-0.25948446887566884</v>
      </c>
      <c r="K941" t="str">
        <f>IF(Table4[[#This Row],[HomeIce Differential]]&gt;0,Table4[[#This Row],[Home]],Table4[[#This Row],[Visitor]])</f>
        <v>Boston Bruins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0.48785677416466278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0.91666666666666663</v>
      </c>
      <c r="F942" t="s">
        <v>32</v>
      </c>
      <c r="G942">
        <f>VLOOKUP(Table4[[#This Row],[Home]],'NHL Model'!$A$6:$B$38,2,FALSE)</f>
        <v>-0.42661371358543798</v>
      </c>
      <c r="H942" t="s">
        <v>38</v>
      </c>
      <c r="I942">
        <f>VLOOKUP(Table4[[#This Row],[Visitor]],'NHL Model'!$A$6:$B$38,2,FALSE)</f>
        <v>-1.2664425175465013</v>
      </c>
      <c r="J942">
        <f>($B$1+Table4[[#This Row],[Home Differential]])-Table4[[#This Row],[Away Differential]]</f>
        <v>0.94795926586416523</v>
      </c>
      <c r="K942" t="str">
        <f>IF(Table4[[#This Row],[HomeIce Differential]]&gt;0,Table4[[#This Row],[Home]],Table4[[#This Row],[Visitor]])</f>
        <v>Seattle Kraken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0.64176750578135933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0.66666666666666663</v>
      </c>
      <c r="F943" t="s">
        <v>33</v>
      </c>
      <c r="G943">
        <f>VLOOKUP(Table4[[#This Row],[Home]],'NHL Model'!$A$6:$B$38,2,FALSE)</f>
        <v>-0.46908405058827807</v>
      </c>
      <c r="H943" t="s">
        <v>17</v>
      </c>
      <c r="I943">
        <f>VLOOKUP(Table4[[#This Row],[Visitor]],'NHL Model'!$A$6:$B$38,2,FALSE)</f>
        <v>-0.12154868922444324</v>
      </c>
      <c r="J943">
        <f>($B$1+Table4[[#This Row],[Home Differential]])-Table4[[#This Row],[Away Differential]]</f>
        <v>-0.2394048994607329</v>
      </c>
      <c r="K943" t="str">
        <f>IF(Table4[[#This Row],[HomeIce Differential]]&gt;0,Table4[[#This Row],[Home]],Table4[[#This Row],[Visitor]])</f>
        <v>Edmonton Oilers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0.48800555566853526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0.70833333333333337</v>
      </c>
      <c r="F944" t="s">
        <v>35</v>
      </c>
      <c r="G944">
        <f>VLOOKUP(Table4[[#This Row],[Home]],'NHL Model'!$A$6:$B$38,2,FALSE)</f>
        <v>-1.236228034931707</v>
      </c>
      <c r="H944" t="s">
        <v>24</v>
      </c>
      <c r="I944">
        <f>VLOOKUP(Table4[[#This Row],[Visitor]],'NHL Model'!$A$6:$B$38,2,FALSE)</f>
        <v>-0.55013344272463272</v>
      </c>
      <c r="J944">
        <f>($B$1+Table4[[#This Row],[Home Differential]])-Table4[[#This Row],[Away Differential]]</f>
        <v>-0.5779641303039722</v>
      </c>
      <c r="K944" t="str">
        <f>IF(Table4[[#This Row],[HomeIce Differential]]&gt;0,Table4[[#This Row],[Home]],Table4[[#This Row],[Visitor]])</f>
        <v>New Jersey Devils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0.55128372668307779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0.79166666666666663</v>
      </c>
      <c r="F945" t="s">
        <v>37</v>
      </c>
      <c r="G945">
        <f>VLOOKUP(Table4[[#This Row],[Home]],'NHL Model'!$A$6:$B$38,2,FALSE)</f>
        <v>0.6987740059316554</v>
      </c>
      <c r="H945" t="s">
        <v>23</v>
      </c>
      <c r="I945">
        <f>VLOOKUP(Table4[[#This Row],[Visitor]],'NHL Model'!$A$6:$B$38,2,FALSE)</f>
        <v>0.12350258496936412</v>
      </c>
      <c r="J945">
        <f>($B$1+Table4[[#This Row],[Home Differential]])-Table4[[#This Row],[Away Differential]]</f>
        <v>0.68340188286539316</v>
      </c>
      <c r="K945" t="str">
        <f>IF(Table4[[#This Row],[HomeIce Differential]]&gt;0,Table4[[#This Row],[Home]],Table4[[#This Row],[Visitor]])</f>
        <v>Tampa Bay Lightning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0.61336613245938909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19</v>
      </c>
      <c r="G946">
        <f>VLOOKUP(Table4[[#This Row],[Home]],'NHL Model'!$A$6:$B$38,2,FALSE)</f>
        <v>-0.38129365484385536</v>
      </c>
      <c r="H946" t="s">
        <v>36</v>
      </c>
      <c r="I946">
        <f>VLOOKUP(Table4[[#This Row],[Visitor]],'NHL Model'!$A$6:$B$38,2,FALSE)</f>
        <v>-0.179282670690569</v>
      </c>
      <c r="J946">
        <f>($B$1+Table4[[#This Row],[Home Differential]])-Table4[[#This Row],[Away Differential]]</f>
        <v>-9.3880522250184423E-2</v>
      </c>
      <c r="K946" t="str">
        <f>IF(Table4[[#This Row],[HomeIce Differential]]&gt;0,Table4[[#This Row],[Home]],Table4[[#This Row],[Visitor]])</f>
        <v>Ottawa Senators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0.47090797107167559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46082</v>
      </c>
      <c r="E947" s="2">
        <v>0.83333333333333337</v>
      </c>
      <c r="F947" t="s">
        <v>31</v>
      </c>
      <c r="G947">
        <f>VLOOKUP(Table4[[#This Row],[Home]],'NHL Model'!$A$6:$B$38,2,FALSE)</f>
        <v>-0.39000953236289804</v>
      </c>
      <c r="H947" t="s">
        <v>16</v>
      </c>
      <c r="I947">
        <f>VLOOKUP(Table4[[#This Row],[Visitor]],'NHL Model'!$A$6:$B$38,2,FALSE)</f>
        <v>-0.77822387693813933</v>
      </c>
      <c r="J947">
        <f>($B$1+Table4[[#This Row],[Home Differential]])-Table4[[#This Row],[Away Differential]]</f>
        <v>0.49634480647834323</v>
      </c>
      <c r="K947" t="str">
        <f>IF(Table4[[#This Row],[HomeIce Differential]]&gt;0,Table4[[#This Row],[Home]],Table4[[#This Row],[Visitor]])</f>
        <v>Anaheim Ducks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0.62932161685638499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0.70833333333333337</v>
      </c>
      <c r="F948" t="s">
        <v>34</v>
      </c>
      <c r="G948">
        <f>VLOOKUP(Table4[[#This Row],[Home]],'NHL Model'!$A$6:$B$38,2,FALSE)</f>
        <v>4.6716977502832858E-2</v>
      </c>
      <c r="H948" t="s">
        <v>35</v>
      </c>
      <c r="I948">
        <f>VLOOKUP(Table4[[#This Row],[Visitor]],'NHL Model'!$A$6:$B$38,2,FALSE)</f>
        <v>-1.236228034931707</v>
      </c>
      <c r="J948">
        <f>($B$1+Table4[[#This Row],[Home Differential]])-Table4[[#This Row],[Away Differential]]</f>
        <v>1.3910754743376419</v>
      </c>
      <c r="K948" t="str">
        <f>IF(Table4[[#This Row],[HomeIce Differential]]&gt;0,Table4[[#This Row],[Home]],Table4[[#This Row],[Visitor]])</f>
        <v>Minnesota Wild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0.68933793726665082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0.77083333333333337</v>
      </c>
      <c r="F949" t="s">
        <v>30</v>
      </c>
      <c r="G949">
        <f>VLOOKUP(Table4[[#This Row],[Home]],'NHL Model'!$A$6:$B$38,2,FALSE)</f>
        <v>-6.98902744359894E-2</v>
      </c>
      <c r="H949" t="s">
        <v>11</v>
      </c>
      <c r="I949">
        <f>VLOOKUP(Table4[[#This Row],[Visitor]],'NHL Model'!$A$6:$B$38,2,FALSE)</f>
        <v>-0.34412098011518399</v>
      </c>
      <c r="J949">
        <f>($B$1+Table4[[#This Row],[Home Differential]])-Table4[[#This Row],[Away Differential]]</f>
        <v>0.38236116758229655</v>
      </c>
      <c r="K949" t="str">
        <f>IF(Table4[[#This Row],[HomeIce Differential]]&gt;0,Table4[[#This Row],[Home]],Table4[[#This Row],[Visitor]])</f>
        <v>New York Islanders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0.53828568550808342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0.54166666666666663</v>
      </c>
      <c r="F950" t="s">
        <v>14</v>
      </c>
      <c r="G950">
        <f>VLOOKUP(Table4[[#This Row],[Home]],'NHL Model'!$A$6:$B$38,2,FALSE)</f>
        <v>3.6611055984458557E-5</v>
      </c>
      <c r="H950" t="s">
        <v>20</v>
      </c>
      <c r="I950">
        <f>VLOOKUP(Table4[[#This Row],[Visitor]],'NHL Model'!$A$6:$B$38,2,FALSE)</f>
        <v>-0.11283731617452618</v>
      </c>
      <c r="J950">
        <f>($B$1+Table4[[#This Row],[Home Differential]])-Table4[[#This Row],[Away Differential]]</f>
        <v>0.22100438913361259</v>
      </c>
      <c r="K950" t="str">
        <f>IF(Table4[[#This Row],[HomeIce Differential]]&gt;0,Table4[[#This Row],[Home]],Table4[[#This Row],[Visitor]])</f>
        <v>Pittsburgh Penguins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0.55236971693156811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0.66666666666666663</v>
      </c>
      <c r="F951" t="s">
        <v>33</v>
      </c>
      <c r="G951">
        <f>VLOOKUP(Table4[[#This Row],[Home]],'NHL Model'!$A$6:$B$38,2,FALSE)</f>
        <v>-0.46908405058827807</v>
      </c>
      <c r="H951" t="s">
        <v>40</v>
      </c>
      <c r="I951">
        <f>VLOOKUP(Table4[[#This Row],[Visitor]],'NHL Model'!$A$6:$B$38,2,FALSE)</f>
        <v>-0.41982036690375685</v>
      </c>
      <c r="J951">
        <f>($B$1+Table4[[#This Row],[Home Differential]])-Table4[[#This Row],[Away Differential]]</f>
        <v>5.8866778218580718E-2</v>
      </c>
      <c r="K951" t="str">
        <f>IF(Table4[[#This Row],[HomeIce Differential]]&gt;0,Table4[[#This Row],[Home]],Table4[[#This Row],[Visitor]])</f>
        <v>San Jose Sharks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0.54631960191583573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55</v>
      </c>
      <c r="G952">
        <f>VLOOKUP(Table4[[#This Row],[Home]],'NHL Model'!$A$6:$B$38,2,FALSE)</f>
        <v>0.14062496747196682</v>
      </c>
      <c r="H952" t="s">
        <v>10</v>
      </c>
      <c r="I952">
        <f>VLOOKUP(Table4[[#This Row],[Visitor]],'NHL Model'!$A$6:$B$38,2,FALSE)</f>
        <v>-0.75050764651940183</v>
      </c>
      <c r="J952">
        <f>($B$1+Table4[[#This Row],[Home Differential]])-Table4[[#This Row],[Away Differential]]</f>
        <v>0.99926307589447061</v>
      </c>
      <c r="K952" t="str">
        <f>IF(Table4[[#This Row],[HomeIce Differential]]&gt;0,Table4[[#This Row],[Home]],Table4[[#This Row],[Visitor]])</f>
        <v>Utah Mammoth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0.68331205688199115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46083</v>
      </c>
      <c r="E953" s="2">
        <v>0.9375</v>
      </c>
      <c r="F953" t="s">
        <v>13</v>
      </c>
      <c r="G953">
        <f>VLOOKUP(Table4[[#This Row],[Home]],'NHL Model'!$A$6:$B$38,2,FALSE)</f>
        <v>-0.36406236312551898</v>
      </c>
      <c r="H953" t="s">
        <v>12</v>
      </c>
      <c r="I953">
        <f>VLOOKUP(Table4[[#This Row],[Visitor]],'NHL Model'!$A$6:$B$38,2,FALSE)</f>
        <v>1.1504937678265921</v>
      </c>
      <c r="J953">
        <f>($B$1+Table4[[#This Row],[Home Differential]])-Table4[[#This Row],[Away Differential]]</f>
        <v>-1.4064256690490091</v>
      </c>
      <c r="K953" t="str">
        <f>IF(Table4[[#This Row],[HomeIce Differential]]&gt;0,Table4[[#This Row],[Home]],Table4[[#This Row],[Visitor]])</f>
        <v>Colorado Avalanche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0.67730163618674988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0.83333333333333337</v>
      </c>
      <c r="F954" t="s">
        <v>29</v>
      </c>
      <c r="G954">
        <f>VLOOKUP(Table4[[#This Row],[Home]],'NHL Model'!$A$6:$B$38,2,FALSE)</f>
        <v>-0.72584022159035511</v>
      </c>
      <c r="H954" t="s">
        <v>26</v>
      </c>
      <c r="I954">
        <f>VLOOKUP(Table4[[#This Row],[Visitor]],'NHL Model'!$A$6:$B$38,2,FALSE)</f>
        <v>-0.1792260169918948</v>
      </c>
      <c r="J954">
        <f>($B$1+Table4[[#This Row],[Home Differential]])-Table4[[#This Row],[Away Differential]]</f>
        <v>-0.43848374269535839</v>
      </c>
      <c r="K954" t="str">
        <f>IF(Table4[[#This Row],[HomeIce Differential]]&gt;0,Table4[[#This Row],[Home]],Table4[[#This Row],[Visitor]])</f>
        <v>Detroit Red Wings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0.54635984959107675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0.79166666666666663</v>
      </c>
      <c r="F955" t="s">
        <v>15</v>
      </c>
      <c r="G955">
        <f>VLOOKUP(Table4[[#This Row],[Home]],'NHL Model'!$A$6:$B$38,2,FALSE)</f>
        <v>-0.62425830840281982</v>
      </c>
      <c r="H955" t="s">
        <v>28</v>
      </c>
      <c r="I955">
        <f>VLOOKUP(Table4[[#This Row],[Visitor]],'NHL Model'!$A$6:$B$38,2,FALSE)</f>
        <v>-0.36066890819319958</v>
      </c>
      <c r="J955">
        <f>($B$1+Table4[[#This Row],[Home Differential]])-Table4[[#This Row],[Away Differential]]</f>
        <v>-0.1554589383065183</v>
      </c>
      <c r="K955" t="str">
        <f>IF(Table4[[#This Row],[HomeIce Differential]]&gt;0,Table4[[#This Row],[Home]],Table4[[#This Row],[Visitor]])</f>
        <v>Columbus Blue Jackets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0.47668918588864723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0.91666666666666663</v>
      </c>
      <c r="F956" t="s">
        <v>32</v>
      </c>
      <c r="G956">
        <f>VLOOKUP(Table4[[#This Row],[Home]],'NHL Model'!$A$6:$B$38,2,FALSE)</f>
        <v>-0.42661371358543798</v>
      </c>
      <c r="H956" t="s">
        <v>25</v>
      </c>
      <c r="I956">
        <f>VLOOKUP(Table4[[#This Row],[Visitor]],'NHL Model'!$A$6:$B$38,2,FALSE)</f>
        <v>0.31465989886768042</v>
      </c>
      <c r="J956">
        <f>($B$1+Table4[[#This Row],[Home Differential]])-Table4[[#This Row],[Away Differential]]</f>
        <v>-0.63314315055001646</v>
      </c>
      <c r="K956" t="str">
        <f>IF(Table4[[#This Row],[HomeIce Differential]]&gt;0,Table4[[#This Row],[Home]],Table4[[#This Row],[Visitor]])</f>
        <v>Carolina Hurricanes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0.58725847513523766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0.8125</v>
      </c>
      <c r="F957" t="s">
        <v>19</v>
      </c>
      <c r="G957">
        <f>VLOOKUP(Table4[[#This Row],[Home]],'NHL Model'!$A$6:$B$38,2,FALSE)</f>
        <v>-0.38129365484385536</v>
      </c>
      <c r="H957" t="s">
        <v>27</v>
      </c>
      <c r="I957">
        <f>VLOOKUP(Table4[[#This Row],[Visitor]],'NHL Model'!$A$6:$B$38,2,FALSE)</f>
        <v>-0.39747316405117561</v>
      </c>
      <c r="J957">
        <f>($B$1+Table4[[#This Row],[Home Differential]])-Table4[[#This Row],[Away Differential]]</f>
        <v>0.12430997111042219</v>
      </c>
      <c r="K957" t="str">
        <f>IF(Table4[[#This Row],[HomeIce Differential]]&gt;0,Table4[[#This Row],[Home]],Table4[[#This Row],[Visitor]])</f>
        <v>Toronto Maple Leafs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0.55251571715428549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0.91666666666666663</v>
      </c>
      <c r="F958" t="s">
        <v>38</v>
      </c>
      <c r="G958">
        <f>VLOOKUP(Table4[[#This Row],[Home]],'NHL Model'!$A$6:$B$38,2,FALSE)</f>
        <v>-1.2664425175465013</v>
      </c>
      <c r="H958" t="s">
        <v>39</v>
      </c>
      <c r="I958">
        <f>VLOOKUP(Table4[[#This Row],[Visitor]],'NHL Model'!$A$6:$B$38,2,FALSE)</f>
        <v>0.24554986733769732</v>
      </c>
      <c r="J958">
        <f>($B$1+Table4[[#This Row],[Home Differential]])-Table4[[#This Row],[Away Differential]]</f>
        <v>-1.4038619229810965</v>
      </c>
      <c r="K958" t="str">
        <f>IF(Table4[[#This Row],[HomeIce Differential]]&gt;0,Table4[[#This Row],[Home]],Table4[[#This Row],[Visitor]])</f>
        <v>Dallas Stars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0.65608016902669131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46084</v>
      </c>
      <c r="E959" s="2">
        <v>0.91666666666666663</v>
      </c>
      <c r="F959" t="s">
        <v>31</v>
      </c>
      <c r="G959">
        <f>VLOOKUP(Table4[[#This Row],[Home]],'NHL Model'!$A$6:$B$38,2,FALSE)</f>
        <v>-0.39000953236289804</v>
      </c>
      <c r="H959" t="s">
        <v>12</v>
      </c>
      <c r="I959">
        <f>VLOOKUP(Table4[[#This Row],[Visitor]],'NHL Model'!$A$6:$B$38,2,FALSE)</f>
        <v>1.1504937678265921</v>
      </c>
      <c r="J959">
        <f>($B$1+Table4[[#This Row],[Home Differential]])-Table4[[#This Row],[Away Differential]]</f>
        <v>-1.4323728382863883</v>
      </c>
      <c r="K959" t="str">
        <f>IF(Table4[[#This Row],[HomeIce Differential]]&gt;0,Table4[[#This Row],[Home]],Table4[[#This Row],[Visitor]])</f>
        <v>Colorado Avalanche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0.64356730533563411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0.79166666666666663</v>
      </c>
      <c r="F960" t="s">
        <v>21</v>
      </c>
      <c r="G960">
        <f>VLOOKUP(Table4[[#This Row],[Home]],'NHL Model'!$A$6:$B$38,2,FALSE)</f>
        <v>-2.9858233272404857E-2</v>
      </c>
      <c r="H960" t="s">
        <v>14</v>
      </c>
      <c r="I960">
        <f>VLOOKUP(Table4[[#This Row],[Visitor]],'NHL Model'!$A$6:$B$38,2,FALSE)</f>
        <v>3.6611055984458557E-5</v>
      </c>
      <c r="J960">
        <f>($B$1+Table4[[#This Row],[Home Differential]])-Table4[[#This Row],[Away Differential]]</f>
        <v>7.8235617574712632E-2</v>
      </c>
      <c r="K960" t="str">
        <f>IF(Table4[[#This Row],[HomeIce Differential]]&gt;0,Table4[[#This Row],[Home]],Table4[[#This Row],[Visitor]])</f>
        <v>Boston Bruins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0.54015350496669357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23</v>
      </c>
      <c r="G961">
        <f>VLOOKUP(Table4[[#This Row],[Home]],'NHL Model'!$A$6:$B$38,2,FALSE)</f>
        <v>0.12350258496936412</v>
      </c>
      <c r="H961" t="s">
        <v>20</v>
      </c>
      <c r="I961">
        <f>VLOOKUP(Table4[[#This Row],[Visitor]],'NHL Model'!$A$6:$B$38,2,FALSE)</f>
        <v>-0.11283731617452618</v>
      </c>
      <c r="J961">
        <f>($B$1+Table4[[#This Row],[Home Differential]])-Table4[[#This Row],[Away Differential]]</f>
        <v>0.34447036304699225</v>
      </c>
      <c r="K961" t="str">
        <f>IF(Table4[[#This Row],[HomeIce Differential]]&gt;0,Table4[[#This Row],[Home]],Table4[[#This Row],[Visitor]])</f>
        <v>Buffalo Sabres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0.60765408757655037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28</v>
      </c>
      <c r="G962">
        <f>VLOOKUP(Table4[[#This Row],[Home]],'NHL Model'!$A$6:$B$38,2,FALSE)</f>
        <v>-0.36066890819319958</v>
      </c>
      <c r="H962" t="s">
        <v>29</v>
      </c>
      <c r="I962">
        <f>VLOOKUP(Table4[[#This Row],[Visitor]],'NHL Model'!$A$6:$B$38,2,FALSE)</f>
        <v>-0.72584022159035511</v>
      </c>
      <c r="J962">
        <f>($B$1+Table4[[#This Row],[Home Differential]])-Table4[[#This Row],[Away Differential]]</f>
        <v>0.47330177530025747</v>
      </c>
      <c r="K962" t="str">
        <f>IF(Table4[[#This Row],[HomeIce Differential]]&gt;0,Table4[[#This Row],[Home]],Table4[[#This Row],[Visitor]])</f>
        <v>Columbus Blue Jackets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0.59081098195742354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0.875</v>
      </c>
      <c r="F963" t="s">
        <v>16</v>
      </c>
      <c r="G963">
        <f>VLOOKUP(Table4[[#This Row],[Home]],'NHL Model'!$A$6:$B$38,2,FALSE)</f>
        <v>-0.77822387693813933</v>
      </c>
      <c r="H963" t="s">
        <v>39</v>
      </c>
      <c r="I963">
        <f>VLOOKUP(Table4[[#This Row],[Visitor]],'NHL Model'!$A$6:$B$38,2,FALSE)</f>
        <v>0.24554986733769732</v>
      </c>
      <c r="J963">
        <f>($B$1+Table4[[#This Row],[Home Differential]])-Table4[[#This Row],[Away Differential]]</f>
        <v>-0.91564328237273473</v>
      </c>
      <c r="K963" t="str">
        <f>IF(Table4[[#This Row],[HomeIce Differential]]&gt;0,Table4[[#This Row],[Home]],Table4[[#This Row],[Visitor]])</f>
        <v>Dallas Stars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0.60366779739869125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17</v>
      </c>
      <c r="G964">
        <f>VLOOKUP(Table4[[#This Row],[Home]],'NHL Model'!$A$6:$B$38,2,FALSE)</f>
        <v>-0.12154868922444324</v>
      </c>
      <c r="H964" t="s">
        <v>36</v>
      </c>
      <c r="I964">
        <f>VLOOKUP(Table4[[#This Row],[Visitor]],'NHL Model'!$A$6:$B$38,2,FALSE)</f>
        <v>-0.179282670690569</v>
      </c>
      <c r="J964">
        <f>($B$1+Table4[[#This Row],[Home Differential]])-Table4[[#This Row],[Away Differential]]</f>
        <v>0.1658644433692277</v>
      </c>
      <c r="K964" t="str">
        <f>IF(Table4[[#This Row],[HomeIce Differential]]&gt;0,Table4[[#This Row],[Home]],Table4[[#This Row],[Visitor]])</f>
        <v>Edmonton Oilers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0.55697676853921418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0.89583333333333337</v>
      </c>
      <c r="F965" t="s">
        <v>34</v>
      </c>
      <c r="G965">
        <f>VLOOKUP(Table4[[#This Row],[Home]],'NHL Model'!$A$6:$B$38,2,FALSE)</f>
        <v>4.6716977502832858E-2</v>
      </c>
      <c r="H965" t="s">
        <v>37</v>
      </c>
      <c r="I965">
        <f>VLOOKUP(Table4[[#This Row],[Visitor]],'NHL Model'!$A$6:$B$38,2,FALSE)</f>
        <v>0.6987740059316554</v>
      </c>
      <c r="J965">
        <f>($B$1+Table4[[#This Row],[Home Differential]])-Table4[[#This Row],[Away Differential]]</f>
        <v>-0.54392656652572058</v>
      </c>
      <c r="K965" t="str">
        <f>IF(Table4[[#This Row],[HomeIce Differential]]&gt;0,Table4[[#This Row],[Home]],Table4[[#This Row],[Visitor]])</f>
        <v>Tampa Bay Lightning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0.61525100487230133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0.79166666666666663</v>
      </c>
      <c r="F966" t="s">
        <v>24</v>
      </c>
      <c r="G966">
        <f>VLOOKUP(Table4[[#This Row],[Home]],'NHL Model'!$A$6:$B$38,2,FALSE)</f>
        <v>-0.55013344272463272</v>
      </c>
      <c r="H966" t="s">
        <v>11</v>
      </c>
      <c r="I966">
        <f>VLOOKUP(Table4[[#This Row],[Visitor]],'NHL Model'!$A$6:$B$38,2,FALSE)</f>
        <v>-0.34412098011518399</v>
      </c>
      <c r="J966">
        <f>($B$1+Table4[[#This Row],[Home Differential]])-Table4[[#This Row],[Away Differential]]</f>
        <v>-9.7882000706346783E-2</v>
      </c>
      <c r="K966" t="str">
        <f>IF(Table4[[#This Row],[HomeIce Differential]]&gt;0,Table4[[#This Row],[Home]],Table4[[#This Row],[Visitor]])</f>
        <v>Florida Panthers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0.5297958877406248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0.91666666666666663</v>
      </c>
      <c r="F967" t="s">
        <v>33</v>
      </c>
      <c r="G967">
        <f>VLOOKUP(Table4[[#This Row],[Home]],'NHL Model'!$A$6:$B$38,2,FALSE)</f>
        <v>-0.46908405058827807</v>
      </c>
      <c r="H967" t="s">
        <v>18</v>
      </c>
      <c r="I967">
        <f>VLOOKUP(Table4[[#This Row],[Visitor]],'NHL Model'!$A$6:$B$38,2,FALSE)</f>
        <v>-0.18787166436597766</v>
      </c>
      <c r="J967">
        <f>($B$1+Table4[[#This Row],[Home Differential]])-Table4[[#This Row],[Away Differential]]</f>
        <v>-0.17308192431919847</v>
      </c>
      <c r="K967" t="str">
        <f>IF(Table4[[#This Row],[HomeIce Differential]]&gt;0,Table4[[#This Row],[Home]],Table4[[#This Row],[Visitor]])</f>
        <v>Montreal Canadiens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0.51786782249816432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0.83333333333333337</v>
      </c>
      <c r="F968" t="s">
        <v>40</v>
      </c>
      <c r="G968">
        <f>VLOOKUP(Table4[[#This Row],[Home]],'NHL Model'!$A$6:$B$38,2,FALSE)</f>
        <v>-0.41982036690375685</v>
      </c>
      <c r="H968" t="s">
        <v>10</v>
      </c>
      <c r="I968">
        <f>VLOOKUP(Table4[[#This Row],[Visitor]],'NHL Model'!$A$6:$B$38,2,FALSE)</f>
        <v>-0.75050764651940183</v>
      </c>
      <c r="J968">
        <f>($B$1+Table4[[#This Row],[Home Differential]])-Table4[[#This Row],[Away Differential]]</f>
        <v>0.43881774151874692</v>
      </c>
      <c r="K968" t="str">
        <f>IF(Table4[[#This Row],[HomeIce Differential]]&gt;0,Table4[[#This Row],[Home]],Table4[[#This Row],[Visitor]])</f>
        <v>Winnipeg Jets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0.58710897256356498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0.79166666666666663</v>
      </c>
      <c r="F969" t="s">
        <v>22</v>
      </c>
      <c r="G969">
        <f>VLOOKUP(Table4[[#This Row],[Home]],'NHL Model'!$A$6:$B$38,2,FALSE)</f>
        <v>-0.12498445042942641</v>
      </c>
      <c r="H969" t="s">
        <v>55</v>
      </c>
      <c r="I969">
        <f>VLOOKUP(Table4[[#This Row],[Visitor]],'NHL Model'!$A$6:$B$38,2,FALSE)</f>
        <v>0.14062496747196682</v>
      </c>
      <c r="J969">
        <f>($B$1+Table4[[#This Row],[Home Differential]])-Table4[[#This Row],[Away Differential]]</f>
        <v>-0.15747895599829126</v>
      </c>
      <c r="K969" t="str">
        <f>IF(Table4[[#This Row],[HomeIce Differential]]&gt;0,Table4[[#This Row],[Home]],Table4[[#This Row],[Visitor]])</f>
        <v>Utah Mammoth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0.47690604347897686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46085</v>
      </c>
      <c r="E970" s="2">
        <v>0.91666666666666663</v>
      </c>
      <c r="F970" t="s">
        <v>31</v>
      </c>
      <c r="G970">
        <f>VLOOKUP(Table4[[#This Row],[Home]],'NHL Model'!$A$6:$B$38,2,FALSE)</f>
        <v>-0.39000953236289804</v>
      </c>
      <c r="H970" t="s">
        <v>30</v>
      </c>
      <c r="I970">
        <f>VLOOKUP(Table4[[#This Row],[Visitor]],'NHL Model'!$A$6:$B$38,2,FALSE)</f>
        <v>-6.98902744359894E-2</v>
      </c>
      <c r="J970">
        <f>($B$1+Table4[[#This Row],[Home Differential]])-Table4[[#This Row],[Away Differential]]</f>
        <v>-0.21198879602380671</v>
      </c>
      <c r="K970" t="str">
        <f>IF(Table4[[#This Row],[HomeIce Differential]]&gt;0,Table4[[#This Row],[Home]],Table4[[#This Row],[Visitor]])</f>
        <v>New York Islanders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0.47619920488063699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0.79166666666666663</v>
      </c>
      <c r="F971" t="s">
        <v>26</v>
      </c>
      <c r="G971">
        <f>VLOOKUP(Table4[[#This Row],[Home]],'NHL Model'!$A$6:$B$38,2,FALSE)</f>
        <v>-0.1792260169918948</v>
      </c>
      <c r="H971" t="s">
        <v>20</v>
      </c>
      <c r="I971">
        <f>VLOOKUP(Table4[[#This Row],[Visitor]],'NHL Model'!$A$6:$B$38,2,FALSE)</f>
        <v>-0.11283731617452618</v>
      </c>
      <c r="J971">
        <f>($B$1+Table4[[#This Row],[Home Differential]])-Table4[[#This Row],[Away Differential]]</f>
        <v>4.1741761085733325E-2</v>
      </c>
      <c r="K971" t="str">
        <f>IF(Table4[[#This Row],[HomeIce Differential]]&gt;0,Table4[[#This Row],[Home]],Table4[[#This Row],[Visitor]])</f>
        <v>Detroit Red Wings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0.57624586352866181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24</v>
      </c>
      <c r="G972">
        <f>VLOOKUP(Table4[[#This Row],[Home]],'NHL Model'!$A$6:$B$38,2,FALSE)</f>
        <v>-0.55013344272463272</v>
      </c>
      <c r="H972" t="s">
        <v>19</v>
      </c>
      <c r="I972">
        <f>VLOOKUP(Table4[[#This Row],[Visitor]],'NHL Model'!$A$6:$B$38,2,FALSE)</f>
        <v>-0.38129365484385536</v>
      </c>
      <c r="J972">
        <f>($B$1+Table4[[#This Row],[Home Differential]])-Table4[[#This Row],[Away Differential]]</f>
        <v>-6.0709325977675421E-2</v>
      </c>
      <c r="K972" t="str">
        <f>IF(Table4[[#This Row],[HomeIce Differential]]&gt;0,Table4[[#This Row],[Home]],Table4[[#This Row],[Visitor]])</f>
        <v>Toronto Maple Leafs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0.46651740734532871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0.91666666666666663</v>
      </c>
      <c r="F973" t="s">
        <v>32</v>
      </c>
      <c r="G973">
        <f>VLOOKUP(Table4[[#This Row],[Home]],'NHL Model'!$A$6:$B$38,2,FALSE)</f>
        <v>-0.42661371358543798</v>
      </c>
      <c r="H973" t="s">
        <v>35</v>
      </c>
      <c r="I973">
        <f>VLOOKUP(Table4[[#This Row],[Visitor]],'NHL Model'!$A$6:$B$38,2,FALSE)</f>
        <v>-1.236228034931707</v>
      </c>
      <c r="J973">
        <f>($B$1+Table4[[#This Row],[Home Differential]])-Table4[[#This Row],[Away Differential]]</f>
        <v>0.91774478324937092</v>
      </c>
      <c r="K973" t="str">
        <f>IF(Table4[[#This Row],[HomeIce Differential]]&gt;0,Table4[[#This Row],[Home]],Table4[[#This Row],[Visitor]])</f>
        <v>Seattle Kraken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0.638523851074974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38</v>
      </c>
      <c r="G974">
        <f>VLOOKUP(Table4[[#This Row],[Home]],'NHL Model'!$A$6:$B$38,2,FALSE)</f>
        <v>-1.2664425175465013</v>
      </c>
      <c r="H974" t="s">
        <v>25</v>
      </c>
      <c r="I974">
        <f>VLOOKUP(Table4[[#This Row],[Visitor]],'NHL Model'!$A$6:$B$38,2,FALSE)</f>
        <v>0.31465989886768042</v>
      </c>
      <c r="J974">
        <f>($B$1+Table4[[#This Row],[Home Differential]])-Table4[[#This Row],[Away Differential]]</f>
        <v>-1.4729719545110798</v>
      </c>
      <c r="K974" t="str">
        <f>IF(Table4[[#This Row],[HomeIce Differential]]&gt;0,Table4[[#This Row],[Home]],Table4[[#This Row],[Visitor]])</f>
        <v>Carolina Hurricanes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0.67741771060043143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46086</v>
      </c>
      <c r="E975" s="2">
        <v>0.79166666666666663</v>
      </c>
      <c r="F975" t="s">
        <v>28</v>
      </c>
      <c r="G975">
        <f>VLOOKUP(Table4[[#This Row],[Home]],'NHL Model'!$A$6:$B$38,2,FALSE)</f>
        <v>-0.36066890819319958</v>
      </c>
      <c r="H975" t="s">
        <v>11</v>
      </c>
      <c r="I975">
        <f>VLOOKUP(Table4[[#This Row],[Visitor]],'NHL Model'!$A$6:$B$38,2,FALSE)</f>
        <v>-0.34412098011518399</v>
      </c>
      <c r="J975">
        <f>($B$1+Table4[[#This Row],[Home Differential]])-Table4[[#This Row],[Away Differential]]</f>
        <v>9.1582533825086354E-2</v>
      </c>
      <c r="K975" t="str">
        <f>IF(Table4[[#This Row],[HomeIce Differential]]&gt;0,Table4[[#This Row],[Home]],Table4[[#This Row],[Visitor]])</f>
        <v>Columbus Blue Jackets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0.49054394521170475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0.875</v>
      </c>
      <c r="F976" t="s">
        <v>16</v>
      </c>
      <c r="G976">
        <f>VLOOKUP(Table4[[#This Row],[Home]],'NHL Model'!$A$6:$B$38,2,FALSE)</f>
        <v>-0.77822387693813933</v>
      </c>
      <c r="H976" t="s">
        <v>36</v>
      </c>
      <c r="I976">
        <f>VLOOKUP(Table4[[#This Row],[Visitor]],'NHL Model'!$A$6:$B$38,2,FALSE)</f>
        <v>-0.179282670690569</v>
      </c>
      <c r="J976">
        <f>($B$1+Table4[[#This Row],[Home Differential]])-Table4[[#This Row],[Away Differential]]</f>
        <v>-0.49081074434446836</v>
      </c>
      <c r="K976" t="str">
        <f>IF(Table4[[#This Row],[HomeIce Differential]]&gt;0,Table4[[#This Row],[Home]],Table4[[#This Row],[Visitor]])</f>
        <v>Ottawa Senators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0.51352013820414444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0.89583333333333337</v>
      </c>
      <c r="F977" t="s">
        <v>13</v>
      </c>
      <c r="G977">
        <f>VLOOKUP(Table4[[#This Row],[Home]],'NHL Model'!$A$6:$B$38,2,FALSE)</f>
        <v>-0.36406236312551898</v>
      </c>
      <c r="H977" t="s">
        <v>30</v>
      </c>
      <c r="I977">
        <f>VLOOKUP(Table4[[#This Row],[Visitor]],'NHL Model'!$A$6:$B$38,2,FALSE)</f>
        <v>-6.98902744359894E-2</v>
      </c>
      <c r="J977">
        <f>($B$1+Table4[[#This Row],[Home Differential]])-Table4[[#This Row],[Away Differential]]</f>
        <v>-0.18604162678642766</v>
      </c>
      <c r="K977" t="str">
        <f>IF(Table4[[#This Row],[HomeIce Differential]]&gt;0,Table4[[#This Row],[Home]],Table4[[#This Row],[Visitor]])</f>
        <v>New York Islanders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0.50982541316563068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0.83333333333333337</v>
      </c>
      <c r="F978" t="s">
        <v>29</v>
      </c>
      <c r="G978">
        <f>VLOOKUP(Table4[[#This Row],[Home]],'NHL Model'!$A$6:$B$38,2,FALSE)</f>
        <v>-0.72584022159035511</v>
      </c>
      <c r="H978" t="s">
        <v>21</v>
      </c>
      <c r="I978">
        <f>VLOOKUP(Table4[[#This Row],[Visitor]],'NHL Model'!$A$6:$B$38,2,FALSE)</f>
        <v>-2.9858233272404857E-2</v>
      </c>
      <c r="J978">
        <f>($B$1+Table4[[#This Row],[Home Differential]])-Table4[[#This Row],[Away Differential]]</f>
        <v>-0.58785152641484828</v>
      </c>
      <c r="K978" t="str">
        <f>IF(Table4[[#This Row],[HomeIce Differential]]&gt;0,Table4[[#This Row],[Home]],Table4[[#This Row],[Visitor]])</f>
        <v>Boston Bruins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0.52310839058940772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0.79166666666666663</v>
      </c>
      <c r="F979" t="s">
        <v>15</v>
      </c>
      <c r="G979">
        <f>VLOOKUP(Table4[[#This Row],[Home]],'NHL Model'!$A$6:$B$38,2,FALSE)</f>
        <v>-0.62425830840281982</v>
      </c>
      <c r="H979" t="s">
        <v>19</v>
      </c>
      <c r="I979">
        <f>VLOOKUP(Table4[[#This Row],[Visitor]],'NHL Model'!$A$6:$B$38,2,FALSE)</f>
        <v>-0.38129365484385536</v>
      </c>
      <c r="J979">
        <f>($B$1+Table4[[#This Row],[Home Differential]])-Table4[[#This Row],[Away Differential]]</f>
        <v>-0.13483419165586252</v>
      </c>
      <c r="K979" t="str">
        <f>IF(Table4[[#This Row],[HomeIce Differential]]&gt;0,Table4[[#This Row],[Home]],Table4[[#This Row],[Visitor]])</f>
        <v>Toronto Maple Leafs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0.47447503059781171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27</v>
      </c>
      <c r="G980">
        <f>VLOOKUP(Table4[[#This Row],[Home]],'NHL Model'!$A$6:$B$38,2,FALSE)</f>
        <v>-0.39747316405117561</v>
      </c>
      <c r="H980" t="s">
        <v>55</v>
      </c>
      <c r="I980">
        <f>VLOOKUP(Table4[[#This Row],[Visitor]],'NHL Model'!$A$6:$B$38,2,FALSE)</f>
        <v>0.14062496747196682</v>
      </c>
      <c r="J980">
        <f>($B$1+Table4[[#This Row],[Home Differential]])-Table4[[#This Row],[Away Differential]]</f>
        <v>-0.42996766962004052</v>
      </c>
      <c r="K980" t="str">
        <f>IF(Table4[[#This Row],[HomeIce Differential]]&gt;0,Table4[[#This Row],[Home]],Table4[[#This Row],[Visitor]])</f>
        <v>Utah Mammoth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0.50615887926784087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14</v>
      </c>
      <c r="G981">
        <f>VLOOKUP(Table4[[#This Row],[Home]],'NHL Model'!$A$6:$B$38,2,FALSE)</f>
        <v>3.6611055984458557E-5</v>
      </c>
      <c r="H981" t="s">
        <v>23</v>
      </c>
      <c r="I981">
        <f>VLOOKUP(Table4[[#This Row],[Visitor]],'NHL Model'!$A$6:$B$38,2,FALSE)</f>
        <v>0.12350258496936412</v>
      </c>
      <c r="J981">
        <f>($B$1+Table4[[#This Row],[Home Differential]])-Table4[[#This Row],[Away Differential]]</f>
        <v>-1.5335512010277705E-2</v>
      </c>
      <c r="K981" t="str">
        <f>IF(Table4[[#This Row],[HomeIce Differential]]&gt;0,Table4[[#This Row],[Home]],Table4[[#This Row],[Visitor]])</f>
        <v>Buffalo Sabres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0.49149937728205451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0.83333333333333337</v>
      </c>
      <c r="F982" t="s">
        <v>40</v>
      </c>
      <c r="G982">
        <f>VLOOKUP(Table4[[#This Row],[Home]],'NHL Model'!$A$6:$B$38,2,FALSE)</f>
        <v>-0.41982036690375685</v>
      </c>
      <c r="H982" t="s">
        <v>37</v>
      </c>
      <c r="I982">
        <f>VLOOKUP(Table4[[#This Row],[Visitor]],'NHL Model'!$A$6:$B$38,2,FALSE)</f>
        <v>0.6987740059316554</v>
      </c>
      <c r="J982">
        <f>($B$1+Table4[[#This Row],[Home Differential]])-Table4[[#This Row],[Away Differential]]</f>
        <v>-1.0104639109323104</v>
      </c>
      <c r="K982" t="str">
        <f>IF(Table4[[#This Row],[HomeIce Differential]]&gt;0,Table4[[#This Row],[Home]],Table4[[#This Row],[Visitor]])</f>
        <v>Tampa Bay Lightning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0.66533579606935356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46087</v>
      </c>
      <c r="E983" s="2">
        <v>0.875</v>
      </c>
      <c r="F983" t="s">
        <v>31</v>
      </c>
      <c r="G983">
        <f>VLOOKUP(Table4[[#This Row],[Home]],'NHL Model'!$A$6:$B$38,2,FALSE)</f>
        <v>-0.39000953236289804</v>
      </c>
      <c r="H983" t="s">
        <v>18</v>
      </c>
      <c r="I983">
        <f>VLOOKUP(Table4[[#This Row],[Visitor]],'NHL Model'!$A$6:$B$38,2,FALSE)</f>
        <v>-0.18787166436597766</v>
      </c>
      <c r="J983">
        <f>($B$1+Table4[[#This Row],[Home Differential]])-Table4[[#This Row],[Away Differential]]</f>
        <v>-9.4007406093818441E-2</v>
      </c>
      <c r="K983" t="str">
        <f>IF(Table4[[#This Row],[HomeIce Differential]]&gt;0,Table4[[#This Row],[Home]],Table4[[#This Row],[Visitor]])</f>
        <v>Montreal Canadiens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0.47290201686602124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0.85416666666666663</v>
      </c>
      <c r="F984" t="s">
        <v>10</v>
      </c>
      <c r="G984">
        <f>VLOOKUP(Table4[[#This Row],[Home]],'NHL Model'!$A$6:$B$38,2,FALSE)</f>
        <v>-0.75050764651940183</v>
      </c>
      <c r="H984" t="s">
        <v>38</v>
      </c>
      <c r="I984">
        <f>VLOOKUP(Table4[[#This Row],[Visitor]],'NHL Model'!$A$6:$B$38,2,FALSE)</f>
        <v>-1.2664425175465013</v>
      </c>
      <c r="J984">
        <f>($B$1+Table4[[#This Row],[Home Differential]])-Table4[[#This Row],[Away Differential]]</f>
        <v>0.62406533293020139</v>
      </c>
      <c r="K984" t="str">
        <f>IF(Table4[[#This Row],[HomeIce Differential]]&gt;0,Table4[[#This Row],[Home]],Table4[[#This Row],[Visitor]])</f>
        <v>Chicago Blackhawks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0.60699609852858449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0.83333333333333337</v>
      </c>
      <c r="F985" t="s">
        <v>39</v>
      </c>
      <c r="G985">
        <f>VLOOKUP(Table4[[#This Row],[Home]],'NHL Model'!$A$6:$B$38,2,FALSE)</f>
        <v>0.24554986733769732</v>
      </c>
      <c r="H985" t="s">
        <v>12</v>
      </c>
      <c r="I985">
        <f>VLOOKUP(Table4[[#This Row],[Visitor]],'NHL Model'!$A$6:$B$38,2,FALSE)</f>
        <v>1.1504937678265921</v>
      </c>
      <c r="J985">
        <f>($B$1+Table4[[#This Row],[Home Differential]])-Table4[[#This Row],[Away Differential]]</f>
        <v>-0.79681343858579279</v>
      </c>
      <c r="K985" t="str">
        <f>IF(Table4[[#This Row],[HomeIce Differential]]&gt;0,Table4[[#This Row],[Home]],Table4[[#This Row],[Visitor]])</f>
        <v>Colorado Avalanche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0.5925836044398527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0.79166666666666663</v>
      </c>
      <c r="F986" t="s">
        <v>26</v>
      </c>
      <c r="G986">
        <f>VLOOKUP(Table4[[#This Row],[Home]],'NHL Model'!$A$6:$B$38,2,FALSE)</f>
        <v>-0.1792260169918948</v>
      </c>
      <c r="H986" t="s">
        <v>11</v>
      </c>
      <c r="I986">
        <f>VLOOKUP(Table4[[#This Row],[Visitor]],'NHL Model'!$A$6:$B$38,2,FALSE)</f>
        <v>-0.34412098011518399</v>
      </c>
      <c r="J986">
        <f>($B$1+Table4[[#This Row],[Home Differential]])-Table4[[#This Row],[Away Differential]]</f>
        <v>0.27302542502639116</v>
      </c>
      <c r="K986" t="str">
        <f>IF(Table4[[#This Row],[HomeIce Differential]]&gt;0,Table4[[#This Row],[Home]],Table4[[#This Row],[Visitor]])</f>
        <v>Detroit Red Wings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0.55358229872754505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0.875</v>
      </c>
      <c r="F987" t="s">
        <v>17</v>
      </c>
      <c r="G987">
        <f>VLOOKUP(Table4[[#This Row],[Home]],'NHL Model'!$A$6:$B$38,2,FALSE)</f>
        <v>-0.12154868922444324</v>
      </c>
      <c r="H987" t="s">
        <v>25</v>
      </c>
      <c r="I987">
        <f>VLOOKUP(Table4[[#This Row],[Visitor]],'NHL Model'!$A$6:$B$38,2,FALSE)</f>
        <v>0.31465989886768042</v>
      </c>
      <c r="J987">
        <f>($B$1+Table4[[#This Row],[Home Differential]])-Table4[[#This Row],[Away Differential]]</f>
        <v>-0.32807812618902171</v>
      </c>
      <c r="K987" t="str">
        <f>IF(Table4[[#This Row],[HomeIce Differential]]&gt;0,Table4[[#This Row],[Home]],Table4[[#This Row],[Visitor]])</f>
        <v>Carolina Hurricanes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0.55450843222907265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0.91666666666666663</v>
      </c>
      <c r="F988" t="s">
        <v>33</v>
      </c>
      <c r="G988">
        <f>VLOOKUP(Table4[[#This Row],[Home]],'NHL Model'!$A$6:$B$38,2,FALSE)</f>
        <v>-0.46908405058827807</v>
      </c>
      <c r="H988" t="s">
        <v>35</v>
      </c>
      <c r="I988">
        <f>VLOOKUP(Table4[[#This Row],[Visitor]],'NHL Model'!$A$6:$B$38,2,FALSE)</f>
        <v>-1.236228034931707</v>
      </c>
      <c r="J988">
        <f>($B$1+Table4[[#This Row],[Home Differential]])-Table4[[#This Row],[Away Differential]]</f>
        <v>0.87527444624653084</v>
      </c>
      <c r="K988" t="str">
        <f>IF(Table4[[#This Row],[HomeIce Differential]]&gt;0,Table4[[#This Row],[Home]],Table4[[#This Row],[Visitor]])</f>
        <v>San Jose Sharks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0.63396447766926889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20</v>
      </c>
      <c r="G989">
        <f>VLOOKUP(Table4[[#This Row],[Home]],'NHL Model'!$A$6:$B$38,2,FALSE)</f>
        <v>-0.11283731617452618</v>
      </c>
      <c r="H989" t="s">
        <v>34</v>
      </c>
      <c r="I989">
        <f>VLOOKUP(Table4[[#This Row],[Visitor]],'NHL Model'!$A$6:$B$38,2,FALSE)</f>
        <v>4.6716977502832858E-2</v>
      </c>
      <c r="J989">
        <f>($B$1+Table4[[#This Row],[Home Differential]])-Table4[[#This Row],[Away Differential]]</f>
        <v>-5.1423831774257085E-2</v>
      </c>
      <c r="K989" t="str">
        <f>IF(Table4[[#This Row],[HomeIce Differential]]&gt;0,Table4[[#This Row],[Home]],Table4[[#This Row],[Visitor]])</f>
        <v>Minnesota Wild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0.5220494952116258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46088</v>
      </c>
      <c r="E990" s="2">
        <v>0.52083333333333337</v>
      </c>
      <c r="F990" t="s">
        <v>21</v>
      </c>
      <c r="G990">
        <f>VLOOKUP(Table4[[#This Row],[Home]],'NHL Model'!$A$6:$B$38,2,FALSE)</f>
        <v>-2.9858233272404857E-2</v>
      </c>
      <c r="H990" t="s">
        <v>22</v>
      </c>
      <c r="I990">
        <f>VLOOKUP(Table4[[#This Row],[Visitor]],'NHL Model'!$A$6:$B$38,2,FALSE)</f>
        <v>-0.12498445042942641</v>
      </c>
      <c r="J990">
        <f>($B$1+Table4[[#This Row],[Home Differential]])-Table4[[#This Row],[Away Differential]]</f>
        <v>0.20325667906012351</v>
      </c>
      <c r="K990" t="str">
        <f>IF(Table4[[#This Row],[HomeIce Differential]]&gt;0,Table4[[#This Row],[Home]],Table4[[#This Row],[Visitor]])</f>
        <v>Boston Bruins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0.60932820937300292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0.72916666666666663</v>
      </c>
      <c r="F991" t="s">
        <v>23</v>
      </c>
      <c r="G991">
        <f>VLOOKUP(Table4[[#This Row],[Home]],'NHL Model'!$A$6:$B$38,2,FALSE)</f>
        <v>0.12350258496936412</v>
      </c>
      <c r="H991" t="s">
        <v>29</v>
      </c>
      <c r="I991">
        <f>VLOOKUP(Table4[[#This Row],[Visitor]],'NHL Model'!$A$6:$B$38,2,FALSE)</f>
        <v>-0.72584022159035511</v>
      </c>
      <c r="J991">
        <f>($B$1+Table4[[#This Row],[Home Differential]])-Table4[[#This Row],[Away Differential]]</f>
        <v>0.9574732684628211</v>
      </c>
      <c r="K991" t="str">
        <f>IF(Table4[[#This Row],[HomeIce Differential]]&gt;0,Table4[[#This Row],[Home]],Table4[[#This Row],[Visitor]])</f>
        <v>Buffalo Sabres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0.6846070567124638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0.79166666666666663</v>
      </c>
      <c r="F992" t="s">
        <v>28</v>
      </c>
      <c r="G992">
        <f>VLOOKUP(Table4[[#This Row],[Home]],'NHL Model'!$A$6:$B$38,2,FALSE)</f>
        <v>-0.36066890819319958</v>
      </c>
      <c r="H992" t="s">
        <v>55</v>
      </c>
      <c r="I992">
        <f>VLOOKUP(Table4[[#This Row],[Visitor]],'NHL Model'!$A$6:$B$38,2,FALSE)</f>
        <v>0.14062496747196682</v>
      </c>
      <c r="J992">
        <f>($B$1+Table4[[#This Row],[Home Differential]])-Table4[[#This Row],[Away Differential]]</f>
        <v>-0.39316341376206443</v>
      </c>
      <c r="K992" t="str">
        <f>IF(Table4[[#This Row],[HomeIce Differential]]&gt;0,Table4[[#This Row],[Home]],Table4[[#This Row],[Visitor]])</f>
        <v>Utah Mammoth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0.50220778405132771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8" x14ac:dyDescent="0.2">
      <c r="D993" s="1">
        <v>46088</v>
      </c>
      <c r="E993" s="2">
        <v>0.91666666666666663</v>
      </c>
      <c r="F993" t="s">
        <v>16</v>
      </c>
      <c r="G993">
        <f>VLOOKUP(Table4[[#This Row],[Home]],'NHL Model'!$A$6:$B$38,2,FALSE)</f>
        <v>-0.77822387693813933</v>
      </c>
      <c r="H993" t="s">
        <v>25</v>
      </c>
      <c r="I993">
        <f>VLOOKUP(Table4[[#This Row],[Visitor]],'NHL Model'!$A$6:$B$38,2,FALSE)</f>
        <v>0.31465989886768042</v>
      </c>
      <c r="J993">
        <f>($B$1+Table4[[#This Row],[Home Differential]])-Table4[[#This Row],[Away Differential]]</f>
        <v>-0.98475331390271781</v>
      </c>
      <c r="K993" t="str">
        <f>IF(Table4[[#This Row],[HomeIce Differential]]&gt;0,Table4[[#This Row],[Home]],Table4[[#This Row],[Visitor]])</f>
        <v>Carolina Hurricanes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0.62500533897243127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8" x14ac:dyDescent="0.2">
      <c r="D994" s="1">
        <v>46088</v>
      </c>
      <c r="E994" s="2">
        <v>0.79166666666666663</v>
      </c>
      <c r="F994" t="s">
        <v>13</v>
      </c>
      <c r="G994">
        <f>VLOOKUP(Table4[[#This Row],[Home]],'NHL Model'!$A$6:$B$38,2,FALSE)</f>
        <v>-0.36406236312551898</v>
      </c>
      <c r="H994" t="s">
        <v>18</v>
      </c>
      <c r="I994">
        <f>VLOOKUP(Table4[[#This Row],[Visitor]],'NHL Model'!$A$6:$B$38,2,FALSE)</f>
        <v>-0.18787166436597766</v>
      </c>
      <c r="J994">
        <f>($B$1+Table4[[#This Row],[Home Differential]])-Table4[[#This Row],[Away Differential]]</f>
        <v>-6.8060236856439388E-2</v>
      </c>
      <c r="K994" t="str">
        <f>IF(Table4[[#This Row],[HomeIce Differential]]&gt;0,Table4[[#This Row],[Home]],Table4[[#This Row],[Visitor]])</f>
        <v>Montreal Canadiens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0.50659329249365892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8" x14ac:dyDescent="0.2">
      <c r="D995" s="1">
        <v>46088</v>
      </c>
      <c r="E995" s="2">
        <v>0.625</v>
      </c>
      <c r="F995" t="s">
        <v>24</v>
      </c>
      <c r="G995">
        <f>VLOOKUP(Table4[[#This Row],[Home]],'NHL Model'!$A$6:$B$38,2,FALSE)</f>
        <v>-0.55013344272463272</v>
      </c>
      <c r="H995" t="s">
        <v>15</v>
      </c>
      <c r="I995">
        <f>VLOOKUP(Table4[[#This Row],[Visitor]],'NHL Model'!$A$6:$B$38,2,FALSE)</f>
        <v>-0.62425830840281982</v>
      </c>
      <c r="J995">
        <f>($B$1+Table4[[#This Row],[Home Differential]])-Table4[[#This Row],[Away Differential]]</f>
        <v>0.18225532758128904</v>
      </c>
      <c r="K995" t="str">
        <f>IF(Table4[[#This Row],[HomeIce Differential]]&gt;0,Table4[[#This Row],[Home]],Table4[[#This Row],[Visitor]])</f>
        <v>New Jersey Devils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0.51571290008909898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8" x14ac:dyDescent="0.2">
      <c r="D996" s="1">
        <v>46088</v>
      </c>
      <c r="E996" s="2">
        <v>0.72916666666666663</v>
      </c>
      <c r="F996" t="s">
        <v>14</v>
      </c>
      <c r="G996">
        <f>VLOOKUP(Table4[[#This Row],[Home]],'NHL Model'!$A$6:$B$38,2,FALSE)</f>
        <v>3.6611055984458557E-5</v>
      </c>
      <c r="H996" t="s">
        <v>27</v>
      </c>
      <c r="I996">
        <f>VLOOKUP(Table4[[#This Row],[Visitor]],'NHL Model'!$A$6:$B$38,2,FALSE)</f>
        <v>-0.39747316405117561</v>
      </c>
      <c r="J996">
        <f>($B$1+Table4[[#This Row],[Home Differential]])-Table4[[#This Row],[Away Differential]]</f>
        <v>0.50564023701026206</v>
      </c>
      <c r="K996" t="str">
        <f>IF(Table4[[#This Row],[HomeIce Differential]]&gt;0,Table4[[#This Row],[Home]],Table4[[#This Row],[Visitor]])</f>
        <v>Pittsburgh Penguins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0.59345316187053343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8" x14ac:dyDescent="0.2">
      <c r="D997" s="1">
        <v>46088</v>
      </c>
      <c r="E997" s="2">
        <v>0.91666666666666663</v>
      </c>
      <c r="F997" t="s">
        <v>32</v>
      </c>
      <c r="G997">
        <f>VLOOKUP(Table4[[#This Row],[Home]],'NHL Model'!$A$6:$B$38,2,FALSE)</f>
        <v>-0.42661371358543798</v>
      </c>
      <c r="H997" t="s">
        <v>36</v>
      </c>
      <c r="I997">
        <f>VLOOKUP(Table4[[#This Row],[Visitor]],'NHL Model'!$A$6:$B$38,2,FALSE)</f>
        <v>-0.179282670690569</v>
      </c>
      <c r="J997">
        <f>($B$1+Table4[[#This Row],[Home Differential]])-Table4[[#This Row],[Away Differential]]</f>
        <v>-0.13920058099176705</v>
      </c>
      <c r="K997" t="str">
        <f>IF(Table4[[#This Row],[HomeIce Differential]]&gt;0,Table4[[#This Row],[Home]],Table4[[#This Row],[Visitor]])</f>
        <v>Ottawa Senators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0.47577327436695072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8" x14ac:dyDescent="0.2">
      <c r="D998" s="1">
        <v>46088</v>
      </c>
      <c r="E998" s="2">
        <v>0.91666666666666663</v>
      </c>
      <c r="F998" t="s">
        <v>33</v>
      </c>
      <c r="G998">
        <f>VLOOKUP(Table4[[#This Row],[Home]],'NHL Model'!$A$6:$B$38,2,FALSE)</f>
        <v>-0.46908405058827807</v>
      </c>
      <c r="H998" t="s">
        <v>30</v>
      </c>
      <c r="I998">
        <f>VLOOKUP(Table4[[#This Row],[Visitor]],'NHL Model'!$A$6:$B$38,2,FALSE)</f>
        <v>-6.98902744359894E-2</v>
      </c>
      <c r="J998">
        <f>($B$1+Table4[[#This Row],[Home Differential]])-Table4[[#This Row],[Away Differential]]</f>
        <v>-0.29106331424918674</v>
      </c>
      <c r="K998" t="str">
        <f>IF(Table4[[#This Row],[HomeIce Differential]]&gt;0,Table4[[#This Row],[Home]],Table4[[#This Row],[Visitor]])</f>
        <v>New York Islanders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0.52109994317013608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8" x14ac:dyDescent="0.2">
      <c r="D999" s="1">
        <v>46088</v>
      </c>
      <c r="E999" s="2">
        <v>0.79166666666666663</v>
      </c>
      <c r="F999" t="s">
        <v>19</v>
      </c>
      <c r="G999">
        <f>VLOOKUP(Table4[[#This Row],[Home]],'NHL Model'!$A$6:$B$38,2,FALSE)</f>
        <v>-0.38129365484385536</v>
      </c>
      <c r="H999" t="s">
        <v>37</v>
      </c>
      <c r="I999">
        <f>VLOOKUP(Table4[[#This Row],[Visitor]],'NHL Model'!$A$6:$B$38,2,FALSE)</f>
        <v>0.6987740059316554</v>
      </c>
      <c r="J999">
        <f>($B$1+Table4[[#This Row],[Home Differential]])-Table4[[#This Row],[Away Differential]]</f>
        <v>-0.97193719887240881</v>
      </c>
      <c r="K999" t="str">
        <f>IF(Table4[[#This Row],[HomeIce Differential]]&gt;0,Table4[[#This Row],[Home]],Table4[[#This Row],[Visitor]])</f>
        <v>Tampa Bay Lightning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0.66119978776870303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8" x14ac:dyDescent="0.2">
      <c r="D1000" s="1">
        <v>46088</v>
      </c>
      <c r="E1000" s="2">
        <v>0.79166666666666663</v>
      </c>
      <c r="F1000" t="s">
        <v>40</v>
      </c>
      <c r="G1000">
        <f>VLOOKUP(Table4[[#This Row],[Home]],'NHL Model'!$A$6:$B$38,2,FALSE)</f>
        <v>-0.41982036690375685</v>
      </c>
      <c r="H1000" t="s">
        <v>38</v>
      </c>
      <c r="I1000">
        <f>VLOOKUP(Table4[[#This Row],[Visitor]],'NHL Model'!$A$6:$B$38,2,FALSE)</f>
        <v>-1.2664425175465013</v>
      </c>
      <c r="J1000">
        <f>($B$1+Table4[[#This Row],[Home Differential]])-Table4[[#This Row],[Away Differential]]</f>
        <v>0.95475261254584631</v>
      </c>
      <c r="K1000" t="str">
        <f>IF(Table4[[#This Row],[HomeIce Differential]]&gt;0,Table4[[#This Row],[Home]],Table4[[#This Row],[Visitor]])</f>
        <v>Winnipeg Jets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0.64249680077598392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8" x14ac:dyDescent="0.2">
      <c r="D1001" s="1">
        <v>46089</v>
      </c>
      <c r="E1001" s="2">
        <v>0.875</v>
      </c>
      <c r="F1001" t="s">
        <v>31</v>
      </c>
      <c r="G1001">
        <f>VLOOKUP(Table4[[#This Row],[Home]],'NHL Model'!$A$6:$B$38,2,FALSE)</f>
        <v>-0.39000953236289804</v>
      </c>
      <c r="H1001" t="s">
        <v>35</v>
      </c>
      <c r="I1001">
        <f>VLOOKUP(Table4[[#This Row],[Visitor]],'NHL Model'!$A$6:$B$38,2,FALSE)</f>
        <v>-1.236228034931707</v>
      </c>
      <c r="J1001">
        <f>($B$1+Table4[[#This Row],[Home Differential]])-Table4[[#This Row],[Away Differential]]</f>
        <v>0.95434896447191087</v>
      </c>
      <c r="K1001" t="str">
        <f>IF(Table4[[#This Row],[HomeIce Differential]]&gt;0,Table4[[#This Row],[Home]],Table4[[#This Row],[Visitor]])</f>
        <v>Anaheim Ducks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0.67849033377799983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8" x14ac:dyDescent="0.2">
      <c r="D1002" s="1">
        <v>46089</v>
      </c>
      <c r="E1002" s="2">
        <v>0.75</v>
      </c>
      <c r="F1002" t="s">
        <v>23</v>
      </c>
      <c r="G1002">
        <f>VLOOKUP(Table4[[#This Row],[Home]],'NHL Model'!$A$6:$B$38,2,FALSE)</f>
        <v>0.12350258496936412</v>
      </c>
      <c r="H1002" t="s">
        <v>37</v>
      </c>
      <c r="I1002">
        <f>VLOOKUP(Table4[[#This Row],[Visitor]],'NHL Model'!$A$6:$B$38,2,FALSE)</f>
        <v>0.6987740059316554</v>
      </c>
      <c r="J1002">
        <f>($B$1+Table4[[#This Row],[Home Differential]])-Table4[[#This Row],[Away Differential]]</f>
        <v>-0.46714095905918934</v>
      </c>
      <c r="K1002" t="str">
        <f>IF(Table4[[#This Row],[HomeIce Differential]]&gt;0,Table4[[#This Row],[Home]],Table4[[#This Row],[Visitor]])</f>
        <v>Tampa Bay Lightning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0.56477581067862936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8" x14ac:dyDescent="0.2">
      <c r="D1003" s="1">
        <v>46089</v>
      </c>
      <c r="E1003" s="2">
        <v>0.58333333333333337</v>
      </c>
      <c r="F1003" t="s">
        <v>12</v>
      </c>
      <c r="G1003">
        <f>VLOOKUP(Table4[[#This Row],[Home]],'NHL Model'!$A$6:$B$38,2,FALSE)</f>
        <v>1.1504937678265921</v>
      </c>
      <c r="H1003" t="s">
        <v>34</v>
      </c>
      <c r="I1003">
        <f>VLOOKUP(Table4[[#This Row],[Visitor]],'NHL Model'!$A$6:$B$38,2,FALSE)</f>
        <v>4.6716977502832858E-2</v>
      </c>
      <c r="J1003">
        <f>($B$1+Table4[[#This Row],[Home Differential]])-Table4[[#This Row],[Away Differential]]</f>
        <v>1.2119072522268612</v>
      </c>
      <c r="K1003" t="str">
        <f>IF(Table4[[#This Row],[HomeIce Differential]]&gt;0,Table4[[#This Row],[Home]],Table4[[#This Row],[Visitor]])</f>
        <v>Colorado Avalanche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0.70153202918109137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8" x14ac:dyDescent="0.2">
      <c r="D1004" s="1">
        <v>46089</v>
      </c>
      <c r="E1004" s="2">
        <v>0.75</v>
      </c>
      <c r="F1004" t="s">
        <v>39</v>
      </c>
      <c r="G1004">
        <f>VLOOKUP(Table4[[#This Row],[Home]],'NHL Model'!$A$6:$B$38,2,FALSE)</f>
        <v>0.24554986733769732</v>
      </c>
      <c r="H1004" t="s">
        <v>10</v>
      </c>
      <c r="I1004">
        <f>VLOOKUP(Table4[[#This Row],[Visitor]],'NHL Model'!$A$6:$B$38,2,FALSE)</f>
        <v>-0.75050764651940183</v>
      </c>
      <c r="J1004">
        <f>($B$1+Table4[[#This Row],[Home Differential]])-Table4[[#This Row],[Away Differential]]</f>
        <v>1.1041879757602011</v>
      </c>
      <c r="K1004" t="str">
        <f>IF(Table4[[#This Row],[HomeIce Differential]]&gt;0,Table4[[#This Row],[Home]],Table4[[#This Row],[Visitor]])</f>
        <v>Dallas Stars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0.67764476127198436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8" x14ac:dyDescent="0.2">
      <c r="D1005" s="1">
        <v>46089</v>
      </c>
      <c r="E1005" s="2">
        <v>0.79166666666666663</v>
      </c>
      <c r="F1005" t="s">
        <v>24</v>
      </c>
      <c r="G1005">
        <f>VLOOKUP(Table4[[#This Row],[Home]],'NHL Model'!$A$6:$B$38,2,FALSE)</f>
        <v>-0.55013344272463272</v>
      </c>
      <c r="H1005" t="s">
        <v>26</v>
      </c>
      <c r="I1005">
        <f>VLOOKUP(Table4[[#This Row],[Visitor]],'NHL Model'!$A$6:$B$38,2,FALSE)</f>
        <v>-0.1792260169918948</v>
      </c>
      <c r="J1005">
        <f>($B$1+Table4[[#This Row],[Home Differential]])-Table4[[#This Row],[Away Differential]]</f>
        <v>-0.262776963829636</v>
      </c>
      <c r="K1005" t="str">
        <f>IF(Table4[[#This Row],[HomeIce Differential]]&gt;0,Table4[[#This Row],[Home]],Table4[[#This Row],[Visitor]])</f>
        <v>Detroit Red Wings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0.52749697090214831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8" x14ac:dyDescent="0.2">
      <c r="D1006" s="1">
        <v>46089</v>
      </c>
      <c r="E1006" s="2">
        <v>0.6875</v>
      </c>
      <c r="F1006" t="s">
        <v>14</v>
      </c>
      <c r="G1006">
        <f>VLOOKUP(Table4[[#This Row],[Home]],'NHL Model'!$A$6:$B$38,2,FALSE)</f>
        <v>3.6611055984458557E-5</v>
      </c>
      <c r="H1006" t="s">
        <v>21</v>
      </c>
      <c r="I1006">
        <f>VLOOKUP(Table4[[#This Row],[Visitor]],'NHL Model'!$A$6:$B$38,2,FALSE)</f>
        <v>-2.9858233272404857E-2</v>
      </c>
      <c r="J1006">
        <f>($B$1+Table4[[#This Row],[Home Differential]])-Table4[[#This Row],[Away Differential]]</f>
        <v>0.13802530623149126</v>
      </c>
      <c r="K1006" t="str">
        <f>IF(Table4[[#This Row],[HomeIce Differential]]&gt;0,Table4[[#This Row],[Home]],Table4[[#This Row],[Visitor]])</f>
        <v>Pittsburgh Penguins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0.55481761047726275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8" x14ac:dyDescent="0.2">
      <c r="D1007" s="1">
        <v>46089</v>
      </c>
      <c r="E1007" s="2">
        <v>0.89583333333333337</v>
      </c>
      <c r="F1007" t="s">
        <v>20</v>
      </c>
      <c r="G1007">
        <f>VLOOKUP(Table4[[#This Row],[Home]],'NHL Model'!$A$6:$B$38,2,FALSE)</f>
        <v>-0.11283731617452618</v>
      </c>
      <c r="H1007" t="s">
        <v>17</v>
      </c>
      <c r="I1007">
        <f>VLOOKUP(Table4[[#This Row],[Visitor]],'NHL Model'!$A$6:$B$38,2,FALSE)</f>
        <v>-0.12154868922444324</v>
      </c>
      <c r="J1007">
        <f>($B$1+Table4[[#This Row],[Home Differential]])-Table4[[#This Row],[Away Differential]]</f>
        <v>0.11684183495301902</v>
      </c>
      <c r="K1007" t="str">
        <f>IF(Table4[[#This Row],[HomeIce Differential]]&gt;0,Table4[[#This Row],[Home]],Table4[[#This Row],[Visitor]])</f>
        <v>Vegas Golden Knights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0.55023906402088996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8" x14ac:dyDescent="0.2">
      <c r="D1008" s="20">
        <v>46090</v>
      </c>
      <c r="E1008" s="21">
        <v>0.54166666666666663</v>
      </c>
      <c r="F1008" s="22" t="s">
        <v>28</v>
      </c>
      <c r="G1008" s="23">
        <f>VLOOKUP(Table4[[#This Row],[Home]],'NHL Model'!$A$6:$B$38,2,FALSE)</f>
        <v>-0.36066890819319958</v>
      </c>
      <c r="H1008" s="22" t="s">
        <v>13</v>
      </c>
      <c r="I1008" s="23">
        <f>VLOOKUP(Table4[[#This Row],[Visitor]],'NHL Model'!$A$6:$B$38,2,FALSE)</f>
        <v>-0.36406236312551898</v>
      </c>
      <c r="J1008" s="23">
        <f>($B$1+Table4[[#This Row],[Home Differential]])-Table4[[#This Row],[Away Differential]]</f>
        <v>0.11152391683542134</v>
      </c>
      <c r="K1008" s="23" t="str">
        <f>IF(Table4[[#This Row],[HomeIce Differential]]&gt;0,Table4[[#This Row],[Home]],Table4[[#This Row],[Visitor]])</f>
        <v>Columbus Blue Jackets</v>
      </c>
      <c r="L1008" s="24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0.51268583906524479</v>
      </c>
      <c r="M1008" s="23" t="str">
        <f>IF(OR((NHL2025_26Results[[#This Row],[Winning Team]]="")),"-",IF(Table4[[#This Row],[Predicted Winner]]=NHL2025_26Results[[#This Row],[Winning Team]],"YES","NO"))</f>
        <v>-</v>
      </c>
      <c r="N1008" s="23" t="str">
        <f>IF(Table4[[#This Row],[Adjusted Correct]]="-", "",IF(Table4[[#This Row],[Adjusted Correct]]="YES",(Table4[[#This Row],[Strength of Win]]-1)^2,(Table4[[#This Row],[Strength of Win]]-0)^2))</f>
        <v/>
      </c>
      <c r="P1008" s="11"/>
      <c r="Q1008" s="23"/>
      <c r="R1008" s="23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-0.75050764651940183</v>
      </c>
      <c r="H1009" t="s">
        <v>55</v>
      </c>
      <c r="I1009">
        <f>VLOOKUP(Table4[[#This Row],[Visitor]],'NHL Model'!$A$6:$B$38,2,FALSE)</f>
        <v>0.14062496747196682</v>
      </c>
      <c r="J1009">
        <f>($B$1+Table4[[#This Row],[Home Differential]])-Table4[[#This Row],[Away Differential]]</f>
        <v>-0.78300215208826673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0.54405864989021324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-0.39747316405117561</v>
      </c>
      <c r="H1010" t="s">
        <v>15</v>
      </c>
      <c r="I1010">
        <f>VLOOKUP(Table4[[#This Row],[Visitor]],'NHL Model'!$A$6:$B$38,2,FALSE)</f>
        <v>-0.62425830840281982</v>
      </c>
      <c r="J1010">
        <f>($B$1+Table4[[#This Row],[Home Differential]])-Table4[[#This Row],[Away Differential]]</f>
        <v>0.33491560625474615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0.53210163782491549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-1.2664425175465013</v>
      </c>
      <c r="H1011" t="s">
        <v>36</v>
      </c>
      <c r="I1011">
        <f>VLOOKUP(Table4[[#This Row],[Visitor]],'NHL Model'!$A$6:$B$38,2,FALSE)</f>
        <v>-0.179282670690569</v>
      </c>
      <c r="J1011">
        <f>($B$1+Table4[[#This Row],[Home Differential]])-Table4[[#This Row],[Away Differential]]</f>
        <v>-0.97902938495283021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0.5659325098321446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-0.12498445042942641</v>
      </c>
      <c r="H1012" t="s">
        <v>16</v>
      </c>
      <c r="I1012">
        <f>VLOOKUP(Table4[[#This Row],[Visitor]],'NHL Model'!$A$6:$B$38,2,FALSE)</f>
        <v>-0.77822387693813933</v>
      </c>
      <c r="J1012">
        <f>($B$1+Table4[[#This Row],[Home Differential]])-Table4[[#This Row],[Away Differential]]</f>
        <v>0.76136988841181485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0.62173633331182065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-2.9858233272404857E-2</v>
      </c>
      <c r="H1013" t="s">
        <v>13</v>
      </c>
      <c r="I1013">
        <f>VLOOKUP(Table4[[#This Row],[Visitor]],'NHL Model'!$A$6:$B$38,2,FALSE)</f>
        <v>-0.36406236312551898</v>
      </c>
      <c r="J1013">
        <f>($B$1+Table4[[#This Row],[Home Differential]])-Table4[[#This Row],[Away Differential]]</f>
        <v>0.44233459175621609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0.59637541045667974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0.12350258496936412</v>
      </c>
      <c r="H1014" t="s">
        <v>33</v>
      </c>
      <c r="I1014">
        <f>VLOOKUP(Table4[[#This Row],[Visitor]],'NHL Model'!$A$6:$B$38,2,FALSE)</f>
        <v>-0.46908405058827807</v>
      </c>
      <c r="J1014">
        <f>($B$1+Table4[[#This Row],[Home Differential]])-Table4[[#This Row],[Away Differential]]</f>
        <v>0.70071709746074418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0.6269491331758742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0.31465989886768042</v>
      </c>
      <c r="H1015" t="s">
        <v>14</v>
      </c>
      <c r="I1015">
        <f>VLOOKUP(Table4[[#This Row],[Visitor]],'NHL Model'!$A$6:$B$38,2,FALSE)</f>
        <v>3.6611055984458557E-5</v>
      </c>
      <c r="J1015">
        <f>($B$1+Table4[[#This Row],[Home Differential]])-Table4[[#This Row],[Away Differential]]</f>
        <v>0.4227537497147979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0.57241146095517936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1.1504937678265921</v>
      </c>
      <c r="H1016" t="s">
        <v>17</v>
      </c>
      <c r="I1016">
        <f>VLOOKUP(Table4[[#This Row],[Visitor]],'NHL Model'!$A$6:$B$38,2,FALSE)</f>
        <v>-0.12154868922444324</v>
      </c>
      <c r="J1016">
        <f>($B$1+Table4[[#This Row],[Home Differential]])-Table4[[#This Row],[Away Differential]]</f>
        <v>1.3801729189541374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0.77177551885540385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0.24554986733769732</v>
      </c>
      <c r="H1017" t="s">
        <v>20</v>
      </c>
      <c r="I1017">
        <f>VLOOKUP(Table4[[#This Row],[Visitor]],'NHL Model'!$A$6:$B$38,2,FALSE)</f>
        <v>-0.11283731617452618</v>
      </c>
      <c r="J1017">
        <f>($B$1+Table4[[#This Row],[Home Differential]])-Table4[[#This Row],[Away Differential]]</f>
        <v>0.46651764541532548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0.59790876338210686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-0.34412098011518399</v>
      </c>
      <c r="H1018" t="s">
        <v>26</v>
      </c>
      <c r="I1018">
        <f>VLOOKUP(Table4[[#This Row],[Visitor]],'NHL Model'!$A$6:$B$38,2,FALSE)</f>
        <v>-0.1792260169918948</v>
      </c>
      <c r="J1018">
        <f>($B$1+Table4[[#This Row],[Home Differential]])-Table4[[#This Row],[Away Differential]]</f>
        <v>-5.6764501220187252E-2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0.50538064667325122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4.6716977502832858E-2</v>
      </c>
      <c r="H1019" t="s">
        <v>55</v>
      </c>
      <c r="I1019">
        <f>VLOOKUP(Table4[[#This Row],[Visitor]],'NHL Model'!$A$6:$B$38,2,FALSE)</f>
        <v>0.14062496747196682</v>
      </c>
      <c r="J1019">
        <f>($B$1+Table4[[#This Row],[Home Differential]])-Table4[[#This Row],[Away Differential]]</f>
        <v>1.4222471933968001E-2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0.54152684355423852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-0.18787166436597766</v>
      </c>
      <c r="H1020" t="s">
        <v>19</v>
      </c>
      <c r="I1020">
        <f>VLOOKUP(Table4[[#This Row],[Visitor]],'NHL Model'!$A$6:$B$38,2,FALSE)</f>
        <v>-0.38129365484385536</v>
      </c>
      <c r="J1020">
        <f>($B$1+Table4[[#This Row],[Home Differential]])-Table4[[#This Row],[Away Differential]]</f>
        <v>0.30155245238097966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0.57941890505124016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-0.62425830840281982</v>
      </c>
      <c r="H1021" t="s">
        <v>16</v>
      </c>
      <c r="I1021">
        <f>VLOOKUP(Table4[[#This Row],[Visitor]],'NHL Model'!$A$6:$B$38,2,FALSE)</f>
        <v>-0.77822387693813933</v>
      </c>
      <c r="J1021">
        <f>($B$1+Table4[[#This Row],[Home Differential]])-Table4[[#This Row],[Away Differential]]</f>
        <v>0.26209603043842145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0.56813713653465714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-0.42661371358543798</v>
      </c>
      <c r="H1022" t="s">
        <v>29</v>
      </c>
      <c r="I1022">
        <f>VLOOKUP(Table4[[#This Row],[Visitor]],'NHL Model'!$A$6:$B$38,2,FALSE)</f>
        <v>-0.72584022159035511</v>
      </c>
      <c r="J1022">
        <f>($B$1+Table4[[#This Row],[Home Differential]])-Table4[[#This Row],[Away Differential]]</f>
        <v>0.40735696990801906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0.58373152337131295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-1.236228034931707</v>
      </c>
      <c r="H1023" t="s">
        <v>30</v>
      </c>
      <c r="I1023">
        <f>VLOOKUP(Table4[[#This Row],[Visitor]],'NHL Model'!$A$6:$B$38,2,FALSE)</f>
        <v>-6.98902744359894E-2</v>
      </c>
      <c r="J1023">
        <f>($B$1+Table4[[#This Row],[Home Differential]])-Table4[[#This Row],[Away Differential]]</f>
        <v>-1.0582072985926154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0.60345615052323953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0.6987740059316554</v>
      </c>
      <c r="H1024" t="s">
        <v>28</v>
      </c>
      <c r="I1024">
        <f>VLOOKUP(Table4[[#This Row],[Visitor]],'NHL Model'!$A$6:$B$38,2,FALSE)</f>
        <v>-0.36066890819319958</v>
      </c>
      <c r="J1024">
        <f>($B$1+Table4[[#This Row],[Home Differential]])-Table4[[#This Row],[Away Differential]]</f>
        <v>1.167573376027957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0.69491278048168303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-0.41982036690375685</v>
      </c>
      <c r="H1025" t="s">
        <v>31</v>
      </c>
      <c r="I1025">
        <f>VLOOKUP(Table4[[#This Row],[Visitor]],'NHL Model'!$A$6:$B$38,2,FALSE)</f>
        <v>-0.39000953236289804</v>
      </c>
      <c r="J1025">
        <f>($B$1+Table4[[#This Row],[Home Differential]])-Table4[[#This Row],[Away Differential]]</f>
        <v>7.8319627362243127E-2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0.54840794896721134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-0.179282670690569</v>
      </c>
      <c r="H1026" t="s">
        <v>18</v>
      </c>
      <c r="I1026">
        <f>VLOOKUP(Table4[[#This Row],[Visitor]],'NHL Model'!$A$6:$B$38,2,FALSE)</f>
        <v>-0.18787166436597766</v>
      </c>
      <c r="J1026">
        <f>($B$1+Table4[[#This Row],[Home Differential]])-Table4[[#This Row],[Away Differential]]</f>
        <v>0.11671945557851061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0.51324360250309953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-0.39747316405117561</v>
      </c>
      <c r="H1027" t="s">
        <v>22</v>
      </c>
      <c r="I1027">
        <f>VLOOKUP(Table4[[#This Row],[Visitor]],'NHL Model'!$A$6:$B$38,2,FALSE)</f>
        <v>-0.12498445042942641</v>
      </c>
      <c r="J1027">
        <f>($B$1+Table4[[#This Row],[Home Differential]])-Table4[[#This Row],[Away Differential]]</f>
        <v>-0.16435825171864726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0.47764456547269857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-2.9858233272404857E-2</v>
      </c>
      <c r="H1028" t="s">
        <v>33</v>
      </c>
      <c r="I1028">
        <f>VLOOKUP(Table4[[#This Row],[Visitor]],'NHL Model'!$A$6:$B$38,2,FALSE)</f>
        <v>-0.46908405058827807</v>
      </c>
      <c r="J1028">
        <f>($B$1+Table4[[#This Row],[Home Differential]])-Table4[[#This Row],[Away Differential]]</f>
        <v>0.54735627921897512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0.61627278866149815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0.12350258496936412</v>
      </c>
      <c r="H1029" t="s">
        <v>22</v>
      </c>
      <c r="I1029">
        <f>VLOOKUP(Table4[[#This Row],[Visitor]],'NHL Model'!$A$6:$B$38,2,FALSE)</f>
        <v>-0.12498445042942641</v>
      </c>
      <c r="J1029">
        <f>($B$1+Table4[[#This Row],[Home Differential]])-Table4[[#This Row],[Away Differential]]</f>
        <v>0.35661749730189246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0.62010260449885479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0.31465989886768042</v>
      </c>
      <c r="H1030" t="s">
        <v>35</v>
      </c>
      <c r="I1030">
        <f>VLOOKUP(Table4[[#This Row],[Visitor]],'NHL Model'!$A$6:$B$38,2,FALSE)</f>
        <v>-1.236228034931707</v>
      </c>
      <c r="J1030">
        <f>($B$1+Table4[[#This Row],[Home Differential]])-Table4[[#This Row],[Away Differential]]</f>
        <v>1.6590183957024893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0.76100431710262895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0.24554986733769732</v>
      </c>
      <c r="H1031" t="s">
        <v>17</v>
      </c>
      <c r="I1031">
        <f>VLOOKUP(Table4[[#This Row],[Visitor]],'NHL Model'!$A$6:$B$38,2,FALSE)</f>
        <v>-0.12154868922444324</v>
      </c>
      <c r="J1031">
        <f>($B$1+Table4[[#This Row],[Home Differential]])-Table4[[#This Row],[Away Differential]]</f>
        <v>0.47522901846524251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0.60783606162132231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-0.34412098011518399</v>
      </c>
      <c r="H1032" t="s">
        <v>28</v>
      </c>
      <c r="I1032">
        <f>VLOOKUP(Table4[[#This Row],[Visitor]],'NHL Model'!$A$6:$B$38,2,FALSE)</f>
        <v>-0.36066890819319958</v>
      </c>
      <c r="J1032">
        <f>($B$1+Table4[[#This Row],[Home Differential]])-Table4[[#This Row],[Away Differential]]</f>
        <v>0.12467838998111752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0.55338476159273298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4.6716977502832858E-2</v>
      </c>
      <c r="H1033" t="s">
        <v>27</v>
      </c>
      <c r="I1033">
        <f>VLOOKUP(Table4[[#This Row],[Visitor]],'NHL Model'!$A$6:$B$38,2,FALSE)</f>
        <v>-0.39747316405117561</v>
      </c>
      <c r="J1033">
        <f>($B$1+Table4[[#This Row],[Home Differential]])-Table4[[#This Row],[Away Differential]]</f>
        <v>0.55232060345711043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0.59846450005068708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-0.55013344272463272</v>
      </c>
      <c r="H1034" t="s">
        <v>16</v>
      </c>
      <c r="I1034">
        <f>VLOOKUP(Table4[[#This Row],[Visitor]],'NHL Model'!$A$6:$B$38,2,FALSE)</f>
        <v>-0.77822387693813933</v>
      </c>
      <c r="J1034">
        <f>($B$1+Table4[[#This Row],[Home Differential]])-Table4[[#This Row],[Away Differential]]</f>
        <v>0.33622089611660855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0.5760947597871402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-0.42661371358543798</v>
      </c>
      <c r="H1035" t="s">
        <v>12</v>
      </c>
      <c r="I1035">
        <f>VLOOKUP(Table4[[#This Row],[Visitor]],'NHL Model'!$A$6:$B$38,2,FALSE)</f>
        <v>1.1504937678265921</v>
      </c>
      <c r="J1035">
        <f>($B$1+Table4[[#This Row],[Home Differential]])-Table4[[#This Row],[Away Differential]]</f>
        <v>-1.468977019508928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0.68401679278555017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0.6987740059316554</v>
      </c>
      <c r="H1036" t="s">
        <v>26</v>
      </c>
      <c r="I1036">
        <f>VLOOKUP(Table4[[#This Row],[Visitor]],'NHL Model'!$A$6:$B$38,2,FALSE)</f>
        <v>-0.1792260169918948</v>
      </c>
      <c r="J1036">
        <f>($B$1+Table4[[#This Row],[Home Differential]])-Table4[[#This Row],[Away Differential]]</f>
        <v>0.98613048482665211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0.63647759526645398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-0.38129365484385536</v>
      </c>
      <c r="H1037" t="s">
        <v>31</v>
      </c>
      <c r="I1037">
        <f>VLOOKUP(Table4[[#This Row],[Visitor]],'NHL Model'!$A$6:$B$38,2,FALSE)</f>
        <v>-0.39000953236289804</v>
      </c>
      <c r="J1037">
        <f>($B$1+Table4[[#This Row],[Home Differential]])-Table4[[#This Row],[Away Differential]]</f>
        <v>0.11684633942214462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0.55254395726786187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0.14062496747196682</v>
      </c>
      <c r="H1038" t="s">
        <v>10</v>
      </c>
      <c r="I1038">
        <f>VLOOKUP(Table4[[#This Row],[Visitor]],'NHL Model'!$A$6:$B$38,2,FALSE)</f>
        <v>-0.75050764651940183</v>
      </c>
      <c r="J1038">
        <f>($B$1+Table4[[#This Row],[Home Differential]])-Table4[[#This Row],[Away Differential]]</f>
        <v>0.99926307589447061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0.68331205688199115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-1.2664425175465013</v>
      </c>
      <c r="H1039" t="s">
        <v>29</v>
      </c>
      <c r="I1039">
        <f>VLOOKUP(Table4[[#This Row],[Visitor]],'NHL Model'!$A$6:$B$38,2,FALSE)</f>
        <v>-0.72584022159035511</v>
      </c>
      <c r="J1039">
        <f>($B$1+Table4[[#This Row],[Home Differential]])-Table4[[#This Row],[Away Differential]]</f>
        <v>-0.43247183405304412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0.50642771209388093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-0.11283731617452618</v>
      </c>
      <c r="H1040" t="s">
        <v>14</v>
      </c>
      <c r="I1040">
        <f>VLOOKUP(Table4[[#This Row],[Visitor]],'NHL Model'!$A$6:$B$38,2,FALSE)</f>
        <v>3.6611055984458557E-5</v>
      </c>
      <c r="J1040">
        <f>($B$1+Table4[[#This Row],[Home Differential]])-Table4[[#This Row],[Away Differential]]</f>
        <v>-4.7434653274086849E-3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0.51703815703147205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-0.41982036690375685</v>
      </c>
      <c r="H1041" t="s">
        <v>15</v>
      </c>
      <c r="I1041">
        <f>VLOOKUP(Table4[[#This Row],[Visitor]],'NHL Model'!$A$6:$B$38,2,FALSE)</f>
        <v>-0.62425830840281982</v>
      </c>
      <c r="J1041">
        <f>($B$1+Table4[[#This Row],[Home Differential]])-Table4[[#This Row],[Away Differential]]</f>
        <v>0.31256840340216491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0.52970256944994254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-6.98902744359894E-2</v>
      </c>
      <c r="H1042" t="s">
        <v>13</v>
      </c>
      <c r="I1042">
        <f>VLOOKUP(Table4[[#This Row],[Visitor]],'NHL Model'!$A$6:$B$38,2,FALSE)</f>
        <v>-0.36406236312551898</v>
      </c>
      <c r="J1042">
        <f>($B$1+Table4[[#This Row],[Home Differential]])-Table4[[#This Row],[Away Differential]]</f>
        <v>0.40230255059263154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0.56043028902153247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-1.236228034931707</v>
      </c>
      <c r="H1043" t="s">
        <v>17</v>
      </c>
      <c r="I1043">
        <f>VLOOKUP(Table4[[#This Row],[Visitor]],'NHL Model'!$A$6:$B$38,2,FALSE)</f>
        <v>-0.12154868922444324</v>
      </c>
      <c r="J1043">
        <f>($B$1+Table4[[#This Row],[Home Differential]])-Table4[[#This Row],[Away Differential]]</f>
        <v>-1.0065488838041616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0.57036176302163866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0.12350258496936412</v>
      </c>
      <c r="H1044" t="s">
        <v>19</v>
      </c>
      <c r="I1044">
        <f>VLOOKUP(Table4[[#This Row],[Visitor]],'NHL Model'!$A$6:$B$38,2,FALSE)</f>
        <v>-0.38129365484385536</v>
      </c>
      <c r="J1044">
        <f>($B$1+Table4[[#This Row],[Home Differential]])-Table4[[#This Row],[Away Differential]]</f>
        <v>0.61292670171632135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0.64761850036204116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0.24554986733769732</v>
      </c>
      <c r="H1045" t="s">
        <v>26</v>
      </c>
      <c r="I1045">
        <f>VLOOKUP(Table4[[#This Row],[Visitor]],'NHL Model'!$A$6:$B$38,2,FALSE)</f>
        <v>-0.1792260169918948</v>
      </c>
      <c r="J1045">
        <f>($B$1+Table4[[#This Row],[Home Differential]])-Table4[[#This Row],[Away Differential]]</f>
        <v>0.53290634623269406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0.57720978909544185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4.6716977502832858E-2</v>
      </c>
      <c r="H1046" t="s">
        <v>15</v>
      </c>
      <c r="I1046">
        <f>VLOOKUP(Table4[[#This Row],[Visitor]],'NHL Model'!$A$6:$B$38,2,FALSE)</f>
        <v>-0.62425830840281982</v>
      </c>
      <c r="J1046">
        <f>($B$1+Table4[[#This Row],[Home Differential]])-Table4[[#This Row],[Away Differential]]</f>
        <v>0.77910574780875463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0.57978736064699476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-0.18787166436597766</v>
      </c>
      <c r="H1047" t="s">
        <v>33</v>
      </c>
      <c r="I1047">
        <f>VLOOKUP(Table4[[#This Row],[Visitor]],'NHL Model'!$A$6:$B$38,2,FALSE)</f>
        <v>-0.46908405058827807</v>
      </c>
      <c r="J1047">
        <f>($B$1+Table4[[#This Row],[Home Differential]])-Table4[[#This Row],[Away Differential]]</f>
        <v>0.38934284812540237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0.55832655551209887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-0.55013344272463272</v>
      </c>
      <c r="H1048" t="s">
        <v>13</v>
      </c>
      <c r="I1048">
        <f>VLOOKUP(Table4[[#This Row],[Visitor]],'NHL Model'!$A$6:$B$38,2,FALSE)</f>
        <v>-0.36406236312551898</v>
      </c>
      <c r="J1048">
        <f>($B$1+Table4[[#This Row],[Home Differential]])-Table4[[#This Row],[Away Differential]]</f>
        <v>-7.7940617696011794E-2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0.50765399388708499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-6.98902744359894E-2</v>
      </c>
      <c r="H1049" t="s">
        <v>16</v>
      </c>
      <c r="I1049">
        <f>VLOOKUP(Table4[[#This Row],[Visitor]],'NHL Model'!$A$6:$B$38,2,FALSE)</f>
        <v>-0.77822387693813933</v>
      </c>
      <c r="J1049">
        <f>($B$1+Table4[[#This Row],[Home Differential]])-Table4[[#This Row],[Away Differential]]</f>
        <v>0.81646406440525188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0.64403075210563854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-0.179282670690569</v>
      </c>
      <c r="H1050" t="s">
        <v>31</v>
      </c>
      <c r="I1050">
        <f>VLOOKUP(Table4[[#This Row],[Visitor]],'NHL Model'!$A$6:$B$38,2,FALSE)</f>
        <v>-0.39000953236289804</v>
      </c>
      <c r="J1050">
        <f>($B$1+Table4[[#This Row],[Home Differential]])-Table4[[#This Row],[Away Differential]]</f>
        <v>0.31885732357543101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0.57423070556814537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-0.39747316405117561</v>
      </c>
      <c r="H1051" t="s">
        <v>28</v>
      </c>
      <c r="I1051">
        <f>VLOOKUP(Table4[[#This Row],[Visitor]],'NHL Model'!$A$6:$B$38,2,FALSE)</f>
        <v>-0.36066890819319958</v>
      </c>
      <c r="J1051">
        <f>($B$1+Table4[[#This Row],[Home Differential]])-Table4[[#This Row],[Away Differential]]</f>
        <v>7.1326206045125906E-2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0.54765717509965239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0.6987740059316554</v>
      </c>
      <c r="H1052" t="s">
        <v>25</v>
      </c>
      <c r="I1052">
        <f>VLOOKUP(Table4[[#This Row],[Visitor]],'NHL Model'!$A$6:$B$38,2,FALSE)</f>
        <v>0.31465989886768042</v>
      </c>
      <c r="J1052">
        <f>($B$1+Table4[[#This Row],[Home Differential]])-Table4[[#This Row],[Away Differential]]</f>
        <v>0.49224456896707691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0.56348287023118881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0.14062496747196682</v>
      </c>
      <c r="H1053" t="s">
        <v>14</v>
      </c>
      <c r="I1053">
        <f>VLOOKUP(Table4[[#This Row],[Visitor]],'NHL Model'!$A$6:$B$38,2,FALSE)</f>
        <v>3.6611055984458557E-5</v>
      </c>
      <c r="J1053">
        <f>($B$1+Table4[[#This Row],[Home Differential]])-Table4[[#This Row],[Away Differential]]</f>
        <v>0.24871881831908432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0.5467010352582462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-1.2664425175465013</v>
      </c>
      <c r="H1054" t="s">
        <v>32</v>
      </c>
      <c r="I1054">
        <f>VLOOKUP(Table4[[#This Row],[Visitor]],'NHL Model'!$A$6:$B$38,2,FALSE)</f>
        <v>-0.42661371358543798</v>
      </c>
      <c r="J1054">
        <f>($B$1+Table4[[#This Row],[Home Differential]])-Table4[[#This Row],[Away Differential]]</f>
        <v>-0.73169834205796125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0.53855096514902834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-0.11283731617452618</v>
      </c>
      <c r="H1055" t="s">
        <v>10</v>
      </c>
      <c r="I1055">
        <f>VLOOKUP(Table4[[#This Row],[Visitor]],'NHL Model'!$A$6:$B$38,2,FALSE)</f>
        <v>-0.75050764651940183</v>
      </c>
      <c r="J1055">
        <f>($B$1+Table4[[#This Row],[Home Differential]])-Table4[[#This Row],[Away Differential]]</f>
        <v>0.74580079224797757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0.62006492385266054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-0.41982036690375685</v>
      </c>
      <c r="H1056" t="s">
        <v>12</v>
      </c>
      <c r="I1056">
        <f>VLOOKUP(Table4[[#This Row],[Visitor]],'NHL Model'!$A$6:$B$38,2,FALSE)</f>
        <v>1.1504937678265921</v>
      </c>
      <c r="J1056">
        <f>($B$1+Table4[[#This Row],[Home Differential]])-Table4[[#This Row],[Away Differential]]</f>
        <v>-1.462183672827247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0.68328749779092557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-0.12498445042942641</v>
      </c>
      <c r="H1057" t="s">
        <v>21</v>
      </c>
      <c r="I1057">
        <f>VLOOKUP(Table4[[#This Row],[Visitor]],'NHL Model'!$A$6:$B$38,2,FALSE)</f>
        <v>-2.9858233272404857E-2</v>
      </c>
      <c r="J1057">
        <f>($B$1+Table4[[#This Row],[Home Differential]])-Table4[[#This Row],[Away Differential]]</f>
        <v>1.30042447460804E-2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0.54139606162420129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-0.12154868922444324</v>
      </c>
      <c r="H1058" t="s">
        <v>29</v>
      </c>
      <c r="I1058">
        <f>VLOOKUP(Table4[[#This Row],[Visitor]],'NHL Model'!$A$6:$B$38,2,FALSE)</f>
        <v>-0.72584022159035511</v>
      </c>
      <c r="J1058">
        <f>($B$1+Table4[[#This Row],[Home Differential]])-Table4[[#This Row],[Away Differential]]</f>
        <v>0.71242199426901376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0.61648156627747785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4.6716977502832858E-2</v>
      </c>
      <c r="H1059" t="s">
        <v>19</v>
      </c>
      <c r="I1059">
        <f>VLOOKUP(Table4[[#This Row],[Visitor]],'NHL Model'!$A$6:$B$38,2,FALSE)</f>
        <v>-0.38129365484385536</v>
      </c>
      <c r="J1059">
        <f>($B$1+Table4[[#This Row],[Home Differential]])-Table4[[#This Row],[Away Differential]]</f>
        <v>0.53614109424979017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0.59755705321256714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-0.18787166436597766</v>
      </c>
      <c r="H1060" t="s">
        <v>31</v>
      </c>
      <c r="I1060">
        <f>VLOOKUP(Table4[[#This Row],[Visitor]],'NHL Model'!$A$6:$B$38,2,FALSE)</f>
        <v>-0.39000953236289804</v>
      </c>
      <c r="J1060">
        <f>($B$1+Table4[[#This Row],[Home Differential]])-Table4[[#This Row],[Away Differential]]</f>
        <v>0.31026832990002234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0.58035459200293649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-0.179282670690569</v>
      </c>
      <c r="H1061" t="s">
        <v>33</v>
      </c>
      <c r="I1061">
        <f>VLOOKUP(Table4[[#This Row],[Visitor]],'NHL Model'!$A$6:$B$38,2,FALSE)</f>
        <v>-0.46908405058827807</v>
      </c>
      <c r="J1061">
        <f>($B$1+Table4[[#This Row],[Home Differential]])-Table4[[#This Row],[Away Differential]]</f>
        <v>0.39793184180081104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0.55215365758158008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-0.42661371358543798</v>
      </c>
      <c r="H1062" t="s">
        <v>11</v>
      </c>
      <c r="I1062">
        <f>VLOOKUP(Table4[[#This Row],[Visitor]],'NHL Model'!$A$6:$B$38,2,FALSE)</f>
        <v>-0.34412098011518399</v>
      </c>
      <c r="J1062">
        <f>($B$1+Table4[[#This Row],[Home Differential]])-Table4[[#This Row],[Away Differential]]</f>
        <v>2.563772843284795E-2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0.4834644866255941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-0.41982036690375685</v>
      </c>
      <c r="H1063" t="s">
        <v>35</v>
      </c>
      <c r="I1063">
        <f>VLOOKUP(Table4[[#This Row],[Visitor]],'NHL Model'!$A$6:$B$38,2,FALSE)</f>
        <v>-1.236228034931707</v>
      </c>
      <c r="J1063">
        <f>($B$1+Table4[[#This Row],[Home Differential]])-Table4[[#This Row],[Away Differential]]</f>
        <v>0.924538129931052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0.6392531460695986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1.1504937678265921</v>
      </c>
      <c r="H1064" t="s">
        <v>14</v>
      </c>
      <c r="I1064">
        <f>VLOOKUP(Table4[[#This Row],[Visitor]],'NHL Model'!$A$6:$B$38,2,FALSE)</f>
        <v>3.6611055984458557E-5</v>
      </c>
      <c r="J1064">
        <f>($B$1+Table4[[#This Row],[Home Differential]])-Table4[[#This Row],[Away Differential]]</f>
        <v>1.2585876186737097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0.70654336736124523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0.24554986733769732</v>
      </c>
      <c r="H1065" t="s">
        <v>55</v>
      </c>
      <c r="I1065">
        <f>VLOOKUP(Table4[[#This Row],[Visitor]],'NHL Model'!$A$6:$B$38,2,FALSE)</f>
        <v>0.14062496747196682</v>
      </c>
      <c r="J1065">
        <f>($B$1+Table4[[#This Row],[Home Differential]])-Table4[[#This Row],[Away Differential]]</f>
        <v>0.21305536176883247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0.58197784106560568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-0.1792260169918948</v>
      </c>
      <c r="H1066" t="s">
        <v>16</v>
      </c>
      <c r="I1066">
        <f>VLOOKUP(Table4[[#This Row],[Visitor]],'NHL Model'!$A$6:$B$38,2,FALSE)</f>
        <v>-0.77822387693813933</v>
      </c>
      <c r="J1066">
        <f>($B$1+Table4[[#This Row],[Home Differential]])-Table4[[#This Row],[Away Differential]]</f>
        <v>0.70712832184934649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0.65881482217136778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-0.55013344272463272</v>
      </c>
      <c r="H1067" t="s">
        <v>21</v>
      </c>
      <c r="I1067">
        <f>VLOOKUP(Table4[[#This Row],[Visitor]],'NHL Model'!$A$6:$B$38,2,FALSE)</f>
        <v>-2.9858233272404857E-2</v>
      </c>
      <c r="J1067">
        <f>($B$1+Table4[[#This Row],[Home Differential]])-Table4[[#This Row],[Away Differential]]</f>
        <v>-0.41214474754912594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0.50424551190047928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-0.62425830840281982</v>
      </c>
      <c r="H1068" t="s">
        <v>13</v>
      </c>
      <c r="I1068">
        <f>VLOOKUP(Table4[[#This Row],[Visitor]],'NHL Model'!$A$6:$B$38,2,FALSE)</f>
        <v>-0.36406236312551898</v>
      </c>
      <c r="J1068">
        <f>($B$1+Table4[[#This Row],[Home Differential]])-Table4[[#This Row],[Away Differential]]</f>
        <v>-0.1520654833741989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0.51561161713956793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-0.36066890819319958</v>
      </c>
      <c r="H1069" t="s">
        <v>25</v>
      </c>
      <c r="I1069">
        <f>VLOOKUP(Table4[[#This Row],[Visitor]],'NHL Model'!$A$6:$B$38,2,FALSE)</f>
        <v>0.31465989886768042</v>
      </c>
      <c r="J1069">
        <f>($B$1+Table4[[#This Row],[Home Differential]])-Table4[[#This Row],[Away Differential]]</f>
        <v>-0.56719834515777801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0.58017901654912696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-0.75050764651940183</v>
      </c>
      <c r="H1070" t="s">
        <v>34</v>
      </c>
      <c r="I1070">
        <f>VLOOKUP(Table4[[#This Row],[Visitor]],'NHL Model'!$A$6:$B$38,2,FALSE)</f>
        <v>4.6716977502832858E-2</v>
      </c>
      <c r="J1070">
        <f>($B$1+Table4[[#This Row],[Home Differential]])-Table4[[#This Row],[Away Differential]]</f>
        <v>-0.68909416211913277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0.59050614874812091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-0.12154868922444324</v>
      </c>
      <c r="H1071" t="s">
        <v>33</v>
      </c>
      <c r="I1071">
        <f>VLOOKUP(Table4[[#This Row],[Visitor]],'NHL Model'!$A$6:$B$38,2,FALSE)</f>
        <v>-0.46908405058827807</v>
      </c>
      <c r="J1071">
        <f>($B$1+Table4[[#This Row],[Home Differential]])-Table4[[#This Row],[Away Differential]]</f>
        <v>0.45566582326693678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0.55835164889218647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-0.18787166436597766</v>
      </c>
      <c r="H1072" t="s">
        <v>21</v>
      </c>
      <c r="I1072">
        <f>VLOOKUP(Table4[[#This Row],[Visitor]],'NHL Model'!$A$6:$B$38,2,FALSE)</f>
        <v>-2.9858233272404857E-2</v>
      </c>
      <c r="J1072">
        <f>($B$1+Table4[[#This Row],[Home Differential]])-Table4[[#This Row],[Away Differential]]</f>
        <v>-4.9882969190470847E-2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0.45830919950391058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-0.42661371358543798</v>
      </c>
      <c r="H1073" t="s">
        <v>37</v>
      </c>
      <c r="I1073">
        <f>VLOOKUP(Table4[[#This Row],[Visitor]],'NHL Model'!$A$6:$B$38,2,FALSE)</f>
        <v>0.6987740059316554</v>
      </c>
      <c r="J1073">
        <f>($B$1+Table4[[#This Row],[Home Differential]])-Table4[[#This Row],[Away Differential]]</f>
        <v>-1.0172572576139913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0.66606509106397815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-0.38129365484385536</v>
      </c>
      <c r="H1074" t="s">
        <v>30</v>
      </c>
      <c r="I1074">
        <f>VLOOKUP(Table4[[#This Row],[Visitor]],'NHL Model'!$A$6:$B$38,2,FALSE)</f>
        <v>-6.98902744359894E-2</v>
      </c>
      <c r="J1074">
        <f>($B$1+Table4[[#This Row],[Home Differential]])-Table4[[#This Row],[Away Differential]]</f>
        <v>-0.20327291850476403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0.51167526646915584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-1.2664425175465013</v>
      </c>
      <c r="H1075" t="s">
        <v>11</v>
      </c>
      <c r="I1075">
        <f>VLOOKUP(Table4[[#This Row],[Visitor]],'NHL Model'!$A$6:$B$38,2,FALSE)</f>
        <v>-0.34412098011518399</v>
      </c>
      <c r="J1075">
        <f>($B$1+Table4[[#This Row],[Home Differential]])-Table4[[#This Row],[Away Differential]]</f>
        <v>-0.81419107552821524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0.60669474883959962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-0.11283731617452618</v>
      </c>
      <c r="H1076" t="s">
        <v>23</v>
      </c>
      <c r="I1076">
        <f>VLOOKUP(Table4[[#This Row],[Visitor]],'NHL Model'!$A$6:$B$38,2,FALSE)</f>
        <v>0.12350258496936412</v>
      </c>
      <c r="J1076">
        <f>($B$1+Table4[[#This Row],[Home Differential]])-Table4[[#This Row],[Away Differential]]</f>
        <v>-0.12820943924078834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0.5036168790098573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-0.41982036690375685</v>
      </c>
      <c r="H1077" t="s">
        <v>29</v>
      </c>
      <c r="I1077">
        <f>VLOOKUP(Table4[[#This Row],[Visitor]],'NHL Model'!$A$6:$B$38,2,FALSE)</f>
        <v>-0.72584022159035511</v>
      </c>
      <c r="J1077">
        <f>($B$1+Table4[[#This Row],[Home Differential]])-Table4[[#This Row],[Away Differential]]</f>
        <v>0.4141503165897002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0.58446081836593755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-0.39000953236289804</v>
      </c>
      <c r="H1078" t="s">
        <v>27</v>
      </c>
      <c r="I1078">
        <f>VLOOKUP(Table4[[#This Row],[Visitor]],'NHL Model'!$A$6:$B$38,2,FALSE)</f>
        <v>-0.39747316405117561</v>
      </c>
      <c r="J1078">
        <f>($B$1+Table4[[#This Row],[Home Differential]])-Table4[[#This Row],[Away Differential]]</f>
        <v>0.11559409359137951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0.58763076222819965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0.31465989886768042</v>
      </c>
      <c r="H1079" t="s">
        <v>14</v>
      </c>
      <c r="I1079">
        <f>VLOOKUP(Table4[[#This Row],[Visitor]],'NHL Model'!$A$6:$B$38,2,FALSE)</f>
        <v>3.6611055984458557E-5</v>
      </c>
      <c r="J1079">
        <f>($B$1+Table4[[#This Row],[Home Differential]])-Table4[[#This Row],[Away Differential]]</f>
        <v>0.4227537497147979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0.57241146095517936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-0.77822387693813933</v>
      </c>
      <c r="H1080" t="s">
        <v>35</v>
      </c>
      <c r="I1080">
        <f>VLOOKUP(Table4[[#This Row],[Visitor]],'NHL Model'!$A$6:$B$38,2,FALSE)</f>
        <v>-1.236228034931707</v>
      </c>
      <c r="J1080">
        <f>($B$1+Table4[[#This Row],[Home Differential]])-Table4[[#This Row],[Away Differential]]</f>
        <v>0.56613461989666958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0.60077698723778039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1.1504937678265921</v>
      </c>
      <c r="H1081" t="s">
        <v>39</v>
      </c>
      <c r="I1081">
        <f>VLOOKUP(Table4[[#This Row],[Visitor]],'NHL Model'!$A$6:$B$38,2,FALSE)</f>
        <v>0.24554986733769732</v>
      </c>
      <c r="J1081">
        <f>($B$1+Table4[[#This Row],[Home Differential]])-Table4[[#This Row],[Away Differential]]</f>
        <v>1.0130743623919969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0.69108720882013308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-0.62425830840281982</v>
      </c>
      <c r="H1082" t="s">
        <v>24</v>
      </c>
      <c r="I1082">
        <f>VLOOKUP(Table4[[#This Row],[Visitor]],'NHL Model'!$A$6:$B$38,2,FALSE)</f>
        <v>-0.55013344272463272</v>
      </c>
      <c r="J1082">
        <f>($B$1+Table4[[#This Row],[Home Differential]])-Table4[[#This Row],[Away Differential]]</f>
        <v>3.4005596224914836E-2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0.51441385645702886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-0.12498445042942641</v>
      </c>
      <c r="H1083" t="s">
        <v>36</v>
      </c>
      <c r="I1083">
        <f>VLOOKUP(Table4[[#This Row],[Visitor]],'NHL Model'!$A$6:$B$38,2,FALSE)</f>
        <v>-0.179282670690569</v>
      </c>
      <c r="J1083">
        <f>($B$1+Table4[[#This Row],[Home Differential]])-Table4[[#This Row],[Away Differential]]</f>
        <v>0.16242868216424455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0.55660792479151078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-2.9858233272404857E-2</v>
      </c>
      <c r="H1084" t="s">
        <v>40</v>
      </c>
      <c r="I1084">
        <f>VLOOKUP(Table4[[#This Row],[Visitor]],'NHL Model'!$A$6:$B$38,2,FALSE)</f>
        <v>-0.41982036690375685</v>
      </c>
      <c r="J1084">
        <f>($B$1+Table4[[#This Row],[Home Differential]])-Table4[[#This Row],[Away Differential]]</f>
        <v>0.49809259553445395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0.64098011353683981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-0.36066890819319958</v>
      </c>
      <c r="H1085" t="s">
        <v>15</v>
      </c>
      <c r="I1085">
        <f>VLOOKUP(Table4[[#This Row],[Visitor]],'NHL Model'!$A$6:$B$38,2,FALSE)</f>
        <v>-0.62425830840281982</v>
      </c>
      <c r="J1085">
        <f>($B$1+Table4[[#This Row],[Home Differential]])-Table4[[#This Row],[Away Differential]]</f>
        <v>0.37171986211272218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0.53605273304142864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-0.1792260169918948</v>
      </c>
      <c r="H1086" t="s">
        <v>18</v>
      </c>
      <c r="I1086">
        <f>VLOOKUP(Table4[[#This Row],[Visitor]],'NHL Model'!$A$6:$B$38,2,FALSE)</f>
        <v>-0.18787166436597766</v>
      </c>
      <c r="J1086">
        <f>($B$1+Table4[[#This Row],[Home Differential]])-Table4[[#This Row],[Away Differential]]</f>
        <v>0.11677610927718481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0.55672246427126348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-0.12154868922444324</v>
      </c>
      <c r="H1087" t="s">
        <v>11</v>
      </c>
      <c r="I1087">
        <f>VLOOKUP(Table4[[#This Row],[Visitor]],'NHL Model'!$A$6:$B$38,2,FALSE)</f>
        <v>-0.34412098011518399</v>
      </c>
      <c r="J1087">
        <f>($B$1+Table4[[#This Row],[Home Differential]])-Table4[[#This Row],[Away Differential]]</f>
        <v>0.3307027527938427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0.51621452953175906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-0.36406236312551898</v>
      </c>
      <c r="H1088" t="s">
        <v>27</v>
      </c>
      <c r="I1088">
        <f>VLOOKUP(Table4[[#This Row],[Visitor]],'NHL Model'!$A$6:$B$38,2,FALSE)</f>
        <v>-0.39747316405117561</v>
      </c>
      <c r="J1088">
        <f>($B$1+Table4[[#This Row],[Home Differential]])-Table4[[#This Row],[Away Differential]]</f>
        <v>0.14154126282875856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0.55436557045781054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4.6716977502832858E-2</v>
      </c>
      <c r="H1089" t="s">
        <v>10</v>
      </c>
      <c r="I1089">
        <f>VLOOKUP(Table4[[#This Row],[Visitor]],'NHL Model'!$A$6:$B$38,2,FALSE)</f>
        <v>-0.75050764651940183</v>
      </c>
      <c r="J1089">
        <f>($B$1+Table4[[#This Row],[Home Differential]])-Table4[[#This Row],[Away Differential]]</f>
        <v>0.90535508592533664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0.6371937637606172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-0.72584022159035511</v>
      </c>
      <c r="H1090" t="s">
        <v>32</v>
      </c>
      <c r="I1090">
        <f>VLOOKUP(Table4[[#This Row],[Visitor]],'NHL Model'!$A$6:$B$38,2,FALSE)</f>
        <v>-0.42661371358543798</v>
      </c>
      <c r="J1090">
        <f>($B$1+Table4[[#This Row],[Home Differential]])-Table4[[#This Row],[Away Differential]]</f>
        <v>-0.19109604610181519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0.48051498273898197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-0.179282670690569</v>
      </c>
      <c r="H1091" t="s">
        <v>30</v>
      </c>
      <c r="I1091">
        <f>VLOOKUP(Table4[[#This Row],[Visitor]],'NHL Model'!$A$6:$B$38,2,FALSE)</f>
        <v>-6.98902744359894E-2</v>
      </c>
      <c r="J1091">
        <f>($B$1+Table4[[#This Row],[Home Differential]])-Table4[[#This Row],[Away Differential]]</f>
        <v>-1.2619343514776449E-3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0.48998851816887234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-0.46908405058827807</v>
      </c>
      <c r="H1092" t="s">
        <v>23</v>
      </c>
      <c r="I1092">
        <f>VLOOKUP(Table4[[#This Row],[Visitor]],'NHL Model'!$A$6:$B$38,2,FALSE)</f>
        <v>0.12350258496936412</v>
      </c>
      <c r="J1092">
        <f>($B$1+Table4[[#This Row],[Home Differential]])-Table4[[#This Row],[Away Differential]]</f>
        <v>-0.48445617365454025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0.54186149869928268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-1.2664425175465013</v>
      </c>
      <c r="H1093" t="s">
        <v>37</v>
      </c>
      <c r="I1093">
        <f>VLOOKUP(Table4[[#This Row],[Visitor]],'NHL Model'!$A$6:$B$38,2,FALSE)</f>
        <v>0.6987740059316554</v>
      </c>
      <c r="J1093">
        <f>($B$1+Table4[[#This Row],[Home Differential]])-Table4[[#This Row],[Away Differential]]</f>
        <v>-1.8570860615750546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0.75622432652917204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-0.11283731617452618</v>
      </c>
      <c r="H1094" t="s">
        <v>55</v>
      </c>
      <c r="I1094">
        <f>VLOOKUP(Table4[[#This Row],[Visitor]],'NHL Model'!$A$6:$B$38,2,FALSE)</f>
        <v>0.14062496747196682</v>
      </c>
      <c r="J1094">
        <f>($B$1+Table4[[#This Row],[Home Differential]])-Table4[[#This Row],[Away Differential]]</f>
        <v>-0.14533182174339104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0.47560199635371814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-0.77822387693813933</v>
      </c>
      <c r="H1095" t="s">
        <v>11</v>
      </c>
      <c r="I1095">
        <f>VLOOKUP(Table4[[#This Row],[Visitor]],'NHL Model'!$A$6:$B$38,2,FALSE)</f>
        <v>-0.34412098011518399</v>
      </c>
      <c r="J1095">
        <f>($B$1+Table4[[#This Row],[Home Differential]])-Table4[[#This Row],[Away Differential]]</f>
        <v>-0.32597243491985339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0.55428237721159945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-0.75050764651940183</v>
      </c>
      <c r="H1096" t="s">
        <v>12</v>
      </c>
      <c r="I1096">
        <f>VLOOKUP(Table4[[#This Row],[Visitor]],'NHL Model'!$A$6:$B$38,2,FALSE)</f>
        <v>1.1504937678265921</v>
      </c>
      <c r="J1096">
        <f>($B$1+Table4[[#This Row],[Home Differential]])-Table4[[#This Row],[Away Differential]]</f>
        <v>-1.7928709524428919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0.718788200038325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-0.38129365484385536</v>
      </c>
      <c r="H1097" t="s">
        <v>25</v>
      </c>
      <c r="I1097">
        <f>VLOOKUP(Table4[[#This Row],[Visitor]],'NHL Model'!$A$6:$B$38,2,FALSE)</f>
        <v>0.31465989886768042</v>
      </c>
      <c r="J1097">
        <f>($B$1+Table4[[#This Row],[Home Differential]])-Table4[[#This Row],[Away Differential]]</f>
        <v>-0.58782309180843384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0.58239317183996242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0.14062496747196682</v>
      </c>
      <c r="H1098" t="s">
        <v>31</v>
      </c>
      <c r="I1098">
        <f>VLOOKUP(Table4[[#This Row],[Visitor]],'NHL Model'!$A$6:$B$38,2,FALSE)</f>
        <v>-0.39000953236289804</v>
      </c>
      <c r="J1098">
        <f>($B$1+Table4[[#This Row],[Home Differential]])-Table4[[#This Row],[Away Differential]]</f>
        <v>0.63876496173796682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0.64461103328563762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-0.12498445042942641</v>
      </c>
      <c r="H1099" t="s">
        <v>24</v>
      </c>
      <c r="I1099">
        <f>VLOOKUP(Table4[[#This Row],[Visitor]],'NHL Model'!$A$6:$B$38,2,FALSE)</f>
        <v>-0.55013344272463272</v>
      </c>
      <c r="J1099">
        <f>($B$1+Table4[[#This Row],[Home Differential]])-Table4[[#This Row],[Away Differential]]</f>
        <v>0.53327945419830824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0.56801305323419238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-0.36066890819319958</v>
      </c>
      <c r="H1100" t="s">
        <v>32</v>
      </c>
      <c r="I1100">
        <f>VLOOKUP(Table4[[#This Row],[Visitor]],'NHL Model'!$A$6:$B$38,2,FALSE)</f>
        <v>-0.42661371358543798</v>
      </c>
      <c r="J1100">
        <f>($B$1+Table4[[#This Row],[Home Differential]])-Table4[[#This Row],[Away Differential]]</f>
        <v>0.17407526729534034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0.55868772890227614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-0.1792260169918948</v>
      </c>
      <c r="H1101" t="s">
        <v>21</v>
      </c>
      <c r="I1101">
        <f>VLOOKUP(Table4[[#This Row],[Visitor]],'NHL Model'!$A$6:$B$38,2,FALSE)</f>
        <v>-2.9858233272404857E-2</v>
      </c>
      <c r="J1101">
        <f>($B$1+Table4[[#This Row],[Home Differential]])-Table4[[#This Row],[Away Differential]]</f>
        <v>-4.1237321816387992E-2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0.42152544951625159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-0.12154868922444324</v>
      </c>
      <c r="H1102" t="s">
        <v>37</v>
      </c>
      <c r="I1102">
        <f>VLOOKUP(Table4[[#This Row],[Visitor]],'NHL Model'!$A$6:$B$38,2,FALSE)</f>
        <v>0.6987740059316554</v>
      </c>
      <c r="J1102">
        <f>($B$1+Table4[[#This Row],[Home Differential]])-Table4[[#This Row],[Away Differential]]</f>
        <v>-0.71219223325299663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0.63331504815781325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-0.36406236312551898</v>
      </c>
      <c r="H1103" t="s">
        <v>23</v>
      </c>
      <c r="I1103">
        <f>VLOOKUP(Table4[[#This Row],[Visitor]],'NHL Model'!$A$6:$B$38,2,FALSE)</f>
        <v>0.12350258496936412</v>
      </c>
      <c r="J1103">
        <f>($B$1+Table4[[#This Row],[Home Differential]])-Table4[[#This Row],[Away Differential]]</f>
        <v>-0.37943448619178116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0.53058696869477728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4.6716977502832858E-2</v>
      </c>
      <c r="H1104" t="s">
        <v>39</v>
      </c>
      <c r="I1104">
        <f>VLOOKUP(Table4[[#This Row],[Visitor]],'NHL Model'!$A$6:$B$38,2,FALSE)</f>
        <v>0.24554986733769732</v>
      </c>
      <c r="J1104">
        <f>($B$1+Table4[[#This Row],[Home Differential]])-Table4[[#This Row],[Away Differential]]</f>
        <v>-9.0702427931762503E-2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0.51510684736982071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-0.18787166436597766</v>
      </c>
      <c r="H1105" t="s">
        <v>30</v>
      </c>
      <c r="I1105">
        <f>VLOOKUP(Table4[[#This Row],[Visitor]],'NHL Model'!$A$6:$B$38,2,FALSE)</f>
        <v>-6.98902744359894E-2</v>
      </c>
      <c r="J1105">
        <f>($B$1+Table4[[#This Row],[Home Differential]])-Table4[[#This Row],[Away Differential]]</f>
        <v>-9.8509280268863075E-3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0.48381616019691875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-0.72584022159035511</v>
      </c>
      <c r="H1106" t="s">
        <v>20</v>
      </c>
      <c r="I1106">
        <f>VLOOKUP(Table4[[#This Row],[Visitor]],'NHL Model'!$A$6:$B$38,2,FALSE)</f>
        <v>-0.11283731617452618</v>
      </c>
      <c r="J1106">
        <f>($B$1+Table4[[#This Row],[Home Differential]])-Table4[[#This Row],[Away Differential]]</f>
        <v>-0.50487244351272698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0.52555628413510258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-0.179282670690569</v>
      </c>
      <c r="H1107" t="s">
        <v>19</v>
      </c>
      <c r="I1107">
        <f>VLOOKUP(Table4[[#This Row],[Visitor]],'NHL Model'!$A$6:$B$38,2,FALSE)</f>
        <v>-0.38129365484385536</v>
      </c>
      <c r="J1107">
        <f>($B$1+Table4[[#This Row],[Home Differential]])-Table4[[#This Row],[Away Differential]]</f>
        <v>0.31014144605638833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0.57329501861644894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3.6611055984458557E-5</v>
      </c>
      <c r="H1108" t="s">
        <v>40</v>
      </c>
      <c r="I1108">
        <f>VLOOKUP(Table4[[#This Row],[Visitor]],'NHL Model'!$A$6:$B$38,2,FALSE)</f>
        <v>-0.41982036690375685</v>
      </c>
      <c r="J1108">
        <f>($B$1+Table4[[#This Row],[Home Differential]])-Table4[[#This Row],[Away Differential]]</f>
        <v>0.52798743986284324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0.59668172333306391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-0.46908405058827807</v>
      </c>
      <c r="H1109" t="s">
        <v>27</v>
      </c>
      <c r="I1109">
        <f>VLOOKUP(Table4[[#This Row],[Visitor]],'NHL Model'!$A$6:$B$38,2,FALSE)</f>
        <v>-0.39747316405117561</v>
      </c>
      <c r="J1109">
        <f>($B$1+Table4[[#This Row],[Home Differential]])-Table4[[#This Row],[Away Differential]]</f>
        <v>3.6519575365999479E-2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0.54309104045330514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-1.2664425175465013</v>
      </c>
      <c r="H1110" t="s">
        <v>35</v>
      </c>
      <c r="I1110">
        <f>VLOOKUP(Table4[[#This Row],[Visitor]],'NHL Model'!$A$6:$B$38,2,FALSE)</f>
        <v>-1.236228034931707</v>
      </c>
      <c r="J1110">
        <f>($B$1+Table4[[#This Row],[Home Differential]])-Table4[[#This Row],[Away Differential]]</f>
        <v>7.7915979288307735E-2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0.54836461560978023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-0.39000953236289804</v>
      </c>
      <c r="H1111" t="s">
        <v>23</v>
      </c>
      <c r="I1111">
        <f>VLOOKUP(Table4[[#This Row],[Visitor]],'NHL Model'!$A$6:$B$38,2,FALSE)</f>
        <v>0.12350258496936412</v>
      </c>
      <c r="J1111">
        <f>($B$1+Table4[[#This Row],[Home Differential]])-Table4[[#This Row],[Away Differential]]</f>
        <v>-0.40538165542916021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0.4969607604097836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-0.77822387693813933</v>
      </c>
      <c r="H1112" t="s">
        <v>37</v>
      </c>
      <c r="I1112">
        <f>VLOOKUP(Table4[[#This Row],[Visitor]],'NHL Model'!$A$6:$B$38,2,FALSE)</f>
        <v>0.6987740059316554</v>
      </c>
      <c r="J1112">
        <f>($B$1+Table4[[#This Row],[Home Differential]])-Table4[[#This Row],[Away Differential]]</f>
        <v>-1.3688674209666929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0.70381195490117188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-0.75050764651940183</v>
      </c>
      <c r="H1113" t="s">
        <v>29</v>
      </c>
      <c r="I1113">
        <f>VLOOKUP(Table4[[#This Row],[Visitor]],'NHL Model'!$A$6:$B$38,2,FALSE)</f>
        <v>-0.72584022159035511</v>
      </c>
      <c r="J1113">
        <f>($B$1+Table4[[#This Row],[Home Differential]])-Table4[[#This Row],[Away Differential]]</f>
        <v>8.3463036974055216E-2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0.54896011611853801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0.24554986733769732</v>
      </c>
      <c r="H1114" t="s">
        <v>20</v>
      </c>
      <c r="I1114">
        <f>VLOOKUP(Table4[[#This Row],[Visitor]],'NHL Model'!$A$6:$B$38,2,FALSE)</f>
        <v>-0.11283731617452618</v>
      </c>
      <c r="J1114">
        <f>($B$1+Table4[[#This Row],[Home Differential]])-Table4[[#This Row],[Away Differential]]</f>
        <v>0.46651764541532548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0.59790876338210686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-6.98902744359894E-2</v>
      </c>
      <c r="H1115" t="s">
        <v>28</v>
      </c>
      <c r="I1115">
        <f>VLOOKUP(Table4[[#This Row],[Visitor]],'NHL Model'!$A$6:$B$38,2,FALSE)</f>
        <v>-0.36066890819319958</v>
      </c>
      <c r="J1115">
        <f>($B$1+Table4[[#This Row],[Home Differential]])-Table4[[#This Row],[Away Differential]]</f>
        <v>0.39890909566031213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0.59920442968233423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-0.62425830840281982</v>
      </c>
      <c r="H1116" t="s">
        <v>40</v>
      </c>
      <c r="I1116">
        <f>VLOOKUP(Table4[[#This Row],[Visitor]],'NHL Model'!$A$6:$B$38,2,FALSE)</f>
        <v>-0.41982036690375685</v>
      </c>
      <c r="J1116">
        <f>($B$1+Table4[[#This Row],[Home Differential]])-Table4[[#This Row],[Away Differential]]</f>
        <v>-9.6307479595961032E-2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0.47033902229716118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3.6611055984458557E-5</v>
      </c>
      <c r="H1117" t="s">
        <v>25</v>
      </c>
      <c r="I1117">
        <f>VLOOKUP(Table4[[#This Row],[Visitor]],'NHL Model'!$A$6:$B$38,2,FALSE)</f>
        <v>0.31465989886768042</v>
      </c>
      <c r="J1117">
        <f>($B$1+Table4[[#This Row],[Home Differential]])-Table4[[#This Row],[Away Differential]]</f>
        <v>-0.20649282590859402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0.54145572712371459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0.14062496747196682</v>
      </c>
      <c r="H1118" t="s">
        <v>13</v>
      </c>
      <c r="I1118">
        <f>VLOOKUP(Table4[[#This Row],[Visitor]],'NHL Model'!$A$6:$B$38,2,FALSE)</f>
        <v>-0.36406236312551898</v>
      </c>
      <c r="J1118">
        <f>($B$1+Table4[[#This Row],[Home Differential]])-Table4[[#This Row],[Away Differential]]</f>
        <v>0.61281779250058777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0.60297870931559716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-0.12498445042942641</v>
      </c>
      <c r="H1119" t="s">
        <v>12</v>
      </c>
      <c r="I1119">
        <f>VLOOKUP(Table4[[#This Row],[Visitor]],'NHL Model'!$A$6:$B$38,2,FALSE)</f>
        <v>1.1504937678265921</v>
      </c>
      <c r="J1119">
        <f>($B$1+Table4[[#This Row],[Home Differential]])-Table4[[#This Row],[Away Differential]]</f>
        <v>-1.1673477563529164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0.65163559362708856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-0.62425830840281982</v>
      </c>
      <c r="H1120" t="s">
        <v>36</v>
      </c>
      <c r="I1120">
        <f>VLOOKUP(Table4[[#This Row],[Visitor]],'NHL Model'!$A$6:$B$38,2,FALSE)</f>
        <v>-0.179282670690569</v>
      </c>
      <c r="J1120">
        <f>($B$1+Table4[[#This Row],[Home Differential]])-Table4[[#This Row],[Away Differential]]</f>
        <v>-0.33684517580914886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0.49699127198565268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-2.9858233272404857E-2</v>
      </c>
      <c r="H1121" t="s">
        <v>19</v>
      </c>
      <c r="I1121">
        <f>VLOOKUP(Table4[[#This Row],[Visitor]],'NHL Model'!$A$6:$B$38,2,FALSE)</f>
        <v>-0.38129365484385536</v>
      </c>
      <c r="J1121">
        <f>($B$1+Table4[[#This Row],[Home Differential]])-Table4[[#This Row],[Away Differential]]</f>
        <v>0.45956588347455246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0.63684410523618928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-0.77822387693813933</v>
      </c>
      <c r="H1122" t="s">
        <v>13</v>
      </c>
      <c r="I1122">
        <f>VLOOKUP(Table4[[#This Row],[Visitor]],'NHL Model'!$A$6:$B$38,2,FALSE)</f>
        <v>-0.36406236312551898</v>
      </c>
      <c r="J1122">
        <f>($B$1+Table4[[#This Row],[Home Differential]])-Table4[[#This Row],[Away Differential]]</f>
        <v>-0.3060310519095184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0.53214048335805963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0.24554986733769732</v>
      </c>
      <c r="H1123" t="s">
        <v>24</v>
      </c>
      <c r="I1123">
        <f>VLOOKUP(Table4[[#This Row],[Visitor]],'NHL Model'!$A$6:$B$38,2,FALSE)</f>
        <v>-0.55013344272463272</v>
      </c>
      <c r="J1123">
        <f>($B$1+Table4[[#This Row],[Home Differential]])-Table4[[#This Row],[Away Differential]]</f>
        <v>0.903813771965432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0.6270544067360988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-0.1792260169918948</v>
      </c>
      <c r="H1124" t="s">
        <v>36</v>
      </c>
      <c r="I1124">
        <f>VLOOKUP(Table4[[#This Row],[Visitor]],'NHL Model'!$A$6:$B$38,2,FALSE)</f>
        <v>-0.179282670690569</v>
      </c>
      <c r="J1124">
        <f>($B$1+Table4[[#This Row],[Home Differential]])-Table4[[#This Row],[Away Differential]]</f>
        <v>0.10818711560177614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0.59370390457327638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-0.34412098011518399</v>
      </c>
      <c r="H1125" t="s">
        <v>32</v>
      </c>
      <c r="I1125">
        <f>VLOOKUP(Table4[[#This Row],[Visitor]],'NHL Model'!$A$6:$B$38,2,FALSE)</f>
        <v>-0.42661371358543798</v>
      </c>
      <c r="J1125">
        <f>($B$1+Table4[[#This Row],[Home Differential]])-Table4[[#This Row],[Away Differential]]</f>
        <v>0.19062319537335592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0.56046422017884356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-0.18787166436597766</v>
      </c>
      <c r="H1126" t="s">
        <v>25</v>
      </c>
      <c r="I1126">
        <f>VLOOKUP(Table4[[#This Row],[Visitor]],'NHL Model'!$A$6:$B$38,2,FALSE)</f>
        <v>0.31465989886768042</v>
      </c>
      <c r="J1126">
        <f>($B$1+Table4[[#This Row],[Home Differential]])-Table4[[#This Row],[Away Differential]]</f>
        <v>-0.39440110133055611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0.55453577708817048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-0.72584022159035511</v>
      </c>
      <c r="H1127" t="s">
        <v>33</v>
      </c>
      <c r="I1127">
        <f>VLOOKUP(Table4[[#This Row],[Visitor]],'NHL Model'!$A$6:$B$38,2,FALSE)</f>
        <v>-0.46908405058827807</v>
      </c>
      <c r="J1127">
        <f>($B$1+Table4[[#This Row],[Home Differential]])-Table4[[#This Row],[Away Differential]]</f>
        <v>-0.1486257090989751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0.50652164706912595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-6.98902744359894E-2</v>
      </c>
      <c r="H1128" t="s">
        <v>10</v>
      </c>
      <c r="I1128">
        <f>VLOOKUP(Table4[[#This Row],[Visitor]],'NHL Model'!$A$6:$B$38,2,FALSE)</f>
        <v>-0.75050764651940183</v>
      </c>
      <c r="J1128">
        <f>($B$1+Table4[[#This Row],[Home Differential]])-Table4[[#This Row],[Away Differential]]</f>
        <v>0.78874783398651438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0.64105529552121976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-0.39747316405117561</v>
      </c>
      <c r="H1129" t="s">
        <v>28</v>
      </c>
      <c r="I1129">
        <f>VLOOKUP(Table4[[#This Row],[Visitor]],'NHL Model'!$A$6:$B$38,2,FALSE)</f>
        <v>-0.36066890819319958</v>
      </c>
      <c r="J1129">
        <f>($B$1+Table4[[#This Row],[Home Differential]])-Table4[[#This Row],[Away Differential]]</f>
        <v>7.1326206045125906E-2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0.54765717509965239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3.6611055984458557E-5</v>
      </c>
      <c r="H1130" t="s">
        <v>12</v>
      </c>
      <c r="I1130">
        <f>VLOOKUP(Table4[[#This Row],[Visitor]],'NHL Model'!$A$6:$B$38,2,FALSE)</f>
        <v>1.1504937678265921</v>
      </c>
      <c r="J1130">
        <f>($B$1+Table4[[#This Row],[Home Differential]])-Table4[[#This Row],[Away Differential]]</f>
        <v>-1.0423266948675056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0.6382140447740271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-1.236228034931707</v>
      </c>
      <c r="H1131" t="s">
        <v>22</v>
      </c>
      <c r="I1131">
        <f>VLOOKUP(Table4[[#This Row],[Visitor]],'NHL Model'!$A$6:$B$38,2,FALSE)</f>
        <v>-0.12498445042942641</v>
      </c>
      <c r="J1131">
        <f>($B$1+Table4[[#This Row],[Home Differential]])-Table4[[#This Row],[Away Differential]]</f>
        <v>-1.0031131225991785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0.56768850960110462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0.6987740059316554</v>
      </c>
      <c r="H1132" t="s">
        <v>34</v>
      </c>
      <c r="I1132">
        <f>VLOOKUP(Table4[[#This Row],[Visitor]],'NHL Model'!$A$6:$B$38,2,FALSE)</f>
        <v>4.6716977502832858E-2</v>
      </c>
      <c r="J1132">
        <f>($B$1+Table4[[#This Row],[Home Differential]])-Table4[[#This Row],[Away Differential]]</f>
        <v>0.76018749033192445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0.59500855152834031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0.14062496747196682</v>
      </c>
      <c r="H1133" t="s">
        <v>17</v>
      </c>
      <c r="I1133">
        <f>VLOOKUP(Table4[[#This Row],[Visitor]],'NHL Model'!$A$6:$B$38,2,FALSE)</f>
        <v>-0.12154868922444324</v>
      </c>
      <c r="J1133">
        <f>($B$1+Table4[[#This Row],[Home Differential]])-Table4[[#This Row],[Away Differential]]</f>
        <v>0.37030411859951201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0.61352423216688301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-1.2664425175465013</v>
      </c>
      <c r="H1134" t="s">
        <v>31</v>
      </c>
      <c r="I1134">
        <f>VLOOKUP(Table4[[#This Row],[Visitor]],'NHL Model'!$A$6:$B$38,2,FALSE)</f>
        <v>-0.39000953236289804</v>
      </c>
      <c r="J1134">
        <f>($B$1+Table4[[#This Row],[Home Differential]])-Table4[[#This Row],[Away Differential]]</f>
        <v>-0.76830252328050119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0.54248058149260714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-0.41982036690375685</v>
      </c>
      <c r="H1135" t="s">
        <v>20</v>
      </c>
      <c r="I1135">
        <f>VLOOKUP(Table4[[#This Row],[Visitor]],'NHL Model'!$A$6:$B$38,2,FALSE)</f>
        <v>-0.11283731617452618</v>
      </c>
      <c r="J1135">
        <f>($B$1+Table4[[#This Row],[Home Differential]])-Table4[[#This Row],[Away Differential]]</f>
        <v>-0.19885258882612872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0.49270373608533052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0.12350258496936412</v>
      </c>
      <c r="H1136" t="s">
        <v>21</v>
      </c>
      <c r="I1136">
        <f>VLOOKUP(Table4[[#This Row],[Visitor]],'NHL Model'!$A$6:$B$38,2,FALSE)</f>
        <v>-2.9858233272404857E-2</v>
      </c>
      <c r="J1136">
        <f>($B$1+Table4[[#This Row],[Home Differential]])-Table4[[#This Row],[Away Differential]]</f>
        <v>0.26149128014487089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0.60989039580689064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-0.38129365484385536</v>
      </c>
      <c r="H1137" t="s">
        <v>15</v>
      </c>
      <c r="I1137">
        <f>VLOOKUP(Table4[[#This Row],[Visitor]],'NHL Model'!$A$6:$B$38,2,FALSE)</f>
        <v>-0.62425830840281982</v>
      </c>
      <c r="J1137">
        <f>($B$1+Table4[[#This Row],[Home Differential]])-Table4[[#This Row],[Away Differential]]</f>
        <v>0.3510951154620664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0.53383857775059307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-0.77822387693813933</v>
      </c>
      <c r="H1138" t="s">
        <v>31</v>
      </c>
      <c r="I1138">
        <f>VLOOKUP(Table4[[#This Row],[Visitor]],'NHL Model'!$A$6:$B$38,2,FALSE)</f>
        <v>-0.39000953236289804</v>
      </c>
      <c r="J1138">
        <f>($B$1+Table4[[#This Row],[Home Differential]])-Table4[[#This Row],[Away Differential]]</f>
        <v>-0.28008388267213935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0.49006820986460703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-0.34412098011518399</v>
      </c>
      <c r="H1139" t="s">
        <v>34</v>
      </c>
      <c r="I1139">
        <f>VLOOKUP(Table4[[#This Row],[Visitor]],'NHL Model'!$A$6:$B$38,2,FALSE)</f>
        <v>4.6716977502832858E-2</v>
      </c>
      <c r="J1139">
        <f>($B$1+Table4[[#This Row],[Home Differential]])-Table4[[#This Row],[Away Differential]]</f>
        <v>-0.28270749571491494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0.54687879163266795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-0.18787166436597766</v>
      </c>
      <c r="H1140" t="s">
        <v>28</v>
      </c>
      <c r="I1140">
        <f>VLOOKUP(Table4[[#This Row],[Visitor]],'NHL Model'!$A$6:$B$38,2,FALSE)</f>
        <v>-0.36066890819319958</v>
      </c>
      <c r="J1140">
        <f>($B$1+Table4[[#This Row],[Home Differential]])-Table4[[#This Row],[Away Differential]]</f>
        <v>0.28092770573032388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0.57720474976040459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-0.72584022159035511</v>
      </c>
      <c r="H1141" t="s">
        <v>24</v>
      </c>
      <c r="I1141">
        <f>VLOOKUP(Table4[[#This Row],[Visitor]],'NHL Model'!$A$6:$B$38,2,FALSE)</f>
        <v>-0.55013344272463272</v>
      </c>
      <c r="J1141">
        <f>($B$1+Table4[[#This Row],[Home Differential]])-Table4[[#This Row],[Away Differential]]</f>
        <v>-6.7576316962620453E-2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0.49649139897941663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-6.98902744359894E-2</v>
      </c>
      <c r="H1142" t="s">
        <v>39</v>
      </c>
      <c r="I1142">
        <f>VLOOKUP(Table4[[#This Row],[Visitor]],'NHL Model'!$A$6:$B$38,2,FALSE)</f>
        <v>0.24554986733769732</v>
      </c>
      <c r="J1142">
        <f>($B$1+Table4[[#This Row],[Home Differential]])-Table4[[#This Row],[Away Differential]]</f>
        <v>-0.20730967987058477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0.5110922488328582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-0.179282670690569</v>
      </c>
      <c r="H1143" t="s">
        <v>14</v>
      </c>
      <c r="I1143">
        <f>VLOOKUP(Table4[[#This Row],[Visitor]],'NHL Model'!$A$6:$B$38,2,FALSE)</f>
        <v>3.6611055984458557E-5</v>
      </c>
      <c r="J1143">
        <f>($B$1+Table4[[#This Row],[Home Differential]])-Table4[[#This Row],[Away Differential]]</f>
        <v>-7.1188819843451503E-2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0.52417135171963369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-0.39747316405117561</v>
      </c>
      <c r="H1144" t="s">
        <v>10</v>
      </c>
      <c r="I1144">
        <f>VLOOKUP(Table4[[#This Row],[Visitor]],'NHL Model'!$A$6:$B$38,2,FALSE)</f>
        <v>-0.75050764651940183</v>
      </c>
      <c r="J1144">
        <f>($B$1+Table4[[#This Row],[Home Differential]])-Table4[[#This Row],[Away Differential]]</f>
        <v>0.46116494437132816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0.58950804093853781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-1.236228034931707</v>
      </c>
      <c r="H1145" t="s">
        <v>33</v>
      </c>
      <c r="I1145">
        <f>VLOOKUP(Table4[[#This Row],[Visitor]],'NHL Model'!$A$6:$B$38,2,FALSE)</f>
        <v>-0.46908405058827807</v>
      </c>
      <c r="J1145">
        <f>($B$1+Table4[[#This Row],[Home Differential]])-Table4[[#This Row],[Away Differential]]</f>
        <v>-0.65901352244032685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0.56131397477278699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0.6987740059316554</v>
      </c>
      <c r="H1146" t="s">
        <v>32</v>
      </c>
      <c r="I1146">
        <f>VLOOKUP(Table4[[#This Row],[Visitor]],'NHL Model'!$A$6:$B$38,2,FALSE)</f>
        <v>-0.42661371358543798</v>
      </c>
      <c r="J1146">
        <f>($B$1+Table4[[#This Row],[Home Differential]])-Table4[[#This Row],[Away Differential]]</f>
        <v>1.2335181814201954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0.70199223906779373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0.14062496747196682</v>
      </c>
      <c r="H1147" t="s">
        <v>22</v>
      </c>
      <c r="I1147">
        <f>VLOOKUP(Table4[[#This Row],[Visitor]],'NHL Model'!$A$6:$B$38,2,FALSE)</f>
        <v>-0.12498445042942641</v>
      </c>
      <c r="J1147">
        <f>($B$1+Table4[[#This Row],[Home Differential]])-Table4[[#This Row],[Away Differential]]</f>
        <v>0.37373987980449519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0.61615945047075482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-1.2664425175465013</v>
      </c>
      <c r="H1148" t="s">
        <v>13</v>
      </c>
      <c r="I1148">
        <f>VLOOKUP(Table4[[#This Row],[Visitor]],'NHL Model'!$A$6:$B$38,2,FALSE)</f>
        <v>-0.36406236312551898</v>
      </c>
      <c r="J1148">
        <f>($B$1+Table4[[#This Row],[Home Differential]])-Table4[[#This Row],[Away Differential]]</f>
        <v>-0.79424969251788025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0.5845528549860598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-0.11283731617452618</v>
      </c>
      <c r="H1149" t="s">
        <v>17</v>
      </c>
      <c r="I1149">
        <f>VLOOKUP(Table4[[#This Row],[Visitor]],'NHL Model'!$A$6:$B$38,2,FALSE)</f>
        <v>-0.12154868922444324</v>
      </c>
      <c r="J1149">
        <f>($B$1+Table4[[#This Row],[Home Differential]])-Table4[[#This Row],[Away Differential]]</f>
        <v>0.11684183495301902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0.55023906402088996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-0.41982036690375685</v>
      </c>
      <c r="H1150" t="s">
        <v>12</v>
      </c>
      <c r="I1150">
        <f>VLOOKUP(Table4[[#This Row],[Visitor]],'NHL Model'!$A$6:$B$38,2,FALSE)</f>
        <v>1.1504937678265921</v>
      </c>
      <c r="J1150">
        <f>($B$1+Table4[[#This Row],[Home Differential]])-Table4[[#This Row],[Away Differential]]</f>
        <v>-1.462183672827247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0.68328749779092557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0.12350258496936412</v>
      </c>
      <c r="H1151" t="s">
        <v>26</v>
      </c>
      <c r="I1151">
        <f>VLOOKUP(Table4[[#This Row],[Visitor]],'NHL Model'!$A$6:$B$38,2,FALSE)</f>
        <v>-0.1792260169918948</v>
      </c>
      <c r="J1151">
        <f>($B$1+Table4[[#This Row],[Home Differential]])-Table4[[#This Row],[Away Differential]]</f>
        <v>0.41085906386436088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0.58718842817305172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-0.62425830840281982</v>
      </c>
      <c r="H1152" t="s">
        <v>10</v>
      </c>
      <c r="I1152">
        <f>VLOOKUP(Table4[[#This Row],[Visitor]],'NHL Model'!$A$6:$B$38,2,FALSE)</f>
        <v>-0.75050764651940183</v>
      </c>
      <c r="J1152">
        <f>($B$1+Table4[[#This Row],[Home Differential]])-Table4[[#This Row],[Away Differential]]</f>
        <v>0.23437980001968395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0.56516167995023836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-2.9858233272404857E-2</v>
      </c>
      <c r="H1153" t="s">
        <v>34</v>
      </c>
      <c r="I1153">
        <f>VLOOKUP(Table4[[#This Row],[Visitor]],'NHL Model'!$A$6:$B$38,2,FALSE)</f>
        <v>4.6716977502832858E-2</v>
      </c>
      <c r="J1153">
        <f>($B$1+Table4[[#This Row],[Home Differential]])-Table4[[#This Row],[Away Differential]]</f>
        <v>3.1555251127864233E-2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0.53514216678653981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0.12350258496936412</v>
      </c>
      <c r="H1154" t="s">
        <v>32</v>
      </c>
      <c r="I1154">
        <f>VLOOKUP(Table4[[#This Row],[Visitor]],'NHL Model'!$A$6:$B$38,2,FALSE)</f>
        <v>-0.42661371358543798</v>
      </c>
      <c r="J1154">
        <f>($B$1+Table4[[#This Row],[Home Differential]])-Table4[[#This Row],[Away Differential]]</f>
        <v>0.65824676045790409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0.6524838036573164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0.31465989886768042</v>
      </c>
      <c r="H1155" t="s">
        <v>24</v>
      </c>
      <c r="I1155">
        <f>VLOOKUP(Table4[[#This Row],[Visitor]],'NHL Model'!$A$6:$B$38,2,FALSE)</f>
        <v>-0.55013344272463272</v>
      </c>
      <c r="J1155">
        <f>($B$1+Table4[[#This Row],[Home Differential]])-Table4[[#This Row],[Away Differential]]</f>
        <v>0.97292380349541507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0.65858768369442944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-0.36066890819319958</v>
      </c>
      <c r="H1156" t="s">
        <v>33</v>
      </c>
      <c r="I1156">
        <f>VLOOKUP(Table4[[#This Row],[Visitor]],'NHL Model'!$A$6:$B$38,2,FALSE)</f>
        <v>-0.46908405058827807</v>
      </c>
      <c r="J1156">
        <f>($B$1+Table4[[#This Row],[Home Differential]])-Table4[[#This Row],[Away Differential]]</f>
        <v>0.21654560429818043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0.53268106457213216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-0.77822387693813933</v>
      </c>
      <c r="H1157" t="s">
        <v>38</v>
      </c>
      <c r="I1157">
        <f>VLOOKUP(Table4[[#This Row],[Visitor]],'NHL Model'!$A$6:$B$38,2,FALSE)</f>
        <v>-1.2664425175465013</v>
      </c>
      <c r="J1157">
        <f>($B$1+Table4[[#This Row],[Home Differential]])-Table4[[#This Row],[Away Differential]]</f>
        <v>0.59634910251146389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0.6040206419441656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1.1504937678265921</v>
      </c>
      <c r="H1158" t="s">
        <v>40</v>
      </c>
      <c r="I1158">
        <f>VLOOKUP(Table4[[#This Row],[Visitor]],'NHL Model'!$A$6:$B$38,2,FALSE)</f>
        <v>-0.41982036690375685</v>
      </c>
      <c r="J1158">
        <f>($B$1+Table4[[#This Row],[Home Differential]])-Table4[[#This Row],[Away Differential]]</f>
        <v>1.6784445966334509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0.80597047673430322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-0.1792260169918948</v>
      </c>
      <c r="H1159" t="s">
        <v>27</v>
      </c>
      <c r="I1159">
        <f>VLOOKUP(Table4[[#This Row],[Visitor]],'NHL Model'!$A$6:$B$38,2,FALSE)</f>
        <v>-0.39747316405117561</v>
      </c>
      <c r="J1159">
        <f>($B$1+Table4[[#This Row],[Home Differential]])-Table4[[#This Row],[Away Differential]]</f>
        <v>0.32637760896238277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0.61712759279923746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-0.12154868922444324</v>
      </c>
      <c r="H1160" t="s">
        <v>31</v>
      </c>
      <c r="I1160">
        <f>VLOOKUP(Table4[[#This Row],[Visitor]],'NHL Model'!$A$6:$B$38,2,FALSE)</f>
        <v>-0.39000953236289804</v>
      </c>
      <c r="J1160">
        <f>($B$1+Table4[[#This Row],[Home Differential]])-Table4[[#This Row],[Away Differential]]</f>
        <v>0.37659130504155675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0.58042869687875165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-0.36406236312551898</v>
      </c>
      <c r="H1161" t="s">
        <v>55</v>
      </c>
      <c r="I1161">
        <f>VLOOKUP(Table4[[#This Row],[Visitor]],'NHL Model'!$A$6:$B$38,2,FALSE)</f>
        <v>0.14062496747196682</v>
      </c>
      <c r="J1161">
        <f>($B$1+Table4[[#This Row],[Home Differential]])-Table4[[#This Row],[Away Differential]]</f>
        <v>-0.39655686869438389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0.50257208603863812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-0.72584022159035511</v>
      </c>
      <c r="H1162" t="s">
        <v>18</v>
      </c>
      <c r="I1162">
        <f>VLOOKUP(Table4[[#This Row],[Visitor]],'NHL Model'!$A$6:$B$38,2,FALSE)</f>
        <v>-0.18787166436597766</v>
      </c>
      <c r="J1162">
        <f>($B$1+Table4[[#This Row],[Home Differential]])-Table4[[#This Row],[Away Differential]]</f>
        <v>-0.42983809532127548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0.54543170214760672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-6.98902744359894E-2</v>
      </c>
      <c r="H1163" t="s">
        <v>11</v>
      </c>
      <c r="I1163">
        <f>VLOOKUP(Table4[[#This Row],[Visitor]],'NHL Model'!$A$6:$B$38,2,FALSE)</f>
        <v>-0.34412098011518399</v>
      </c>
      <c r="J1163">
        <f>($B$1+Table4[[#This Row],[Home Differential]])-Table4[[#This Row],[Away Differential]]</f>
        <v>0.38236116758229655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0.53828568550808342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3.6611055984458557E-5</v>
      </c>
      <c r="H1164" t="s">
        <v>39</v>
      </c>
      <c r="I1164">
        <f>VLOOKUP(Table4[[#This Row],[Visitor]],'NHL Model'!$A$6:$B$38,2,FALSE)</f>
        <v>0.24554986733769732</v>
      </c>
      <c r="J1164">
        <f>($B$1+Table4[[#This Row],[Home Differential]])-Table4[[#This Row],[Away Differential]]</f>
        <v>-0.1373827943786109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0.52011818554997447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-1.236228034931707</v>
      </c>
      <c r="H1165" t="s">
        <v>19</v>
      </c>
      <c r="I1165">
        <f>VLOOKUP(Table4[[#This Row],[Visitor]],'NHL Model'!$A$6:$B$38,2,FALSE)</f>
        <v>-0.38129365484385536</v>
      </c>
      <c r="J1165">
        <f>($B$1+Table4[[#This Row],[Home Differential]])-Table4[[#This Row],[Away Differential]]</f>
        <v>-0.74680391818474956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0.54017261373791825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0.6987740059316554</v>
      </c>
      <c r="H1166" t="s">
        <v>36</v>
      </c>
      <c r="I1166">
        <f>VLOOKUP(Table4[[#This Row],[Visitor]],'NHL Model'!$A$6:$B$38,2,FALSE)</f>
        <v>-0.179282670690569</v>
      </c>
      <c r="J1166">
        <f>($B$1+Table4[[#This Row],[Home Differential]])-Table4[[#This Row],[Away Differential]]</f>
        <v>0.98618713852532636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0.67462143238679972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-0.11283731617452618</v>
      </c>
      <c r="H1167" t="s">
        <v>22</v>
      </c>
      <c r="I1167">
        <f>VLOOKUP(Table4[[#This Row],[Visitor]],'NHL Model'!$A$6:$B$38,2,FALSE)</f>
        <v>-0.12498445042942641</v>
      </c>
      <c r="J1167">
        <f>($B$1+Table4[[#This Row],[Home Differential]])-Table4[[#This Row],[Away Differential]]</f>
        <v>0.12027759615800218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0.55291231744142422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0.31465989886768042</v>
      </c>
      <c r="H1168" t="s">
        <v>18</v>
      </c>
      <c r="I1168">
        <f>VLOOKUP(Table4[[#This Row],[Visitor]],'NHL Model'!$A$6:$B$38,2,FALSE)</f>
        <v>-0.18787166436597766</v>
      </c>
      <c r="J1168">
        <f>($B$1+Table4[[#This Row],[Home Differential]])-Table4[[#This Row],[Away Differential]]</f>
        <v>0.61066202513676004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0.60974324228090981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-0.36066890819319958</v>
      </c>
      <c r="H1169" t="s">
        <v>21</v>
      </c>
      <c r="I1169">
        <f>VLOOKUP(Table4[[#This Row],[Visitor]],'NHL Model'!$A$6:$B$38,2,FALSE)</f>
        <v>-2.9858233272404857E-2</v>
      </c>
      <c r="J1169">
        <f>($B$1+Table4[[#This Row],[Home Differential]])-Table4[[#This Row],[Away Differential]]</f>
        <v>-0.22268021301769278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0.48390567894814968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-0.55013344272463272</v>
      </c>
      <c r="H1170" t="s">
        <v>10</v>
      </c>
      <c r="I1170">
        <f>VLOOKUP(Table4[[#This Row],[Visitor]],'NHL Model'!$A$6:$B$38,2,FALSE)</f>
        <v>-0.75050764651940183</v>
      </c>
      <c r="J1170">
        <f>($B$1+Table4[[#This Row],[Home Differential]])-Table4[[#This Row],[Away Differential]]</f>
        <v>0.30850466569787105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0.57311930320272131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-0.62425830840281982</v>
      </c>
      <c r="H1171" t="s">
        <v>11</v>
      </c>
      <c r="I1171">
        <f>VLOOKUP(Table4[[#This Row],[Visitor]],'NHL Model'!$A$6:$B$38,2,FALSE)</f>
        <v>-0.34412098011518399</v>
      </c>
      <c r="J1171">
        <f>($B$1+Table4[[#This Row],[Home Differential]])-Table4[[#This Row],[Away Differential]]</f>
        <v>-0.17200686638453389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0.53775351099310775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-0.39747316405117561</v>
      </c>
      <c r="H1172" t="s">
        <v>39</v>
      </c>
      <c r="I1172">
        <f>VLOOKUP(Table4[[#This Row],[Visitor]],'NHL Model'!$A$6:$B$38,2,FALSE)</f>
        <v>0.24554986733769732</v>
      </c>
      <c r="J1172">
        <f>($B$1+Table4[[#This Row],[Home Differential]])-Table4[[#This Row],[Away Differential]]</f>
        <v>-0.53489256948577102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0.56279257019189999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0.6987740059316554</v>
      </c>
      <c r="H1173" t="s">
        <v>29</v>
      </c>
      <c r="I1173">
        <f>VLOOKUP(Table4[[#This Row],[Visitor]],'NHL Model'!$A$6:$B$38,2,FALSE)</f>
        <v>-0.72584022159035511</v>
      </c>
      <c r="J1173">
        <f>($B$1+Table4[[#This Row],[Home Differential]])-Table4[[#This Row],[Away Differential]]</f>
        <v>1.5327446894251124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0.73411549212294114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-0.39000953236289804</v>
      </c>
      <c r="H1174" t="s">
        <v>19</v>
      </c>
      <c r="I1174">
        <f>VLOOKUP(Table4[[#This Row],[Visitor]],'NHL Model'!$A$6:$B$38,2,FALSE)</f>
        <v>-0.38129365484385536</v>
      </c>
      <c r="J1174">
        <f>($B$1+Table4[[#This Row],[Home Differential]])-Table4[[#This Row],[Away Differential]]</f>
        <v>9.9414584384059257E-2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0.58670944972391614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1.1504937678265921</v>
      </c>
      <c r="H1175" t="s">
        <v>16</v>
      </c>
      <c r="I1175">
        <f>VLOOKUP(Table4[[#This Row],[Visitor]],'NHL Model'!$A$6:$B$38,2,FALSE)</f>
        <v>-0.77822387693813933</v>
      </c>
      <c r="J1175">
        <f>($B$1+Table4[[#This Row],[Home Differential]])-Table4[[#This Row],[Away Differential]]</f>
        <v>2.0368481066678337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0.84444663556612143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-6.98902744359894E-2</v>
      </c>
      <c r="H1176" t="s">
        <v>14</v>
      </c>
      <c r="I1176">
        <f>VLOOKUP(Table4[[#This Row],[Visitor]],'NHL Model'!$A$6:$B$38,2,FALSE)</f>
        <v>3.6611055984458557E-5</v>
      </c>
      <c r="J1176">
        <f>($B$1+Table4[[#This Row],[Home Differential]])-Table4[[#This Row],[Away Differential]]</f>
        <v>3.8203576411128093E-2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0.50410131829846494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-0.46908405058827807</v>
      </c>
      <c r="H1177" t="s">
        <v>35</v>
      </c>
      <c r="I1177">
        <f>VLOOKUP(Table4[[#This Row],[Visitor]],'NHL Model'!$A$6:$B$38,2,FALSE)</f>
        <v>-1.236228034931707</v>
      </c>
      <c r="J1177">
        <f>($B$1+Table4[[#This Row],[Home Differential]])-Table4[[#This Row],[Away Differential]]</f>
        <v>0.87527444624653084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0.63396447766926889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-0.11283731617452618</v>
      </c>
      <c r="H1178" t="s">
        <v>38</v>
      </c>
      <c r="I1178">
        <f>VLOOKUP(Table4[[#This Row],[Visitor]],'NHL Model'!$A$6:$B$38,2,FALSE)</f>
        <v>-1.2664425175465013</v>
      </c>
      <c r="J1178">
        <f>($B$1+Table4[[#This Row],[Home Differential]])-Table4[[#This Row],[Away Differential]]</f>
        <v>1.2617356632750771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0.6754527520650796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-2.9858233272404857E-2</v>
      </c>
      <c r="H1179" t="s">
        <v>39</v>
      </c>
      <c r="I1179">
        <f>VLOOKUP(Table4[[#This Row],[Visitor]],'NHL Model'!$A$6:$B$38,2,FALSE)</f>
        <v>0.24554986733769732</v>
      </c>
      <c r="J1179">
        <f>($B$1+Table4[[#This Row],[Home Differential]])-Table4[[#This Row],[Away Differential]]</f>
        <v>-0.16727763870700024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0.4751008313694059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0.12350258496936412</v>
      </c>
      <c r="H1180" t="s">
        <v>30</v>
      </c>
      <c r="I1180">
        <f>VLOOKUP(Table4[[#This Row],[Visitor]],'NHL Model'!$A$6:$B$38,2,FALSE)</f>
        <v>-6.98902744359894E-2</v>
      </c>
      <c r="J1180">
        <f>($B$1+Table4[[#This Row],[Home Differential]])-Table4[[#This Row],[Away Differential]]</f>
        <v>0.30152332130845544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0.58479949336449366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-0.36066890819319958</v>
      </c>
      <c r="H1181" t="s">
        <v>25</v>
      </c>
      <c r="I1181">
        <f>VLOOKUP(Table4[[#This Row],[Visitor]],'NHL Model'!$A$6:$B$38,2,FALSE)</f>
        <v>0.31465989886768042</v>
      </c>
      <c r="J1181">
        <f>($B$1+Table4[[#This Row],[Home Differential]])-Table4[[#This Row],[Away Differential]]</f>
        <v>-0.56719834515777801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0.58017901654912696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-0.75050764651940183</v>
      </c>
      <c r="H1182" t="s">
        <v>40</v>
      </c>
      <c r="I1182">
        <f>VLOOKUP(Table4[[#This Row],[Visitor]],'NHL Model'!$A$6:$B$38,2,FALSE)</f>
        <v>-0.41982036690375685</v>
      </c>
      <c r="J1182">
        <f>($B$1+Table4[[#This Row],[Home Differential]])-Table4[[#This Row],[Away Differential]]</f>
        <v>-0.22255681771254304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0.48389243193123405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-0.12154868922444324</v>
      </c>
      <c r="H1183" t="s">
        <v>32</v>
      </c>
      <c r="I1183">
        <f>VLOOKUP(Table4[[#This Row],[Visitor]],'NHL Model'!$A$6:$B$38,2,FALSE)</f>
        <v>-0.42661371358543798</v>
      </c>
      <c r="J1183">
        <f>($B$1+Table4[[#This Row],[Home Differential]])-Table4[[#This Row],[Away Differential]]</f>
        <v>0.41319548626409669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0.58435831322233045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-0.34412098011518399</v>
      </c>
      <c r="H1184" t="s">
        <v>36</v>
      </c>
      <c r="I1184">
        <f>VLOOKUP(Table4[[#This Row],[Visitor]],'NHL Model'!$A$6:$B$38,2,FALSE)</f>
        <v>-0.179282670690569</v>
      </c>
      <c r="J1184">
        <f>($B$1+Table4[[#This Row],[Home Differential]])-Table4[[#This Row],[Away Differential]]</f>
        <v>-5.6707847521513061E-2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0.46691732450427265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-0.62425830840281982</v>
      </c>
      <c r="H1185" t="s">
        <v>24</v>
      </c>
      <c r="I1185">
        <f>VLOOKUP(Table4[[#This Row],[Visitor]],'NHL Model'!$A$6:$B$38,2,FALSE)</f>
        <v>-0.55013344272463272</v>
      </c>
      <c r="J1185">
        <f>($B$1+Table4[[#This Row],[Home Differential]])-Table4[[#This Row],[Away Differential]]</f>
        <v>3.4005596224914836E-2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0.51441385645702886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3.6611055984458557E-5</v>
      </c>
      <c r="H1186" t="s">
        <v>26</v>
      </c>
      <c r="I1186">
        <f>VLOOKUP(Table4[[#This Row],[Visitor]],'NHL Model'!$A$6:$B$38,2,FALSE)</f>
        <v>-0.1792260169918948</v>
      </c>
      <c r="J1186">
        <f>($B$1+Table4[[#This Row],[Home Differential]])-Table4[[#This Row],[Away Differential]]</f>
        <v>0.28739308995098123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0.53156615147559383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0.6987740059316554</v>
      </c>
      <c r="H1187" t="s">
        <v>18</v>
      </c>
      <c r="I1187">
        <f>VLOOKUP(Table4[[#This Row],[Visitor]],'NHL Model'!$A$6:$B$38,2,FALSE)</f>
        <v>-0.18787166436597766</v>
      </c>
      <c r="J1187">
        <f>($B$1+Table4[[#This Row],[Home Differential]])-Table4[[#This Row],[Away Differential]]</f>
        <v>0.99477613220073502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0.63740574270992401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-0.12498445042942641</v>
      </c>
      <c r="H1188" t="s">
        <v>27</v>
      </c>
      <c r="I1188">
        <f>VLOOKUP(Table4[[#This Row],[Visitor]],'NHL Model'!$A$6:$B$38,2,FALSE)</f>
        <v>-0.39747316405117561</v>
      </c>
      <c r="J1188">
        <f>($B$1+Table4[[#This Row],[Home Differential]])-Table4[[#This Row],[Away Differential]]</f>
        <v>0.38061917552485114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0.58003161301747186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1.1504937678265921</v>
      </c>
      <c r="H1189" t="s">
        <v>38</v>
      </c>
      <c r="I1189">
        <f>VLOOKUP(Table4[[#This Row],[Visitor]],'NHL Model'!$A$6:$B$38,2,FALSE)</f>
        <v>-1.2664425175465013</v>
      </c>
      <c r="J1189">
        <f>($B$1+Table4[[#This Row],[Home Differential]])-Table4[[#This Row],[Away Differential]]</f>
        <v>2.5250667472761954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0.89685900719412159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-0.36406236312551898</v>
      </c>
      <c r="H1190" t="s">
        <v>35</v>
      </c>
      <c r="I1190">
        <f>VLOOKUP(Table4[[#This Row],[Visitor]],'NHL Model'!$A$6:$B$38,2,FALSE)</f>
        <v>-1.236228034931707</v>
      </c>
      <c r="J1190">
        <f>($B$1+Table4[[#This Row],[Home Differential]])-Table4[[#This Row],[Away Differential]]</f>
        <v>0.98029613370928992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0.64523900767377429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-0.46908405058827807</v>
      </c>
      <c r="H1191" t="s">
        <v>31</v>
      </c>
      <c r="I1191">
        <f>VLOOKUP(Table4[[#This Row],[Visitor]],'NHL Model'!$A$6:$B$38,2,FALSE)</f>
        <v>-0.39000953236289804</v>
      </c>
      <c r="J1191">
        <f>($B$1+Table4[[#This Row],[Home Differential]])-Table4[[#This Row],[Away Differential]]</f>
        <v>2.9055943677721907E-2</v>
      </c>
      <c r="K1191" t="str">
        <f>IF(Table4[[#This Row],[HomeIce Differential]]&gt;0,Table4[[#This Row],[Home]],Table4[[#This Row],[Visitor]])</f>
        <v>San Jose Sharks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0.54311928056688163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0.31465989886768042</v>
      </c>
      <c r="H1192" t="s">
        <v>28</v>
      </c>
      <c r="I1192">
        <f>VLOOKUP(Table4[[#This Row],[Visitor]],'NHL Model'!$A$6:$B$38,2,FALSE)</f>
        <v>-0.36066890819319958</v>
      </c>
      <c r="J1192">
        <f>($B$1+Table4[[#This Row],[Home Differential]])-Table4[[#This Row],[Away Differential]]</f>
        <v>0.78345926896398188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0.6670092777577098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0.24554986733769732</v>
      </c>
      <c r="H1193" t="s">
        <v>40</v>
      </c>
      <c r="I1193">
        <f>VLOOKUP(Table4[[#This Row],[Visitor]],'NHL Model'!$A$6:$B$38,2,FALSE)</f>
        <v>-0.41982036690375685</v>
      </c>
      <c r="J1193">
        <f>($B$1+Table4[[#This Row],[Home Differential]])-Table4[[#This Row],[Away Differential]]</f>
        <v>0.77350069614455608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0.64214405902458482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-0.12154868922444324</v>
      </c>
      <c r="H1194" t="s">
        <v>10</v>
      </c>
      <c r="I1194">
        <f>VLOOKUP(Table4[[#This Row],[Visitor]],'NHL Model'!$A$6:$B$38,2,FALSE)</f>
        <v>-0.75050764651940183</v>
      </c>
      <c r="J1194">
        <f>($B$1+Table4[[#This Row],[Home Differential]])-Table4[[#This Row],[Away Differential]]</f>
        <v>0.73708941919806059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0.61912972047510528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-0.34412098011518399</v>
      </c>
      <c r="H1195" t="s">
        <v>21</v>
      </c>
      <c r="I1195">
        <f>VLOOKUP(Table4[[#This Row],[Visitor]],'NHL Model'!$A$6:$B$38,2,FALSE)</f>
        <v>-2.9858233272404857E-2</v>
      </c>
      <c r="J1195">
        <f>($B$1+Table4[[#This Row],[Home Differential]])-Table4[[#This Row],[Away Differential]]</f>
        <v>-0.2061322849396772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0.48212918767158219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-0.36406236312551898</v>
      </c>
      <c r="H1196" t="s">
        <v>29</v>
      </c>
      <c r="I1196">
        <f>VLOOKUP(Table4[[#This Row],[Visitor]],'NHL Model'!$A$6:$B$38,2,FALSE)</f>
        <v>-0.72584022159035511</v>
      </c>
      <c r="J1196">
        <f>($B$1+Table4[[#This Row],[Home Differential]])-Table4[[#This Row],[Away Differential]]</f>
        <v>0.46990832036793806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0.59044667997011324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4.6716977502832858E-2</v>
      </c>
      <c r="H1197" t="s">
        <v>38</v>
      </c>
      <c r="I1197">
        <f>VLOOKUP(Table4[[#This Row],[Visitor]],'NHL Model'!$A$6:$B$38,2,FALSE)</f>
        <v>-1.2664425175465013</v>
      </c>
      <c r="J1197">
        <f>($B$1+Table4[[#This Row],[Home Differential]])-Table4[[#This Row],[Away Differential]]</f>
        <v>1.4212899569524362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0.69258159197303615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-0.55013344272463272</v>
      </c>
      <c r="H1198" t="s">
        <v>22</v>
      </c>
      <c r="I1198">
        <f>VLOOKUP(Table4[[#This Row],[Visitor]],'NHL Model'!$A$6:$B$38,2,FALSE)</f>
        <v>-0.12498445042942641</v>
      </c>
      <c r="J1198">
        <f>($B$1+Table4[[#This Row],[Home Differential]])-Table4[[#This Row],[Away Differential]]</f>
        <v>-0.31701853039210437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0.49403330320851513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-0.62425830840281982</v>
      </c>
      <c r="H1199" t="s">
        <v>18</v>
      </c>
      <c r="I1199">
        <f>VLOOKUP(Table4[[#This Row],[Visitor]],'NHL Model'!$A$6:$B$38,2,FALSE)</f>
        <v>-0.18787166436597766</v>
      </c>
      <c r="J1199">
        <f>($B$1+Table4[[#This Row],[Home Differential]])-Table4[[#This Row],[Away Differential]]</f>
        <v>-0.32825618213374019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0.53452644671116123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-0.179282670690569</v>
      </c>
      <c r="H1200" t="s">
        <v>23</v>
      </c>
      <c r="I1200">
        <f>VLOOKUP(Table4[[#This Row],[Visitor]],'NHL Model'!$A$6:$B$38,2,FALSE)</f>
        <v>0.12350258496936412</v>
      </c>
      <c r="J1200">
        <f>($B$1+Table4[[#This Row],[Home Differential]])-Table4[[#This Row],[Away Differential]]</f>
        <v>-0.19465479375683115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0.51075007369801895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-0.39747316405117561</v>
      </c>
      <c r="H1201" t="s">
        <v>26</v>
      </c>
      <c r="I1201">
        <f>VLOOKUP(Table4[[#This Row],[Visitor]],'NHL Model'!$A$6:$B$38,2,FALSE)</f>
        <v>-0.1792260169918948</v>
      </c>
      <c r="J1201">
        <f>($B$1+Table4[[#This Row],[Home Differential]])-Table4[[#This Row],[Away Differential]]</f>
        <v>-0.11011668515617887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0.5111082331663318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-0.42661371358543798</v>
      </c>
      <c r="H1202" t="s">
        <v>55</v>
      </c>
      <c r="I1202">
        <f>VLOOKUP(Table4[[#This Row],[Visitor]],'NHL Model'!$A$6:$B$38,2,FALSE)</f>
        <v>0.14062496747196682</v>
      </c>
      <c r="J1202">
        <f>($B$1+Table4[[#This Row],[Home Differential]])-Table4[[#This Row],[Away Differential]]</f>
        <v>-0.45910821915430289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0.50928724263743841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-0.46908405058827807</v>
      </c>
      <c r="H1203" t="s">
        <v>19</v>
      </c>
      <c r="I1203">
        <f>VLOOKUP(Table4[[#This Row],[Visitor]],'NHL Model'!$A$6:$B$38,2,FALSE)</f>
        <v>-0.38129365484385536</v>
      </c>
      <c r="J1203">
        <f>($B$1+Table4[[#This Row],[Home Differential]])-Table4[[#This Row],[Away Differential]]</f>
        <v>2.0340066158679226E-2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0.5421835936151852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0.6987740059316554</v>
      </c>
      <c r="H1204" t="s">
        <v>14</v>
      </c>
      <c r="I1204">
        <f>VLOOKUP(Table4[[#This Row],[Visitor]],'NHL Model'!$A$6:$B$38,2,FALSE)</f>
        <v>3.6611055984458557E-5</v>
      </c>
      <c r="J1204">
        <f>($B$1+Table4[[#This Row],[Home Differential]])-Table4[[#This Row],[Away Differential]]</f>
        <v>0.80686785677877293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0.60001988970849407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-0.11283731617452618</v>
      </c>
      <c r="H1205" t="s">
        <v>16</v>
      </c>
      <c r="I1205">
        <f>VLOOKUP(Table4[[#This Row],[Visitor]],'NHL Model'!$A$6:$B$38,2,FALSE)</f>
        <v>-0.77822387693813933</v>
      </c>
      <c r="J1205">
        <f>($B$1+Table4[[#This Row],[Home Differential]])-Table4[[#This Row],[Away Differential]]</f>
        <v>0.77351702266671507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0.62304038043707943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-0.39000953236289804</v>
      </c>
      <c r="H1206" t="s">
        <v>35</v>
      </c>
      <c r="I1206">
        <f>VLOOKUP(Table4[[#This Row],[Visitor]],'NHL Model'!$A$6:$B$38,2,FALSE)</f>
        <v>-1.236228034931707</v>
      </c>
      <c r="J1206">
        <f>($B$1+Table4[[#This Row],[Home Differential]])-Table4[[#This Row],[Away Differential]]</f>
        <v>0.95434896447191087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0.67849033377799983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-6.98902744359894E-2</v>
      </c>
      <c r="H1207" t="s">
        <v>27</v>
      </c>
      <c r="I1207">
        <f>VLOOKUP(Table4[[#This Row],[Visitor]],'NHL Model'!$A$6:$B$38,2,FALSE)</f>
        <v>-0.39747316405117561</v>
      </c>
      <c r="J1207">
        <f>($B$1+Table4[[#This Row],[Home Differential]])-Table4[[#This Row],[Away Differential]]</f>
        <v>0.43571335151828816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0.60233125849594604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-0.39000953236289804</v>
      </c>
      <c r="H1208" t="s">
        <v>16</v>
      </c>
      <c r="I1208">
        <f>VLOOKUP(Table4[[#This Row],[Visitor]],'NHL Model'!$A$6:$B$38,2,FALSE)</f>
        <v>-0.77822387693813933</v>
      </c>
      <c r="J1208">
        <f>($B$1+Table4[[#This Row],[Home Differential]])-Table4[[#This Row],[Away Differential]]</f>
        <v>0.49634480647834323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0.62932161685638499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0.31465989886768042</v>
      </c>
      <c r="H1209" t="s">
        <v>30</v>
      </c>
      <c r="I1209">
        <f>VLOOKUP(Table4[[#This Row],[Visitor]],'NHL Model'!$A$6:$B$38,2,FALSE)</f>
        <v>-6.98902744359894E-2</v>
      </c>
      <c r="J1209">
        <f>($B$1+Table4[[#This Row],[Home Differential]])-Table4[[#This Row],[Away Differential]]</f>
        <v>0.49268063520677174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0.6064221376542811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-0.36066890819319958</v>
      </c>
      <c r="H1210" t="s">
        <v>40</v>
      </c>
      <c r="I1210">
        <f>VLOOKUP(Table4[[#This Row],[Visitor]],'NHL Model'!$A$6:$B$38,2,FALSE)</f>
        <v>-0.41982036690375685</v>
      </c>
      <c r="J1210">
        <f>($B$1+Table4[[#This Row],[Home Differential]])-Table4[[#This Row],[Away Differential]]</f>
        <v>0.16728192061365921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0.55795843390765154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0.24554986733769732</v>
      </c>
      <c r="H1211" t="s">
        <v>12</v>
      </c>
      <c r="I1211">
        <f>VLOOKUP(Table4[[#This Row],[Visitor]],'NHL Model'!$A$6:$B$38,2,FALSE)</f>
        <v>1.1504937678265921</v>
      </c>
      <c r="J1211">
        <f>($B$1+Table4[[#This Row],[Home Differential]])-Table4[[#This Row],[Away Differential]]</f>
        <v>-0.79681343858579279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0.5925836044398527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-0.12154868922444324</v>
      </c>
      <c r="H1212" t="s">
        <v>20</v>
      </c>
      <c r="I1212">
        <f>VLOOKUP(Table4[[#This Row],[Visitor]],'NHL Model'!$A$6:$B$38,2,FALSE)</f>
        <v>-0.11283731617452618</v>
      </c>
      <c r="J1212">
        <f>($B$1+Table4[[#This Row],[Home Differential]])-Table4[[#This Row],[Away Differential]]</f>
        <v>9.9419088853184887E-2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0.53931701182620995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-0.36406236312551898</v>
      </c>
      <c r="H1213" t="s">
        <v>19</v>
      </c>
      <c r="I1213">
        <f>VLOOKUP(Table4[[#This Row],[Visitor]],'NHL Model'!$A$6:$B$38,2,FALSE)</f>
        <v>-0.38129365484385536</v>
      </c>
      <c r="J1213">
        <f>($B$1+Table4[[#This Row],[Home Differential]])-Table4[[#This Row],[Away Differential]]</f>
        <v>0.12536175362143831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0.5534581236196906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-0.55013344272463272</v>
      </c>
      <c r="H1214" t="s">
        <v>18</v>
      </c>
      <c r="I1214">
        <f>VLOOKUP(Table4[[#This Row],[Visitor]],'NHL Model'!$A$6:$B$38,2,FALSE)</f>
        <v>-0.18787166436597766</v>
      </c>
      <c r="J1214">
        <f>($B$1+Table4[[#This Row],[Home Differential]])-Table4[[#This Row],[Away Differential]]</f>
        <v>-0.25413131645555309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0.52656882345867828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-0.62425830840281982</v>
      </c>
      <c r="H1215" t="s">
        <v>26</v>
      </c>
      <c r="I1215">
        <f>VLOOKUP(Table4[[#This Row],[Visitor]],'NHL Model'!$A$6:$B$38,2,FALSE)</f>
        <v>-0.1792260169918948</v>
      </c>
      <c r="J1215">
        <f>($B$1+Table4[[#This Row],[Home Differential]])-Table4[[#This Row],[Away Differential]]</f>
        <v>-0.3369018295078231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0.53545459415463126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-0.179282670690569</v>
      </c>
      <c r="H1216" t="s">
        <v>34</v>
      </c>
      <c r="I1216">
        <f>VLOOKUP(Table4[[#This Row],[Visitor]],'NHL Model'!$A$6:$B$38,2,FALSE)</f>
        <v>4.6716977502832858E-2</v>
      </c>
      <c r="J1216">
        <f>($B$1+Table4[[#This Row],[Home Differential]])-Table4[[#This Row],[Away Differential]]</f>
        <v>-0.11786918629029991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0.52918268989978745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3.6611055984458557E-5</v>
      </c>
      <c r="H1217" t="s">
        <v>11</v>
      </c>
      <c r="I1217">
        <f>VLOOKUP(Table4[[#This Row],[Visitor]],'NHL Model'!$A$6:$B$38,2,FALSE)</f>
        <v>-0.34412098011518399</v>
      </c>
      <c r="J1217">
        <f>($B$1+Table4[[#This Row],[Home Differential]])-Table4[[#This Row],[Away Differential]]</f>
        <v>0.45228805307427039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0.52926723463711722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-0.42661371358543798</v>
      </c>
      <c r="H1218" t="s">
        <v>10</v>
      </c>
      <c r="I1218">
        <f>VLOOKUP(Table4[[#This Row],[Visitor]],'NHL Model'!$A$6:$B$38,2,FALSE)</f>
        <v>-0.75050764651940183</v>
      </c>
      <c r="J1218">
        <f>($B$1+Table4[[#This Row],[Home Differential]])-Table4[[#This Row],[Away Differential]]</f>
        <v>0.43202439483706578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0.58637967756894027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-0.46908405058827807</v>
      </c>
      <c r="H1219" t="s">
        <v>29</v>
      </c>
      <c r="I1219">
        <f>VLOOKUP(Table4[[#This Row],[Visitor]],'NHL Model'!$A$6:$B$38,2,FALSE)</f>
        <v>-0.72584022159035511</v>
      </c>
      <c r="J1219">
        <f>($B$1+Table4[[#This Row],[Home Differential]])-Table4[[#This Row],[Away Differential]]</f>
        <v>0.36488663290517898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0.57917214996560784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0.6987740059316554</v>
      </c>
      <c r="H1220" t="s">
        <v>21</v>
      </c>
      <c r="I1220">
        <f>VLOOKUP(Table4[[#This Row],[Visitor]],'NHL Model'!$A$6:$B$38,2,FALSE)</f>
        <v>-2.9858233272404857E-2</v>
      </c>
      <c r="J1220">
        <f>($B$1+Table4[[#This Row],[Home Differential]])-Table4[[#This Row],[Away Differential]]</f>
        <v>0.83676270110716222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0.65939883121736798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-1.2664425175465013</v>
      </c>
      <c r="H1221" t="s">
        <v>55</v>
      </c>
      <c r="I1221">
        <f>VLOOKUP(Table4[[#This Row],[Visitor]],'NHL Model'!$A$6:$B$38,2,FALSE)</f>
        <v>0.14062496747196682</v>
      </c>
      <c r="J1221">
        <f>($B$1+Table4[[#This Row],[Home Differential]])-Table4[[#This Row],[Away Differential]]</f>
        <v>-1.2989370231153661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0.59944647810263219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-0.12498445042942641</v>
      </c>
      <c r="H1222" t="s">
        <v>23</v>
      </c>
      <c r="I1222">
        <f>VLOOKUP(Table4[[#This Row],[Visitor]],'NHL Model'!$A$6:$B$38,2,FALSE)</f>
        <v>0.12350258496936412</v>
      </c>
      <c r="J1222">
        <f>($B$1+Table4[[#This Row],[Home Differential]])-Table4[[#This Row],[Away Differential]]</f>
        <v>-0.14035657349568859</v>
      </c>
      <c r="K1222" t="str">
        <f>IF(Table4[[#This Row],[HomeIce Differential]]&gt;0,Table4[[#This Row],[Home]],Table4[[#This Row],[Visitor]])</f>
        <v>Buffalo Sabres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0.50492092613511608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1.1504937678265921</v>
      </c>
      <c r="H1223" t="s">
        <v>35</v>
      </c>
      <c r="I1223">
        <f>VLOOKUP(Table4[[#This Row],[Visitor]],'NHL Model'!$A$6:$B$38,2,FALSE)</f>
        <v>-1.236228034931707</v>
      </c>
      <c r="J1223">
        <f>($B$1+Table4[[#This Row],[Home Differential]])-Table4[[#This Row],[Away Differential]]</f>
        <v>2.4948522646614011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0.89361535248773638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-0.1792260169918948</v>
      </c>
      <c r="H1224" t="s">
        <v>34</v>
      </c>
      <c r="I1224">
        <f>VLOOKUP(Table4[[#This Row],[Visitor]],'NHL Model'!$A$6:$B$38,2,FALSE)</f>
        <v>4.6716977502832858E-2</v>
      </c>
      <c r="J1224">
        <f>($B$1+Table4[[#This Row],[Home Differential]])-Table4[[#This Row],[Away Differential]]</f>
        <v>-0.11781253259162572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0.48562065523462067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-0.18787166436597766</v>
      </c>
      <c r="H1225" t="s">
        <v>24</v>
      </c>
      <c r="I1225">
        <f>VLOOKUP(Table4[[#This Row],[Visitor]],'NHL Model'!$A$6:$B$38,2,FALSE)</f>
        <v>-0.55013344272463272</v>
      </c>
      <c r="J1225">
        <f>($B$1+Table4[[#This Row],[Home Differential]])-Table4[[#This Row],[Away Differential]]</f>
        <v>0.47039224026175702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0.56835577370992074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-0.62425830840281982</v>
      </c>
      <c r="H1226" t="s">
        <v>22</v>
      </c>
      <c r="I1226">
        <f>VLOOKUP(Table4[[#This Row],[Visitor]],'NHL Model'!$A$6:$B$38,2,FALSE)</f>
        <v>-0.12498445042942641</v>
      </c>
      <c r="J1226">
        <f>($B$1+Table4[[#This Row],[Home Differential]])-Table4[[#This Row],[Away Differential]]</f>
        <v>-0.39114339607029147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0.50199092646099808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-0.179282670690569</v>
      </c>
      <c r="H1227" t="s">
        <v>25</v>
      </c>
      <c r="I1227">
        <f>VLOOKUP(Table4[[#This Row],[Visitor]],'NHL Model'!$A$6:$B$38,2,FALSE)</f>
        <v>0.31465989886768042</v>
      </c>
      <c r="J1227">
        <f>($B$1+Table4[[#This Row],[Home Differential]])-Table4[[#This Row],[Away Differential]]</f>
        <v>-0.38581210765514745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0.56070642353967903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-0.39747316405117561</v>
      </c>
      <c r="H1228" t="s">
        <v>21</v>
      </c>
      <c r="I1228">
        <f>VLOOKUP(Table4[[#This Row],[Visitor]],'NHL Model'!$A$6:$B$38,2,FALSE)</f>
        <v>-2.9858233272404857E-2</v>
      </c>
      <c r="J1228">
        <f>($B$1+Table4[[#This Row],[Home Differential]])-Table4[[#This Row],[Away Differential]]</f>
        <v>-0.25948446887566884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0.48785677416466278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3.6611055984458557E-5</v>
      </c>
      <c r="H1229" t="s">
        <v>11</v>
      </c>
      <c r="I1229">
        <f>VLOOKUP(Table4[[#This Row],[Visitor]],'NHL Model'!$A$6:$B$38,2,FALSE)</f>
        <v>-0.34412098011518399</v>
      </c>
      <c r="J1229">
        <f>($B$1+Table4[[#This Row],[Home Differential]])-Table4[[#This Row],[Away Differential]]</f>
        <v>0.45228805307427039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0.52926723463711722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0.12350258496936412</v>
      </c>
      <c r="H1230" t="s">
        <v>37</v>
      </c>
      <c r="I1230">
        <f>VLOOKUP(Table4[[#This Row],[Visitor]],'NHL Model'!$A$6:$B$38,2,FALSE)</f>
        <v>0.6987740059316554</v>
      </c>
      <c r="J1230">
        <f>($B$1+Table4[[#This Row],[Home Differential]])-Table4[[#This Row],[Away Differential]]</f>
        <v>-0.46714095905918934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0.56477581067862936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-0.36406236312551898</v>
      </c>
      <c r="H1231" t="s">
        <v>29</v>
      </c>
      <c r="I1231">
        <f>VLOOKUP(Table4[[#This Row],[Visitor]],'NHL Model'!$A$6:$B$38,2,FALSE)</f>
        <v>-0.72584022159035511</v>
      </c>
      <c r="J1231">
        <f>($B$1+Table4[[#This Row],[Home Differential]])-Table4[[#This Row],[Away Differential]]</f>
        <v>0.46990832036793806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0.59044667997011324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-0.46908405058827807</v>
      </c>
      <c r="H1232" t="s">
        <v>10</v>
      </c>
      <c r="I1232">
        <f>VLOOKUP(Table4[[#This Row],[Visitor]],'NHL Model'!$A$6:$B$38,2,FALSE)</f>
        <v>-0.75050764651940183</v>
      </c>
      <c r="J1232">
        <f>($B$1+Table4[[#This Row],[Home Differential]])-Table4[[#This Row],[Away Differential]]</f>
        <v>0.3895540578342257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0.58182030416323527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-0.41982036690375685</v>
      </c>
      <c r="H1233" t="s">
        <v>32</v>
      </c>
      <c r="I1233">
        <f>VLOOKUP(Table4[[#This Row],[Visitor]],'NHL Model'!$A$6:$B$38,2,FALSE)</f>
        <v>-0.42661371358543798</v>
      </c>
      <c r="J1233">
        <f>($B$1+Table4[[#This Row],[Home Differential]])-Table4[[#This Row],[Away Differential]]</f>
        <v>0.11492380858478307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0.55233756531079015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-0.39000953236289804</v>
      </c>
      <c r="H1234" t="s">
        <v>29</v>
      </c>
      <c r="I1234">
        <f>VLOOKUP(Table4[[#This Row],[Visitor]],'NHL Model'!$A$6:$B$38,2,FALSE)</f>
        <v>-0.72584022159035511</v>
      </c>
      <c r="J1234">
        <f>($B$1+Table4[[#This Row],[Home Differential]])-Table4[[#This Row],[Away Differential]]</f>
        <v>0.44396115113055901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0.62369800607433867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0.31465989886768042</v>
      </c>
      <c r="H1235" t="s">
        <v>21</v>
      </c>
      <c r="I1235">
        <f>VLOOKUP(Table4[[#This Row],[Visitor]],'NHL Model'!$A$6:$B$38,2,FALSE)</f>
        <v>-2.9858233272404857E-2</v>
      </c>
      <c r="J1235">
        <f>($B$1+Table4[[#This Row],[Home Differential]])-Table4[[#This Row],[Away Differential]]</f>
        <v>0.45264859404318719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0.63149532849339474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0.24554986733769732</v>
      </c>
      <c r="H1236" t="s">
        <v>16</v>
      </c>
      <c r="I1236">
        <f>VLOOKUP(Table4[[#This Row],[Visitor]],'NHL Model'!$A$6:$B$38,2,FALSE)</f>
        <v>-0.77822387693813933</v>
      </c>
      <c r="J1236">
        <f>($B$1+Table4[[#This Row],[Home Differential]])-Table4[[#This Row],[Away Differential]]</f>
        <v>1.1319042061789386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0.68062021785640314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-0.1792260169918948</v>
      </c>
      <c r="H1237" t="s">
        <v>28</v>
      </c>
      <c r="I1237">
        <f>VLOOKUP(Table4[[#This Row],[Visitor]],'NHL Model'!$A$6:$B$38,2,FALSE)</f>
        <v>-0.36066890819319958</v>
      </c>
      <c r="J1237">
        <f>($B$1+Table4[[#This Row],[Home Differential]])-Table4[[#This Row],[Away Differential]]</f>
        <v>0.28957335310440674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0.61398849974806347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4.6716977502832858E-2</v>
      </c>
      <c r="H1238" t="s">
        <v>32</v>
      </c>
      <c r="I1238">
        <f>VLOOKUP(Table4[[#This Row],[Visitor]],'NHL Model'!$A$6:$B$38,2,FALSE)</f>
        <v>-0.42661371358543798</v>
      </c>
      <c r="J1238">
        <f>($B$1+Table4[[#This Row],[Home Differential]])-Table4[[#This Row],[Away Differential]]</f>
        <v>0.5814611529913728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0.60242235650784226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-0.18787166436597766</v>
      </c>
      <c r="H1239" t="s">
        <v>11</v>
      </c>
      <c r="I1239">
        <f>VLOOKUP(Table4[[#This Row],[Visitor]],'NHL Model'!$A$6:$B$38,2,FALSE)</f>
        <v>-0.34412098011518399</v>
      </c>
      <c r="J1239">
        <f>($B$1+Table4[[#This Row],[Home Differential]])-Table4[[#This Row],[Away Differential]]</f>
        <v>0.2643797776523083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0.51618718467266145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-0.55013344272463272</v>
      </c>
      <c r="H1240" t="s">
        <v>27</v>
      </c>
      <c r="I1240">
        <f>VLOOKUP(Table4[[#This Row],[Visitor]],'NHL Model'!$A$6:$B$38,2,FALSE)</f>
        <v>-0.39747316405117561</v>
      </c>
      <c r="J1240">
        <f>($B$1+Table4[[#This Row],[Home Differential]])-Table4[[#This Row],[Away Differential]]</f>
        <v>-4.4529816770355168E-2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0.4656099605072086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-0.179282670690569</v>
      </c>
      <c r="H1241" t="s">
        <v>37</v>
      </c>
      <c r="I1241">
        <f>VLOOKUP(Table4[[#This Row],[Visitor]],'NHL Model'!$A$6:$B$38,2,FALSE)</f>
        <v>0.6987740059316554</v>
      </c>
      <c r="J1241">
        <f>($B$1+Table4[[#This Row],[Home Differential]])-Table4[[#This Row],[Away Differential]]</f>
        <v>-0.76992621471912248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0.63951303946841953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-1.236228034931707</v>
      </c>
      <c r="H1242" t="s">
        <v>12</v>
      </c>
      <c r="I1242">
        <f>VLOOKUP(Table4[[#This Row],[Visitor]],'NHL Model'!$A$6:$B$38,2,FALSE)</f>
        <v>1.1504937678265921</v>
      </c>
      <c r="J1242">
        <f>($B$1+Table4[[#This Row],[Home Differential]])-Table4[[#This Row],[Away Differential]]</f>
        <v>-2.278591340855197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0.77093237354435862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0.14062496747196682</v>
      </c>
      <c r="H1243" t="s">
        <v>17</v>
      </c>
      <c r="I1243">
        <f>VLOOKUP(Table4[[#This Row],[Visitor]],'NHL Model'!$A$6:$B$38,2,FALSE)</f>
        <v>-0.12154868922444324</v>
      </c>
      <c r="J1243">
        <f>($B$1+Table4[[#This Row],[Home Differential]])-Table4[[#This Row],[Away Differential]]</f>
        <v>0.37030411859951201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0.61352423216688301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-1.2664425175465013</v>
      </c>
      <c r="H1244" t="s">
        <v>20</v>
      </c>
      <c r="I1244">
        <f>VLOOKUP(Table4[[#This Row],[Visitor]],'NHL Model'!$A$6:$B$38,2,FALSE)</f>
        <v>-0.11283731617452618</v>
      </c>
      <c r="J1244">
        <f>($B$1+Table4[[#This Row],[Home Differential]])-Table4[[#This Row],[Away Differential]]</f>
        <v>-1.045474739468873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0.58359226654514895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-0.62425830840281982</v>
      </c>
      <c r="H1245" t="s">
        <v>23</v>
      </c>
      <c r="I1245">
        <f>VLOOKUP(Table4[[#This Row],[Visitor]],'NHL Model'!$A$6:$B$38,2,FALSE)</f>
        <v>0.12350258496936412</v>
      </c>
      <c r="J1245">
        <f>($B$1+Table4[[#This Row],[Home Differential]])-Table4[[#This Row],[Away Differential]]</f>
        <v>-0.63963043146908194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0.55852012291227959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-0.46908405058827807</v>
      </c>
      <c r="H1246" t="s">
        <v>17</v>
      </c>
      <c r="I1246">
        <f>VLOOKUP(Table4[[#This Row],[Visitor]],'NHL Model'!$A$6:$B$38,2,FALSE)</f>
        <v>-0.12154868922444324</v>
      </c>
      <c r="J1246">
        <f>($B$1+Table4[[#This Row],[Home Differential]])-Table4[[#This Row],[Away Differential]]</f>
        <v>-0.2394048994607329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0.48800555566853526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-0.38129365484385536</v>
      </c>
      <c r="H1247" t="s">
        <v>22</v>
      </c>
      <c r="I1247">
        <f>VLOOKUP(Table4[[#This Row],[Visitor]],'NHL Model'!$A$6:$B$38,2,FALSE)</f>
        <v>-0.12498445042942641</v>
      </c>
      <c r="J1247">
        <f>($B$1+Table4[[#This Row],[Home Differential]])-Table4[[#This Row],[Away Differential]]</f>
        <v>-0.14817874251132701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0.47590762554702098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-0.39000953236289804</v>
      </c>
      <c r="H1248" t="s">
        <v>33</v>
      </c>
      <c r="I1248">
        <f>VLOOKUP(Table4[[#This Row],[Visitor]],'NHL Model'!$A$6:$B$38,2,FALSE)</f>
        <v>-0.46908405058827807</v>
      </c>
      <c r="J1248">
        <f>($B$1+Table4[[#This Row],[Home Differential]])-Table4[[#This Row],[Away Differential]]</f>
        <v>0.18720498012848197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0.56594878844972873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0.12350258496936412</v>
      </c>
      <c r="H1249" t="s">
        <v>28</v>
      </c>
      <c r="I1249">
        <f>VLOOKUP(Table4[[#This Row],[Visitor]],'NHL Model'!$A$6:$B$38,2,FALSE)</f>
        <v>-0.36066890819319958</v>
      </c>
      <c r="J1249">
        <f>($B$1+Table4[[#This Row],[Home Differential]])-Table4[[#This Row],[Away Differential]]</f>
        <v>0.59230195506566563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0.6454043450712057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-0.75050764651940183</v>
      </c>
      <c r="H1250" t="s">
        <v>25</v>
      </c>
      <c r="I1250">
        <f>VLOOKUP(Table4[[#This Row],[Visitor]],'NHL Model'!$A$6:$B$38,2,FALSE)</f>
        <v>0.31465989886768042</v>
      </c>
      <c r="J1250">
        <f>($B$1+Table4[[#This Row],[Home Differential]])-Table4[[#This Row],[Away Differential]]</f>
        <v>-0.95703708348398031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0.62202988238801249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1.1504937678265921</v>
      </c>
      <c r="H1251" t="s">
        <v>16</v>
      </c>
      <c r="I1251">
        <f>VLOOKUP(Table4[[#This Row],[Visitor]],'NHL Model'!$A$6:$B$38,2,FALSE)</f>
        <v>-0.77822387693813933</v>
      </c>
      <c r="J1251">
        <f>($B$1+Table4[[#This Row],[Home Differential]])-Table4[[#This Row],[Away Differential]]</f>
        <v>2.0368481066678337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0.84444663556612143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0.24554986733769732</v>
      </c>
      <c r="H1252" t="s">
        <v>34</v>
      </c>
      <c r="I1252">
        <f>VLOOKUP(Table4[[#This Row],[Visitor]],'NHL Model'!$A$6:$B$38,2,FALSE)</f>
        <v>4.6716977502832858E-2</v>
      </c>
      <c r="J1252">
        <f>($B$1+Table4[[#This Row],[Home Differential]])-Table4[[#This Row],[Away Differential]]</f>
        <v>0.30696335173796641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0.53571626745685519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-0.1792260169918948</v>
      </c>
      <c r="H1253" t="s">
        <v>27</v>
      </c>
      <c r="I1253">
        <f>VLOOKUP(Table4[[#This Row],[Visitor]],'NHL Model'!$A$6:$B$38,2,FALSE)</f>
        <v>-0.39747316405117561</v>
      </c>
      <c r="J1253">
        <f>($B$1+Table4[[#This Row],[Home Differential]])-Table4[[#This Row],[Away Differential]]</f>
        <v>0.32637760896238277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0.61712759279923746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-0.36406236312551898</v>
      </c>
      <c r="H1254" t="s">
        <v>38</v>
      </c>
      <c r="I1254">
        <f>VLOOKUP(Table4[[#This Row],[Visitor]],'NHL Model'!$A$6:$B$38,2,FALSE)</f>
        <v>-1.2664425175465013</v>
      </c>
      <c r="J1254">
        <f>($B$1+Table4[[#This Row],[Home Differential]])-Table4[[#This Row],[Away Differential]]</f>
        <v>1.0105106163240842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0.64848266238015961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-0.18787166436597766</v>
      </c>
      <c r="H1255" t="s">
        <v>37</v>
      </c>
      <c r="I1255">
        <f>VLOOKUP(Table4[[#This Row],[Visitor]],'NHL Model'!$A$6:$B$38,2,FALSE)</f>
        <v>0.6987740059316554</v>
      </c>
      <c r="J1255">
        <f>($B$1+Table4[[#This Row],[Home Differential]])-Table4[[#This Row],[Away Differential]]</f>
        <v>-0.77851520839453114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0.63341618547545386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-0.55013344272463272</v>
      </c>
      <c r="H1256" t="s">
        <v>14</v>
      </c>
      <c r="I1256">
        <f>VLOOKUP(Table4[[#This Row],[Visitor]],'NHL Model'!$A$6:$B$38,2,FALSE)</f>
        <v>3.6611055984458557E-5</v>
      </c>
      <c r="J1256">
        <f>($B$1+Table4[[#This Row],[Home Differential]])-Table4[[#This Row],[Away Differential]]</f>
        <v>-0.44203959187751524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0.56398377768141128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-6.98902744359894E-2</v>
      </c>
      <c r="H1257" t="s">
        <v>19</v>
      </c>
      <c r="I1257">
        <f>VLOOKUP(Table4[[#This Row],[Visitor]],'NHL Model'!$A$6:$B$38,2,FALSE)</f>
        <v>-0.38129365484385536</v>
      </c>
      <c r="J1257">
        <f>($B$1+Table4[[#This Row],[Home Differential]])-Table4[[#This Row],[Away Differential]]</f>
        <v>0.41953384231096791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0.6014185849731698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-0.179282670690569</v>
      </c>
      <c r="H1258" t="s">
        <v>11</v>
      </c>
      <c r="I1258">
        <f>VLOOKUP(Table4[[#This Row],[Visitor]],'NHL Model'!$A$6:$B$38,2,FALSE)</f>
        <v>-0.34412098011518399</v>
      </c>
      <c r="J1258">
        <f>($B$1+Table4[[#This Row],[Home Differential]])-Table4[[#This Row],[Away Differential]]</f>
        <v>0.27296877132771696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0.51001653822115278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-0.42661371358543798</v>
      </c>
      <c r="H1259" t="s">
        <v>20</v>
      </c>
      <c r="I1259">
        <f>VLOOKUP(Table4[[#This Row],[Visitor]],'NHL Model'!$A$6:$B$38,2,FALSE)</f>
        <v>-0.11283731617452618</v>
      </c>
      <c r="J1259">
        <f>($B$1+Table4[[#This Row],[Home Differential]])-Table4[[#This Row],[Away Differential]]</f>
        <v>-0.20564593550780985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0.49343303107995512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-1.236228034931707</v>
      </c>
      <c r="H1260" t="s">
        <v>40</v>
      </c>
      <c r="I1260">
        <f>VLOOKUP(Table4[[#This Row],[Visitor]],'NHL Model'!$A$6:$B$38,2,FALSE)</f>
        <v>-0.41982036690375685</v>
      </c>
      <c r="J1260">
        <f>($B$1+Table4[[#This Row],[Home Differential]])-Table4[[#This Row],[Away Differential]]</f>
        <v>-0.70827720612484812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0.53603660543726772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0.14062496747196682</v>
      </c>
      <c r="H1261" t="s">
        <v>29</v>
      </c>
      <c r="I1261">
        <f>VLOOKUP(Table4[[#This Row],[Visitor]],'NHL Model'!$A$6:$B$38,2,FALSE)</f>
        <v>-0.72584022159035511</v>
      </c>
      <c r="J1261">
        <f>($B$1+Table4[[#This Row],[Home Differential]])-Table4[[#This Row],[Away Differential]]</f>
        <v>0.97459565096542389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0.68066390268436372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-2.9858233272404857E-2</v>
      </c>
      <c r="H1262" t="s">
        <v>37</v>
      </c>
      <c r="I1262">
        <f>VLOOKUP(Table4[[#This Row],[Visitor]],'NHL Model'!$A$6:$B$38,2,FALSE)</f>
        <v>0.6987740059316554</v>
      </c>
      <c r="J1262">
        <f>($B$1+Table4[[#This Row],[Home Differential]])-Table4[[#This Row],[Away Differential]]</f>
        <v>-0.62050177730095835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0.57538546532416324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-0.75050764651940183</v>
      </c>
      <c r="H1263" t="s">
        <v>35</v>
      </c>
      <c r="I1263">
        <f>VLOOKUP(Table4[[#This Row],[Visitor]],'NHL Model'!$A$6:$B$38,2,FALSE)</f>
        <v>-1.236228034931707</v>
      </c>
      <c r="J1263">
        <f>($B$1+Table4[[#This Row],[Home Differential]])-Table4[[#This Row],[Away Differential]]</f>
        <v>0.59385085031540708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0.60375244382219917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1.1504937678265921</v>
      </c>
      <c r="H1264" t="s">
        <v>20</v>
      </c>
      <c r="I1264">
        <f>VLOOKUP(Table4[[#This Row],[Visitor]],'NHL Model'!$A$6:$B$38,2,FALSE)</f>
        <v>-0.11283731617452618</v>
      </c>
      <c r="J1264">
        <f>($B$1+Table4[[#This Row],[Home Differential]])-Table4[[#This Row],[Away Differential]]</f>
        <v>1.3714615459042203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0.76226646622539695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0.24554986733769732</v>
      </c>
      <c r="H1265" t="s">
        <v>15</v>
      </c>
      <c r="I1265">
        <f>VLOOKUP(Table4[[#This Row],[Visitor]],'NHL Model'!$A$6:$B$38,2,FALSE)</f>
        <v>-0.62425830840281982</v>
      </c>
      <c r="J1265">
        <f>($B$1+Table4[[#This Row],[Home Differential]])-Table4[[#This Row],[Away Differential]]</f>
        <v>0.9779386376436191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0.62042535025674839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-0.1792260169918948</v>
      </c>
      <c r="H1266" t="s">
        <v>24</v>
      </c>
      <c r="I1266">
        <f>VLOOKUP(Table4[[#This Row],[Visitor]],'NHL Model'!$A$6:$B$38,2,FALSE)</f>
        <v>-0.55013344272463272</v>
      </c>
      <c r="J1266">
        <f>($B$1+Table4[[#This Row],[Home Differential]])-Table4[[#This Row],[Away Differential]]</f>
        <v>0.47903788763583988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0.605566905684783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-0.36406236312551898</v>
      </c>
      <c r="H1267" t="s">
        <v>17</v>
      </c>
      <c r="I1267">
        <f>VLOOKUP(Table4[[#This Row],[Visitor]],'NHL Model'!$A$6:$B$38,2,FALSE)</f>
        <v>-0.12154868922444324</v>
      </c>
      <c r="J1267">
        <f>($B$1+Table4[[#This Row],[Home Differential]])-Table4[[#This Row],[Away Differential]]</f>
        <v>-0.13438321199797382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0.47673102566402986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-0.18787166436597766</v>
      </c>
      <c r="H1268" t="s">
        <v>28</v>
      </c>
      <c r="I1268">
        <f>VLOOKUP(Table4[[#This Row],[Visitor]],'NHL Model'!$A$6:$B$38,2,FALSE)</f>
        <v>-0.36066890819319958</v>
      </c>
      <c r="J1268">
        <f>($B$1+Table4[[#This Row],[Home Differential]])-Table4[[#This Row],[Away Differential]]</f>
        <v>0.28092770573032388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0.57720474976040459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-0.72584022159035511</v>
      </c>
      <c r="H1269" t="s">
        <v>34</v>
      </c>
      <c r="I1269">
        <f>VLOOKUP(Table4[[#This Row],[Visitor]],'NHL Model'!$A$6:$B$38,2,FALSE)</f>
        <v>4.6716977502832858E-2</v>
      </c>
      <c r="J1269">
        <f>($B$1+Table4[[#This Row],[Home Differential]])-Table4[[#This Row],[Away Differential]]</f>
        <v>-0.66442673719008605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0.58785799455049348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-6.98902744359894E-2</v>
      </c>
      <c r="H1270" t="s">
        <v>36</v>
      </c>
      <c r="I1270">
        <f>VLOOKUP(Table4[[#This Row],[Visitor]],'NHL Model'!$A$6:$B$38,2,FALSE)</f>
        <v>-0.179282670690569</v>
      </c>
      <c r="J1270">
        <f>($B$1+Table4[[#This Row],[Home Differential]])-Table4[[#This Row],[Away Differential]]</f>
        <v>0.21752285815768155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0.57890757026998496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3.6611055984458557E-5</v>
      </c>
      <c r="H1271" t="s">
        <v>22</v>
      </c>
      <c r="I1271">
        <f>VLOOKUP(Table4[[#This Row],[Visitor]],'NHL Model'!$A$6:$B$38,2,FALSE)</f>
        <v>-0.12498445042942641</v>
      </c>
      <c r="J1271">
        <f>($B$1+Table4[[#This Row],[Home Differential]])-Table4[[#This Row],[Away Differential]]</f>
        <v>0.2331515233885128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0.56502981916922701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-0.42661371358543798</v>
      </c>
      <c r="H1272" t="s">
        <v>16</v>
      </c>
      <c r="I1272">
        <f>VLOOKUP(Table4[[#This Row],[Visitor]],'NHL Model'!$A$6:$B$38,2,FALSE)</f>
        <v>-0.77822387693813933</v>
      </c>
      <c r="J1272">
        <f>($B$1+Table4[[#This Row],[Home Differential]])-Table4[[#This Row],[Away Differential]]</f>
        <v>0.45974062525580328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0.58935513415335916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-0.46908405058827807</v>
      </c>
      <c r="H1273" t="s">
        <v>38</v>
      </c>
      <c r="I1273">
        <f>VLOOKUP(Table4[[#This Row],[Visitor]],'NHL Model'!$A$6:$B$38,2,FALSE)</f>
        <v>-1.2664425175465013</v>
      </c>
      <c r="J1273">
        <f>($B$1+Table4[[#This Row],[Home Differential]])-Table4[[#This Row],[Away Differential]]</f>
        <v>0.90548892886132515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0.63720813237565421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-0.38129365484385536</v>
      </c>
      <c r="H1274" t="s">
        <v>11</v>
      </c>
      <c r="I1274">
        <f>VLOOKUP(Table4[[#This Row],[Visitor]],'NHL Model'!$A$6:$B$38,2,FALSE)</f>
        <v>-0.34412098011518399</v>
      </c>
      <c r="J1274">
        <f>($B$1+Table4[[#This Row],[Home Differential]])-Table4[[#This Row],[Away Differential]]</f>
        <v>7.0957787174430575E-2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0.48832978992086928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0.14062496747196682</v>
      </c>
      <c r="H1275" t="s">
        <v>25</v>
      </c>
      <c r="I1275">
        <f>VLOOKUP(Table4[[#This Row],[Visitor]],'NHL Model'!$A$6:$B$38,2,FALSE)</f>
        <v>0.31465989886768042</v>
      </c>
      <c r="J1275">
        <f>($B$1+Table4[[#This Row],[Home Differential]])-Table4[[#This Row],[Away Differential]]</f>
        <v>-6.5904469492611639E-2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0.48983374904339583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-0.41982036690375685</v>
      </c>
      <c r="H1276" t="s">
        <v>27</v>
      </c>
      <c r="I1276">
        <f>VLOOKUP(Table4[[#This Row],[Visitor]],'NHL Model'!$A$6:$B$38,2,FALSE)</f>
        <v>-0.39747316405117561</v>
      </c>
      <c r="J1276">
        <f>($B$1+Table4[[#This Row],[Home Differential]])-Table4[[#This Row],[Away Differential]]</f>
        <v>8.5783259050520699E-2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0.54837970885363496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-0.39000953236289804</v>
      </c>
      <c r="H1277" t="s">
        <v>38</v>
      </c>
      <c r="I1277">
        <f>VLOOKUP(Table4[[#This Row],[Visitor]],'NHL Model'!$A$6:$B$38,2,FALSE)</f>
        <v>-1.2664425175465013</v>
      </c>
      <c r="J1277">
        <f>($B$1+Table4[[#This Row],[Home Differential]])-Table4[[#This Row],[Away Differential]]</f>
        <v>0.98456344708670518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0.68173398848438516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-0.36066890819319958</v>
      </c>
      <c r="H1278" t="s">
        <v>21</v>
      </c>
      <c r="I1278">
        <f>VLOOKUP(Table4[[#This Row],[Visitor]],'NHL Model'!$A$6:$B$38,2,FALSE)</f>
        <v>-2.9858233272404857E-2</v>
      </c>
      <c r="J1278">
        <f>($B$1+Table4[[#This Row],[Home Differential]])-Table4[[#This Row],[Away Differential]]</f>
        <v>-0.22268021301769278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0.48390567894814968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-0.77822387693813933</v>
      </c>
      <c r="H1279" t="s">
        <v>55</v>
      </c>
      <c r="I1279">
        <f>VLOOKUP(Table4[[#This Row],[Visitor]],'NHL Model'!$A$6:$B$38,2,FALSE)</f>
        <v>0.14062496747196682</v>
      </c>
      <c r="J1279">
        <f>($B$1+Table4[[#This Row],[Home Differential]])-Table4[[#This Row],[Away Differential]]</f>
        <v>-0.81071838250700423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0.54703410647463202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-0.55013344272463272</v>
      </c>
      <c r="H1280" t="s">
        <v>36</v>
      </c>
      <c r="I1280">
        <f>VLOOKUP(Table4[[#This Row],[Visitor]],'NHL Model'!$A$6:$B$38,2,FALSE)</f>
        <v>-0.179282670690569</v>
      </c>
      <c r="J1280">
        <f>($B$1+Table4[[#This Row],[Home Differential]])-Table4[[#This Row],[Away Differential]]</f>
        <v>-0.26272031013096175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0.48903364873316968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-6.98902744359894E-2</v>
      </c>
      <c r="H1281" t="s">
        <v>18</v>
      </c>
      <c r="I1281">
        <f>VLOOKUP(Table4[[#This Row],[Visitor]],'NHL Model'!$A$6:$B$38,2,FALSE)</f>
        <v>-0.18787166436597766</v>
      </c>
      <c r="J1281">
        <f>($B$1+Table4[[#This Row],[Home Differential]])-Table4[[#This Row],[Away Differential]]</f>
        <v>0.22611185183309021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0.54151545944993917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-0.12498445042942641</v>
      </c>
      <c r="H1282" t="s">
        <v>14</v>
      </c>
      <c r="I1282">
        <f>VLOOKUP(Table4[[#This Row],[Visitor]],'NHL Model'!$A$6:$B$38,2,FALSE)</f>
        <v>3.6611055984458557E-5</v>
      </c>
      <c r="J1282">
        <f>($B$1+Table4[[#This Row],[Home Differential]])-Table4[[#This Row],[Away Differential]]</f>
        <v>-1.6890599582308916E-2</v>
      </c>
      <c r="K1282" t="str">
        <f>IF(Table4[[#This Row],[HomeIce Differential]]&gt;0,Table4[[#This Row],[Home]],Table4[[#This Row],[Visitor]])</f>
        <v>Pittsburgh Penguins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0.51834220415673071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-0.75050764651940183</v>
      </c>
      <c r="H1283" t="s">
        <v>23</v>
      </c>
      <c r="I1283">
        <f>VLOOKUP(Table4[[#This Row],[Visitor]],'NHL Model'!$A$6:$B$38,2,FALSE)</f>
        <v>0.12350258496936412</v>
      </c>
      <c r="J1283">
        <f>($B$1+Table4[[#This Row],[Home Differential]])-Table4[[#This Row],[Away Differential]]</f>
        <v>-0.76587976958566406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0.5720735325463524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-0.12154868922444324</v>
      </c>
      <c r="H1284" t="s">
        <v>12</v>
      </c>
      <c r="I1284">
        <f>VLOOKUP(Table4[[#This Row],[Visitor]],'NHL Model'!$A$6:$B$38,2,FALSE)</f>
        <v>1.1504937678265921</v>
      </c>
      <c r="J1284">
        <f>($B$1+Table4[[#This Row],[Home Differential]])-Table4[[#This Row],[Away Differential]]</f>
        <v>-1.1639119951479333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0.65126674987938515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-0.34412098011518399</v>
      </c>
      <c r="H1285" t="s">
        <v>15</v>
      </c>
      <c r="I1285">
        <f>VLOOKUP(Table4[[#This Row],[Visitor]],'NHL Model'!$A$6:$B$38,2,FALSE)</f>
        <v>-0.62425830840281982</v>
      </c>
      <c r="J1285">
        <f>($B$1+Table4[[#This Row],[Home Differential]])-Table4[[#This Row],[Away Differential]]</f>
        <v>0.38826779019073776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0.53782922431799607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-0.72584022159035511</v>
      </c>
      <c r="H1286" t="s">
        <v>33</v>
      </c>
      <c r="I1286">
        <f>VLOOKUP(Table4[[#This Row],[Visitor]],'NHL Model'!$A$6:$B$38,2,FALSE)</f>
        <v>-0.46908405058827807</v>
      </c>
      <c r="J1286">
        <f>($B$1+Table4[[#This Row],[Home Differential]])-Table4[[#This Row],[Away Differential]]</f>
        <v>-0.1486257090989751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0.50652164706912595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-0.39747316405117561</v>
      </c>
      <c r="H1287" t="s">
        <v>25</v>
      </c>
      <c r="I1287">
        <f>VLOOKUP(Table4[[#This Row],[Visitor]],'NHL Model'!$A$6:$B$38,2,FALSE)</f>
        <v>0.31465989886768042</v>
      </c>
      <c r="J1287">
        <f>($B$1+Table4[[#This Row],[Home Differential]])-Table4[[#This Row],[Away Differential]]</f>
        <v>-0.60400260101575409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0.58413011176564011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-0.42661371358543798</v>
      </c>
      <c r="H1288" t="s">
        <v>13</v>
      </c>
      <c r="I1288">
        <f>VLOOKUP(Table4[[#This Row],[Visitor]],'NHL Model'!$A$6:$B$38,2,FALSE)</f>
        <v>-0.36406236312551898</v>
      </c>
      <c r="J1288">
        <f>($B$1+Table4[[#This Row],[Home Differential]])-Table4[[#This Row],[Away Differential]]</f>
        <v>4.557911144318294E-2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0.50560638047913409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-1.236228034931707</v>
      </c>
      <c r="H1289" t="s">
        <v>34</v>
      </c>
      <c r="I1289">
        <f>VLOOKUP(Table4[[#This Row],[Visitor]],'NHL Model'!$A$6:$B$38,2,FALSE)</f>
        <v>4.6716977502832858E-2</v>
      </c>
      <c r="J1289">
        <f>($B$1+Table4[[#This Row],[Home Differential]])-Table4[[#This Row],[Away Differential]]</f>
        <v>-1.1748145505314378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0.64265032225415453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0.6987740059316554</v>
      </c>
      <c r="H1290" t="s">
        <v>26</v>
      </c>
      <c r="I1290">
        <f>VLOOKUP(Table4[[#This Row],[Visitor]],'NHL Model'!$A$6:$B$38,2,FALSE)</f>
        <v>-0.1792260169918948</v>
      </c>
      <c r="J1290">
        <f>($B$1+Table4[[#This Row],[Home Differential]])-Table4[[#This Row],[Away Differential]]</f>
        <v>0.98613048482665211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0.63647759526645398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-0.38129365484385536</v>
      </c>
      <c r="H1291" t="s">
        <v>39</v>
      </c>
      <c r="I1291">
        <f>VLOOKUP(Table4[[#This Row],[Visitor]],'NHL Model'!$A$6:$B$38,2,FALSE)</f>
        <v>0.24554986733769732</v>
      </c>
      <c r="J1291">
        <f>($B$1+Table4[[#This Row],[Home Differential]])-Table4[[#This Row],[Away Differential]]</f>
        <v>-0.51871306027845077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0.5610556302662224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-0.11283731617452618</v>
      </c>
      <c r="H1292" t="s">
        <v>40</v>
      </c>
      <c r="I1292">
        <f>VLOOKUP(Table4[[#This Row],[Visitor]],'NHL Model'!$A$6:$B$38,2,FALSE)</f>
        <v>-0.41982036690375685</v>
      </c>
      <c r="J1292">
        <f>($B$1+Table4[[#This Row],[Home Differential]])-Table4[[#This Row],[Away Differential]]</f>
        <v>0.41511351263233265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0.58456422160526111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-2.9858233272404857E-2</v>
      </c>
      <c r="H1293" t="s">
        <v>24</v>
      </c>
      <c r="I1293">
        <f>VLOOKUP(Table4[[#This Row],[Visitor]],'NHL Model'!$A$6:$B$38,2,FALSE)</f>
        <v>-0.55013344272463272</v>
      </c>
      <c r="J1293">
        <f>($B$1+Table4[[#This Row],[Home Differential]])-Table4[[#This Row],[Away Differential]]</f>
        <v>0.62840567135532976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0.62628558194457473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-0.36066890819319958</v>
      </c>
      <c r="H1294" t="s">
        <v>22</v>
      </c>
      <c r="I1294">
        <f>VLOOKUP(Table4[[#This Row],[Visitor]],'NHL Model'!$A$6:$B$38,2,FALSE)</f>
        <v>-0.12498445042942641</v>
      </c>
      <c r="J1294">
        <f>($B$1+Table4[[#This Row],[Home Differential]])-Table4[[#This Row],[Away Differential]]</f>
        <v>-0.12755399586067123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0.47369347025618547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-0.77822387693813933</v>
      </c>
      <c r="H1295" t="s">
        <v>12</v>
      </c>
      <c r="I1295">
        <f>VLOOKUP(Table4[[#This Row],[Visitor]],'NHL Model'!$A$6:$B$38,2,FALSE)</f>
        <v>1.1504937678265921</v>
      </c>
      <c r="J1295">
        <f>($B$1+Table4[[#This Row],[Home Differential]])-Table4[[#This Row],[Away Differential]]</f>
        <v>-1.8205871828616296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0.72176365662274389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4.6716977502832858E-2</v>
      </c>
      <c r="H1296" t="s">
        <v>31</v>
      </c>
      <c r="I1296">
        <f>VLOOKUP(Table4[[#This Row],[Visitor]],'NHL Model'!$A$6:$B$38,2,FALSE)</f>
        <v>-0.39000953236289804</v>
      </c>
      <c r="J1296">
        <f>($B$1+Table4[[#This Row],[Home Differential]])-Table4[[#This Row],[Away Differential]]</f>
        <v>0.54485697176883285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0.59849274016426357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-6.98902744359894E-2</v>
      </c>
      <c r="H1297" t="s">
        <v>25</v>
      </c>
      <c r="I1297">
        <f>VLOOKUP(Table4[[#This Row],[Visitor]],'NHL Model'!$A$6:$B$38,2,FALSE)</f>
        <v>0.31465989886768042</v>
      </c>
      <c r="J1297">
        <f>($B$1+Table4[[#This Row],[Home Differential]])-Table4[[#This Row],[Away Differential]]</f>
        <v>-0.27641971140056787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0.5324372762527485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-0.39747316405117561</v>
      </c>
      <c r="H1298" t="s">
        <v>18</v>
      </c>
      <c r="I1298">
        <f>VLOOKUP(Table4[[#This Row],[Visitor]],'NHL Model'!$A$6:$B$38,2,FALSE)</f>
        <v>-0.18787166436597766</v>
      </c>
      <c r="J1298">
        <f>($B$1+Table4[[#This Row],[Home Differential]])-Table4[[#This Row],[Away Differential]]</f>
        <v>-0.10147103778209601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0.51018008572286166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-1.236228034931707</v>
      </c>
      <c r="H1299" t="s">
        <v>14</v>
      </c>
      <c r="I1299">
        <f>VLOOKUP(Table4[[#This Row],[Visitor]],'NHL Model'!$A$6:$B$38,2,FALSE)</f>
        <v>3.6611055984458557E-5</v>
      </c>
      <c r="J1299">
        <f>($B$1+Table4[[#This Row],[Home Differential]])-Table4[[#This Row],[Away Differential]]</f>
        <v>-1.1281341840845893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0.63763898407400077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0.14062496747196682</v>
      </c>
      <c r="H1300" t="s">
        <v>40</v>
      </c>
      <c r="I1300">
        <f>VLOOKUP(Table4[[#This Row],[Visitor]],'NHL Model'!$A$6:$B$38,2,FALSE)</f>
        <v>-0.41982036690375685</v>
      </c>
      <c r="J1300">
        <f>($B$1+Table4[[#This Row],[Home Differential]])-Table4[[#This Row],[Away Differential]]</f>
        <v>0.66857579627882568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0.64781135463459172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-1.2664425175465013</v>
      </c>
      <c r="H1301" t="s">
        <v>13</v>
      </c>
      <c r="I1301">
        <f>VLOOKUP(Table4[[#This Row],[Visitor]],'NHL Model'!$A$6:$B$38,2,FALSE)</f>
        <v>-0.36406236312551898</v>
      </c>
      <c r="J1301">
        <f>($B$1+Table4[[#This Row],[Home Differential]])-Table4[[#This Row],[Away Differential]]</f>
        <v>-0.79424969251788025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0.5845528549860598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0.12350258496936412</v>
      </c>
      <c r="H1302" t="s">
        <v>39</v>
      </c>
      <c r="I1302">
        <f>VLOOKUP(Table4[[#This Row],[Visitor]],'NHL Model'!$A$6:$B$38,2,FALSE)</f>
        <v>0.24554986733769732</v>
      </c>
      <c r="J1302">
        <f>($B$1+Table4[[#This Row],[Home Differential]])-Table4[[#This Row],[Away Differential]]</f>
        <v>-1.3916820465231267E-2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0.4644569935169684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-0.75050764651940183</v>
      </c>
      <c r="H1303" t="s">
        <v>33</v>
      </c>
      <c r="I1303">
        <f>VLOOKUP(Table4[[#This Row],[Visitor]],'NHL Model'!$A$6:$B$38,2,FALSE)</f>
        <v>-0.46908405058827807</v>
      </c>
      <c r="J1303">
        <f>($B$1+Table4[[#This Row],[Home Differential]])-Table4[[#This Row],[Away Differential]]</f>
        <v>-0.17329313402802182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0.50916980126675337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-0.34412098011518399</v>
      </c>
      <c r="H1304" t="s">
        <v>26</v>
      </c>
      <c r="I1304">
        <f>VLOOKUP(Table4[[#This Row],[Visitor]],'NHL Model'!$A$6:$B$38,2,FALSE)</f>
        <v>-0.1792260169918948</v>
      </c>
      <c r="J1304">
        <f>($B$1+Table4[[#This Row],[Home Differential]])-Table4[[#This Row],[Away Differential]]</f>
        <v>-5.6764501220187252E-2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0.50538064667325122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-0.179282670690569</v>
      </c>
      <c r="H1305" t="s">
        <v>19</v>
      </c>
      <c r="I1305">
        <f>VLOOKUP(Table4[[#This Row],[Visitor]],'NHL Model'!$A$6:$B$38,2,FALSE)</f>
        <v>-0.38129365484385536</v>
      </c>
      <c r="J1305">
        <f>($B$1+Table4[[#This Row],[Home Differential]])-Table4[[#This Row],[Away Differential]]</f>
        <v>0.31014144605638833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0.57329501861644894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0.6987740059316554</v>
      </c>
      <c r="H1306" t="s">
        <v>15</v>
      </c>
      <c r="I1306">
        <f>VLOOKUP(Table4[[#This Row],[Visitor]],'NHL Model'!$A$6:$B$38,2,FALSE)</f>
        <v>-0.62425830840281982</v>
      </c>
      <c r="J1306">
        <f>($B$1+Table4[[#This Row],[Home Differential]])-Table4[[#This Row],[Away Differential]]</f>
        <v>1.4311627762375771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0.6797020876616664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-0.11283731617452618</v>
      </c>
      <c r="H1307" t="s">
        <v>32</v>
      </c>
      <c r="I1307">
        <f>VLOOKUP(Table4[[#This Row],[Visitor]],'NHL Model'!$A$6:$B$38,2,FALSE)</f>
        <v>-0.42661371358543798</v>
      </c>
      <c r="J1307">
        <f>($B$1+Table4[[#This Row],[Home Differential]])-Table4[[#This Row],[Away Differential]]</f>
        <v>0.42190685931401373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0.58529351659988571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-0.77822387693813933</v>
      </c>
      <c r="H1308" t="s">
        <v>13</v>
      </c>
      <c r="I1308">
        <f>VLOOKUP(Table4[[#This Row],[Visitor]],'NHL Model'!$A$6:$B$38,2,FALSE)</f>
        <v>-0.36406236312551898</v>
      </c>
      <c r="J1308">
        <f>($B$1+Table4[[#This Row],[Home Differential]])-Table4[[#This Row],[Away Differential]]</f>
        <v>-0.3060310519095184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0.53214048335805963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1.1504937678265921</v>
      </c>
      <c r="H1309" t="s">
        <v>32</v>
      </c>
      <c r="I1309">
        <f>VLOOKUP(Table4[[#This Row],[Visitor]],'NHL Model'!$A$6:$B$38,2,FALSE)</f>
        <v>-0.42661371358543798</v>
      </c>
      <c r="J1309">
        <f>($B$1+Table4[[#This Row],[Home Differential]])-Table4[[#This Row],[Away Differential]]</f>
        <v>1.6852379433151321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0.80669977172892782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-0.12154868922444324</v>
      </c>
      <c r="H1310" t="s">
        <v>38</v>
      </c>
      <c r="I1310">
        <f>VLOOKUP(Table4[[#This Row],[Visitor]],'NHL Model'!$A$6:$B$38,2,FALSE)</f>
        <v>-1.2664425175465013</v>
      </c>
      <c r="J1310">
        <f>($B$1+Table4[[#This Row],[Home Differential]])-Table4[[#This Row],[Away Differential]]</f>
        <v>1.25302429022516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0.67451754868752423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-0.72584022159035511</v>
      </c>
      <c r="H1311" t="s">
        <v>31</v>
      </c>
      <c r="I1311">
        <f>VLOOKUP(Table4[[#This Row],[Visitor]],'NHL Model'!$A$6:$B$38,2,FALSE)</f>
        <v>-0.39000953236289804</v>
      </c>
      <c r="J1311">
        <f>($B$1+Table4[[#This Row],[Home Differential]])-Table4[[#This Row],[Away Differential]]</f>
        <v>-0.22770022732435513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0.48444459908256077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0.14062496747196682</v>
      </c>
      <c r="H1312" t="s">
        <v>35</v>
      </c>
      <c r="I1312">
        <f>VLOOKUP(Table4[[#This Row],[Visitor]],'NHL Model'!$A$6:$B$38,2,FALSE)</f>
        <v>-1.236228034931707</v>
      </c>
      <c r="J1312">
        <f>($B$1+Table4[[#This Row],[Home Differential]])-Table4[[#This Row],[Away Differential]]</f>
        <v>1.4849834643067759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0.73545623038802488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-0.41982036690375685</v>
      </c>
      <c r="H1313" t="s">
        <v>33</v>
      </c>
      <c r="I1313">
        <f>VLOOKUP(Table4[[#This Row],[Visitor]],'NHL Model'!$A$6:$B$38,2,FALSE)</f>
        <v>-0.46908405058827807</v>
      </c>
      <c r="J1313">
        <f>($B$1+Table4[[#This Row],[Home Differential]])-Table4[[#This Row],[Away Differential]]</f>
        <v>0.15739414558762316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0.52633090098064605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conditionalFormatting sqref="J2:J131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53</v>
      </c>
      <c r="C2">
        <f>COUNTIF(NHL2025_26Results[Winning Team],Standings!A2)</f>
        <v>28</v>
      </c>
      <c r="D2">
        <f>COUNTIFS('NHL2025-26Results'!$H:$H,A2,'NHL2025-26Results'!$F:$F,"")</f>
        <v>22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59</v>
      </c>
      <c r="G2">
        <f>COUNTIFS('NHL2025-26Results'!$D:$D,A2,'NHL2025-26Results'!$G:$G,A2)</f>
        <v>15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13</v>
      </c>
      <c r="K2">
        <f>COUNTIFS('NHL2025-26Results'!$B:$B,A2,'NHL2025-26Results'!$H:$H,A2,'NHL2025-26Results'!$F:$F,"")</f>
        <v>14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0.625</v>
      </c>
      <c r="N2" s="11">
        <f>Table1[[#This Row],[AwayWins]]/SUM(Table1[[#This Row],[AwayWins]:[AwayOTL]])</f>
        <v>0.44827586206896552</v>
      </c>
      <c r="O2" s="14">
        <f>SUMIFS('NHL2025-26Results'!$E:$E,'NHL2025-26Results'!$D:$D,A2,'NHL2025-26Results'!$E:$E,"&gt;0")/COUNTIFS('NHL2025-26Results'!$D:$D,A2,'NHL2025-26Results'!$E:$E,"&gt;0")</f>
        <v>3.6956521739130435</v>
      </c>
      <c r="P2" s="15">
        <f>SUMIFS('NHL2025-26Results'!$C:$C,'NHL2025-26Results'!$B:$B,A2,'NHL2025-26Results'!$C:$C,"&gt;0")/COUNTIFS('NHL2025-26Results'!$B:$B,A2,'NHL2025-26Results'!$C:$C,"&gt;0")</f>
        <v>3.2857142857142856</v>
      </c>
      <c r="Q2" s="14">
        <f>SUMIFS('NHL2025-26Results'!$C:$C,'NHL2025-26Results'!$D:$D,A2,'NHL2025-26Results'!$C:$C,"&gt;0")/COUNTIFS('NHL2025-26Results'!$D:$D,A2,'NHL2025-26Results'!$C:$C,"&gt;0")</f>
        <v>3.25</v>
      </c>
      <c r="R2" s="14">
        <f>SUMIFS('NHL2025-26Results'!$E:$E,'NHL2025-26Results'!$B:$B,A2,'NHL2025-26Results'!$E:$E,"&gt;0")/COUNTIFS('NHL2025-26Results'!$B:$B,A2,'NHL2025-26Results'!$E:$E,"&gt;0")</f>
        <v>3.7931034482758621</v>
      </c>
    </row>
    <row r="3" spans="1:18" x14ac:dyDescent="0.2">
      <c r="A3" s="4" t="s">
        <v>21</v>
      </c>
      <c r="B3">
        <f>SUM(Table1[[#This Row],[W]:[OTL]])</f>
        <v>54</v>
      </c>
      <c r="C3">
        <f>COUNTIF(NHL2025_26Results[Winning Team],Standings!A3)</f>
        <v>30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3</v>
      </c>
      <c r="F3" s="3">
        <f>(Table1[[#This Row],[W]]*2)+Table1[[#This Row],[OTL]]</f>
        <v>63</v>
      </c>
      <c r="G3">
        <f>COUNTIFS('NHL2025-26Results'!$D:$D,A3,'NHL2025-26Results'!$G:$G,A3)</f>
        <v>19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2</v>
      </c>
      <c r="M3" s="11">
        <f>Table1[[#This Row],[HomeWins]]/SUM(Table1[[#This Row],[HomeWins]:[HomeOTL]])</f>
        <v>0.65517241379310343</v>
      </c>
      <c r="N3" s="11">
        <f>Table1[[#This Row],[AwayWins]]/SUM(Table1[[#This Row],[AwayWins]:[AwayOTL]])</f>
        <v>0.44</v>
      </c>
      <c r="O3" s="14">
        <f>SUMIFS('NHL2025-26Results'!$E:$E,'NHL2025-26Results'!$D:$D,A3,'NHL2025-26Results'!$E:$E,"&gt;0")/COUNTIFS('NHL2025-26Results'!$D:$D,A3,'NHL2025-26Results'!$E:$E,"&gt;0")</f>
        <v>3.4827586206896552</v>
      </c>
      <c r="P3" s="14">
        <f>SUMIFS('NHL2025-26Results'!$C:$C,'NHL2025-26Results'!$B:$B,A3,'NHL2025-26Results'!$C:$C,"&gt;0")/COUNTIFS('NHL2025-26Results'!$B:$B,A3,'NHL2025-26Results'!$C:$C,"&gt;0")</f>
        <v>3.16</v>
      </c>
      <c r="Q3" s="14">
        <f>SUMIFS('NHL2025-26Results'!$C:$C,'NHL2025-26Results'!$D:$D,A3,'NHL2025-26Results'!$C:$C,"&gt;0")/COUNTIFS('NHL2025-26Results'!$D:$D,A3,'NHL2025-26Results'!$C:$C,"&gt;0")</f>
        <v>2.9629629629629628</v>
      </c>
      <c r="R3" s="14">
        <f>SUMIFS('NHL2025-26Results'!$E:$E,'NHL2025-26Results'!$B:$B,A3,'NHL2025-26Results'!$E:$E,"&gt;0")/COUNTIFS('NHL2025-26Results'!$B:$B,A3,'NHL2025-26Results'!$E:$E,"&gt;0")</f>
        <v>3.52</v>
      </c>
    </row>
    <row r="4" spans="1:18" x14ac:dyDescent="0.2">
      <c r="A4" s="4" t="s">
        <v>23</v>
      </c>
      <c r="B4">
        <f>SUM(Table1[[#This Row],[W]:[OTL]])</f>
        <v>52</v>
      </c>
      <c r="C4">
        <f>COUNTIF(NHL2025_26Results[Winning Team],Standings!A4)</f>
        <v>30</v>
      </c>
      <c r="D4">
        <f>COUNTIFS('NHL2025-26Results'!$H:$H,A4,'NHL2025-26Results'!$F:$F,"")</f>
        <v>17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65</v>
      </c>
      <c r="G4">
        <f>COUNTIFS('NHL2025-26Results'!$D:$D,A4,'NHL2025-26Results'!$G:$G,A4)</f>
        <v>16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14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0.64</v>
      </c>
      <c r="N4" s="11">
        <f>Table1[[#This Row],[AwayWins]]/SUM(Table1[[#This Row],[AwayWins]:[AwayOTL]])</f>
        <v>0.51851851851851849</v>
      </c>
      <c r="O4" s="14">
        <f>SUMIFS('NHL2025-26Results'!$E:$E,'NHL2025-26Results'!$D:$D,A4,'NHL2025-26Results'!$E:$E,"&gt;0")/COUNTIFS('NHL2025-26Results'!$D:$D,A4,'NHL2025-26Results'!$E:$E,"&gt;0")</f>
        <v>4.2272727272727275</v>
      </c>
      <c r="P4" s="14">
        <f>SUMIFS('NHL2025-26Results'!$C:$C,'NHL2025-26Results'!$B:$B,A4,'NHL2025-26Results'!$C:$C,"&gt;0")/COUNTIFS('NHL2025-26Results'!$B:$B,A4,'NHL2025-26Results'!$C:$C,"&gt;0")</f>
        <v>3.1851851851851851</v>
      </c>
      <c r="Q4" s="14">
        <f>SUMIFS('NHL2025-26Results'!$C:$C,'NHL2025-26Results'!$D:$D,A4,'NHL2025-26Results'!$C:$C,"&gt;0")/COUNTIFS('NHL2025-26Results'!$D:$D,A4,'NHL2025-26Results'!$C:$C,"&gt;0")</f>
        <v>2.9583333333333335</v>
      </c>
      <c r="R4" s="14">
        <f>SUMIFS('NHL2025-26Results'!$E:$E,'NHL2025-26Results'!$B:$B,A4,'NHL2025-26Results'!$E:$E,"&gt;0")/COUNTIFS('NHL2025-26Results'!$B:$B,A4,'NHL2025-26Results'!$E:$E,"&gt;0")</f>
        <v>3.3846153846153846</v>
      </c>
    </row>
    <row r="5" spans="1:18" x14ac:dyDescent="0.2">
      <c r="A5" s="4" t="s">
        <v>16</v>
      </c>
      <c r="B5">
        <f>SUM(Table1[[#This Row],[W]:[OTL]])</f>
        <v>52</v>
      </c>
      <c r="C5">
        <f>COUNTIF(NHL2025_26Results[Winning Team],Standings!A5)</f>
        <v>21</v>
      </c>
      <c r="D5">
        <f>COUNTIFS('NHL2025-26Results'!$H:$H,A5,'NHL2025-26Results'!$F:$F,"")</f>
        <v>25</v>
      </c>
      <c r="E5">
        <f>COUNTIFS('NHL2025-26Results'!$F:$F,"OT",'NHL2025-26Results'!$H:$H,A5) + COUNTIFS('NHL2025-26Results'!$F:$F,"SO",'NHL2025-26Results'!$H:$H,A5)</f>
        <v>6</v>
      </c>
      <c r="F5" s="3">
        <f>(Table1[[#This Row],[W]]*2)+Table1[[#This Row],[OTL]]</f>
        <v>48</v>
      </c>
      <c r="G5">
        <f>COUNTIFS('NHL2025-26Results'!$D:$D,A5,'NHL2025-26Results'!$G:$G,A5)</f>
        <v>13</v>
      </c>
      <c r="H5">
        <f>COUNTIFS('NHL2025-26Results'!$D:$D,A5,'NHL2025-26Results'!$H:$H,A5,'NHL2025-26Results'!$F:$F,"")</f>
        <v>9</v>
      </c>
      <c r="I5">
        <f>COUNTIFS('NHL2025-26Results'!$D:$D,A5,'NHL2025-26Results'!$H:$H,A5,'NHL2025-26Results'!$F:$F,"OT") + COUNTIFS('NHL2025-26Results'!$D:$D,A5,'NHL2025-26Results'!$H:$H,A5,'NHL2025-26Results'!$F:$F,"SO")</f>
        <v>4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0.30769230769230771</v>
      </c>
      <c r="O5" s="14">
        <f>SUMIFS('NHL2025-26Results'!$E:$E,'NHL2025-26Results'!$D:$D,A5,'NHL2025-26Results'!$E:$E,"&gt;0")/COUNTIFS('NHL2025-26Results'!$D:$D,A5,'NHL2025-26Results'!$E:$E,"&gt;0")</f>
        <v>2.96</v>
      </c>
      <c r="P5" s="14">
        <f>SUMIFS('NHL2025-26Results'!$C:$C,'NHL2025-26Results'!$B:$B,A5,'NHL2025-26Results'!$C:$C,"&gt;0")/COUNTIFS('NHL2025-26Results'!$B:$B,A5,'NHL2025-26Results'!$C:$C,"&gt;0")</f>
        <v>2.4166666666666665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3.4615384615384617</v>
      </c>
    </row>
    <row r="6" spans="1:18" x14ac:dyDescent="0.2">
      <c r="A6" s="4" t="s">
        <v>25</v>
      </c>
      <c r="B6">
        <f>SUM(Table1[[#This Row],[W]:[OTL]])</f>
        <v>52</v>
      </c>
      <c r="C6">
        <f>COUNTIF(NHL2025_26Results[Winning Team],Standings!A6)</f>
        <v>32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5</v>
      </c>
      <c r="F6" s="3">
        <f>(Table1[[#This Row],[W]]*2)+Table1[[#This Row],[OTL]]</f>
        <v>69</v>
      </c>
      <c r="G6">
        <f>COUNTIFS('NHL2025-26Results'!$D:$D,A6,'NHL2025-26Results'!$G:$G,A6)</f>
        <v>18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14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0.6428571428571429</v>
      </c>
      <c r="N6" s="11">
        <f>Table1[[#This Row],[AwayWins]]/SUM(Table1[[#This Row],[AwayWins]:[AwayOTL]])</f>
        <v>0.58333333333333337</v>
      </c>
      <c r="O6" s="14">
        <f>SUMIFS('NHL2025-26Results'!$E:$E,'NHL2025-26Results'!$D:$D,A6,'NHL2025-26Results'!$E:$E,"&gt;0")/COUNTIFS('NHL2025-26Results'!$D:$D,A6,'NHL2025-26Results'!$E:$E,"&gt;0")</f>
        <v>3.7857142857142856</v>
      </c>
      <c r="P6" s="14">
        <f>SUMIFS('NHL2025-26Results'!$C:$C,'NHL2025-26Results'!$B:$B,A6,'NHL2025-26Results'!$C:$C,"&gt;0")/COUNTIFS('NHL2025-26Results'!$B:$B,A6,'NHL2025-26Results'!$C:$C,"&gt;0")</f>
        <v>3.2173913043478262</v>
      </c>
      <c r="Q6" s="14">
        <f>SUMIFS('NHL2025-26Results'!$C:$C,'NHL2025-26Results'!$D:$D,A6,'NHL2025-26Results'!$C:$C,"&gt;0")/COUNTIFS('NHL2025-26Results'!$D:$D,A6,'NHL2025-26Results'!$C:$C,"&gt;0")</f>
        <v>3.1481481481481484</v>
      </c>
      <c r="R6" s="14">
        <f>SUMIFS('NHL2025-26Results'!$E:$E,'NHL2025-26Results'!$B:$B,A6,'NHL2025-26Results'!$E:$E,"&gt;0")/COUNTIFS('NHL2025-26Results'!$B:$B,A6,'NHL2025-26Results'!$E:$E,"&gt;0")</f>
        <v>2.8260869565217392</v>
      </c>
    </row>
    <row r="7" spans="1:18" x14ac:dyDescent="0.2">
      <c r="A7" s="4" t="s">
        <v>10</v>
      </c>
      <c r="B7">
        <f>SUM(Table1[[#This Row],[W]:[OTL]])</f>
        <v>53</v>
      </c>
      <c r="C7">
        <f>COUNTIF(NHL2025_26Results[Winning Team],Standings!A7)</f>
        <v>21</v>
      </c>
      <c r="D7">
        <f>COUNTIFS('NHL2025-26Results'!$H:$H,A7,'NHL2025-26Results'!$F:$F,"")</f>
        <v>23</v>
      </c>
      <c r="E7">
        <f>COUNTIFS('NHL2025-26Results'!$F:$F,"OT",'NHL2025-26Results'!$H:$H,A7) + COUNTIFS('NHL2025-26Results'!$F:$F,"SO",'NHL2025-26Results'!$H:$H,A7)</f>
        <v>9</v>
      </c>
      <c r="F7" s="3">
        <f>(Table1[[#This Row],[W]]*2)+Table1[[#This Row],[OTL]]</f>
        <v>51</v>
      </c>
      <c r="G7">
        <f>COUNTIFS('NHL2025-26Results'!$D:$D,A7,'NHL2025-26Results'!$G:$G,A7)</f>
        <v>11</v>
      </c>
      <c r="H7">
        <f>COUNTIFS('NHL2025-26Results'!$D:$D,A7,'NHL2025-26Results'!$H:$H,A7,'NHL2025-26Results'!$F:$F,"")</f>
        <v>13</v>
      </c>
      <c r="I7">
        <f>COUNTIFS('NHL2025-26Results'!$D:$D,A7,'NHL2025-26Results'!$H:$H,A7,'NHL2025-26Results'!$F:$F,"OT") + COUNTIFS('NHL2025-26Results'!$D:$D,A7,'NHL2025-26Results'!$H:$H,A7,'NHL2025-26Results'!$F:$F,"SO")</f>
        <v>5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4</v>
      </c>
      <c r="M7" s="11">
        <f>Table1[[#This Row],[HomeWins]]/SUM(Table1[[#This Row],[HomeWins]:[HomeOTL]])</f>
        <v>0.37931034482758619</v>
      </c>
      <c r="N7" s="11">
        <f>Table1[[#This Row],[AwayWins]]/SUM(Table1[[#This Row],[AwayWins]:[AwayOTL]])</f>
        <v>0.41666666666666669</v>
      </c>
      <c r="O7" s="14">
        <f>SUMIFS('NHL2025-26Results'!$E:$E,'NHL2025-26Results'!$D:$D,A7,'NHL2025-26Results'!$E:$E,"&gt;0")/COUNTIFS('NHL2025-26Results'!$D:$D,A7,'NHL2025-26Results'!$E:$E,"&gt;0")</f>
        <v>2.7037037037037037</v>
      </c>
      <c r="P7" s="14">
        <f>SUMIFS('NHL2025-26Results'!$C:$C,'NHL2025-26Results'!$B:$B,A7,'NHL2025-26Results'!$C:$C,"&gt;0")/COUNTIFS('NHL2025-26Results'!$B:$B,A7,'NHL2025-26Results'!$C:$C,"&gt;0")</f>
        <v>3.0869565217391304</v>
      </c>
      <c r="Q7" s="14">
        <f>SUMIFS('NHL2025-26Results'!$C:$C,'NHL2025-26Results'!$D:$D,A7,'NHL2025-26Results'!$C:$C,"&gt;0")/COUNTIFS('NHL2025-26Results'!$D:$D,A7,'NHL2025-26Results'!$C:$C,"&gt;0")</f>
        <v>3.1851851851851851</v>
      </c>
      <c r="R7" s="14">
        <f>SUMIFS('NHL2025-26Results'!$E:$E,'NHL2025-26Results'!$B:$B,A7,'NHL2025-26Results'!$E:$E,"&gt;0")/COUNTIFS('NHL2025-26Results'!$B:$B,A7,'NHL2025-26Results'!$E:$E,"&gt;0")</f>
        <v>3.7272727272727271</v>
      </c>
    </row>
    <row r="8" spans="1:18" x14ac:dyDescent="0.2">
      <c r="A8" s="4" t="s">
        <v>12</v>
      </c>
      <c r="B8">
        <f>SUM(Table1[[#This Row],[W]:[OTL]])</f>
        <v>51</v>
      </c>
      <c r="C8">
        <f>COUNTIF(NHL2025_26Results[Winning Team],Standings!A8)</f>
        <v>35</v>
      </c>
      <c r="D8">
        <f>COUNTIFS('NHL2025-26Results'!$H:$H,A8,'NHL2025-26Results'!$F:$F,"")</f>
        <v>7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79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2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15</v>
      </c>
      <c r="K8">
        <f>COUNTIFS('NHL2025-26Results'!$B:$B,A8,'NHL2025-26Results'!$H:$H,A8,'NHL2025-26Results'!$F:$F,"")</f>
        <v>5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0.76923076923076927</v>
      </c>
      <c r="N8" s="11">
        <f>Table1[[#This Row],[AwayWins]]/SUM(Table1[[#This Row],[AwayWins]:[AwayOTL]])</f>
        <v>0.6</v>
      </c>
      <c r="O8" s="14">
        <f>SUMIFS('NHL2025-26Results'!$E:$E,'NHL2025-26Results'!$D:$D,A8,'NHL2025-26Results'!$E:$E,"&gt;0")/COUNTIFS('NHL2025-26Results'!$D:$D,A8,'NHL2025-26Results'!$E:$E,"&gt;0")</f>
        <v>4.3461538461538458</v>
      </c>
      <c r="P8" s="14">
        <f>SUMIFS('NHL2025-26Results'!$C:$C,'NHL2025-26Results'!$B:$B,A8,'NHL2025-26Results'!$C:$C,"&gt;0")/COUNTIFS('NHL2025-26Results'!$B:$B,A8,'NHL2025-26Results'!$C:$C,"&gt;0")</f>
        <v>3.48</v>
      </c>
      <c r="Q8" s="14">
        <f>SUMIFS('NHL2025-26Results'!$C:$C,'NHL2025-26Results'!$D:$D,A8,'NHL2025-26Results'!$C:$C,"&gt;0")/COUNTIFS('NHL2025-26Results'!$D:$D,A8,'NHL2025-26Results'!$C:$C,"&gt;0")</f>
        <v>2.6956521739130435</v>
      </c>
      <c r="R8" s="14">
        <f>SUMIFS('NHL2025-26Results'!$E:$E,'NHL2025-26Results'!$B:$B,A8,'NHL2025-26Results'!$E:$E,"&gt;0")/COUNTIFS('NHL2025-26Results'!$B:$B,A8,'NHL2025-26Results'!$E:$E,"&gt;0")</f>
        <v>2.8260869565217392</v>
      </c>
    </row>
    <row r="9" spans="1:18" x14ac:dyDescent="0.2">
      <c r="A9" s="4" t="s">
        <v>28</v>
      </c>
      <c r="B9">
        <f>SUM(Table1[[#This Row],[W]:[OTL]])</f>
        <v>52</v>
      </c>
      <c r="C9">
        <f>COUNTIF(NHL2025_26Results[Winning Team],Standings!A9)</f>
        <v>25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57</v>
      </c>
      <c r="G9">
        <f>COUNTIFS('NHL2025-26Results'!$D:$D,A9,'NHL2025-26Results'!$G:$G,A9)</f>
        <v>14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11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0.53846153846153844</v>
      </c>
      <c r="N9" s="11">
        <f>Table1[[#This Row],[AwayWins]]/SUM(Table1[[#This Row],[AwayWins]:[AwayOTL]])</f>
        <v>0.42307692307692307</v>
      </c>
      <c r="O9" s="14">
        <f>SUMIFS('NHL2025-26Results'!$E:$E,'NHL2025-26Results'!$D:$D,A9,'NHL2025-26Results'!$E:$E,"&gt;0")/COUNTIFS('NHL2025-26Results'!$D:$D,A9,'NHL2025-26Results'!$E:$E,"&gt;0")</f>
        <v>3.3076923076923075</v>
      </c>
      <c r="P9" s="14">
        <f>SUMIFS('NHL2025-26Results'!$C:$C,'NHL2025-26Results'!$B:$B,A9,'NHL2025-26Results'!$C:$C,"&gt;0")/COUNTIFS('NHL2025-26Results'!$B:$B,A9,'NHL2025-26Results'!$C:$C,"&gt;0")</f>
        <v>3.2083333333333335</v>
      </c>
      <c r="Q9" s="14">
        <f>SUMIFS('NHL2025-26Results'!$C:$C,'NHL2025-26Results'!$D:$D,A9,'NHL2025-26Results'!$C:$C,"&gt;0")/COUNTIFS('NHL2025-26Results'!$D:$D,A9,'NHL2025-26Results'!$C:$C,"&gt;0")</f>
        <v>3.32</v>
      </c>
      <c r="R9" s="14">
        <f>SUMIFS('NHL2025-26Results'!$E:$E,'NHL2025-26Results'!$B:$B,A9,'NHL2025-26Results'!$E:$E,"&gt;0")/COUNTIFS('NHL2025-26Results'!$B:$B,A9,'NHL2025-26Results'!$E:$E,"&gt;0")</f>
        <v>3.4230769230769229</v>
      </c>
    </row>
    <row r="10" spans="1:18" x14ac:dyDescent="0.2">
      <c r="A10" s="4" t="s">
        <v>39</v>
      </c>
      <c r="B10">
        <f>SUM(Table1[[#This Row],[W]:[OTL]])</f>
        <v>53</v>
      </c>
      <c r="C10">
        <f>COUNTIF(NHL2025_26Results[Winning Team],Standings!A10)</f>
        <v>30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69</v>
      </c>
      <c r="G10">
        <f>COUNTIFS('NHL2025-26Results'!$D:$D,A10,'NHL2025-26Results'!$G:$G,A10)</f>
        <v>14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16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0.58333333333333337</v>
      </c>
      <c r="N10" s="11">
        <f>Table1[[#This Row],[AwayWins]]/SUM(Table1[[#This Row],[AwayWins]:[AwayOTL]])</f>
        <v>0.55172413793103448</v>
      </c>
      <c r="O10" s="14">
        <f>SUMIFS('NHL2025-26Results'!$E:$E,'NHL2025-26Results'!$D:$D,A10,'NHL2025-26Results'!$E:$E,"&gt;0")/COUNTIFS('NHL2025-26Results'!$D:$D,A10,'NHL2025-26Results'!$E:$E,"&gt;0")</f>
        <v>3.3043478260869565</v>
      </c>
      <c r="P10" s="14">
        <f>SUMIFS('NHL2025-26Results'!$C:$C,'NHL2025-26Results'!$B:$B,A10,'NHL2025-26Results'!$C:$C,"&gt;0")/COUNTIFS('NHL2025-26Results'!$B:$B,A10,'NHL2025-26Results'!$C:$C,"&gt;0")</f>
        <v>3.5714285714285716</v>
      </c>
      <c r="Q10" s="14">
        <f>SUMIFS('NHL2025-26Results'!$C:$C,'NHL2025-26Results'!$D:$D,A10,'NHL2025-26Results'!$C:$C,"&gt;0")/COUNTIFS('NHL2025-26Results'!$D:$D,A10,'NHL2025-26Results'!$C:$C,"&gt;0")</f>
        <v>2.8260869565217392</v>
      </c>
      <c r="R10" s="14">
        <f>SUMIFS('NHL2025-26Results'!$E:$E,'NHL2025-26Results'!$B:$B,A10,'NHL2025-26Results'!$E:$E,"&gt;0")/COUNTIFS('NHL2025-26Results'!$B:$B,A10,'NHL2025-26Results'!$E:$E,"&gt;0")</f>
        <v>3.0370370370370372</v>
      </c>
    </row>
    <row r="11" spans="1:18" x14ac:dyDescent="0.2">
      <c r="A11" s="4" t="s">
        <v>26</v>
      </c>
      <c r="B11">
        <f>SUM(Table1[[#This Row],[W]:[OTL]])</f>
        <v>54</v>
      </c>
      <c r="C11">
        <f>COUNTIF(NHL2025_26Results[Winning Team],Standings!A11)</f>
        <v>32</v>
      </c>
      <c r="D11">
        <f>COUNTIFS('NHL2025-26Results'!$H:$H,A11,'NHL2025-26Results'!$F:$F,"")</f>
        <v>17</v>
      </c>
      <c r="E11">
        <f>COUNTIFS('NHL2025-26Results'!$F:$F,"OT",'NHL2025-26Results'!$H:$H,A11) + COUNTIFS('NHL2025-26Results'!$F:$F,"SO",'NHL2025-26Results'!$H:$H,A11)</f>
        <v>5</v>
      </c>
      <c r="F11" s="3">
        <f>(Table1[[#This Row],[W]]*2)+Table1[[#This Row],[OTL]]</f>
        <v>69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9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14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0.6428571428571429</v>
      </c>
      <c r="N11" s="11">
        <f>Table1[[#This Row],[AwayWins]]/SUM(Table1[[#This Row],[AwayWins]:[AwayOTL]])</f>
        <v>0.53846153846153844</v>
      </c>
      <c r="O11" s="14">
        <f>SUMIFS('NHL2025-26Results'!$E:$E,'NHL2025-26Results'!$D:$D,A11,'NHL2025-26Results'!$E:$E,"&gt;0")/COUNTIFS('NHL2025-26Results'!$D:$D,A11,'NHL2025-26Results'!$E:$E,"&gt;0")</f>
        <v>3.2962962962962963</v>
      </c>
      <c r="P11" s="14">
        <f>SUMIFS('NHL2025-26Results'!$C:$C,'NHL2025-26Results'!$B:$B,A11,'NHL2025-26Results'!$C:$C,"&gt;0")/COUNTIFS('NHL2025-26Results'!$B:$B,A11,'NHL2025-26Results'!$C:$C,"&gt;0")</f>
        <v>3.2916666666666665</v>
      </c>
      <c r="Q11" s="14">
        <f>SUMIFS('NHL2025-26Results'!$C:$C,'NHL2025-26Results'!$D:$D,A11,'NHL2025-26Results'!$C:$C,"&gt;0")/COUNTIFS('NHL2025-26Results'!$D:$D,A11,'NHL2025-26Results'!$C:$C,"&gt;0")</f>
        <v>3.1785714285714284</v>
      </c>
      <c r="R11" s="14">
        <f>SUMIFS('NHL2025-26Results'!$E:$E,'NHL2025-26Results'!$B:$B,A11,'NHL2025-26Results'!$E:$E,"&gt;0")/COUNTIFS('NHL2025-26Results'!$B:$B,A11,'NHL2025-26Results'!$E:$E,"&gt;0")</f>
        <v>3.1739130434782608</v>
      </c>
    </row>
    <row r="12" spans="1:18" x14ac:dyDescent="0.2">
      <c r="A12" s="4" t="s">
        <v>17</v>
      </c>
      <c r="B12">
        <f>SUM(Table1[[#This Row],[W]:[OTL]])</f>
        <v>54</v>
      </c>
      <c r="C12">
        <f>COUNTIF(NHL2025_26Results[Winning Team],Standings!A12)</f>
        <v>27</v>
      </c>
      <c r="D12">
        <f>COUNTIFS('NHL2025-26Results'!$H:$H,A12,'NHL2025-26Results'!$F:$F,"")</f>
        <v>19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62</v>
      </c>
      <c r="G12">
        <f>COUNTIFS('NHL2025-26Results'!$D:$D,A12,'NHL2025-26Results'!$G:$G,A12)</f>
        <v>14</v>
      </c>
      <c r="H12">
        <f>COUNTIFS('NHL2025-26Results'!$D:$D,A12,'NHL2025-26Results'!$H:$H,A12,'NHL2025-26Results'!$F:$F,"")</f>
        <v>8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0.53846153846153844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4.083333333333333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3.64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52</v>
      </c>
      <c r="C13">
        <f>COUNTIF(NHL2025_26Results[Winning Team],Standings!A13)</f>
        <v>28</v>
      </c>
      <c r="D13">
        <f>COUNTIFS('NHL2025-26Results'!$H:$H,A13,'NHL2025-26Results'!$F:$F,"")</f>
        <v>21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59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11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14</v>
      </c>
      <c r="K13">
        <f>COUNTIFS('NHL2025-26Results'!$B:$B,A13,'NHL2025-26Results'!$H:$H,A13,'NHL2025-26Results'!$F:$F,"")</f>
        <v>10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</v>
      </c>
      <c r="N13" s="11">
        <f>Table1[[#This Row],[AwayWins]]/SUM(Table1[[#This Row],[AwayWins]:[AwayOTL]])</f>
        <v>0.58333333333333337</v>
      </c>
      <c r="O13" s="14">
        <f>SUMIFS('NHL2025-26Results'!$E:$E,'NHL2025-26Results'!$D:$D,A13,'NHL2025-26Results'!$E:$E,"&gt;0")/COUNTIFS('NHL2025-26Results'!$D:$D,A13,'NHL2025-26Results'!$E:$E,"&gt;0")</f>
        <v>3.0357142857142856</v>
      </c>
      <c r="P13" s="14">
        <f>SUMIFS('NHL2025-26Results'!$C:$C,'NHL2025-26Results'!$B:$B,A13,'NHL2025-26Results'!$C:$C,"&gt;0")/COUNTIFS('NHL2025-26Results'!$B:$B,A13,'NHL2025-26Results'!$C:$C,"&gt;0")</f>
        <v>3.2608695652173911</v>
      </c>
      <c r="Q13" s="14">
        <f>SUMIFS('NHL2025-26Results'!$C:$C,'NHL2025-26Results'!$D:$D,A13,'NHL2025-26Results'!$C:$C,"&gt;0")/COUNTIFS('NHL2025-26Results'!$D:$D,A13,'NHL2025-26Results'!$C:$C,"&gt;0")</f>
        <v>3.4615384615384617</v>
      </c>
      <c r="R13" s="14">
        <f>SUMIFS('NHL2025-26Results'!$E:$E,'NHL2025-26Results'!$B:$B,A13,'NHL2025-26Results'!$E:$E,"&gt;0")/COUNTIFS('NHL2025-26Results'!$B:$B,A13,'NHL2025-26Results'!$E:$E,"&gt;0")</f>
        <v>3.4347826086956523</v>
      </c>
    </row>
    <row r="14" spans="1:18" x14ac:dyDescent="0.2">
      <c r="A14" s="4" t="s">
        <v>13</v>
      </c>
      <c r="B14">
        <f>SUM(Table1[[#This Row],[W]:[OTL]])</f>
        <v>51</v>
      </c>
      <c r="C14">
        <f>COUNTIF(NHL2025_26Results[Winning Team],Standings!A14)</f>
        <v>22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13</v>
      </c>
      <c r="F14" s="3">
        <f>(Table1[[#This Row],[W]]*2)+Table1[[#This Row],[OTL]]</f>
        <v>57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14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6</v>
      </c>
      <c r="M14" s="11">
        <f>Table1[[#This Row],[HomeWins]]/SUM(Table1[[#This Row],[HomeWins]:[HomeOTL]])</f>
        <v>0.32</v>
      </c>
      <c r="N14" s="11">
        <f>Table1[[#This Row],[AwayWins]]/SUM(Table1[[#This Row],[AwayWins]:[AwayOTL]])</f>
        <v>0.53846153846153844</v>
      </c>
      <c r="O14" s="14">
        <f>SUMIFS('NHL2025-26Results'!$E:$E,'NHL2025-26Results'!$D:$D,A14,'NHL2025-26Results'!$E:$E,"&gt;0")/COUNTIFS('NHL2025-26Results'!$D:$D,A14,'NHL2025-26Results'!$E:$E,"&gt;0")</f>
        <v>2.48</v>
      </c>
      <c r="P14" s="14">
        <f>SUMIFS('NHL2025-26Results'!$C:$C,'NHL2025-26Results'!$B:$B,A14,'NHL2025-26Results'!$C:$C,"&gt;0")/COUNTIFS('NHL2025-26Results'!$B:$B,A14,'NHL2025-26Results'!$C:$C,"&gt;0")</f>
        <v>2.8846153846153846</v>
      </c>
      <c r="Q14" s="14">
        <f>SUMIFS('NHL2025-26Results'!$C:$C,'NHL2025-26Results'!$D:$D,A14,'NHL2025-26Results'!$C:$C,"&gt;0")/COUNTIFS('NHL2025-26Results'!$D:$D,A14,'NHL2025-26Results'!$C:$C,"&gt;0")</f>
        <v>3.0434782608695654</v>
      </c>
      <c r="R14" s="14">
        <f>SUMIFS('NHL2025-26Results'!$E:$E,'NHL2025-26Results'!$B:$B,A14,'NHL2025-26Results'!$E:$E,"&gt;0")/COUNTIFS('NHL2025-26Results'!$B:$B,A14,'NHL2025-26Results'!$E:$E,"&gt;0")</f>
        <v>2.96</v>
      </c>
    </row>
    <row r="15" spans="1:18" x14ac:dyDescent="0.2">
      <c r="A15" s="4" t="s">
        <v>34</v>
      </c>
      <c r="B15">
        <f>SUM(Table1[[#This Row],[W]:[OTL]])</f>
        <v>54</v>
      </c>
      <c r="C15">
        <f>COUNTIF(NHL2025_26Results[Winning Team],Standings!A15)</f>
        <v>30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10</v>
      </c>
      <c r="F15" s="3">
        <f>(Table1[[#This Row],[W]]*2)+Table1[[#This Row],[OTL]]</f>
        <v>70</v>
      </c>
      <c r="G15">
        <f>COUNTIFS('NHL2025-26Results'!$D:$D,A15,'NHL2025-26Results'!$G:$G,A15)</f>
        <v>15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7</v>
      </c>
      <c r="J15">
        <f>COUNTIFS('NHL2025-26Results'!$B:$B,A15,'NHL2025-26Results'!$G:$G,A15)</f>
        <v>15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0.5357142857142857</v>
      </c>
      <c r="N15" s="11">
        <f>Table1[[#This Row],[AwayWins]]/SUM(Table1[[#This Row],[AwayWins]:[AwayOTL]])</f>
        <v>0.57692307692307687</v>
      </c>
      <c r="O15" s="14">
        <f>SUMIFS('NHL2025-26Results'!$E:$E,'NHL2025-26Results'!$D:$D,A15,'NHL2025-26Results'!$E:$E,"&gt;0")/COUNTIFS('NHL2025-26Results'!$D:$D,A15,'NHL2025-26Results'!$E:$E,"&gt;0")</f>
        <v>3.1785714285714284</v>
      </c>
      <c r="P15" s="14">
        <f>SUMIFS('NHL2025-26Results'!$C:$C,'NHL2025-26Results'!$B:$B,A15,'NHL2025-26Results'!$C:$C,"&gt;0")/COUNTIFS('NHL2025-26Results'!$B:$B,A15,'NHL2025-26Results'!$C:$C,"&gt;0")</f>
        <v>3.3076923076923075</v>
      </c>
      <c r="Q15" s="14">
        <f>SUMIFS('NHL2025-26Results'!$C:$C,'NHL2025-26Results'!$D:$D,A15,'NHL2025-26Results'!$C:$C,"&gt;0")/COUNTIFS('NHL2025-26Results'!$D:$D,A15,'NHL2025-26Results'!$C:$C,"&gt;0")</f>
        <v>3.48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53</v>
      </c>
      <c r="C16">
        <f>COUNTIF(NHL2025_26Results[Winning Team],Standings!A16)</f>
        <v>29</v>
      </c>
      <c r="D16">
        <f>COUNTIFS('NHL2025-26Results'!$H:$H,A16,'NHL2025-26Results'!$F:$F,"")</f>
        <v>17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65</v>
      </c>
      <c r="G16">
        <f>COUNTIFS('NHL2025-26Results'!$D:$D,A16,'NHL2025-26Results'!$G:$G,A16)</f>
        <v>15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14</v>
      </c>
      <c r="K16">
        <f>COUNTIFS('NHL2025-26Results'!$B:$B,A16,'NHL2025-26Results'!$H:$H,A16,'NHL2025-26Results'!$F:$F,"")</f>
        <v>6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0.55555555555555558</v>
      </c>
      <c r="N16" s="11">
        <f>Table1[[#This Row],[AwayWins]]/SUM(Table1[[#This Row],[AwayWins]:[AwayOTL]])</f>
        <v>0.53846153846153844</v>
      </c>
      <c r="O16" s="14">
        <f>SUMIFS('NHL2025-26Results'!$E:$E,'NHL2025-26Results'!$D:$D,A16,'NHL2025-26Results'!$E:$E,"&gt;0")/COUNTIFS('NHL2025-26Results'!$D:$D,A16,'NHL2025-26Results'!$E:$E,"&gt;0")</f>
        <v>3.52</v>
      </c>
      <c r="P16" s="14">
        <f>SUMIFS('NHL2025-26Results'!$C:$C,'NHL2025-26Results'!$B:$B,A16,'NHL2025-26Results'!$C:$C,"&gt;0")/COUNTIFS('NHL2025-26Results'!$B:$B,A16,'NHL2025-26Results'!$C:$C,"&gt;0")</f>
        <v>3.68</v>
      </c>
      <c r="Q16" s="14">
        <f>SUMIFS('NHL2025-26Results'!$C:$C,'NHL2025-26Results'!$D:$D,A16,'NHL2025-26Results'!$C:$C,"&gt;0")/COUNTIFS('NHL2025-26Results'!$D:$D,A16,'NHL2025-26Results'!$C:$C,"&gt;0")</f>
        <v>3.4230769230769229</v>
      </c>
      <c r="R16" s="14">
        <f>SUMIFS('NHL2025-26Results'!$E:$E,'NHL2025-26Results'!$B:$B,A16,'NHL2025-26Results'!$E:$E,"&gt;0")/COUNTIFS('NHL2025-26Results'!$B:$B,A16,'NHL2025-26Results'!$E:$E,"&gt;0")</f>
        <v>3.3846153846153846</v>
      </c>
    </row>
    <row r="17" spans="1:18" x14ac:dyDescent="0.2">
      <c r="A17" s="4" t="s">
        <v>29</v>
      </c>
      <c r="B17">
        <f>SUM(Table1[[#This Row],[W]:[OTL]])</f>
        <v>52</v>
      </c>
      <c r="C17">
        <f>COUNTIF(NHL2025_26Results[Winning Team],Standings!A17)</f>
        <v>24</v>
      </c>
      <c r="D17">
        <f>COUNTIFS('NHL2025-26Results'!$H:$H,A17,'NHL2025-26Results'!$F:$F,"")</f>
        <v>23</v>
      </c>
      <c r="E17">
        <f>COUNTIFS('NHL2025-26Results'!$F:$F,"OT",'NHL2025-26Results'!$H:$H,A17) + COUNTIFS('NHL2025-26Results'!$F:$F,"SO",'NHL2025-26Results'!$H:$H,A17)</f>
        <v>5</v>
      </c>
      <c r="F17" s="3">
        <f>(Table1[[#This Row],[W]]*2)+Table1[[#This Row],[OTL]]</f>
        <v>53</v>
      </c>
      <c r="G17">
        <f>COUNTIFS('NHL2025-26Results'!$D:$D,A17,'NHL2025-26Results'!$G:$G,A17)</f>
        <v>14</v>
      </c>
      <c r="H17">
        <f>COUNTIFS('NHL2025-26Results'!$D:$D,A17,'NHL2025-26Results'!$H:$H,A17,'NHL2025-26Results'!$F:$F,"")</f>
        <v>12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10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3</v>
      </c>
      <c r="M17" s="11">
        <f>Table1[[#This Row],[HomeWins]]/SUM(Table1[[#This Row],[HomeWins]:[HomeOTL]])</f>
        <v>0.5</v>
      </c>
      <c r="N17" s="11">
        <f>Table1[[#This Row],[AwayWins]]/SUM(Table1[[#This Row],[AwayWins]:[AwayOTL]])</f>
        <v>0.41666666666666669</v>
      </c>
      <c r="O17" s="14">
        <f>SUMIFS('NHL2025-26Results'!$E:$E,'NHL2025-26Results'!$D:$D,A17,'NHL2025-26Results'!$E:$E,"&gt;0")/COUNTIFS('NHL2025-26Results'!$D:$D,A17,'NHL2025-26Results'!$E:$E,"&gt;0")</f>
        <v>3.0769230769230771</v>
      </c>
      <c r="P17" s="14">
        <f>SUMIFS('NHL2025-26Results'!$C:$C,'NHL2025-26Results'!$B:$B,A17,'NHL2025-26Results'!$C:$C,"&gt;0")/COUNTIFS('NHL2025-26Results'!$B:$B,A17,'NHL2025-26Results'!$C:$C,"&gt;0")</f>
        <v>3.0434782608695654</v>
      </c>
      <c r="Q17" s="14">
        <f>SUMIFS('NHL2025-26Results'!$C:$C,'NHL2025-26Results'!$D:$D,A17,'NHL2025-26Results'!$C:$C,"&gt;0")/COUNTIFS('NHL2025-26Results'!$D:$D,A17,'NHL2025-26Results'!$C:$C,"&gt;0")</f>
        <v>3.2142857142857144</v>
      </c>
      <c r="R17" s="14">
        <f>SUMIFS('NHL2025-26Results'!$E:$E,'NHL2025-26Results'!$B:$B,A17,'NHL2025-26Results'!$E:$E,"&gt;0")/COUNTIFS('NHL2025-26Results'!$B:$B,A17,'NHL2025-26Results'!$E:$E,"&gt;0")</f>
        <v>3.625</v>
      </c>
    </row>
    <row r="18" spans="1:18" x14ac:dyDescent="0.2">
      <c r="A18" s="4" t="s">
        <v>24</v>
      </c>
      <c r="B18">
        <f>SUM(Table1[[#This Row],[W]:[OTL]])</f>
        <v>53</v>
      </c>
      <c r="C18">
        <f>COUNTIF(NHL2025_26Results[Winning Team],Standings!A18)</f>
        <v>27</v>
      </c>
      <c r="D18">
        <f>COUNTIFS('NHL2025-26Results'!$H:$H,A18,'NHL2025-26Results'!$F:$F,"")</f>
        <v>24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56</v>
      </c>
      <c r="G18">
        <f>COUNTIFS('NHL2025-26Results'!$D:$D,A18,'NHL2025-26Results'!$G:$G,A18)</f>
        <v>12</v>
      </c>
      <c r="H18">
        <f>COUNTIFS('NHL2025-26Results'!$D:$D,A18,'NHL2025-26Results'!$H:$H,A18,'NHL2025-26Results'!$F:$F,"")</f>
        <v>10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15</v>
      </c>
      <c r="K18">
        <f>COUNTIFS('NHL2025-26Results'!$B:$B,A18,'NHL2025-26Results'!$H:$H,A18,'NHL2025-26Results'!$F:$F,"")</f>
        <v>14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</v>
      </c>
      <c r="N18" s="11">
        <f>Table1[[#This Row],[AwayWins]]/SUM(Table1[[#This Row],[AwayWins]:[AwayOTL]])</f>
        <v>0.51724137931034486</v>
      </c>
      <c r="O18" s="14">
        <f>SUMIFS('NHL2025-26Results'!$E:$E,'NHL2025-26Results'!$D:$D,A18,'NHL2025-26Results'!$E:$E,"&gt;0")/COUNTIFS('NHL2025-26Results'!$D:$D,A18,'NHL2025-26Results'!$E:$E,"&gt;0")</f>
        <v>2.9545454545454546</v>
      </c>
      <c r="P18" s="14">
        <f>SUMIFS('NHL2025-26Results'!$C:$C,'NHL2025-26Results'!$B:$B,A18,'NHL2025-26Results'!$C:$C,"&gt;0")/COUNTIFS('NHL2025-26Results'!$B:$B,A18,'NHL2025-26Results'!$C:$C,"&gt;0")</f>
        <v>2.9230769230769229</v>
      </c>
      <c r="Q18" s="14">
        <f>SUMIFS('NHL2025-26Results'!$C:$C,'NHL2025-26Results'!$D:$D,A18,'NHL2025-26Results'!$C:$C,"&gt;0")/COUNTIFS('NHL2025-26Results'!$D:$D,A18,'NHL2025-26Results'!$C:$C,"&gt;0")</f>
        <v>2.875</v>
      </c>
      <c r="R18" s="14">
        <f>SUMIFS('NHL2025-26Results'!$E:$E,'NHL2025-26Results'!$B:$B,A18,'NHL2025-26Results'!$E:$E,"&gt;0")/COUNTIFS('NHL2025-26Results'!$B:$B,A18,'NHL2025-26Results'!$E:$E,"&gt;0")</f>
        <v>3.3571428571428572</v>
      </c>
    </row>
    <row r="19" spans="1:18" x14ac:dyDescent="0.2">
      <c r="A19" s="4" t="s">
        <v>30</v>
      </c>
      <c r="B19">
        <f>SUM(Table1[[#This Row],[W]:[OTL]])</f>
        <v>53</v>
      </c>
      <c r="C19">
        <f>COUNTIF(NHL2025_26Results[Winning Team],Standings!A19)</f>
        <v>29</v>
      </c>
      <c r="D19">
        <f>COUNTIFS('NHL2025-26Results'!$H:$H,A19,'NHL2025-26Results'!$F:$F,"")</f>
        <v>19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63</v>
      </c>
      <c r="G19">
        <f>COUNTIFS('NHL2025-26Results'!$D:$D,A19,'NHL2025-26Results'!$G:$G,A19)</f>
        <v>15</v>
      </c>
      <c r="H19">
        <f>COUNTIFS('NHL2025-26Results'!$D:$D,A19,'NHL2025-26Results'!$H:$H,A19,'NHL2025-26Results'!$F:$F,"")</f>
        <v>9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14</v>
      </c>
      <c r="K19">
        <f>COUNTIFS('NHL2025-26Results'!$B:$B,A19,'NHL2025-26Results'!$H:$H,A19,'NHL2025-26Results'!$F:$F,"")</f>
        <v>10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0.57692307692307687</v>
      </c>
      <c r="N19" s="11">
        <f>Table1[[#This Row],[AwayWins]]/SUM(Table1[[#This Row],[AwayWins]:[AwayOTL]])</f>
        <v>0.51851851851851849</v>
      </c>
      <c r="O19" s="14">
        <f>SUMIFS('NHL2025-26Results'!$E:$E,'NHL2025-26Results'!$D:$D,A19,'NHL2025-26Results'!$E:$E,"&gt;0")/COUNTIFS('NHL2025-26Results'!$D:$D,A19,'NHL2025-26Results'!$E:$E,"&gt;0")</f>
        <v>3.2</v>
      </c>
      <c r="P19" s="14">
        <f>SUMIFS('NHL2025-26Results'!$C:$C,'NHL2025-26Results'!$B:$B,A19,'NHL2025-26Results'!$C:$C,"&gt;0")/COUNTIFS('NHL2025-26Results'!$B:$B,A19,'NHL2025-26Results'!$C:$C,"&gt;0")</f>
        <v>2.7777777777777777</v>
      </c>
      <c r="Q19" s="14">
        <f>SUMIFS('NHL2025-26Results'!$C:$C,'NHL2025-26Results'!$D:$D,A19,'NHL2025-26Results'!$C:$C,"&gt;0")/COUNTIFS('NHL2025-26Results'!$D:$D,A19,'NHL2025-26Results'!$C:$C,"&gt;0")</f>
        <v>3.2173913043478262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54</v>
      </c>
      <c r="C20">
        <f>COUNTIF(NHL2025_26Results[Winning Team],Standings!A20)</f>
        <v>23</v>
      </c>
      <c r="D20">
        <f>COUNTIFS('NHL2025-26Results'!$H:$H,A20,'NHL2025-26Results'!$F:$F,"")</f>
        <v>25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52</v>
      </c>
      <c r="G20">
        <f>COUNTIFS('NHL2025-26Results'!$D:$D,A20,'NHL2025-26Results'!$G:$G,A20)</f>
        <v>6</v>
      </c>
      <c r="H20">
        <f>COUNTIFS('NHL2025-26Results'!$D:$D,A20,'NHL2025-26Results'!$H:$H,A20,'NHL2025-26Results'!$F:$F,"")</f>
        <v>13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12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0.2608695652173913</v>
      </c>
      <c r="N20" s="11">
        <f>Table1[[#This Row],[AwayWins]]/SUM(Table1[[#This Row],[AwayWins]:[AwayOTL]])</f>
        <v>0.54838709677419351</v>
      </c>
      <c r="O20" s="14">
        <f>SUMIFS('NHL2025-26Results'!$E:$E,'NHL2025-26Results'!$D:$D,A20,'NHL2025-26Results'!$E:$E,"&gt;0")/COUNTIFS('NHL2025-26Results'!$D:$D,A20,'NHL2025-26Results'!$E:$E,"&gt;0")</f>
        <v>2.8823529411764706</v>
      </c>
      <c r="P20" s="14">
        <f>SUMIFS('NHL2025-26Results'!$C:$C,'NHL2025-26Results'!$B:$B,A20,'NHL2025-26Results'!$C:$C,"&gt;0")/COUNTIFS('NHL2025-26Results'!$B:$B,A20,'NHL2025-26Results'!$C:$C,"&gt;0")</f>
        <v>3.3103448275862069</v>
      </c>
      <c r="Q20" s="14">
        <f>SUMIFS('NHL2025-26Results'!$C:$C,'NHL2025-26Results'!$D:$D,A20,'NHL2025-26Results'!$C:$C,"&gt;0")/COUNTIFS('NHL2025-26Results'!$D:$D,A20,'NHL2025-26Results'!$C:$C,"&gt;0")</f>
        <v>3.4782608695652173</v>
      </c>
      <c r="R20" s="14">
        <f>SUMIFS('NHL2025-26Results'!$E:$E,'NHL2025-26Results'!$B:$B,A20,'NHL2025-26Results'!$E:$E,"&gt;0")/COUNTIFS('NHL2025-26Results'!$B:$B,A20,'NHL2025-26Results'!$E:$E,"&gt;0")</f>
        <v>3.103448275862069</v>
      </c>
    </row>
    <row r="21" spans="1:18" x14ac:dyDescent="0.2">
      <c r="A21" s="4" t="s">
        <v>36</v>
      </c>
      <c r="B21">
        <f>SUM(Table1[[#This Row],[W]:[OTL]])</f>
        <v>53</v>
      </c>
      <c r="C21">
        <f>COUNTIF(NHL2025_26Results[Winning Team],Standings!A21)</f>
        <v>25</v>
      </c>
      <c r="D21">
        <f>COUNTIFS('NHL2025-26Results'!$H:$H,A21,'NHL2025-26Results'!$F:$F,"")</f>
        <v>21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57</v>
      </c>
      <c r="G21">
        <f>COUNTIFS('NHL2025-26Results'!$D:$D,A21,'NHL2025-26Results'!$G:$G,A21)</f>
        <v>13</v>
      </c>
      <c r="H21">
        <f>COUNTIFS('NHL2025-26Results'!$D:$D,A21,'NHL2025-26Results'!$H:$H,A21,'NHL2025-26Results'!$F:$F,"")</f>
        <v>10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12</v>
      </c>
      <c r="K21">
        <f>COUNTIFS('NHL2025-26Results'!$B:$B,A21,'NHL2025-26Results'!$H:$H,A21,'NHL2025-26Results'!$F:$F,"")</f>
        <v>11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0.48148148148148145</v>
      </c>
      <c r="N21" s="11">
        <f>Table1[[#This Row],[AwayWins]]/SUM(Table1[[#This Row],[AwayWins]:[AwayOTL]])</f>
        <v>0.46153846153846156</v>
      </c>
      <c r="O21" s="14">
        <f>SUMIFS('NHL2025-26Results'!$E:$E,'NHL2025-26Results'!$D:$D,A21,'NHL2025-26Results'!$E:$E,"&gt;0")/COUNTIFS('NHL2025-26Results'!$D:$D,A21,'NHL2025-26Results'!$E:$E,"&gt;0")</f>
        <v>3.3461538461538463</v>
      </c>
      <c r="P21" s="14">
        <f>SUMIFS('NHL2025-26Results'!$C:$C,'NHL2025-26Results'!$B:$B,A21,'NHL2025-26Results'!$C:$C,"&gt;0")/COUNTIFS('NHL2025-26Results'!$B:$B,A21,'NHL2025-26Results'!$C:$C,"&gt;0")</f>
        <v>3.5384615384615383</v>
      </c>
      <c r="Q21" s="14">
        <f>SUMIFS('NHL2025-26Results'!$C:$C,'NHL2025-26Results'!$D:$D,A21,'NHL2025-26Results'!$C:$C,"&gt;0")/COUNTIFS('NHL2025-26Results'!$D:$D,A21,'NHL2025-26Results'!$C:$C,"&gt;0")</f>
        <v>3</v>
      </c>
      <c r="R21" s="14">
        <f>SUMIFS('NHL2025-26Results'!$E:$E,'NHL2025-26Results'!$B:$B,A21,'NHL2025-26Results'!$E:$E,"&gt;0")/COUNTIFS('NHL2025-26Results'!$B:$B,A21,'NHL2025-26Results'!$E:$E,"&gt;0")</f>
        <v>3.7692307692307692</v>
      </c>
    </row>
    <row r="22" spans="1:18" x14ac:dyDescent="0.2">
      <c r="A22" s="4" t="s">
        <v>27</v>
      </c>
      <c r="B22">
        <f>SUM(Table1[[#This Row],[W]:[OTL]])</f>
        <v>52</v>
      </c>
      <c r="C22">
        <f>COUNTIF(NHL2025_26Results[Winning Team],Standings!A22)</f>
        <v>24</v>
      </c>
      <c r="D22">
        <f>COUNTIFS('NHL2025-26Results'!$H:$H,A22,'NHL2025-26Results'!$F:$F,"")</f>
        <v>19</v>
      </c>
      <c r="E22">
        <f>COUNTIFS('NHL2025-26Results'!$F:$F,"OT",'NHL2025-26Results'!$H:$H,A22) + COUNTIFS('NHL2025-26Results'!$F:$F,"SO",'NHL2025-26Results'!$H:$H,A22)</f>
        <v>9</v>
      </c>
      <c r="F22" s="3">
        <f>(Table1[[#This Row],[W]]*2)+Table1[[#This Row],[OTL]]</f>
        <v>57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9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12</v>
      </c>
      <c r="K22">
        <f>COUNTIFS('NHL2025-26Results'!$B:$B,A22,'NHL2025-26Results'!$H:$H,A22,'NHL2025-26Results'!$F:$F,"")</f>
        <v>10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0.46153846153846156</v>
      </c>
      <c r="N22" s="11">
        <f>Table1[[#This Row],[AwayWins]]/SUM(Table1[[#This Row],[AwayWins]:[AwayOTL]])</f>
        <v>0.46153846153846156</v>
      </c>
      <c r="O22" s="14">
        <f>SUMIFS('NHL2025-26Results'!$E:$E,'NHL2025-26Results'!$D:$D,A22,'NHL2025-26Results'!$E:$E,"&gt;0")/COUNTIFS('NHL2025-26Results'!$D:$D,A22,'NHL2025-26Results'!$E:$E,"&gt;0")</f>
        <v>2.96</v>
      </c>
      <c r="P22" s="14">
        <f>SUMIFS('NHL2025-26Results'!$C:$C,'NHL2025-26Results'!$B:$B,A22,'NHL2025-26Results'!$C:$C,"&gt;0")/COUNTIFS('NHL2025-26Results'!$B:$B,A22,'NHL2025-26Results'!$C:$C,"&gt;0")</f>
        <v>3.32</v>
      </c>
      <c r="Q22" s="14">
        <f>SUMIFS('NHL2025-26Results'!$C:$C,'NHL2025-26Results'!$D:$D,A22,'NHL2025-26Results'!$C:$C,"&gt;0")/COUNTIFS('NHL2025-26Results'!$D:$D,A22,'NHL2025-26Results'!$C:$C,"&gt;0")</f>
        <v>3.0384615384615383</v>
      </c>
      <c r="R22" s="14">
        <f>SUMIFS('NHL2025-26Results'!$E:$E,'NHL2025-26Results'!$B:$B,A22,'NHL2025-26Results'!$E:$E,"&gt;0")/COUNTIFS('NHL2025-26Results'!$B:$B,A22,'NHL2025-26Results'!$E:$E,"&gt;0")</f>
        <v>3.3846153846153846</v>
      </c>
    </row>
    <row r="23" spans="1:18" x14ac:dyDescent="0.2">
      <c r="A23" s="4" t="s">
        <v>14</v>
      </c>
      <c r="B23">
        <f>SUM(Table1[[#This Row],[W]:[OTL]])</f>
        <v>51</v>
      </c>
      <c r="C23">
        <f>COUNTIF(NHL2025_26Results[Winning Team],Standings!A23)</f>
        <v>26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63</v>
      </c>
      <c r="G23">
        <f>COUNTIFS('NHL2025-26Results'!$D:$D,A23,'NHL2025-26Results'!$G:$G,A23)</f>
        <v>11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15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0.44</v>
      </c>
      <c r="N23" s="11">
        <f>Table1[[#This Row],[AwayWins]]/SUM(Table1[[#This Row],[AwayWins]:[AwayOTL]])</f>
        <v>0.57692307692307687</v>
      </c>
      <c r="O23" s="14">
        <f>SUMIFS('NHL2025-26Results'!$E:$E,'NHL2025-26Results'!$D:$D,A23,'NHL2025-26Results'!$E:$E,"&gt;0")/COUNTIFS('NHL2025-26Results'!$D:$D,A23,'NHL2025-26Results'!$E:$E,"&gt;0")</f>
        <v>3.5416666666666665</v>
      </c>
      <c r="P23" s="14">
        <f>SUMIFS('NHL2025-26Results'!$C:$C,'NHL2025-26Results'!$B:$B,A23,'NHL2025-26Results'!$C:$C,"&gt;0")/COUNTIFS('NHL2025-26Results'!$B:$B,A23,'NHL2025-26Results'!$C:$C,"&gt;0")</f>
        <v>3.652173913043478</v>
      </c>
      <c r="Q23" s="14">
        <f>SUMIFS('NHL2025-26Results'!$C:$C,'NHL2025-26Results'!$D:$D,A23,'NHL2025-26Results'!$C:$C,"&gt;0")/COUNTIFS('NHL2025-26Results'!$D:$D,A23,'NHL2025-26Results'!$C:$C,"&gt;0")</f>
        <v>3.5416666666666665</v>
      </c>
      <c r="R23" s="14">
        <f>SUMIFS('NHL2025-26Results'!$E:$E,'NHL2025-26Results'!$B:$B,A23,'NHL2025-26Results'!$E:$E,"&gt;0")/COUNTIFS('NHL2025-26Results'!$B:$B,A23,'NHL2025-26Results'!$E:$E,"&gt;0")</f>
        <v>2.7916666666666665</v>
      </c>
    </row>
    <row r="24" spans="1:18" x14ac:dyDescent="0.2">
      <c r="A24" s="4" t="s">
        <v>33</v>
      </c>
      <c r="B24">
        <f>SUM(Table1[[#This Row],[W]:[OTL]])</f>
        <v>51</v>
      </c>
      <c r="C24">
        <f>COUNTIF(NHL2025_26Results[Winning Team],Standings!A24)</f>
        <v>27</v>
      </c>
      <c r="D24">
        <f>COUNTIFS('NHL2025-26Results'!$H:$H,A24,'NHL2025-26Results'!$F:$F,"")</f>
        <v>21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57</v>
      </c>
      <c r="G24">
        <f>COUNTIFS('NHL2025-26Results'!$D:$D,A24,'NHL2025-26Results'!$G:$G,A24)</f>
        <v>14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13</v>
      </c>
      <c r="K24">
        <f>COUNTIFS('NHL2025-26Results'!$B:$B,A24,'NHL2025-26Results'!$H:$H,A24,'NHL2025-26Results'!$F:$F,"")</f>
        <v>12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0.53846153846153844</v>
      </c>
      <c r="N24" s="11">
        <f>Table1[[#This Row],[AwayWins]]/SUM(Table1[[#This Row],[AwayWins]:[AwayOTL]])</f>
        <v>0.52</v>
      </c>
      <c r="O24" s="14">
        <f>SUMIFS('NHL2025-26Results'!$E:$E,'NHL2025-26Results'!$D:$D,A24,'NHL2025-26Results'!$E:$E,"&gt;0")/COUNTIFS('NHL2025-26Results'!$D:$D,A24,'NHL2025-26Results'!$E:$E,"&gt;0")</f>
        <v>3.32</v>
      </c>
      <c r="P24" s="14">
        <f>SUMIFS('NHL2025-26Results'!$C:$C,'NHL2025-26Results'!$B:$B,A24,'NHL2025-26Results'!$C:$C,"&gt;0")/COUNTIFS('NHL2025-26Results'!$B:$B,A24,'NHL2025-26Results'!$C:$C,"&gt;0")</f>
        <v>3.3913043478260869</v>
      </c>
      <c r="Q24" s="14">
        <f>SUMIFS('NHL2025-26Results'!$C:$C,'NHL2025-26Results'!$D:$D,A24,'NHL2025-26Results'!$C:$C,"&gt;0")/COUNTIFS('NHL2025-26Results'!$D:$D,A24,'NHL2025-26Results'!$C:$C,"&gt;0")</f>
        <v>3.4230769230769229</v>
      </c>
      <c r="R24" s="14">
        <f>SUMIFS('NHL2025-26Results'!$E:$E,'NHL2025-26Results'!$B:$B,A24,'NHL2025-26Results'!$E:$E,"&gt;0")/COUNTIFS('NHL2025-26Results'!$B:$B,A24,'NHL2025-26Results'!$E:$E,"&gt;0")</f>
        <v>3.48</v>
      </c>
    </row>
    <row r="25" spans="1:18" x14ac:dyDescent="0.2">
      <c r="A25" s="4" t="s">
        <v>32</v>
      </c>
      <c r="B25">
        <f>SUM(Table1[[#This Row],[W]:[OTL]])</f>
        <v>52</v>
      </c>
      <c r="C25">
        <f>COUNTIF(NHL2025_26Results[Winning Team],Standings!A25)</f>
        <v>24</v>
      </c>
      <c r="D25">
        <f>COUNTIFS('NHL2025-26Results'!$H:$H,A25,'NHL2025-26Results'!$F:$F,"")</f>
        <v>19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57</v>
      </c>
      <c r="G25">
        <f>COUNTIFS('NHL2025-26Results'!$D:$D,A25,'NHL2025-26Results'!$G:$G,A25)</f>
        <v>13</v>
      </c>
      <c r="H25">
        <f>COUNTIFS('NHL2025-26Results'!$D:$D,A25,'NHL2025-26Results'!$H:$H,A25,'NHL2025-26Results'!$F:$F,"")</f>
        <v>9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0.48148148148148145</v>
      </c>
      <c r="N25" s="11">
        <f>Table1[[#This Row],[AwayWins]]/SUM(Table1[[#This Row],[AwayWins]:[AwayOTL]])</f>
        <v>0.44</v>
      </c>
      <c r="O25" s="14">
        <f>SUMIFS('NHL2025-26Results'!$E:$E,'NHL2025-26Results'!$D:$D,A25,'NHL2025-26Results'!$E:$E,"&gt;0")/COUNTIFS('NHL2025-26Results'!$D:$D,A25,'NHL2025-26Results'!$E:$E,"&gt;0")</f>
        <v>2.9615384615384617</v>
      </c>
      <c r="P25" s="14">
        <f>SUMIFS('NHL2025-26Results'!$C:$C,'NHL2025-26Results'!$B:$B,A25,'NHL2025-26Results'!$C:$C,"&gt;0")/COUNTIFS('NHL2025-26Results'!$B:$B,A25,'NHL2025-26Results'!$C:$C,"&gt;0")</f>
        <v>2.9583333333333335</v>
      </c>
      <c r="Q25" s="14">
        <f>SUMIFS('NHL2025-26Results'!$C:$C,'NHL2025-26Results'!$D:$D,A25,'NHL2025-26Results'!$C:$C,"&gt;0")/COUNTIFS('NHL2025-26Results'!$D:$D,A25,'NHL2025-26Results'!$C:$C,"&gt;0")</f>
        <v>2.7777777777777777</v>
      </c>
      <c r="R25" s="14">
        <f>SUMIFS('NHL2025-26Results'!$E:$E,'NHL2025-26Results'!$B:$B,A25,'NHL2025-26Results'!$E:$E,"&gt;0")/COUNTIFS('NHL2025-26Results'!$B:$B,A25,'NHL2025-26Results'!$E:$E,"&gt;0")</f>
        <v>3.3333333333333335</v>
      </c>
    </row>
    <row r="26" spans="1:18" x14ac:dyDescent="0.2">
      <c r="A26" s="4" t="s">
        <v>35</v>
      </c>
      <c r="B26">
        <f>SUM(Table1[[#This Row],[W]:[OTL]])</f>
        <v>53</v>
      </c>
      <c r="C26">
        <f>COUNTIF(NHL2025_26Results[Winning Team],Standings!A26)</f>
        <v>19</v>
      </c>
      <c r="D26">
        <f>COUNTIFS('NHL2025-26Results'!$H:$H,A26,'NHL2025-26Results'!$F:$F,"")</f>
        <v>25</v>
      </c>
      <c r="E26">
        <f>COUNTIFS('NHL2025-26Results'!$F:$F,"OT",'NHL2025-26Results'!$H:$H,A26) + COUNTIFS('NHL2025-26Results'!$F:$F,"SO",'NHL2025-26Results'!$H:$H,A26)</f>
        <v>9</v>
      </c>
      <c r="F26" s="3">
        <f>(Table1[[#This Row],[W]]*2)+Table1[[#This Row],[OTL]]</f>
        <v>47</v>
      </c>
      <c r="G26">
        <f>COUNTIFS('NHL2025-26Results'!$D:$D,A26,'NHL2025-26Results'!$G:$G,A26)</f>
        <v>12</v>
      </c>
      <c r="H26">
        <f>COUNTIFS('NHL2025-26Results'!$D:$D,A26,'NHL2025-26Results'!$H:$H,A26,'NHL2025-26Results'!$F:$F,"")</f>
        <v>10</v>
      </c>
      <c r="I26">
        <f>COUNTIFS('NHL2025-26Results'!$D:$D,A26,'NHL2025-26Results'!$H:$H,A26,'NHL2025-26Results'!$F:$F,"OT") + COUNTIFS('NHL2025-26Results'!$D:$D,A26,'NHL2025-26Results'!$H:$H,A26,'NHL2025-26Results'!$F:$F,"SO")</f>
        <v>6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0.42857142857142855</v>
      </c>
      <c r="N26" s="11">
        <f>Table1[[#This Row],[AwayWins]]/SUM(Table1[[#This Row],[AwayWins]:[AwayOTL]])</f>
        <v>0.28000000000000003</v>
      </c>
      <c r="O26" s="14">
        <f>SUMIFS('NHL2025-26Results'!$E:$E,'NHL2025-26Results'!$D:$D,A26,'NHL2025-26Results'!$E:$E,"&gt;0")/COUNTIFS('NHL2025-26Results'!$D:$D,A26,'NHL2025-26Results'!$E:$E,"&gt;0")</f>
        <v>2.5925925925925926</v>
      </c>
      <c r="P26" s="14">
        <f>SUMIFS('NHL2025-26Results'!$C:$C,'NHL2025-26Results'!$B:$B,A26,'NHL2025-26Results'!$C:$C,"&gt;0")/COUNTIFS('NHL2025-26Results'!$B:$B,A26,'NHL2025-26Results'!$C:$C,"&gt;0")</f>
        <v>2.5</v>
      </c>
      <c r="Q26" s="14">
        <f>SUMIFS('NHL2025-26Results'!$C:$C,'NHL2025-26Results'!$D:$D,A26,'NHL2025-26Results'!$C:$C,"&gt;0")/COUNTIFS('NHL2025-26Results'!$D:$D,A26,'NHL2025-26Results'!$C:$C,"&gt;0")</f>
        <v>3.7916666666666665</v>
      </c>
      <c r="R26" s="14">
        <f>SUMIFS('NHL2025-26Results'!$E:$E,'NHL2025-26Results'!$B:$B,A26,'NHL2025-26Results'!$E:$E,"&gt;0")/COUNTIFS('NHL2025-26Results'!$B:$B,A26,'NHL2025-26Results'!$E:$E,"&gt;0")</f>
        <v>3.8333333333333335</v>
      </c>
    </row>
    <row r="27" spans="1:18" x14ac:dyDescent="0.2">
      <c r="A27" s="4" t="s">
        <v>37</v>
      </c>
      <c r="B27">
        <f>SUM(Table1[[#This Row],[W]:[OTL]])</f>
        <v>51</v>
      </c>
      <c r="C27">
        <f>COUNTIF(NHL2025_26Results[Winning Team],Standings!A27)</f>
        <v>33</v>
      </c>
      <c r="D27">
        <f>COUNTIFS('NHL2025-26Results'!$H:$H,A27,'NHL2025-26Results'!$F:$F,"")</f>
        <v>14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70</v>
      </c>
      <c r="G27">
        <f>COUNTIFS('NHL2025-26Results'!$D:$D,A27,'NHL2025-26Results'!$G:$G,A27)</f>
        <v>14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19</v>
      </c>
      <c r="K27">
        <f>COUNTIFS('NHL2025-26Results'!$B:$B,A27,'NHL2025-26Results'!$H:$H,A27,'NHL2025-26Results'!$F:$F,"")</f>
        <v>5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0.60869565217391308</v>
      </c>
      <c r="N27" s="11">
        <f>Table1[[#This Row],[AwayWins]]/SUM(Table1[[#This Row],[AwayWins]:[AwayOTL]])</f>
        <v>0.6785714285714286</v>
      </c>
      <c r="O27" s="14">
        <f>SUMIFS('NHL2025-26Results'!$E:$E,'NHL2025-26Results'!$D:$D,A27,'NHL2025-26Results'!$E:$E,"&gt;0")/COUNTIFS('NHL2025-26Results'!$D:$D,A27,'NHL2025-26Results'!$E:$E,"&gt;0")</f>
        <v>3.2272727272727271</v>
      </c>
      <c r="P27" s="14">
        <f>SUMIFS('NHL2025-26Results'!$C:$C,'NHL2025-26Results'!$B:$B,A27,'NHL2025-26Results'!$C:$C,"&gt;0")/COUNTIFS('NHL2025-26Results'!$B:$B,A27,'NHL2025-26Results'!$C:$C,"&gt;0")</f>
        <v>4</v>
      </c>
      <c r="Q27" s="14">
        <f>SUMIFS('NHL2025-26Results'!$C:$C,'NHL2025-26Results'!$D:$D,A27,'NHL2025-26Results'!$C:$C,"&gt;0")/COUNTIFS('NHL2025-26Results'!$D:$D,A27,'NHL2025-26Results'!$C:$C,"&gt;0")</f>
        <v>2.9047619047619047</v>
      </c>
      <c r="R27" s="14">
        <f>SUMIFS('NHL2025-26Results'!$E:$E,'NHL2025-26Results'!$B:$B,A27,'NHL2025-26Results'!$E:$E,"&gt;0")/COUNTIFS('NHL2025-26Results'!$B:$B,A27,'NHL2025-26Results'!$E:$E,"&gt;0")</f>
        <v>2.4642857142857144</v>
      </c>
    </row>
    <row r="28" spans="1:18" x14ac:dyDescent="0.2">
      <c r="A28" s="4" t="s">
        <v>19</v>
      </c>
      <c r="B28">
        <f>SUM(Table1[[#This Row],[W]:[OTL]])</f>
        <v>53</v>
      </c>
      <c r="C28">
        <f>COUNTIF(NHL2025_26Results[Winning Team],Standings!A28)</f>
        <v>24</v>
      </c>
      <c r="D28">
        <f>COUNTIFS('NHL2025-26Results'!$H:$H,A28,'NHL2025-26Results'!$F:$F,"")</f>
        <v>20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57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9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8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0.5161290322580645</v>
      </c>
      <c r="N28" s="11">
        <f>Table1[[#This Row],[AwayWins]]/SUM(Table1[[#This Row],[AwayWins]:[AwayOTL]])</f>
        <v>0.36363636363636365</v>
      </c>
      <c r="O28" s="14">
        <f>SUMIFS('NHL2025-26Results'!$E:$E,'NHL2025-26Results'!$D:$D,A28,'NHL2025-26Results'!$E:$E,"&gt;0")/COUNTIFS('NHL2025-26Results'!$D:$D,A28,'NHL2025-26Results'!$E:$E,"&gt;0")</f>
        <v>3.4838709677419355</v>
      </c>
      <c r="P28" s="14">
        <f>SUMIFS('NHL2025-26Results'!$C:$C,'NHL2025-26Results'!$B:$B,A28,'NHL2025-26Results'!$C:$C,"&gt;0")/COUNTIFS('NHL2025-26Results'!$B:$B,A28,'NHL2025-26Results'!$C:$C,"&gt;0")</f>
        <v>3.1428571428571428</v>
      </c>
      <c r="Q28" s="14">
        <f>SUMIFS('NHL2025-26Results'!$C:$C,'NHL2025-26Results'!$D:$D,A28,'NHL2025-26Results'!$C:$C,"&gt;0")/COUNTIFS('NHL2025-26Results'!$D:$D,A28,'NHL2025-26Results'!$C:$C,"&gt;0")</f>
        <v>3.6428571428571428</v>
      </c>
      <c r="R28" s="14">
        <f>SUMIFS('NHL2025-26Results'!$E:$E,'NHL2025-26Results'!$B:$B,A28,'NHL2025-26Results'!$E:$E,"&gt;0")/COUNTIFS('NHL2025-26Results'!$B:$B,A28,'NHL2025-26Results'!$E:$E,"&gt;0")</f>
        <v>3.6818181818181817</v>
      </c>
    </row>
    <row r="29" spans="1:18" x14ac:dyDescent="0.2">
      <c r="A29" t="s">
        <v>55</v>
      </c>
      <c r="B29">
        <f>SUM(Table1[[#This Row],[W]:[OTL]])</f>
        <v>53</v>
      </c>
      <c r="C29">
        <f>COUNTIF(NHL2025_26Results[Winning Team],Standings!A29)</f>
        <v>28</v>
      </c>
      <c r="D29">
        <f>COUNTIFS('NHL2025-26Results'!$H:$H,A29,'NHL2025-26Results'!$F:$F,"")</f>
        <v>21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60</v>
      </c>
      <c r="G29">
        <f>COUNTIFS('NHL2025-26Results'!$D:$D,A29,'NHL2025-26Results'!$G:$G,A29)</f>
        <v>15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13</v>
      </c>
      <c r="K29">
        <f>COUNTIFS('NHL2025-26Results'!$B:$B,A29,'NHL2025-26Results'!$H:$H,A29,'NHL2025-26Results'!$F:$F,"")</f>
        <v>14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0.625</v>
      </c>
      <c r="N29" s="11">
        <f>Table1[[#This Row],[AwayWins]]/SUM(Table1[[#This Row],[AwayWins]:[AwayOTL]])</f>
        <v>0.44827586206896552</v>
      </c>
      <c r="O29" s="14">
        <f>SUMIFS('NHL2025-26Results'!$E:$E,'NHL2025-26Results'!$D:$D,A29,'NHL2025-26Results'!$E:$E,"&gt;0")/COUNTIFS('NHL2025-26Results'!$D:$D,A29,'NHL2025-26Results'!$E:$E,"&gt;0")</f>
        <v>3.4583333333333335</v>
      </c>
      <c r="P29" s="14">
        <f>SUMIFS('NHL2025-26Results'!$C:$C,'NHL2025-26Results'!$B:$B,A29,'NHL2025-26Results'!$C:$C,"&gt;0")/COUNTIFS('NHL2025-26Results'!$B:$B,A29,'NHL2025-26Results'!$C:$C,"&gt;0")</f>
        <v>3.36</v>
      </c>
      <c r="Q29" s="14">
        <f>SUMIFS('NHL2025-26Results'!$C:$C,'NHL2025-26Results'!$D:$D,A29,'NHL2025-26Results'!$C:$C,"&gt;0")/COUNTIFS('NHL2025-26Results'!$D:$D,A29,'NHL2025-26Results'!$C:$C,"&gt;0")</f>
        <v>2.6666666666666665</v>
      </c>
      <c r="R29" s="14">
        <f>SUMIFS('NHL2025-26Results'!$E:$E,'NHL2025-26Results'!$B:$B,A29,'NHL2025-26Results'!$E:$E,"&gt;0")/COUNTIFS('NHL2025-26Results'!$B:$B,A29,'NHL2025-26Results'!$E:$E,"&gt;0")</f>
        <v>2.9285714285714284</v>
      </c>
    </row>
    <row r="30" spans="1:18" x14ac:dyDescent="0.2">
      <c r="A30" s="4" t="s">
        <v>38</v>
      </c>
      <c r="B30">
        <f>SUM(Table1[[#This Row],[W]:[OTL]])</f>
        <v>53</v>
      </c>
      <c r="C30">
        <f>COUNTIF(NHL2025_26Results[Winning Team],Standings!A30)</f>
        <v>17</v>
      </c>
      <c r="D30">
        <f>COUNTIFS('NHL2025-26Results'!$H:$H,A30,'NHL2025-26Results'!$F:$F,"")</f>
        <v>31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39</v>
      </c>
      <c r="G30">
        <f>COUNTIFS('NHL2025-26Results'!$D:$D,A30,'NHL2025-26Results'!$G:$G,A30)</f>
        <v>5</v>
      </c>
      <c r="H30">
        <f>COUNTIFS('NHL2025-26Results'!$D:$D,A30,'NHL2025-26Results'!$H:$H,A30,'NHL2025-26Results'!$F:$F,"")</f>
        <v>17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2.9090909090909092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4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52</v>
      </c>
      <c r="C31">
        <f>COUNTIF(NHL2025_26Results[Winning Team],Standings!A31)</f>
        <v>25</v>
      </c>
      <c r="D31">
        <f>COUNTIFS('NHL2025-26Results'!$H:$H,A31,'NHL2025-26Results'!$F:$F,"")</f>
        <v>14</v>
      </c>
      <c r="E31">
        <f>COUNTIFS('NHL2025-26Results'!$F:$F,"OT",'NHL2025-26Results'!$H:$H,A31) + COUNTIFS('NHL2025-26Results'!$F:$F,"SO",'NHL2025-26Results'!$H:$H,A31)</f>
        <v>13</v>
      </c>
      <c r="F31" s="3">
        <f>(Table1[[#This Row],[W]]*2)+Table1[[#This Row],[OTL]]</f>
        <v>63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7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13</v>
      </c>
      <c r="K31">
        <f>COUNTIFS('NHL2025-26Results'!$B:$B,A31,'NHL2025-26Results'!$H:$H,A31,'NHL2025-26Results'!$F:$F,"")</f>
        <v>7</v>
      </c>
      <c r="L31">
        <f>COUNTIFS('NHL2025-26Results'!$B:$B,A31,'NHL2025-26Results'!$H:$H,A31,'NHL2025-26Results'!$F:$F,"OT") + COUNTIFS('NHL2025-26Results'!$B:$B,A31,'NHL2025-26Results'!$H:$H,A31,'NHL2025-26Results'!$F:$F,"SO")</f>
        <v>7</v>
      </c>
      <c r="M31" s="11">
        <f>Table1[[#This Row],[HomeWins]]/SUM(Table1[[#This Row],[HomeWins]:[HomeOTL]])</f>
        <v>0.48</v>
      </c>
      <c r="N31" s="11">
        <f>Table1[[#This Row],[AwayWins]]/SUM(Table1[[#This Row],[AwayWins]:[AwayOTL]])</f>
        <v>0.48148148148148145</v>
      </c>
      <c r="O31" s="14">
        <f>SUMIFS('NHL2025-26Results'!$E:$E,'NHL2025-26Results'!$D:$D,A31,'NHL2025-26Results'!$E:$E,"&gt;0")/COUNTIFS('NHL2025-26Results'!$D:$D,A31,'NHL2025-26Results'!$E:$E,"&gt;0")</f>
        <v>3.6</v>
      </c>
      <c r="P31" s="14">
        <f>SUMIFS('NHL2025-26Results'!$C:$C,'NHL2025-26Results'!$B:$B,A31,'NHL2025-26Results'!$C:$C,"&gt;0")/COUNTIFS('NHL2025-26Results'!$B:$B,A31,'NHL2025-26Results'!$C:$C,"&gt;0")</f>
        <v>3.1923076923076925</v>
      </c>
      <c r="Q31" s="14">
        <f>SUMIFS('NHL2025-26Results'!$C:$C,'NHL2025-26Results'!$D:$D,A31,'NHL2025-26Results'!$C:$C,"&gt;0")/COUNTIFS('NHL2025-26Results'!$D:$D,A31,'NHL2025-26Results'!$C:$C,"&gt;0")</f>
        <v>3.4583333333333335</v>
      </c>
      <c r="R31" s="14">
        <f>SUMIFS('NHL2025-26Results'!$E:$E,'NHL2025-26Results'!$B:$B,A31,'NHL2025-26Results'!$E:$E,"&gt;0")/COUNTIFS('NHL2025-26Results'!$B:$B,A31,'NHL2025-26Results'!$E:$E,"&gt;0")</f>
        <v>3.1153846153846154</v>
      </c>
    </row>
    <row r="32" spans="1:18" x14ac:dyDescent="0.2">
      <c r="A32" s="4" t="s">
        <v>22</v>
      </c>
      <c r="B32">
        <f>SUM(Table1[[#This Row],[W]:[OTL]])</f>
        <v>54</v>
      </c>
      <c r="C32">
        <f>COUNTIF(NHL2025_26Results[Winning Team],Standings!A32)</f>
        <v>25</v>
      </c>
      <c r="D32">
        <f>COUNTIFS('NHL2025-26Results'!$H:$H,A32,'NHL2025-26Results'!$F:$F,"")</f>
        <v>22</v>
      </c>
      <c r="E32">
        <f>COUNTIFS('NHL2025-26Results'!$F:$F,"OT",'NHL2025-26Results'!$H:$H,A32) + COUNTIFS('NHL2025-26Results'!$F:$F,"SO",'NHL2025-26Results'!$H:$H,A32)</f>
        <v>7</v>
      </c>
      <c r="F32" s="3">
        <f>(Table1[[#This Row],[W]]*2)+Table1[[#This Row],[OTL]]</f>
        <v>57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11</v>
      </c>
      <c r="K32">
        <f>COUNTIFS('NHL2025-26Results'!$B:$B,A32,'NHL2025-26Results'!$H:$H,A32,'NHL2025-26Results'!$F:$F,"")</f>
        <v>12</v>
      </c>
      <c r="L32">
        <f>COUNTIFS('NHL2025-26Results'!$B:$B,A32,'NHL2025-26Results'!$H:$H,A32,'NHL2025-26Results'!$F:$F,"OT") + COUNTIFS('NHL2025-26Results'!$B:$B,A32,'NHL2025-26Results'!$H:$H,A32,'NHL2025-26Results'!$F:$F,"SO")</f>
        <v>4</v>
      </c>
      <c r="M32" s="11">
        <f>Table1[[#This Row],[HomeWins]]/SUM(Table1[[#This Row],[HomeWins]:[HomeOTL]])</f>
        <v>0.51851851851851849</v>
      </c>
      <c r="N32" s="11">
        <f>Table1[[#This Row],[AwayWins]]/SUM(Table1[[#This Row],[AwayWins]:[AwayOTL]])</f>
        <v>0.40740740740740738</v>
      </c>
      <c r="O32" s="14">
        <f>SUMIFS('NHL2025-26Results'!$E:$E,'NHL2025-26Results'!$D:$D,A32,'NHL2025-26Results'!$E:$E,"&gt;0")/COUNTIFS('NHL2025-26Results'!$D:$D,A32,'NHL2025-26Results'!$E:$E,"&gt;0")</f>
        <v>3.2222222222222223</v>
      </c>
      <c r="P32" s="14">
        <f>SUMIFS('NHL2025-26Results'!$C:$C,'NHL2025-26Results'!$B:$B,A32,'NHL2025-26Results'!$C:$C,"&gt;0")/COUNTIFS('NHL2025-26Results'!$B:$B,A32,'NHL2025-26Results'!$C:$C,"&gt;0")</f>
        <v>3.36</v>
      </c>
      <c r="Q32" s="14">
        <f>SUMIFS('NHL2025-26Results'!$C:$C,'NHL2025-26Results'!$D:$D,A32,'NHL2025-26Results'!$C:$C,"&gt;0")/COUNTIFS('NHL2025-26Results'!$D:$D,A32,'NHL2025-26Results'!$C:$C,"&gt;0")</f>
        <v>3.2</v>
      </c>
      <c r="R32" s="14">
        <f>SUMIFS('NHL2025-26Results'!$E:$E,'NHL2025-26Results'!$B:$B,A32,'NHL2025-26Results'!$E:$E,"&gt;0")/COUNTIFS('NHL2025-26Results'!$B:$B,A32,'NHL2025-26Results'!$E:$E,"&gt;0")</f>
        <v>3.2307692307692308</v>
      </c>
    </row>
    <row r="33" spans="1:18" x14ac:dyDescent="0.2">
      <c r="A33" s="4" t="s">
        <v>40</v>
      </c>
      <c r="B33">
        <f>SUM(Table1[[#This Row],[W]:[OTL]])</f>
        <v>52</v>
      </c>
      <c r="C33">
        <f>COUNTIF(NHL2025_26Results[Winning Team],Standings!A33)</f>
        <v>21</v>
      </c>
      <c r="D33">
        <f>COUNTIFS('NHL2025-26Results'!$H:$H,A33,'NHL2025-26Results'!$F:$F,"")</f>
        <v>24</v>
      </c>
      <c r="E33">
        <f>COUNTIFS('NHL2025-26Results'!$F:$F,"OT",'NHL2025-26Results'!$H:$H,A33) + COUNTIFS('NHL2025-26Results'!$F:$F,"SO",'NHL2025-26Results'!$H:$H,A33)</f>
        <v>7</v>
      </c>
      <c r="F33" s="3">
        <f>(Table1[[#This Row],[W]]*2)+Table1[[#This Row],[OTL]]</f>
        <v>49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10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9</v>
      </c>
      <c r="K33">
        <f>COUNTIFS('NHL2025-26Results'!$B:$B,A33,'NHL2025-26Results'!$H:$H,A33,'NHL2025-26Results'!$F:$F,"")</f>
        <v>14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0.36</v>
      </c>
      <c r="O33" s="14">
        <f>SUMIFS('NHL2025-26Results'!$E:$E,'NHL2025-26Results'!$D:$D,A33,'NHL2025-26Results'!$E:$E,"&gt;0")/COUNTIFS('NHL2025-26Results'!$D:$D,A33,'NHL2025-26Results'!$E:$E,"&gt;0")</f>
        <v>3.44</v>
      </c>
      <c r="P33" s="14">
        <f>SUMIFS('NHL2025-26Results'!$C:$C,'NHL2025-26Results'!$B:$B,A33,'NHL2025-26Results'!$C:$C,"&gt;0")/COUNTIFS('NHL2025-26Results'!$B:$B,A33,'NHL2025-26Results'!$C:$C,"&gt;0")</f>
        <v>3.0454545454545454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3.2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433"/>
  <sheetViews>
    <sheetView tabSelected="1" topLeftCell="A380" zoomScale="67" workbookViewId="0">
      <selection activeCell="A403" sqref="A403:XFD403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0.875</v>
      </c>
      <c r="C6" s="19" t="s">
        <v>17</v>
      </c>
      <c r="D6" s="19" t="s">
        <v>32</v>
      </c>
      <c r="E6" s="19" t="s">
        <v>17</v>
      </c>
      <c r="F6">
        <v>4</v>
      </c>
      <c r="G6">
        <v>3</v>
      </c>
      <c r="H6">
        <v>0.56730000000000003</v>
      </c>
      <c r="I6" s="19" t="s">
        <v>248</v>
      </c>
      <c r="J6" s="19" t="s">
        <v>32</v>
      </c>
      <c r="K6">
        <v>3</v>
      </c>
      <c r="L6">
        <v>2</v>
      </c>
      <c r="M6">
        <v>-0.14000000000000001</v>
      </c>
      <c r="N6" s="19" t="s">
        <v>17</v>
      </c>
      <c r="O6" s="19" t="s">
        <v>290</v>
      </c>
      <c r="P6" s="19" t="s">
        <v>289</v>
      </c>
      <c r="Q6" s="19" t="s">
        <v>285</v>
      </c>
      <c r="R6" s="19" t="s">
        <v>248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11</v>
      </c>
      <c r="D7" s="19" t="s">
        <v>29</v>
      </c>
      <c r="E7" s="19" t="s">
        <v>11</v>
      </c>
      <c r="F7">
        <v>5</v>
      </c>
      <c r="G7">
        <v>4</v>
      </c>
      <c r="H7">
        <v>0.54590000000000005</v>
      </c>
      <c r="I7" s="19" t="s">
        <v>249</v>
      </c>
      <c r="J7" s="19" t="s">
        <v>11</v>
      </c>
      <c r="K7">
        <v>3</v>
      </c>
      <c r="L7">
        <v>2</v>
      </c>
      <c r="M7">
        <v>0.71</v>
      </c>
      <c r="N7" s="19" t="s">
        <v>29</v>
      </c>
      <c r="O7" s="19" t="s">
        <v>287</v>
      </c>
      <c r="P7" s="19" t="s">
        <v>284</v>
      </c>
      <c r="Q7" s="19" t="s">
        <v>287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37</v>
      </c>
      <c r="D11" s="19" t="s">
        <v>14</v>
      </c>
      <c r="E11" s="19" t="s">
        <v>37</v>
      </c>
      <c r="F11">
        <v>3</v>
      </c>
      <c r="G11">
        <v>2</v>
      </c>
      <c r="H11">
        <v>0.73029999999999995</v>
      </c>
      <c r="I11" s="19" t="s">
        <v>249</v>
      </c>
      <c r="J11" s="19" t="s">
        <v>37</v>
      </c>
      <c r="K11">
        <v>3</v>
      </c>
      <c r="L11">
        <v>2</v>
      </c>
      <c r="M11">
        <v>0.63</v>
      </c>
      <c r="N11" s="19" t="s">
        <v>14</v>
      </c>
      <c r="O11" s="19" t="s">
        <v>291</v>
      </c>
      <c r="P11" s="19" t="s">
        <v>289</v>
      </c>
      <c r="Q11" s="19" t="s">
        <v>285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0.64583333333333337</v>
      </c>
      <c r="C17" s="19" t="s">
        <v>11</v>
      </c>
      <c r="D17" s="19" t="s">
        <v>28</v>
      </c>
      <c r="E17" s="19" t="s">
        <v>11</v>
      </c>
      <c r="F17">
        <v>4</v>
      </c>
      <c r="G17">
        <v>3</v>
      </c>
      <c r="H17">
        <v>0.52759999999999996</v>
      </c>
      <c r="I17" s="19" t="s">
        <v>249</v>
      </c>
      <c r="J17" s="19" t="s">
        <v>28</v>
      </c>
      <c r="K17">
        <v>3</v>
      </c>
      <c r="L17">
        <v>2</v>
      </c>
      <c r="M17">
        <v>-0.02</v>
      </c>
      <c r="N17" s="19" t="s">
        <v>11</v>
      </c>
      <c r="O17" s="19" t="s">
        <v>292</v>
      </c>
      <c r="P17" s="19" t="s">
        <v>288</v>
      </c>
      <c r="Q17" s="19" t="s">
        <v>287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17</v>
      </c>
      <c r="D18" s="19" t="s">
        <v>40</v>
      </c>
      <c r="E18" s="19" t="s">
        <v>17</v>
      </c>
      <c r="F18">
        <v>4</v>
      </c>
      <c r="G18">
        <v>3</v>
      </c>
      <c r="H18">
        <v>0.78990000000000005</v>
      </c>
      <c r="I18" s="19" t="s">
        <v>249</v>
      </c>
      <c r="J18" s="19" t="s">
        <v>40</v>
      </c>
      <c r="K18">
        <v>3</v>
      </c>
      <c r="L18">
        <v>2</v>
      </c>
      <c r="M18">
        <v>-0.33</v>
      </c>
      <c r="N18" s="19" t="s">
        <v>17</v>
      </c>
      <c r="O18" s="19" t="s">
        <v>288</v>
      </c>
      <c r="P18" s="19" t="s">
        <v>284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19</v>
      </c>
      <c r="D19" s="19" t="s">
        <v>18</v>
      </c>
      <c r="E19" s="19" t="s">
        <v>19</v>
      </c>
      <c r="F19">
        <v>4</v>
      </c>
      <c r="G19">
        <v>3</v>
      </c>
      <c r="H19">
        <v>0.60129999999999995</v>
      </c>
      <c r="I19" s="19" t="s">
        <v>249</v>
      </c>
      <c r="J19" s="19" t="s">
        <v>19</v>
      </c>
      <c r="K19">
        <v>3</v>
      </c>
      <c r="L19">
        <v>2</v>
      </c>
      <c r="M19">
        <v>0.33</v>
      </c>
      <c r="N19" s="19" t="s">
        <v>18</v>
      </c>
      <c r="O19" s="19" t="s">
        <v>287</v>
      </c>
      <c r="P19" s="19" t="s">
        <v>284</v>
      </c>
      <c r="Q19" s="19" t="s">
        <v>287</v>
      </c>
      <c r="R19" s="19" t="s">
        <v>249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25</v>
      </c>
      <c r="D20" s="19" t="s">
        <v>29</v>
      </c>
      <c r="E20" s="19" t="s">
        <v>25</v>
      </c>
      <c r="F20">
        <v>4</v>
      </c>
      <c r="G20">
        <v>2</v>
      </c>
      <c r="H20">
        <v>0.76490000000000002</v>
      </c>
      <c r="I20" s="19" t="s">
        <v>248</v>
      </c>
      <c r="J20" s="19" t="s">
        <v>25</v>
      </c>
      <c r="K20">
        <v>3</v>
      </c>
      <c r="L20">
        <v>2</v>
      </c>
      <c r="M20">
        <v>1.43</v>
      </c>
      <c r="N20" s="19" t="s">
        <v>25</v>
      </c>
      <c r="O20" s="19" t="s">
        <v>288</v>
      </c>
      <c r="P20" s="19" t="s">
        <v>291</v>
      </c>
      <c r="Q20" s="19" t="s">
        <v>285</v>
      </c>
      <c r="R20" s="19" t="s">
        <v>248</v>
      </c>
      <c r="S20" s="19" t="s">
        <v>248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21</v>
      </c>
      <c r="D21" s="19" t="s">
        <v>24</v>
      </c>
      <c r="E21" s="19" t="s">
        <v>21</v>
      </c>
      <c r="F21">
        <v>5</v>
      </c>
      <c r="G21">
        <v>4</v>
      </c>
      <c r="H21">
        <v>0.52739999999999998</v>
      </c>
      <c r="I21" s="19" t="s">
        <v>249</v>
      </c>
      <c r="J21" s="19" t="s">
        <v>21</v>
      </c>
      <c r="K21">
        <v>3</v>
      </c>
      <c r="L21">
        <v>2</v>
      </c>
      <c r="M21">
        <v>7.0000000000000007E-2</v>
      </c>
      <c r="N21" s="19" t="s">
        <v>21</v>
      </c>
      <c r="O21" s="19" t="s">
        <v>289</v>
      </c>
      <c r="P21" s="19" t="s">
        <v>287</v>
      </c>
      <c r="Q21" s="19" t="s">
        <v>285</v>
      </c>
      <c r="R21" s="19" t="s">
        <v>248</v>
      </c>
      <c r="S21" s="19" t="s">
        <v>248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16</v>
      </c>
      <c r="D22" s="19" t="s">
        <v>55</v>
      </c>
      <c r="E22" s="19" t="s">
        <v>16</v>
      </c>
      <c r="F22">
        <v>2</v>
      </c>
      <c r="G22">
        <v>0</v>
      </c>
      <c r="H22">
        <v>0.56730000000000003</v>
      </c>
      <c r="I22" s="19" t="s">
        <v>249</v>
      </c>
      <c r="J22" s="19" t="s">
        <v>55</v>
      </c>
      <c r="K22">
        <v>3</v>
      </c>
      <c r="L22">
        <v>2</v>
      </c>
      <c r="M22">
        <v>-0.92</v>
      </c>
      <c r="N22" s="19" t="s">
        <v>16</v>
      </c>
      <c r="O22" s="19" t="s">
        <v>284</v>
      </c>
      <c r="P22" s="19" t="s">
        <v>285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0.91666666666666663</v>
      </c>
      <c r="C23" s="19" t="s">
        <v>38</v>
      </c>
      <c r="D23" s="19" t="s">
        <v>34</v>
      </c>
      <c r="E23" s="19" t="s">
        <v>34</v>
      </c>
      <c r="F23">
        <v>3</v>
      </c>
      <c r="G23">
        <v>4</v>
      </c>
      <c r="H23">
        <v>0.78480000000000005</v>
      </c>
      <c r="I23" s="19" t="s">
        <v>249</v>
      </c>
      <c r="J23" s="19" t="s">
        <v>34</v>
      </c>
      <c r="K23">
        <v>3</v>
      </c>
      <c r="L23">
        <v>2</v>
      </c>
      <c r="M23">
        <v>-0.77</v>
      </c>
      <c r="N23" s="19" t="s">
        <v>38</v>
      </c>
      <c r="O23" s="19" t="s">
        <v>289</v>
      </c>
      <c r="P23" s="19" t="s">
        <v>284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0.52083333333333337</v>
      </c>
      <c r="C24" s="19" t="s">
        <v>15</v>
      </c>
      <c r="D24" s="19" t="s">
        <v>12</v>
      </c>
      <c r="E24" s="19" t="s">
        <v>12</v>
      </c>
      <c r="F24">
        <v>2</v>
      </c>
      <c r="G24">
        <v>3</v>
      </c>
      <c r="H24">
        <v>0.58209999999999995</v>
      </c>
      <c r="I24" s="19" t="s">
        <v>249</v>
      </c>
      <c r="J24" s="19" t="s">
        <v>12</v>
      </c>
      <c r="K24">
        <v>3</v>
      </c>
      <c r="L24">
        <v>2</v>
      </c>
      <c r="M24">
        <v>-1.52</v>
      </c>
      <c r="N24" s="19" t="s">
        <v>12</v>
      </c>
      <c r="O24" s="19" t="s">
        <v>284</v>
      </c>
      <c r="P24" s="19" t="s">
        <v>291</v>
      </c>
      <c r="Q24" s="19" t="s">
        <v>287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36</v>
      </c>
      <c r="D25" s="19" t="s">
        <v>35</v>
      </c>
      <c r="E25" s="19" t="s">
        <v>36</v>
      </c>
      <c r="F25">
        <v>4</v>
      </c>
      <c r="G25">
        <v>3</v>
      </c>
      <c r="H25">
        <v>0.84889999999999999</v>
      </c>
      <c r="I25" s="19" t="s">
        <v>249</v>
      </c>
      <c r="J25" s="19" t="s">
        <v>36</v>
      </c>
      <c r="K25">
        <v>3</v>
      </c>
      <c r="L25">
        <v>2</v>
      </c>
      <c r="M25">
        <v>0.99</v>
      </c>
      <c r="N25" s="19" t="s">
        <v>35</v>
      </c>
      <c r="O25" s="19" t="s">
        <v>287</v>
      </c>
      <c r="P25" s="19" t="s">
        <v>284</v>
      </c>
      <c r="Q25" s="19" t="s">
        <v>285</v>
      </c>
      <c r="R25" s="19" t="s">
        <v>249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0.875</v>
      </c>
      <c r="C26" s="19" t="s">
        <v>13</v>
      </c>
      <c r="D26" s="19" t="s">
        <v>10</v>
      </c>
      <c r="E26" s="19" t="s">
        <v>10</v>
      </c>
      <c r="F26">
        <v>2</v>
      </c>
      <c r="G26">
        <v>3</v>
      </c>
      <c r="H26">
        <v>0.7802</v>
      </c>
      <c r="I26" s="19" t="s">
        <v>249</v>
      </c>
      <c r="J26" s="19" t="s">
        <v>10</v>
      </c>
      <c r="K26">
        <v>3</v>
      </c>
      <c r="L26">
        <v>2</v>
      </c>
      <c r="M26">
        <v>-0.17</v>
      </c>
      <c r="N26" s="19" t="s">
        <v>13</v>
      </c>
      <c r="O26" s="19" t="s">
        <v>288</v>
      </c>
      <c r="P26" s="19" t="s">
        <v>285</v>
      </c>
      <c r="Q26" s="19" t="s">
        <v>285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37</v>
      </c>
      <c r="D27" s="19" t="s">
        <v>30</v>
      </c>
      <c r="E27" s="19" t="s">
        <v>30</v>
      </c>
      <c r="F27">
        <v>3</v>
      </c>
      <c r="G27">
        <v>4</v>
      </c>
      <c r="H27">
        <v>0.56379999999999997</v>
      </c>
      <c r="I27" s="19" t="s">
        <v>249</v>
      </c>
      <c r="J27" s="19" t="s">
        <v>37</v>
      </c>
      <c r="K27">
        <v>3</v>
      </c>
      <c r="L27">
        <v>2</v>
      </c>
      <c r="M27">
        <v>0.47</v>
      </c>
      <c r="N27" s="19" t="s">
        <v>30</v>
      </c>
      <c r="O27" s="19" t="s">
        <v>285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0.91666666666666663</v>
      </c>
      <c r="C28" s="19" t="s">
        <v>32</v>
      </c>
      <c r="D28" s="19" t="s">
        <v>26</v>
      </c>
      <c r="E28" s="19" t="s">
        <v>26</v>
      </c>
      <c r="F28">
        <v>3</v>
      </c>
      <c r="G28">
        <v>4</v>
      </c>
      <c r="H28">
        <v>0.50860000000000005</v>
      </c>
      <c r="I28" s="19" t="s">
        <v>249</v>
      </c>
      <c r="J28" s="19" t="s">
        <v>32</v>
      </c>
      <c r="K28">
        <v>3</v>
      </c>
      <c r="L28">
        <v>2</v>
      </c>
      <c r="M28">
        <v>0.08</v>
      </c>
      <c r="N28" s="19" t="s">
        <v>26</v>
      </c>
      <c r="O28" s="19" t="s">
        <v>291</v>
      </c>
      <c r="P28" s="19" t="s">
        <v>289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0.54166666666666663</v>
      </c>
      <c r="C29" s="19" t="s">
        <v>27</v>
      </c>
      <c r="D29" s="19" t="s">
        <v>12</v>
      </c>
      <c r="E29" s="19" t="s">
        <v>27</v>
      </c>
      <c r="F29">
        <v>4</v>
      </c>
      <c r="G29">
        <v>3</v>
      </c>
      <c r="H29">
        <v>0.57799999999999996</v>
      </c>
      <c r="I29" s="19" t="s">
        <v>248</v>
      </c>
      <c r="J29" s="19" t="s">
        <v>12</v>
      </c>
      <c r="K29">
        <v>3</v>
      </c>
      <c r="L29">
        <v>2</v>
      </c>
      <c r="M29">
        <v>-1.6</v>
      </c>
      <c r="N29" s="19" t="s">
        <v>12</v>
      </c>
      <c r="O29" s="19" t="s">
        <v>284</v>
      </c>
      <c r="P29" s="19" t="s">
        <v>291</v>
      </c>
      <c r="Q29" s="19" t="s">
        <v>285</v>
      </c>
      <c r="R29" s="19" t="s">
        <v>249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25</v>
      </c>
      <c r="D30" s="19" t="s">
        <v>33</v>
      </c>
      <c r="E30" s="19" t="s">
        <v>25</v>
      </c>
      <c r="F30">
        <v>4</v>
      </c>
      <c r="G30">
        <v>3</v>
      </c>
      <c r="H30">
        <v>0.6341</v>
      </c>
      <c r="I30" s="19" t="s">
        <v>249</v>
      </c>
      <c r="J30" s="19" t="s">
        <v>25</v>
      </c>
      <c r="K30">
        <v>3</v>
      </c>
      <c r="L30">
        <v>2</v>
      </c>
      <c r="M30">
        <v>1.1000000000000001</v>
      </c>
      <c r="N30" s="19" t="s">
        <v>33</v>
      </c>
      <c r="O30" s="19" t="s">
        <v>287</v>
      </c>
      <c r="P30" s="19" t="s">
        <v>289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0.83333333333333337</v>
      </c>
      <c r="C31" s="19" t="s">
        <v>31</v>
      </c>
      <c r="D31" s="19" t="s">
        <v>10</v>
      </c>
      <c r="E31" s="19" t="s">
        <v>31</v>
      </c>
      <c r="F31">
        <v>5</v>
      </c>
      <c r="G31">
        <v>4</v>
      </c>
      <c r="H31">
        <v>0.68179999999999996</v>
      </c>
      <c r="I31" s="19" t="s">
        <v>249</v>
      </c>
      <c r="J31" s="19" t="s">
        <v>31</v>
      </c>
      <c r="K31">
        <v>3</v>
      </c>
      <c r="L31">
        <v>2</v>
      </c>
      <c r="M31">
        <v>0.42</v>
      </c>
      <c r="N31" s="19" t="s">
        <v>31</v>
      </c>
      <c r="O31" s="19" t="s">
        <v>292</v>
      </c>
      <c r="P31" s="19" t="s">
        <v>287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15</v>
      </c>
      <c r="D33" s="19" t="s">
        <v>20</v>
      </c>
      <c r="E33" s="19" t="s">
        <v>20</v>
      </c>
      <c r="F33">
        <v>1</v>
      </c>
      <c r="G33">
        <v>3</v>
      </c>
      <c r="H33">
        <v>0.82699999999999996</v>
      </c>
      <c r="I33" s="19" t="s">
        <v>249</v>
      </c>
      <c r="J33" s="19" t="s">
        <v>15</v>
      </c>
      <c r="K33">
        <v>3</v>
      </c>
      <c r="L33">
        <v>2</v>
      </c>
      <c r="M33">
        <v>0.12</v>
      </c>
      <c r="N33" s="19" t="s">
        <v>20</v>
      </c>
      <c r="O33" s="19" t="s">
        <v>284</v>
      </c>
      <c r="P33" s="19" t="s">
        <v>291</v>
      </c>
      <c r="Q33" s="19" t="s">
        <v>287</v>
      </c>
      <c r="R33" s="19" t="s">
        <v>248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22</v>
      </c>
      <c r="D34" s="19" t="s">
        <v>28</v>
      </c>
      <c r="E34" s="19" t="s">
        <v>22</v>
      </c>
      <c r="F34">
        <v>4</v>
      </c>
      <c r="G34">
        <v>3</v>
      </c>
      <c r="H34">
        <v>0.624</v>
      </c>
      <c r="I34" s="19" t="s">
        <v>249</v>
      </c>
      <c r="J34" s="19" t="s">
        <v>22</v>
      </c>
      <c r="K34">
        <v>3</v>
      </c>
      <c r="L34">
        <v>2</v>
      </c>
      <c r="M34">
        <v>1.26</v>
      </c>
      <c r="N34" s="19" t="s">
        <v>22</v>
      </c>
      <c r="O34" s="19" t="s">
        <v>284</v>
      </c>
      <c r="P34" s="19" t="s">
        <v>285</v>
      </c>
      <c r="Q34" s="19" t="s">
        <v>285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11</v>
      </c>
      <c r="D35" s="19" t="s">
        <v>30</v>
      </c>
      <c r="E35" s="19" t="s">
        <v>30</v>
      </c>
      <c r="F35">
        <v>2</v>
      </c>
      <c r="G35">
        <v>3</v>
      </c>
      <c r="H35">
        <v>0.82069999999999999</v>
      </c>
      <c r="I35" s="19" t="s">
        <v>249</v>
      </c>
      <c r="J35" s="19" t="s">
        <v>30</v>
      </c>
      <c r="K35">
        <v>3</v>
      </c>
      <c r="L35">
        <v>2</v>
      </c>
      <c r="M35">
        <v>-0.56999999999999995</v>
      </c>
      <c r="N35" s="19" t="s">
        <v>11</v>
      </c>
      <c r="O35" s="19" t="s">
        <v>289</v>
      </c>
      <c r="P35" s="19" t="s">
        <v>287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18</v>
      </c>
      <c r="D36" s="19" t="s">
        <v>35</v>
      </c>
      <c r="E36" s="19" t="s">
        <v>18</v>
      </c>
      <c r="F36">
        <v>5</v>
      </c>
      <c r="G36">
        <v>3</v>
      </c>
      <c r="H36">
        <v>0.9365</v>
      </c>
      <c r="I36" s="19" t="s">
        <v>249</v>
      </c>
      <c r="J36" s="19" t="s">
        <v>18</v>
      </c>
      <c r="K36">
        <v>3</v>
      </c>
      <c r="L36">
        <v>2</v>
      </c>
      <c r="M36">
        <v>0.85</v>
      </c>
      <c r="N36" s="19" t="s">
        <v>35</v>
      </c>
      <c r="O36" s="19" t="s">
        <v>291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18</v>
      </c>
      <c r="D42" s="19" t="s">
        <v>37</v>
      </c>
      <c r="E42" s="19" t="s">
        <v>37</v>
      </c>
      <c r="F42">
        <v>3</v>
      </c>
      <c r="G42">
        <v>4</v>
      </c>
      <c r="H42">
        <v>0.62790000000000001</v>
      </c>
      <c r="I42" s="19" t="s">
        <v>249</v>
      </c>
      <c r="J42" s="19" t="s">
        <v>37</v>
      </c>
      <c r="K42">
        <v>3</v>
      </c>
      <c r="L42">
        <v>2</v>
      </c>
      <c r="M42">
        <v>-0.82</v>
      </c>
      <c r="N42" s="19" t="s">
        <v>37</v>
      </c>
      <c r="O42" s="19" t="s">
        <v>287</v>
      </c>
      <c r="P42" s="19" t="s">
        <v>288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36</v>
      </c>
      <c r="D43" s="19" t="s">
        <v>24</v>
      </c>
      <c r="E43" s="19" t="s">
        <v>24</v>
      </c>
      <c r="F43">
        <v>3</v>
      </c>
      <c r="G43">
        <v>4</v>
      </c>
      <c r="H43">
        <v>0.59130000000000005</v>
      </c>
      <c r="I43" s="19" t="s">
        <v>249</v>
      </c>
      <c r="J43" s="19" t="s">
        <v>24</v>
      </c>
      <c r="K43">
        <v>3</v>
      </c>
      <c r="L43">
        <v>2</v>
      </c>
      <c r="M43">
        <v>-0.11</v>
      </c>
      <c r="N43" s="19" t="s">
        <v>24</v>
      </c>
      <c r="O43" s="19" t="s">
        <v>291</v>
      </c>
      <c r="P43" s="19" t="s">
        <v>289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27</v>
      </c>
      <c r="D44" s="19" t="s">
        <v>33</v>
      </c>
      <c r="E44" s="19" t="s">
        <v>27</v>
      </c>
      <c r="F44">
        <v>4</v>
      </c>
      <c r="G44">
        <v>3</v>
      </c>
      <c r="H44">
        <v>0.60860000000000003</v>
      </c>
      <c r="I44" s="19" t="s">
        <v>249</v>
      </c>
      <c r="J44" s="19" t="s">
        <v>27</v>
      </c>
      <c r="K44">
        <v>3</v>
      </c>
      <c r="L44">
        <v>2</v>
      </c>
      <c r="M44">
        <v>0.41</v>
      </c>
      <c r="N44" s="19" t="s">
        <v>27</v>
      </c>
      <c r="O44" s="19" t="s">
        <v>289</v>
      </c>
      <c r="P44" s="19" t="s">
        <v>287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0.89583333333333337</v>
      </c>
      <c r="C45" s="19" t="s">
        <v>29</v>
      </c>
      <c r="D45" s="19" t="s">
        <v>12</v>
      </c>
      <c r="E45" s="19" t="s">
        <v>12</v>
      </c>
      <c r="F45">
        <v>1</v>
      </c>
      <c r="G45">
        <v>3</v>
      </c>
      <c r="H45">
        <v>0.93230000000000002</v>
      </c>
      <c r="I45" s="19" t="s">
        <v>249</v>
      </c>
      <c r="J45" s="19" t="s">
        <v>12</v>
      </c>
      <c r="K45">
        <v>3</v>
      </c>
      <c r="L45">
        <v>2</v>
      </c>
      <c r="M45">
        <v>-2.48</v>
      </c>
      <c r="N45" s="19" t="s">
        <v>29</v>
      </c>
      <c r="O45" s="19" t="s">
        <v>289</v>
      </c>
      <c r="P45" s="19" t="s">
        <v>291</v>
      </c>
      <c r="Q45" s="19" t="s">
        <v>287</v>
      </c>
      <c r="R45" s="19" t="s">
        <v>249</v>
      </c>
      <c r="S45" s="19" t="s">
        <v>249</v>
      </c>
      <c r="T45" s="19" t="s">
        <v>286</v>
      </c>
    </row>
    <row r="46" spans="1:20" x14ac:dyDescent="0.2">
      <c r="A46" s="1">
        <v>46000</v>
      </c>
      <c r="B46" s="2">
        <v>0.83333333333333337</v>
      </c>
      <c r="C46" s="19" t="s">
        <v>40</v>
      </c>
      <c r="D46" s="19" t="s">
        <v>39</v>
      </c>
      <c r="E46" s="19" t="s">
        <v>39</v>
      </c>
      <c r="F46">
        <v>4</v>
      </c>
      <c r="G46">
        <v>5</v>
      </c>
      <c r="H46">
        <v>0.66220000000000001</v>
      </c>
      <c r="I46" s="19" t="s">
        <v>249</v>
      </c>
      <c r="J46" s="19" t="s">
        <v>39</v>
      </c>
      <c r="K46">
        <v>3</v>
      </c>
      <c r="L46">
        <v>2</v>
      </c>
      <c r="M46">
        <v>-0.87</v>
      </c>
      <c r="N46" s="19" t="s">
        <v>39</v>
      </c>
      <c r="O46" s="19" t="s">
        <v>291</v>
      </c>
      <c r="P46" s="19" t="s">
        <v>289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0.8125</v>
      </c>
      <c r="C47" s="19" t="s">
        <v>25</v>
      </c>
      <c r="D47" s="19" t="s">
        <v>28</v>
      </c>
      <c r="E47" s="19" t="s">
        <v>28</v>
      </c>
      <c r="F47">
        <v>3</v>
      </c>
      <c r="G47">
        <v>4</v>
      </c>
      <c r="H47">
        <v>0.65369999999999995</v>
      </c>
      <c r="I47" s="19" t="s">
        <v>249</v>
      </c>
      <c r="J47" s="19" t="s">
        <v>25</v>
      </c>
      <c r="K47">
        <v>3</v>
      </c>
      <c r="L47">
        <v>2</v>
      </c>
      <c r="M47">
        <v>0.82</v>
      </c>
      <c r="N47" s="19" t="s">
        <v>25</v>
      </c>
      <c r="O47" s="19" t="s">
        <v>289</v>
      </c>
      <c r="P47" s="19" t="s">
        <v>287</v>
      </c>
      <c r="Q47" s="19" t="s">
        <v>285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35</v>
      </c>
      <c r="D48" s="19" t="s">
        <v>21</v>
      </c>
      <c r="E48" s="19" t="s">
        <v>21</v>
      </c>
      <c r="F48">
        <v>3</v>
      </c>
      <c r="G48">
        <v>4</v>
      </c>
      <c r="H48">
        <v>0.73719999999999997</v>
      </c>
      <c r="I48" s="19" t="s">
        <v>249</v>
      </c>
      <c r="J48" s="19" t="s">
        <v>21</v>
      </c>
      <c r="K48">
        <v>3</v>
      </c>
      <c r="L48">
        <v>2</v>
      </c>
      <c r="M48">
        <v>-1.08</v>
      </c>
      <c r="N48" s="19" t="s">
        <v>21</v>
      </c>
      <c r="O48" s="19" t="s">
        <v>284</v>
      </c>
      <c r="P48" s="19" t="s">
        <v>283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14</v>
      </c>
      <c r="D49" s="19" t="s">
        <v>31</v>
      </c>
      <c r="E49" s="19" t="s">
        <v>31</v>
      </c>
      <c r="F49">
        <v>3</v>
      </c>
      <c r="G49">
        <v>4</v>
      </c>
      <c r="H49">
        <v>0.58260000000000001</v>
      </c>
      <c r="I49" s="19" t="s">
        <v>249</v>
      </c>
      <c r="J49" s="19" t="s">
        <v>31</v>
      </c>
      <c r="K49">
        <v>3</v>
      </c>
      <c r="L49">
        <v>2</v>
      </c>
      <c r="M49">
        <v>-0.1</v>
      </c>
      <c r="N49" s="19" t="s">
        <v>31</v>
      </c>
      <c r="O49" s="19" t="s">
        <v>291</v>
      </c>
      <c r="P49" s="19" t="s">
        <v>289</v>
      </c>
      <c r="Q49" s="19" t="s">
        <v>287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30</v>
      </c>
      <c r="D50" s="19" t="s">
        <v>20</v>
      </c>
      <c r="E50" s="19" t="s">
        <v>20</v>
      </c>
      <c r="F50">
        <v>2</v>
      </c>
      <c r="G50">
        <v>3</v>
      </c>
      <c r="H50">
        <v>0.55740000000000001</v>
      </c>
      <c r="I50" s="19" t="s">
        <v>248</v>
      </c>
      <c r="J50" s="19" t="s">
        <v>30</v>
      </c>
      <c r="K50">
        <v>3</v>
      </c>
      <c r="L50">
        <v>2</v>
      </c>
      <c r="M50">
        <v>0.15</v>
      </c>
      <c r="N50" s="19" t="s">
        <v>30</v>
      </c>
      <c r="O50" s="19" t="s">
        <v>283</v>
      </c>
      <c r="P50" s="19" t="s">
        <v>289</v>
      </c>
      <c r="Q50" s="19" t="s">
        <v>287</v>
      </c>
      <c r="R50" s="19" t="s">
        <v>249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0.875</v>
      </c>
      <c r="C51" s="19" t="s">
        <v>17</v>
      </c>
      <c r="D51" s="19" t="s">
        <v>23</v>
      </c>
      <c r="E51" s="19" t="s">
        <v>17</v>
      </c>
      <c r="F51">
        <v>5</v>
      </c>
      <c r="G51">
        <v>4</v>
      </c>
      <c r="H51">
        <v>0.64319999999999999</v>
      </c>
      <c r="I51" s="19" t="s">
        <v>248</v>
      </c>
      <c r="J51" s="19" t="s">
        <v>17</v>
      </c>
      <c r="K51">
        <v>3</v>
      </c>
      <c r="L51">
        <v>2</v>
      </c>
      <c r="M51">
        <v>0.31</v>
      </c>
      <c r="N51" s="19" t="s">
        <v>23</v>
      </c>
      <c r="O51" s="19" t="s">
        <v>291</v>
      </c>
      <c r="P51" s="19" t="s">
        <v>289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27</v>
      </c>
      <c r="D56" s="19" t="s">
        <v>20</v>
      </c>
      <c r="E56" s="19" t="s">
        <v>27</v>
      </c>
      <c r="F56">
        <v>4</v>
      </c>
      <c r="G56">
        <v>3</v>
      </c>
      <c r="H56">
        <v>0.58589999999999998</v>
      </c>
      <c r="I56" s="19" t="s">
        <v>249</v>
      </c>
      <c r="J56" s="19" t="s">
        <v>27</v>
      </c>
      <c r="K56">
        <v>3</v>
      </c>
      <c r="L56">
        <v>2</v>
      </c>
      <c r="M56">
        <v>0.05</v>
      </c>
      <c r="N56" s="19" t="s">
        <v>20</v>
      </c>
      <c r="O56" s="19" t="s">
        <v>284</v>
      </c>
      <c r="P56" s="19" t="s">
        <v>291</v>
      </c>
      <c r="Q56" s="19" t="s">
        <v>287</v>
      </c>
      <c r="R56" s="19" t="s">
        <v>249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0.91666666666666663</v>
      </c>
      <c r="C57" s="19" t="s">
        <v>38</v>
      </c>
      <c r="D57" s="19" t="s">
        <v>23</v>
      </c>
      <c r="E57" s="19" t="s">
        <v>23</v>
      </c>
      <c r="F57">
        <v>3</v>
      </c>
      <c r="G57">
        <v>4</v>
      </c>
      <c r="H57">
        <v>0.61160000000000003</v>
      </c>
      <c r="I57" s="19" t="s">
        <v>249</v>
      </c>
      <c r="J57" s="19" t="s">
        <v>23</v>
      </c>
      <c r="K57">
        <v>3</v>
      </c>
      <c r="L57">
        <v>2</v>
      </c>
      <c r="M57">
        <v>-0.23</v>
      </c>
      <c r="N57" s="19" t="s">
        <v>23</v>
      </c>
      <c r="O57" s="19" t="s">
        <v>284</v>
      </c>
      <c r="P57" s="19" t="s">
        <v>291</v>
      </c>
      <c r="Q57" s="19" t="s">
        <v>285</v>
      </c>
      <c r="R57" s="19" t="s">
        <v>248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28</v>
      </c>
      <c r="D58" s="19" t="s">
        <v>36</v>
      </c>
      <c r="E58" s="19" t="s">
        <v>28</v>
      </c>
      <c r="F58">
        <v>4</v>
      </c>
      <c r="G58">
        <v>3</v>
      </c>
      <c r="H58">
        <v>0.55700000000000005</v>
      </c>
      <c r="I58" s="19" t="s">
        <v>249</v>
      </c>
      <c r="J58" s="19" t="s">
        <v>36</v>
      </c>
      <c r="K58">
        <v>3</v>
      </c>
      <c r="L58">
        <v>2</v>
      </c>
      <c r="M58">
        <v>-0.03</v>
      </c>
      <c r="N58" s="19" t="s">
        <v>36</v>
      </c>
      <c r="O58" s="19" t="s">
        <v>291</v>
      </c>
      <c r="P58" s="19" t="s">
        <v>288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0.875</v>
      </c>
      <c r="C59" s="19" t="s">
        <v>12</v>
      </c>
      <c r="D59" s="19" t="s">
        <v>11</v>
      </c>
      <c r="E59" s="19" t="s">
        <v>12</v>
      </c>
      <c r="F59">
        <v>4</v>
      </c>
      <c r="G59">
        <v>1</v>
      </c>
      <c r="H59">
        <v>0.94750000000000001</v>
      </c>
      <c r="I59" s="19" t="s">
        <v>249</v>
      </c>
      <c r="J59" s="19" t="s">
        <v>12</v>
      </c>
      <c r="K59">
        <v>3</v>
      </c>
      <c r="L59">
        <v>2</v>
      </c>
      <c r="M59">
        <v>1.69</v>
      </c>
      <c r="N59" s="19" t="s">
        <v>12</v>
      </c>
      <c r="O59" s="19" t="s">
        <v>288</v>
      </c>
      <c r="P59" s="19" t="s">
        <v>284</v>
      </c>
      <c r="Q59" s="19" t="s">
        <v>285</v>
      </c>
      <c r="R59" s="19" t="s">
        <v>248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30</v>
      </c>
      <c r="D60" s="19" t="s">
        <v>31</v>
      </c>
      <c r="E60" s="19" t="s">
        <v>30</v>
      </c>
      <c r="F60">
        <v>6</v>
      </c>
      <c r="G60">
        <v>3</v>
      </c>
      <c r="H60">
        <v>0.52490000000000003</v>
      </c>
      <c r="I60" s="19" t="s">
        <v>249</v>
      </c>
      <c r="J60" s="19" t="s">
        <v>31</v>
      </c>
      <c r="K60">
        <v>3</v>
      </c>
      <c r="L60">
        <v>2</v>
      </c>
      <c r="M60">
        <v>-7.0000000000000007E-2</v>
      </c>
      <c r="N60" s="19" t="s">
        <v>30</v>
      </c>
      <c r="O60" s="19" t="s">
        <v>283</v>
      </c>
      <c r="P60" s="19" t="s">
        <v>284</v>
      </c>
      <c r="Q60" s="19" t="s">
        <v>285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24</v>
      </c>
      <c r="D61" s="19" t="s">
        <v>37</v>
      </c>
      <c r="E61" s="19" t="s">
        <v>37</v>
      </c>
      <c r="F61">
        <v>2</v>
      </c>
      <c r="G61">
        <v>3</v>
      </c>
      <c r="H61">
        <v>0.68110000000000004</v>
      </c>
      <c r="I61" s="19" t="s">
        <v>249</v>
      </c>
      <c r="J61" s="19" t="s">
        <v>37</v>
      </c>
      <c r="K61">
        <v>3</v>
      </c>
      <c r="L61">
        <v>2</v>
      </c>
      <c r="M61">
        <v>-0.61</v>
      </c>
      <c r="N61" s="19" t="s">
        <v>37</v>
      </c>
      <c r="O61" s="19" t="s">
        <v>289</v>
      </c>
      <c r="P61" s="19" t="s">
        <v>1525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29</v>
      </c>
      <c r="D62" s="19" t="s">
        <v>35</v>
      </c>
      <c r="E62" s="19" t="s">
        <v>35</v>
      </c>
      <c r="F62">
        <v>2</v>
      </c>
      <c r="G62">
        <v>3</v>
      </c>
      <c r="H62">
        <v>0.59950000000000003</v>
      </c>
      <c r="I62" s="19" t="s">
        <v>249</v>
      </c>
      <c r="J62" s="19" t="s">
        <v>29</v>
      </c>
      <c r="K62">
        <v>3</v>
      </c>
      <c r="L62">
        <v>2</v>
      </c>
      <c r="M62">
        <v>0.34</v>
      </c>
      <c r="N62" s="19" t="s">
        <v>29</v>
      </c>
      <c r="O62" s="19" t="s">
        <v>292</v>
      </c>
      <c r="P62" s="19" t="s">
        <v>284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14</v>
      </c>
      <c r="D63" s="19" t="s">
        <v>18</v>
      </c>
      <c r="E63" s="19" t="s">
        <v>18</v>
      </c>
      <c r="F63">
        <v>3</v>
      </c>
      <c r="G63">
        <v>4</v>
      </c>
      <c r="H63">
        <v>0.73029999999999995</v>
      </c>
      <c r="I63" s="19" t="s">
        <v>249</v>
      </c>
      <c r="J63" s="19" t="s">
        <v>14</v>
      </c>
      <c r="K63">
        <v>3</v>
      </c>
      <c r="L63">
        <v>2</v>
      </c>
      <c r="M63">
        <v>0.77</v>
      </c>
      <c r="N63" s="19" t="s">
        <v>18</v>
      </c>
      <c r="O63" s="19" t="s">
        <v>284</v>
      </c>
      <c r="P63" s="19" t="s">
        <v>289</v>
      </c>
      <c r="Q63" s="19" t="s">
        <v>285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19</v>
      </c>
      <c r="D64" s="19" t="s">
        <v>33</v>
      </c>
      <c r="E64" s="19" t="s">
        <v>19</v>
      </c>
      <c r="F64">
        <v>5</v>
      </c>
      <c r="G64">
        <v>4</v>
      </c>
      <c r="H64">
        <v>0.66810000000000003</v>
      </c>
      <c r="I64" s="19" t="s">
        <v>249</v>
      </c>
      <c r="J64" s="19" t="s">
        <v>19</v>
      </c>
      <c r="K64">
        <v>3</v>
      </c>
      <c r="L64">
        <v>2</v>
      </c>
      <c r="M64">
        <v>0.46</v>
      </c>
      <c r="N64" s="19" t="s">
        <v>33</v>
      </c>
      <c r="O64" s="19" t="s">
        <v>284</v>
      </c>
      <c r="P64" s="19" t="s">
        <v>291</v>
      </c>
      <c r="Q64" s="19" t="s">
        <v>287</v>
      </c>
      <c r="R64" s="19" t="s">
        <v>249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22</v>
      </c>
      <c r="D65" s="19" t="s">
        <v>25</v>
      </c>
      <c r="E65" s="19" t="s">
        <v>25</v>
      </c>
      <c r="F65">
        <v>3</v>
      </c>
      <c r="G65">
        <v>4</v>
      </c>
      <c r="H65">
        <v>0.52529999999999999</v>
      </c>
      <c r="I65" s="19" t="s">
        <v>249</v>
      </c>
      <c r="J65" s="19" t="s">
        <v>22</v>
      </c>
      <c r="K65">
        <v>3</v>
      </c>
      <c r="L65">
        <v>2</v>
      </c>
      <c r="M65">
        <v>0.48</v>
      </c>
      <c r="N65" s="19" t="s">
        <v>25</v>
      </c>
      <c r="O65" s="19" t="s">
        <v>284</v>
      </c>
      <c r="P65" s="19" t="s">
        <v>291</v>
      </c>
      <c r="Q65" s="19" t="s">
        <v>287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0.875</v>
      </c>
      <c r="C66" s="19" t="s">
        <v>17</v>
      </c>
      <c r="D66" s="19" t="s">
        <v>26</v>
      </c>
      <c r="E66" s="19" t="s">
        <v>26</v>
      </c>
      <c r="F66">
        <v>3</v>
      </c>
      <c r="G66">
        <v>4</v>
      </c>
      <c r="H66">
        <v>0.69140000000000001</v>
      </c>
      <c r="I66" s="19" t="s">
        <v>249</v>
      </c>
      <c r="J66" s="19" t="s">
        <v>17</v>
      </c>
      <c r="K66">
        <v>3</v>
      </c>
      <c r="L66">
        <v>2</v>
      </c>
      <c r="M66">
        <v>0.14000000000000001</v>
      </c>
      <c r="N66" s="19" t="s">
        <v>17</v>
      </c>
      <c r="O66" s="19" t="s">
        <v>289</v>
      </c>
      <c r="P66" s="19" t="s">
        <v>287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0.83333333333333337</v>
      </c>
      <c r="C67" s="19" t="s">
        <v>34</v>
      </c>
      <c r="D67" s="19" t="s">
        <v>39</v>
      </c>
      <c r="E67" s="19" t="s">
        <v>34</v>
      </c>
      <c r="F67">
        <v>3</v>
      </c>
      <c r="G67">
        <v>2</v>
      </c>
      <c r="H67">
        <v>0.73089999999999999</v>
      </c>
      <c r="I67" s="19" t="s">
        <v>248</v>
      </c>
      <c r="J67" s="19" t="s">
        <v>39</v>
      </c>
      <c r="K67">
        <v>3</v>
      </c>
      <c r="L67">
        <v>2</v>
      </c>
      <c r="M67">
        <v>-0.66</v>
      </c>
      <c r="N67" s="19" t="s">
        <v>34</v>
      </c>
      <c r="O67" s="19" t="s">
        <v>283</v>
      </c>
      <c r="P67" s="19" t="s">
        <v>284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40</v>
      </c>
      <c r="D68" s="19" t="s">
        <v>21</v>
      </c>
      <c r="E68" s="19" t="s">
        <v>40</v>
      </c>
      <c r="F68">
        <v>3</v>
      </c>
      <c r="G68">
        <v>2</v>
      </c>
      <c r="H68">
        <v>0.61360000000000003</v>
      </c>
      <c r="I68" s="19" t="s">
        <v>249</v>
      </c>
      <c r="J68" s="19" t="s">
        <v>21</v>
      </c>
      <c r="K68">
        <v>3</v>
      </c>
      <c r="L68">
        <v>2</v>
      </c>
      <c r="M68">
        <v>-0.28000000000000003</v>
      </c>
      <c r="N68" s="19" t="s">
        <v>21</v>
      </c>
      <c r="O68" s="19" t="s">
        <v>291</v>
      </c>
      <c r="P68" s="19" t="s">
        <v>288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15</v>
      </c>
      <c r="D71" s="19" t="s">
        <v>18</v>
      </c>
      <c r="E71" s="19" t="s">
        <v>18</v>
      </c>
      <c r="F71">
        <v>1</v>
      </c>
      <c r="G71">
        <v>3</v>
      </c>
      <c r="H71">
        <v>0.72430000000000005</v>
      </c>
      <c r="I71" s="19" t="s">
        <v>249</v>
      </c>
      <c r="J71" s="19" t="s">
        <v>15</v>
      </c>
      <c r="K71">
        <v>3</v>
      </c>
      <c r="L71">
        <v>2</v>
      </c>
      <c r="M71">
        <v>0.53</v>
      </c>
      <c r="N71" s="19" t="s">
        <v>15</v>
      </c>
      <c r="O71" s="19" t="s">
        <v>283</v>
      </c>
      <c r="P71" s="19" t="s">
        <v>289</v>
      </c>
      <c r="Q71" s="19" t="s">
        <v>287</v>
      </c>
      <c r="R71" s="19" t="s">
        <v>249</v>
      </c>
      <c r="S71" s="19" t="s">
        <v>248</v>
      </c>
      <c r="T71" s="19" t="s">
        <v>286</v>
      </c>
    </row>
    <row r="72" spans="1:20" x14ac:dyDescent="0.2">
      <c r="A72" s="1">
        <v>46004</v>
      </c>
      <c r="B72" s="2">
        <v>0.64583333333333337</v>
      </c>
      <c r="C72" s="19" t="s">
        <v>30</v>
      </c>
      <c r="D72" s="19" t="s">
        <v>37</v>
      </c>
      <c r="E72" s="19" t="s">
        <v>30</v>
      </c>
      <c r="F72">
        <v>3</v>
      </c>
      <c r="G72">
        <v>2</v>
      </c>
      <c r="H72">
        <v>0.72950000000000004</v>
      </c>
      <c r="I72" s="19" t="s">
        <v>249</v>
      </c>
      <c r="J72" s="19" t="s">
        <v>37</v>
      </c>
      <c r="K72">
        <v>3</v>
      </c>
      <c r="L72">
        <v>2</v>
      </c>
      <c r="M72">
        <v>-0.31</v>
      </c>
      <c r="N72" s="19" t="s">
        <v>30</v>
      </c>
      <c r="O72" s="19" t="s">
        <v>291</v>
      </c>
      <c r="P72" s="19" t="s">
        <v>284</v>
      </c>
      <c r="Q72" s="19" t="s">
        <v>287</v>
      </c>
      <c r="R72" s="19" t="s">
        <v>248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19</v>
      </c>
      <c r="D73" s="19" t="s">
        <v>17</v>
      </c>
      <c r="E73" s="19" t="s">
        <v>19</v>
      </c>
      <c r="F73">
        <v>4</v>
      </c>
      <c r="G73">
        <v>3</v>
      </c>
      <c r="H73">
        <v>0.55420000000000003</v>
      </c>
      <c r="I73" s="19" t="s">
        <v>249</v>
      </c>
      <c r="J73" s="19" t="s">
        <v>19</v>
      </c>
      <c r="K73">
        <v>3</v>
      </c>
      <c r="L73">
        <v>2</v>
      </c>
      <c r="M73">
        <v>0.22</v>
      </c>
      <c r="N73" s="19" t="s">
        <v>17</v>
      </c>
      <c r="O73" s="19" t="s">
        <v>291</v>
      </c>
      <c r="P73" s="19" t="s">
        <v>288</v>
      </c>
      <c r="Q73" s="19" t="s">
        <v>285</v>
      </c>
      <c r="R73" s="19" t="s">
        <v>249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0.52083333333333337</v>
      </c>
      <c r="C74" s="19" t="s">
        <v>24</v>
      </c>
      <c r="D74" s="19" t="s">
        <v>31</v>
      </c>
      <c r="E74" s="19" t="s">
        <v>31</v>
      </c>
      <c r="F74">
        <v>3</v>
      </c>
      <c r="G74">
        <v>4</v>
      </c>
      <c r="H74">
        <v>0.55169999999999997</v>
      </c>
      <c r="I74" s="19" t="s">
        <v>249</v>
      </c>
      <c r="J74" s="19" t="s">
        <v>31</v>
      </c>
      <c r="K74">
        <v>3</v>
      </c>
      <c r="L74">
        <v>2</v>
      </c>
      <c r="M74">
        <v>-0.35</v>
      </c>
      <c r="N74" s="19" t="s">
        <v>24</v>
      </c>
      <c r="O74" s="19" t="s">
        <v>289</v>
      </c>
      <c r="P74" s="19" t="s">
        <v>287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27</v>
      </c>
      <c r="D75" s="19" t="s">
        <v>25</v>
      </c>
      <c r="E75" s="19" t="s">
        <v>25</v>
      </c>
      <c r="F75">
        <v>2</v>
      </c>
      <c r="G75">
        <v>3</v>
      </c>
      <c r="H75">
        <v>0.73609999999999998</v>
      </c>
      <c r="I75" s="19" t="s">
        <v>249</v>
      </c>
      <c r="J75" s="19" t="s">
        <v>25</v>
      </c>
      <c r="K75">
        <v>3</v>
      </c>
      <c r="L75">
        <v>2</v>
      </c>
      <c r="M75">
        <v>-0.39</v>
      </c>
      <c r="N75" s="19" t="s">
        <v>25</v>
      </c>
      <c r="O75" s="19" t="s">
        <v>291</v>
      </c>
      <c r="P75" s="19" t="s">
        <v>289</v>
      </c>
      <c r="Q75" s="19" t="s">
        <v>287</v>
      </c>
      <c r="R75" s="19" t="s">
        <v>248</v>
      </c>
      <c r="S75" s="19" t="s">
        <v>248</v>
      </c>
      <c r="T75" s="19" t="s">
        <v>286</v>
      </c>
    </row>
    <row r="76" spans="1:20" x14ac:dyDescent="0.2">
      <c r="A76" s="1">
        <v>46004</v>
      </c>
      <c r="B76" s="2">
        <v>0.875</v>
      </c>
      <c r="C76" s="19" t="s">
        <v>12</v>
      </c>
      <c r="D76" s="19" t="s">
        <v>29</v>
      </c>
      <c r="E76" s="19" t="s">
        <v>12</v>
      </c>
      <c r="F76">
        <v>6</v>
      </c>
      <c r="G76">
        <v>2</v>
      </c>
      <c r="H76">
        <v>0.91220000000000001</v>
      </c>
      <c r="I76" s="19" t="s">
        <v>249</v>
      </c>
      <c r="J76" s="19" t="s">
        <v>12</v>
      </c>
      <c r="K76">
        <v>3</v>
      </c>
      <c r="L76">
        <v>2</v>
      </c>
      <c r="M76">
        <v>2.38</v>
      </c>
      <c r="N76" s="19" t="s">
        <v>12</v>
      </c>
      <c r="O76" s="19" t="s">
        <v>289</v>
      </c>
      <c r="P76" s="19" t="s">
        <v>284</v>
      </c>
      <c r="Q76" s="19" t="s">
        <v>285</v>
      </c>
      <c r="R76" s="19" t="s">
        <v>248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0.58333333333333337</v>
      </c>
      <c r="C77" s="19" t="s">
        <v>34</v>
      </c>
      <c r="D77" s="19" t="s">
        <v>36</v>
      </c>
      <c r="E77" s="19" t="s">
        <v>36</v>
      </c>
      <c r="F77">
        <v>3</v>
      </c>
      <c r="G77">
        <v>4</v>
      </c>
      <c r="H77">
        <v>0.67749999999999999</v>
      </c>
      <c r="I77" s="19" t="s">
        <v>248</v>
      </c>
      <c r="J77" s="19" t="s">
        <v>34</v>
      </c>
      <c r="K77">
        <v>3</v>
      </c>
      <c r="L77">
        <v>2</v>
      </c>
      <c r="M77">
        <v>0.41</v>
      </c>
      <c r="N77" s="19" t="s">
        <v>34</v>
      </c>
      <c r="O77" s="19" t="s">
        <v>291</v>
      </c>
      <c r="P77" s="19" t="s">
        <v>284</v>
      </c>
      <c r="Q77" s="19" t="s">
        <v>285</v>
      </c>
      <c r="R77" s="19" t="s">
        <v>249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0.91666666666666663</v>
      </c>
      <c r="C78" s="19" t="s">
        <v>13</v>
      </c>
      <c r="D78" s="19" t="s">
        <v>16</v>
      </c>
      <c r="E78" s="19" t="s">
        <v>13</v>
      </c>
      <c r="F78">
        <v>3</v>
      </c>
      <c r="G78">
        <v>1</v>
      </c>
      <c r="H78">
        <v>0.80530000000000002</v>
      </c>
      <c r="I78" s="19" t="s">
        <v>249</v>
      </c>
      <c r="J78" s="19" t="s">
        <v>13</v>
      </c>
      <c r="K78">
        <v>3</v>
      </c>
      <c r="L78">
        <v>2</v>
      </c>
      <c r="M78">
        <v>0.77</v>
      </c>
      <c r="N78" s="19" t="s">
        <v>16</v>
      </c>
      <c r="O78" s="19" t="s">
        <v>287</v>
      </c>
      <c r="P78" s="19" t="s">
        <v>284</v>
      </c>
      <c r="Q78" s="19" t="s">
        <v>287</v>
      </c>
      <c r="R78" s="19" t="s">
        <v>249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28</v>
      </c>
      <c r="D79" s="19" t="s">
        <v>20</v>
      </c>
      <c r="E79" s="19" t="s">
        <v>20</v>
      </c>
      <c r="F79">
        <v>3</v>
      </c>
      <c r="G79">
        <v>4</v>
      </c>
      <c r="H79">
        <v>0.65100000000000002</v>
      </c>
      <c r="I79" s="19" t="s">
        <v>248</v>
      </c>
      <c r="J79" s="19" t="s">
        <v>20</v>
      </c>
      <c r="K79">
        <v>3</v>
      </c>
      <c r="L79">
        <v>2</v>
      </c>
      <c r="M79">
        <v>-0.59</v>
      </c>
      <c r="N79" s="19" t="s">
        <v>20</v>
      </c>
      <c r="O79" s="19" t="s">
        <v>284</v>
      </c>
      <c r="P79" s="19" t="s">
        <v>291</v>
      </c>
      <c r="Q79" s="19" t="s">
        <v>285</v>
      </c>
      <c r="R79" s="19" t="s">
        <v>248</v>
      </c>
      <c r="S79" s="19" t="s">
        <v>248</v>
      </c>
      <c r="T79" s="19" t="s">
        <v>286</v>
      </c>
    </row>
    <row r="80" spans="1:20" x14ac:dyDescent="0.2">
      <c r="A80" s="1">
        <v>46004</v>
      </c>
      <c r="B80" s="2">
        <v>0.625</v>
      </c>
      <c r="C80" s="19" t="s">
        <v>14</v>
      </c>
      <c r="D80" s="19" t="s">
        <v>33</v>
      </c>
      <c r="E80" s="19" t="s">
        <v>33</v>
      </c>
      <c r="F80">
        <v>3</v>
      </c>
      <c r="G80">
        <v>4</v>
      </c>
      <c r="H80">
        <v>0.5595</v>
      </c>
      <c r="I80" s="19" t="s">
        <v>249</v>
      </c>
      <c r="J80" s="19" t="s">
        <v>14</v>
      </c>
      <c r="K80">
        <v>3</v>
      </c>
      <c r="L80">
        <v>2</v>
      </c>
      <c r="M80">
        <v>0.51</v>
      </c>
      <c r="N80" s="19" t="s">
        <v>33</v>
      </c>
      <c r="O80" s="19" t="s">
        <v>283</v>
      </c>
      <c r="P80" s="19" t="s">
        <v>288</v>
      </c>
      <c r="Q80" s="19" t="s">
        <v>287</v>
      </c>
      <c r="R80" s="19" t="s">
        <v>248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0.83333333333333337</v>
      </c>
      <c r="C81" s="19" t="s">
        <v>10</v>
      </c>
      <c r="D81" s="19" t="s">
        <v>26</v>
      </c>
      <c r="E81" s="19" t="s">
        <v>26</v>
      </c>
      <c r="F81">
        <v>3</v>
      </c>
      <c r="G81">
        <v>4</v>
      </c>
      <c r="H81">
        <v>0.53810000000000002</v>
      </c>
      <c r="I81" s="19" t="s">
        <v>248</v>
      </c>
      <c r="J81" s="19" t="s">
        <v>10</v>
      </c>
      <c r="K81">
        <v>3</v>
      </c>
      <c r="L81">
        <v>2</v>
      </c>
      <c r="M81">
        <v>0.28000000000000003</v>
      </c>
      <c r="N81" s="19" t="s">
        <v>26</v>
      </c>
      <c r="O81" s="19" t="s">
        <v>285</v>
      </c>
      <c r="P81" s="19" t="s">
        <v>289</v>
      </c>
      <c r="Q81" s="19" t="s">
        <v>285</v>
      </c>
      <c r="R81" s="19" t="s">
        <v>248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40</v>
      </c>
      <c r="D82" s="19" t="s">
        <v>22</v>
      </c>
      <c r="E82" s="19" t="s">
        <v>22</v>
      </c>
      <c r="F82">
        <v>4</v>
      </c>
      <c r="G82">
        <v>5</v>
      </c>
      <c r="H82">
        <v>0.60980000000000001</v>
      </c>
      <c r="I82" s="19" t="s">
        <v>249</v>
      </c>
      <c r="J82" s="19" t="s">
        <v>22</v>
      </c>
      <c r="K82">
        <v>3</v>
      </c>
      <c r="L82">
        <v>2</v>
      </c>
      <c r="M82">
        <v>-1.01</v>
      </c>
      <c r="N82" s="19" t="s">
        <v>40</v>
      </c>
      <c r="O82" s="19" t="s">
        <v>283</v>
      </c>
      <c r="P82" s="19" t="s">
        <v>287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0.83333333333333337</v>
      </c>
      <c r="C83" s="19" t="s">
        <v>39</v>
      </c>
      <c r="D83" s="19" t="s">
        <v>11</v>
      </c>
      <c r="E83" s="19" t="s">
        <v>39</v>
      </c>
      <c r="F83">
        <v>4</v>
      </c>
      <c r="G83">
        <v>3</v>
      </c>
      <c r="H83">
        <v>0.54620000000000002</v>
      </c>
      <c r="I83" s="19" t="s">
        <v>249</v>
      </c>
      <c r="J83" s="19" t="s">
        <v>39</v>
      </c>
      <c r="K83">
        <v>3</v>
      </c>
      <c r="L83">
        <v>2</v>
      </c>
      <c r="M83">
        <v>0.95</v>
      </c>
      <c r="N83" s="19" t="s">
        <v>11</v>
      </c>
      <c r="O83" s="19" t="s">
        <v>285</v>
      </c>
      <c r="P83" s="19" t="s">
        <v>289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0.79166666666666663</v>
      </c>
      <c r="C84" s="19" t="s">
        <v>18</v>
      </c>
      <c r="D84" s="19" t="s">
        <v>17</v>
      </c>
      <c r="E84" s="19" t="s">
        <v>18</v>
      </c>
      <c r="F84">
        <v>4</v>
      </c>
      <c r="G84">
        <v>3</v>
      </c>
      <c r="H84">
        <v>0.51900000000000002</v>
      </c>
      <c r="I84" s="19" t="s">
        <v>249</v>
      </c>
      <c r="J84" s="19" t="s">
        <v>17</v>
      </c>
      <c r="K84">
        <v>3</v>
      </c>
      <c r="L84">
        <v>2</v>
      </c>
      <c r="M84">
        <v>-0.24</v>
      </c>
      <c r="N84" s="19" t="s">
        <v>18</v>
      </c>
      <c r="O84" s="19" t="s">
        <v>289</v>
      </c>
      <c r="P84" s="19" t="s">
        <v>287</v>
      </c>
      <c r="Q84" s="19" t="s">
        <v>285</v>
      </c>
      <c r="R84" s="19" t="s">
        <v>248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15</v>
      </c>
      <c r="D90" s="19" t="s">
        <v>31</v>
      </c>
      <c r="E90" s="19" t="s">
        <v>31</v>
      </c>
      <c r="F90">
        <v>2</v>
      </c>
      <c r="G90">
        <v>3</v>
      </c>
      <c r="H90">
        <v>0.80940000000000001</v>
      </c>
      <c r="I90" s="19" t="s">
        <v>249</v>
      </c>
      <c r="J90" s="19" t="s">
        <v>31</v>
      </c>
      <c r="K90">
        <v>3</v>
      </c>
      <c r="L90">
        <v>2</v>
      </c>
      <c r="M90">
        <v>-0.12</v>
      </c>
      <c r="N90" s="19" t="s">
        <v>31</v>
      </c>
      <c r="O90" s="19" t="s">
        <v>287</v>
      </c>
      <c r="P90" s="19" t="s">
        <v>289</v>
      </c>
      <c r="Q90" s="19" t="s">
        <v>285</v>
      </c>
      <c r="R90" s="19" t="s">
        <v>248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0.8125</v>
      </c>
      <c r="C91" s="19" t="s">
        <v>40</v>
      </c>
      <c r="D91" s="19" t="s">
        <v>36</v>
      </c>
      <c r="E91" s="19" t="s">
        <v>40</v>
      </c>
      <c r="F91">
        <v>5</v>
      </c>
      <c r="G91">
        <v>3</v>
      </c>
      <c r="H91">
        <v>0.67500000000000004</v>
      </c>
      <c r="I91" s="19" t="s">
        <v>249</v>
      </c>
      <c r="J91" s="19" t="s">
        <v>40</v>
      </c>
      <c r="K91">
        <v>3</v>
      </c>
      <c r="L91">
        <v>2</v>
      </c>
      <c r="M91">
        <v>0.18</v>
      </c>
      <c r="N91" s="19" t="s">
        <v>36</v>
      </c>
      <c r="O91" s="19" t="s">
        <v>284</v>
      </c>
      <c r="P91" s="19" t="s">
        <v>291</v>
      </c>
      <c r="Q91" s="19" t="s">
        <v>287</v>
      </c>
      <c r="R91" s="19" t="s">
        <v>249</v>
      </c>
      <c r="S91" s="19" t="s">
        <v>249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35</v>
      </c>
      <c r="D92" s="19" t="s">
        <v>29</v>
      </c>
      <c r="E92" s="19" t="s">
        <v>35</v>
      </c>
      <c r="F92">
        <v>3</v>
      </c>
      <c r="G92">
        <v>2</v>
      </c>
      <c r="H92">
        <v>0.61380000000000001</v>
      </c>
      <c r="I92" s="19" t="s">
        <v>249</v>
      </c>
      <c r="J92" s="19" t="s">
        <v>29</v>
      </c>
      <c r="K92">
        <v>3</v>
      </c>
      <c r="L92">
        <v>2</v>
      </c>
      <c r="M92">
        <v>-0.43</v>
      </c>
      <c r="N92" s="19" t="s">
        <v>29</v>
      </c>
      <c r="O92" s="19" t="s">
        <v>284</v>
      </c>
      <c r="P92" s="19" t="s">
        <v>283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0.83333333333333337</v>
      </c>
      <c r="C93" s="19" t="s">
        <v>39</v>
      </c>
      <c r="D93" s="19" t="s">
        <v>13</v>
      </c>
      <c r="E93" s="19" t="s">
        <v>13</v>
      </c>
      <c r="F93">
        <v>3</v>
      </c>
      <c r="G93">
        <v>4</v>
      </c>
      <c r="H93">
        <v>0.58589999999999998</v>
      </c>
      <c r="I93" s="19" t="s">
        <v>248</v>
      </c>
      <c r="J93" s="19" t="s">
        <v>39</v>
      </c>
      <c r="K93">
        <v>3</v>
      </c>
      <c r="L93">
        <v>2</v>
      </c>
      <c r="M93">
        <v>0.66</v>
      </c>
      <c r="N93" s="19" t="s">
        <v>39</v>
      </c>
      <c r="O93" s="19" t="s">
        <v>289</v>
      </c>
      <c r="P93" s="19" t="s">
        <v>287</v>
      </c>
      <c r="Q93" s="19" t="s">
        <v>285</v>
      </c>
      <c r="R93" s="19" t="s">
        <v>249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18</v>
      </c>
      <c r="D95" s="19" t="s">
        <v>27</v>
      </c>
      <c r="E95" s="19" t="s">
        <v>27</v>
      </c>
      <c r="F95">
        <v>3</v>
      </c>
      <c r="G95">
        <v>5</v>
      </c>
      <c r="H95">
        <v>0.84399999999999997</v>
      </c>
      <c r="I95" s="19" t="s">
        <v>248</v>
      </c>
      <c r="J95" s="19" t="s">
        <v>27</v>
      </c>
      <c r="K95">
        <v>3</v>
      </c>
      <c r="L95">
        <v>2</v>
      </c>
      <c r="M95">
        <v>-0.4</v>
      </c>
      <c r="N95" s="19" t="s">
        <v>27</v>
      </c>
      <c r="O95" s="19" t="s">
        <v>287</v>
      </c>
      <c r="P95" s="19" t="s">
        <v>289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0.8125</v>
      </c>
      <c r="C96" s="19" t="s">
        <v>14</v>
      </c>
      <c r="D96" s="19" t="s">
        <v>17</v>
      </c>
      <c r="E96" s="19" t="s">
        <v>17</v>
      </c>
      <c r="F96">
        <v>4</v>
      </c>
      <c r="G96">
        <v>5</v>
      </c>
      <c r="H96">
        <v>0.51959999999999995</v>
      </c>
      <c r="I96" s="19" t="s">
        <v>249</v>
      </c>
      <c r="J96" s="19" t="s">
        <v>14</v>
      </c>
      <c r="K96">
        <v>3</v>
      </c>
      <c r="L96">
        <v>2</v>
      </c>
      <c r="M96">
        <v>0.28999999999999998</v>
      </c>
      <c r="N96" s="19" t="s">
        <v>17</v>
      </c>
      <c r="O96" s="19" t="s">
        <v>289</v>
      </c>
      <c r="P96" s="19" t="s">
        <v>288</v>
      </c>
      <c r="Q96" s="19" t="s">
        <v>285</v>
      </c>
      <c r="R96" s="19" t="s">
        <v>248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0.83333333333333337</v>
      </c>
      <c r="C97" s="19" t="s">
        <v>34</v>
      </c>
      <c r="D97" s="19" t="s">
        <v>22</v>
      </c>
      <c r="E97" s="19" t="s">
        <v>22</v>
      </c>
      <c r="F97">
        <v>3</v>
      </c>
      <c r="G97">
        <v>4</v>
      </c>
      <c r="H97">
        <v>0.60750000000000004</v>
      </c>
      <c r="I97" s="19" t="s">
        <v>249</v>
      </c>
      <c r="J97" s="19" t="s">
        <v>22</v>
      </c>
      <c r="K97">
        <v>3</v>
      </c>
      <c r="L97">
        <v>2</v>
      </c>
      <c r="M97">
        <v>-0.33</v>
      </c>
      <c r="N97" s="19" t="s">
        <v>34</v>
      </c>
      <c r="O97" s="19" t="s">
        <v>283</v>
      </c>
      <c r="P97" s="19" t="s">
        <v>285</v>
      </c>
      <c r="Q97" s="19" t="s">
        <v>285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15</v>
      </c>
      <c r="D98" s="19" t="s">
        <v>38</v>
      </c>
      <c r="E98" s="19" t="s">
        <v>15</v>
      </c>
      <c r="F98">
        <v>3</v>
      </c>
      <c r="G98">
        <v>2</v>
      </c>
      <c r="H98">
        <v>0.67700000000000005</v>
      </c>
      <c r="I98" s="19" t="s">
        <v>249</v>
      </c>
      <c r="J98" s="19" t="s">
        <v>15</v>
      </c>
      <c r="K98">
        <v>3</v>
      </c>
      <c r="L98">
        <v>2</v>
      </c>
      <c r="M98">
        <v>0.74</v>
      </c>
      <c r="N98" s="19" t="s">
        <v>38</v>
      </c>
      <c r="O98" s="19" t="s">
        <v>285</v>
      </c>
      <c r="P98" s="19" t="s">
        <v>291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0.91666666666666663</v>
      </c>
      <c r="C99" s="19" t="s">
        <v>33</v>
      </c>
      <c r="D99" s="19" t="s">
        <v>16</v>
      </c>
      <c r="E99" s="19" t="s">
        <v>33</v>
      </c>
      <c r="F99">
        <v>4</v>
      </c>
      <c r="G99">
        <v>2</v>
      </c>
      <c r="H99">
        <v>0.70199999999999996</v>
      </c>
      <c r="I99" s="19" t="s">
        <v>249</v>
      </c>
      <c r="J99" s="19" t="s">
        <v>33</v>
      </c>
      <c r="K99">
        <v>3</v>
      </c>
      <c r="L99">
        <v>2</v>
      </c>
      <c r="M99">
        <v>0.32</v>
      </c>
      <c r="N99" s="19" t="s">
        <v>33</v>
      </c>
      <c r="O99" s="19" t="s">
        <v>288</v>
      </c>
      <c r="P99" s="19" t="s">
        <v>291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28</v>
      </c>
      <c r="D100" s="19" t="s">
        <v>31</v>
      </c>
      <c r="E100" s="19" t="s">
        <v>31</v>
      </c>
      <c r="F100">
        <v>3</v>
      </c>
      <c r="G100">
        <v>4</v>
      </c>
      <c r="H100">
        <v>0.55640000000000001</v>
      </c>
      <c r="I100" s="19" t="s">
        <v>249</v>
      </c>
      <c r="J100" s="19" t="s">
        <v>31</v>
      </c>
      <c r="K100">
        <v>3</v>
      </c>
      <c r="L100">
        <v>2</v>
      </c>
      <c r="M100">
        <v>-0.74</v>
      </c>
      <c r="N100" s="19" t="s">
        <v>28</v>
      </c>
      <c r="O100" s="19" t="s">
        <v>289</v>
      </c>
      <c r="P100" s="19" t="s">
        <v>291</v>
      </c>
      <c r="Q100" s="19" t="s">
        <v>287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19</v>
      </c>
      <c r="D101" s="19" t="s">
        <v>10</v>
      </c>
      <c r="E101" s="19" t="s">
        <v>19</v>
      </c>
      <c r="F101">
        <v>4</v>
      </c>
      <c r="G101">
        <v>3</v>
      </c>
      <c r="H101">
        <v>0.54720000000000002</v>
      </c>
      <c r="I101" s="19" t="s">
        <v>248</v>
      </c>
      <c r="J101" s="19" t="s">
        <v>19</v>
      </c>
      <c r="K101">
        <v>3</v>
      </c>
      <c r="L101">
        <v>2</v>
      </c>
      <c r="M101">
        <v>0.32</v>
      </c>
      <c r="N101" s="19" t="s">
        <v>19</v>
      </c>
      <c r="O101" s="19" t="s">
        <v>291</v>
      </c>
      <c r="P101" s="19" t="s">
        <v>284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32</v>
      </c>
      <c r="D102" s="19" t="s">
        <v>12</v>
      </c>
      <c r="E102" s="19" t="s">
        <v>12</v>
      </c>
      <c r="F102">
        <v>1</v>
      </c>
      <c r="G102">
        <v>2</v>
      </c>
      <c r="H102">
        <v>0.81510000000000005</v>
      </c>
      <c r="I102" s="19" t="s">
        <v>249</v>
      </c>
      <c r="J102" s="19" t="s">
        <v>12</v>
      </c>
      <c r="K102">
        <v>3</v>
      </c>
      <c r="L102">
        <v>2</v>
      </c>
      <c r="M102">
        <v>-2.2999999999999998</v>
      </c>
      <c r="N102" s="19" t="s">
        <v>12</v>
      </c>
      <c r="O102" s="19" t="s">
        <v>291</v>
      </c>
      <c r="P102" s="19" t="s">
        <v>283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21</v>
      </c>
      <c r="D103" s="19" t="s">
        <v>55</v>
      </c>
      <c r="E103" s="19" t="s">
        <v>21</v>
      </c>
      <c r="F103">
        <v>4</v>
      </c>
      <c r="G103">
        <v>3</v>
      </c>
      <c r="H103">
        <v>0.66569999999999996</v>
      </c>
      <c r="I103" s="19" t="s">
        <v>249</v>
      </c>
      <c r="J103" s="19" t="s">
        <v>21</v>
      </c>
      <c r="K103">
        <v>3</v>
      </c>
      <c r="L103">
        <v>2</v>
      </c>
      <c r="M103">
        <v>0.17</v>
      </c>
      <c r="N103" s="19" t="s">
        <v>21</v>
      </c>
      <c r="O103" s="19" t="s">
        <v>289</v>
      </c>
      <c r="P103" s="19" t="s">
        <v>287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26</v>
      </c>
      <c r="D104" s="19" t="s">
        <v>30</v>
      </c>
      <c r="E104" s="19" t="s">
        <v>30</v>
      </c>
      <c r="F104">
        <v>3</v>
      </c>
      <c r="G104">
        <v>4</v>
      </c>
      <c r="H104">
        <v>0.70879999999999999</v>
      </c>
      <c r="I104" s="19" t="s">
        <v>249</v>
      </c>
      <c r="J104" s="19" t="s">
        <v>30</v>
      </c>
      <c r="K104">
        <v>3</v>
      </c>
      <c r="L104">
        <v>2</v>
      </c>
      <c r="M104">
        <v>-0.69</v>
      </c>
      <c r="N104" s="19" t="s">
        <v>26</v>
      </c>
      <c r="O104" s="19" t="s">
        <v>291</v>
      </c>
      <c r="P104" s="19" t="s">
        <v>284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35</v>
      </c>
      <c r="D105" s="19" t="s">
        <v>40</v>
      </c>
      <c r="E105" s="19" t="s">
        <v>40</v>
      </c>
      <c r="F105">
        <v>3</v>
      </c>
      <c r="G105">
        <v>4</v>
      </c>
      <c r="H105">
        <v>0.5867</v>
      </c>
      <c r="I105" s="19" t="s">
        <v>249</v>
      </c>
      <c r="J105" s="19" t="s">
        <v>40</v>
      </c>
      <c r="K105">
        <v>3</v>
      </c>
      <c r="L105">
        <v>2</v>
      </c>
      <c r="M105">
        <v>-1.06</v>
      </c>
      <c r="N105" s="19" t="s">
        <v>35</v>
      </c>
      <c r="O105" s="19" t="s">
        <v>287</v>
      </c>
      <c r="P105" s="19" t="s">
        <v>285</v>
      </c>
      <c r="Q105" s="19" t="s">
        <v>285</v>
      </c>
      <c r="R105" s="19" t="s">
        <v>249</v>
      </c>
      <c r="S105" s="19" t="s">
        <v>249</v>
      </c>
      <c r="T105" s="19" t="s">
        <v>286</v>
      </c>
    </row>
    <row r="106" spans="1:20" x14ac:dyDescent="0.2">
      <c r="A106" s="1">
        <v>46008</v>
      </c>
      <c r="B106" s="2">
        <v>0.79166666666666663</v>
      </c>
      <c r="C106" s="19" t="s">
        <v>11</v>
      </c>
      <c r="D106" s="19" t="s">
        <v>13</v>
      </c>
      <c r="E106" s="19" t="s">
        <v>13</v>
      </c>
      <c r="F106">
        <v>3</v>
      </c>
      <c r="G106">
        <v>4</v>
      </c>
      <c r="H106">
        <v>0.58260000000000001</v>
      </c>
      <c r="I106" s="19" t="s">
        <v>249</v>
      </c>
      <c r="J106" s="19" t="s">
        <v>11</v>
      </c>
      <c r="K106">
        <v>3</v>
      </c>
      <c r="L106">
        <v>2</v>
      </c>
      <c r="M106">
        <v>0.27</v>
      </c>
      <c r="N106" s="19" t="s">
        <v>11</v>
      </c>
      <c r="O106" s="19" t="s">
        <v>291</v>
      </c>
      <c r="P106" s="19" t="s">
        <v>284</v>
      </c>
      <c r="Q106" s="19" t="s">
        <v>285</v>
      </c>
      <c r="R106" s="19" t="s">
        <v>249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0.8125</v>
      </c>
      <c r="C107" s="19" t="s">
        <v>26</v>
      </c>
      <c r="D107" s="19" t="s">
        <v>55</v>
      </c>
      <c r="E107" s="19" t="s">
        <v>26</v>
      </c>
      <c r="F107">
        <v>4</v>
      </c>
      <c r="G107">
        <v>3</v>
      </c>
      <c r="H107">
        <v>0.78159999999999996</v>
      </c>
      <c r="I107" s="19" t="s">
        <v>249</v>
      </c>
      <c r="J107" s="19" t="s">
        <v>55</v>
      </c>
      <c r="K107">
        <v>3</v>
      </c>
      <c r="L107">
        <v>2</v>
      </c>
      <c r="M107">
        <v>-0.24</v>
      </c>
      <c r="N107" s="19" t="s">
        <v>55</v>
      </c>
      <c r="O107" s="19" t="s">
        <v>287</v>
      </c>
      <c r="P107" s="19" t="s">
        <v>289</v>
      </c>
      <c r="Q107" s="19" t="s">
        <v>285</v>
      </c>
      <c r="R107" s="19" t="s">
        <v>249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29</v>
      </c>
      <c r="D108" s="19" t="s">
        <v>25</v>
      </c>
      <c r="E108" s="19" t="s">
        <v>25</v>
      </c>
      <c r="F108">
        <v>2</v>
      </c>
      <c r="G108">
        <v>3</v>
      </c>
      <c r="H108">
        <v>0.78949999999999998</v>
      </c>
      <c r="I108" s="19" t="s">
        <v>249</v>
      </c>
      <c r="J108" s="19" t="s">
        <v>25</v>
      </c>
      <c r="K108">
        <v>3</v>
      </c>
      <c r="L108">
        <v>2</v>
      </c>
      <c r="M108">
        <v>-1.1100000000000001</v>
      </c>
      <c r="N108" s="19" t="s">
        <v>25</v>
      </c>
      <c r="O108" s="19" t="s">
        <v>287</v>
      </c>
      <c r="P108" s="19" t="s">
        <v>289</v>
      </c>
      <c r="Q108" s="19" t="s">
        <v>285</v>
      </c>
      <c r="R108" s="19" t="s">
        <v>248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0.91666666666666663</v>
      </c>
      <c r="C109" s="19" t="s">
        <v>20</v>
      </c>
      <c r="D109" s="19" t="s">
        <v>24</v>
      </c>
      <c r="E109" s="19" t="s">
        <v>24</v>
      </c>
      <c r="F109">
        <v>3</v>
      </c>
      <c r="G109">
        <v>4</v>
      </c>
      <c r="H109">
        <v>0.62290000000000001</v>
      </c>
      <c r="I109" s="19" t="s">
        <v>249</v>
      </c>
      <c r="J109" s="19" t="s">
        <v>20</v>
      </c>
      <c r="K109">
        <v>3</v>
      </c>
      <c r="L109">
        <v>2</v>
      </c>
      <c r="M109">
        <v>0.4</v>
      </c>
      <c r="N109" s="19" t="s">
        <v>24</v>
      </c>
      <c r="O109" s="19" t="s">
        <v>287</v>
      </c>
      <c r="P109" s="19" t="s">
        <v>284</v>
      </c>
      <c r="Q109" s="19" t="s">
        <v>287</v>
      </c>
      <c r="R109" s="19" t="s">
        <v>248</v>
      </c>
      <c r="S109" s="19" t="s">
        <v>249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22</v>
      </c>
      <c r="D110" s="19" t="s">
        <v>19</v>
      </c>
      <c r="E110" s="19" t="s">
        <v>22</v>
      </c>
      <c r="F110">
        <v>4</v>
      </c>
      <c r="G110">
        <v>3</v>
      </c>
      <c r="H110">
        <v>0.75260000000000005</v>
      </c>
      <c r="I110" s="19" t="s">
        <v>249</v>
      </c>
      <c r="J110" s="19" t="s">
        <v>22</v>
      </c>
      <c r="K110">
        <v>3</v>
      </c>
      <c r="L110">
        <v>2</v>
      </c>
      <c r="M110">
        <v>0.7</v>
      </c>
      <c r="N110" s="19" t="s">
        <v>22</v>
      </c>
      <c r="O110" s="19" t="s">
        <v>289</v>
      </c>
      <c r="P110" s="19" t="s">
        <v>285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0.83333333333333337</v>
      </c>
      <c r="C111" s="19" t="s">
        <v>35</v>
      </c>
      <c r="D111" s="19" t="s">
        <v>15</v>
      </c>
      <c r="E111" s="19" t="s">
        <v>15</v>
      </c>
      <c r="F111">
        <v>2</v>
      </c>
      <c r="G111">
        <v>4</v>
      </c>
      <c r="H111">
        <v>0.79800000000000004</v>
      </c>
      <c r="I111" s="19" t="s">
        <v>249</v>
      </c>
      <c r="J111" s="19" t="s">
        <v>15</v>
      </c>
      <c r="K111">
        <v>3</v>
      </c>
      <c r="L111">
        <v>2</v>
      </c>
      <c r="M111">
        <v>-0.96</v>
      </c>
      <c r="N111" s="19" t="s">
        <v>15</v>
      </c>
      <c r="O111" s="19" t="s">
        <v>287</v>
      </c>
      <c r="P111" s="19" t="s">
        <v>284</v>
      </c>
      <c r="Q111" s="19" t="s">
        <v>287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0.8125</v>
      </c>
      <c r="C112" s="19" t="s">
        <v>23</v>
      </c>
      <c r="D112" s="19" t="s">
        <v>27</v>
      </c>
      <c r="E112" s="19" t="s">
        <v>27</v>
      </c>
      <c r="F112">
        <v>2</v>
      </c>
      <c r="G112">
        <v>3</v>
      </c>
      <c r="H112">
        <v>0.50270000000000004</v>
      </c>
      <c r="I112" s="19" t="s">
        <v>249</v>
      </c>
      <c r="J112" s="19" t="s">
        <v>27</v>
      </c>
      <c r="K112">
        <v>3</v>
      </c>
      <c r="L112">
        <v>2</v>
      </c>
      <c r="M112">
        <v>-0.48</v>
      </c>
      <c r="N112" s="19" t="s">
        <v>23</v>
      </c>
      <c r="O112" s="19" t="s">
        <v>283</v>
      </c>
      <c r="P112" s="19" t="s">
        <v>291</v>
      </c>
      <c r="Q112" s="19" t="s">
        <v>285</v>
      </c>
      <c r="R112" s="19" t="s">
        <v>249</v>
      </c>
      <c r="S112" s="19" t="s">
        <v>249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21</v>
      </c>
      <c r="D113" s="19" t="s">
        <v>17</v>
      </c>
      <c r="E113" s="19" t="s">
        <v>21</v>
      </c>
      <c r="F113">
        <v>4</v>
      </c>
      <c r="G113">
        <v>2</v>
      </c>
      <c r="H113">
        <v>0.83350000000000002</v>
      </c>
      <c r="I113" s="19" t="s">
        <v>249</v>
      </c>
      <c r="J113" s="19" t="s">
        <v>21</v>
      </c>
      <c r="K113">
        <v>3</v>
      </c>
      <c r="L113">
        <v>2</v>
      </c>
      <c r="M113">
        <v>0.49</v>
      </c>
      <c r="N113" s="19" t="s">
        <v>17</v>
      </c>
      <c r="O113" s="19" t="s">
        <v>287</v>
      </c>
      <c r="P113" s="19" t="s">
        <v>291</v>
      </c>
      <c r="Q113" s="19" t="s">
        <v>285</v>
      </c>
      <c r="R113" s="19" t="s">
        <v>249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36</v>
      </c>
      <c r="D114" s="19" t="s">
        <v>14</v>
      </c>
      <c r="E114" s="19" t="s">
        <v>14</v>
      </c>
      <c r="F114">
        <v>3</v>
      </c>
      <c r="G114">
        <v>4</v>
      </c>
      <c r="H114">
        <v>0.58830000000000005</v>
      </c>
      <c r="I114" s="19" t="s">
        <v>249</v>
      </c>
      <c r="J114" s="19" t="s">
        <v>14</v>
      </c>
      <c r="K114">
        <v>3</v>
      </c>
      <c r="L114">
        <v>2</v>
      </c>
      <c r="M114">
        <v>-0.03</v>
      </c>
      <c r="N114" s="19" t="s">
        <v>36</v>
      </c>
      <c r="O114" s="19" t="s">
        <v>289</v>
      </c>
      <c r="P114" s="19" t="s">
        <v>285</v>
      </c>
      <c r="Q114" s="19" t="s">
        <v>285</v>
      </c>
      <c r="R114" s="19" t="s">
        <v>249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37</v>
      </c>
      <c r="D115" s="19" t="s">
        <v>13</v>
      </c>
      <c r="E115" s="19" t="s">
        <v>13</v>
      </c>
      <c r="F115">
        <v>3</v>
      </c>
      <c r="G115">
        <v>4</v>
      </c>
      <c r="H115">
        <v>0.55379999999999996</v>
      </c>
      <c r="I115" s="19" t="s">
        <v>249</v>
      </c>
      <c r="J115" s="19" t="s">
        <v>37</v>
      </c>
      <c r="K115">
        <v>3</v>
      </c>
      <c r="L115">
        <v>2</v>
      </c>
      <c r="M115">
        <v>0.76</v>
      </c>
      <c r="N115" s="19" t="s">
        <v>13</v>
      </c>
      <c r="O115" s="19" t="s">
        <v>287</v>
      </c>
      <c r="P115" s="19" t="s">
        <v>284</v>
      </c>
      <c r="Q115" s="19" t="s">
        <v>285</v>
      </c>
      <c r="R115" s="19" t="s">
        <v>248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18</v>
      </c>
      <c r="D116" s="19" t="s">
        <v>10</v>
      </c>
      <c r="E116" s="19" t="s">
        <v>18</v>
      </c>
      <c r="F116">
        <v>4</v>
      </c>
      <c r="G116">
        <v>3</v>
      </c>
      <c r="H116">
        <v>0.72230000000000005</v>
      </c>
      <c r="I116" s="19" t="s">
        <v>248</v>
      </c>
      <c r="J116" s="19" t="s">
        <v>18</v>
      </c>
      <c r="K116">
        <v>3</v>
      </c>
      <c r="L116">
        <v>2</v>
      </c>
      <c r="M116">
        <v>0.03</v>
      </c>
      <c r="N116" s="19" t="s">
        <v>18</v>
      </c>
      <c r="O116" s="19" t="s">
        <v>289</v>
      </c>
      <c r="P116" s="19" t="s">
        <v>287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0.91666666666666663</v>
      </c>
      <c r="C117" s="19" t="s">
        <v>33</v>
      </c>
      <c r="D117" s="19" t="s">
        <v>39</v>
      </c>
      <c r="E117" s="19" t="s">
        <v>39</v>
      </c>
      <c r="F117">
        <v>2</v>
      </c>
      <c r="G117">
        <v>4</v>
      </c>
      <c r="H117">
        <v>0.74929999999999997</v>
      </c>
      <c r="I117" s="19" t="s">
        <v>249</v>
      </c>
      <c r="J117" s="19" t="s">
        <v>39</v>
      </c>
      <c r="K117">
        <v>3</v>
      </c>
      <c r="L117">
        <v>2</v>
      </c>
      <c r="M117">
        <v>-0.81</v>
      </c>
      <c r="N117" s="19" t="s">
        <v>39</v>
      </c>
      <c r="O117" s="19" t="s">
        <v>291</v>
      </c>
      <c r="P117" s="19" t="s">
        <v>283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0.875</v>
      </c>
      <c r="C118" s="19" t="s">
        <v>16</v>
      </c>
      <c r="D118" s="19" t="s">
        <v>32</v>
      </c>
      <c r="E118" s="19" t="s">
        <v>32</v>
      </c>
      <c r="F118">
        <v>3</v>
      </c>
      <c r="G118">
        <v>4</v>
      </c>
      <c r="H118">
        <v>0.76790000000000003</v>
      </c>
      <c r="I118" s="19" t="s">
        <v>249</v>
      </c>
      <c r="J118" s="19" t="s">
        <v>16</v>
      </c>
      <c r="K118">
        <v>3</v>
      </c>
      <c r="L118">
        <v>2</v>
      </c>
      <c r="M118">
        <v>0.16</v>
      </c>
      <c r="N118" s="19" t="s">
        <v>16</v>
      </c>
      <c r="O118" s="19" t="s">
        <v>289</v>
      </c>
      <c r="P118" s="19" t="s">
        <v>284</v>
      </c>
      <c r="Q118" s="19" t="s">
        <v>285</v>
      </c>
      <c r="R118" s="19" t="s">
        <v>249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28</v>
      </c>
      <c r="D119" s="19" t="s">
        <v>34</v>
      </c>
      <c r="E119" s="19" t="s">
        <v>34</v>
      </c>
      <c r="F119">
        <v>2</v>
      </c>
      <c r="G119">
        <v>3</v>
      </c>
      <c r="H119">
        <v>0.75509999999999999</v>
      </c>
      <c r="I119" s="19" t="s">
        <v>249</v>
      </c>
      <c r="J119" s="19" t="s">
        <v>34</v>
      </c>
      <c r="K119">
        <v>3</v>
      </c>
      <c r="L119">
        <v>2</v>
      </c>
      <c r="M119">
        <v>-0.85</v>
      </c>
      <c r="N119" s="19" t="s">
        <v>34</v>
      </c>
      <c r="O119" s="19" t="s">
        <v>284</v>
      </c>
      <c r="P119" s="19" t="s">
        <v>283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11</v>
      </c>
      <c r="D120" s="19" t="s">
        <v>25</v>
      </c>
      <c r="E120" s="19" t="s">
        <v>11</v>
      </c>
      <c r="F120">
        <v>4</v>
      </c>
      <c r="G120">
        <v>3</v>
      </c>
      <c r="H120">
        <v>0.61499999999999999</v>
      </c>
      <c r="I120" s="19" t="s">
        <v>249</v>
      </c>
      <c r="J120" s="19" t="s">
        <v>25</v>
      </c>
      <c r="K120">
        <v>3</v>
      </c>
      <c r="L120">
        <v>2</v>
      </c>
      <c r="M120">
        <v>-0.47</v>
      </c>
      <c r="N120" s="19" t="s">
        <v>11</v>
      </c>
      <c r="O120" s="19" t="s">
        <v>289</v>
      </c>
      <c r="P120" s="19" t="s">
        <v>291</v>
      </c>
      <c r="Q120" s="19" t="s">
        <v>287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1525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12</v>
      </c>
      <c r="D122" s="19" t="s">
        <v>40</v>
      </c>
      <c r="E122" s="19" t="s">
        <v>12</v>
      </c>
      <c r="F122">
        <v>4</v>
      </c>
      <c r="G122">
        <v>2</v>
      </c>
      <c r="H122">
        <v>0.85950000000000004</v>
      </c>
      <c r="I122" s="19" t="s">
        <v>249</v>
      </c>
      <c r="J122" s="19" t="s">
        <v>12</v>
      </c>
      <c r="K122">
        <v>3</v>
      </c>
      <c r="L122">
        <v>2</v>
      </c>
      <c r="M122">
        <v>1.85</v>
      </c>
      <c r="N122" s="19" t="s">
        <v>12</v>
      </c>
      <c r="O122" s="19" t="s">
        <v>291</v>
      </c>
      <c r="P122" s="19" t="s">
        <v>284</v>
      </c>
      <c r="Q122" s="19" t="s">
        <v>285</v>
      </c>
      <c r="R122" s="19" t="s">
        <v>248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55</v>
      </c>
      <c r="D123" s="19" t="s">
        <v>24</v>
      </c>
      <c r="E123" s="19" t="s">
        <v>24</v>
      </c>
      <c r="F123">
        <v>3</v>
      </c>
      <c r="G123">
        <v>4</v>
      </c>
      <c r="H123">
        <v>0.50349999999999995</v>
      </c>
      <c r="I123" s="19" t="s">
        <v>249</v>
      </c>
      <c r="J123" s="19" t="s">
        <v>55</v>
      </c>
      <c r="K123">
        <v>3</v>
      </c>
      <c r="L123">
        <v>2</v>
      </c>
      <c r="M123">
        <v>0.31</v>
      </c>
      <c r="N123" s="19" t="s">
        <v>24</v>
      </c>
      <c r="O123" s="19" t="s">
        <v>287</v>
      </c>
      <c r="P123" s="19" t="s">
        <v>284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30</v>
      </c>
      <c r="D124" s="19" t="s">
        <v>38</v>
      </c>
      <c r="E124" s="19" t="s">
        <v>38</v>
      </c>
      <c r="F124">
        <v>2</v>
      </c>
      <c r="G124">
        <v>3</v>
      </c>
      <c r="H124">
        <v>0.56710000000000005</v>
      </c>
      <c r="I124" s="19" t="s">
        <v>249</v>
      </c>
      <c r="J124" s="19" t="s">
        <v>30</v>
      </c>
      <c r="K124">
        <v>3</v>
      </c>
      <c r="L124">
        <v>2</v>
      </c>
      <c r="M124">
        <v>1.03</v>
      </c>
      <c r="N124" s="19" t="s">
        <v>38</v>
      </c>
      <c r="O124" s="19" t="s">
        <v>287</v>
      </c>
      <c r="P124" s="19" t="s">
        <v>289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29</v>
      </c>
      <c r="D125" s="19" t="s">
        <v>19</v>
      </c>
      <c r="E125" s="19" t="s">
        <v>29</v>
      </c>
      <c r="F125">
        <v>3</v>
      </c>
      <c r="G125">
        <v>2</v>
      </c>
      <c r="H125">
        <v>0.69740000000000002</v>
      </c>
      <c r="I125" s="19" t="s">
        <v>249</v>
      </c>
      <c r="J125" s="19" t="s">
        <v>19</v>
      </c>
      <c r="K125">
        <v>3</v>
      </c>
      <c r="L125">
        <v>2</v>
      </c>
      <c r="M125">
        <v>-0.41</v>
      </c>
      <c r="N125" s="19" t="s">
        <v>29</v>
      </c>
      <c r="O125" s="19" t="s">
        <v>283</v>
      </c>
      <c r="P125" s="19" t="s">
        <v>291</v>
      </c>
      <c r="Q125" s="19" t="s">
        <v>285</v>
      </c>
      <c r="R125" s="19" t="s">
        <v>248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0.70833333333333337</v>
      </c>
      <c r="C126" s="19" t="s">
        <v>23</v>
      </c>
      <c r="D126" s="19" t="s">
        <v>30</v>
      </c>
      <c r="E126" s="19" t="s">
        <v>30</v>
      </c>
      <c r="F126">
        <v>2</v>
      </c>
      <c r="G126">
        <v>3</v>
      </c>
      <c r="H126">
        <v>0.63270000000000004</v>
      </c>
      <c r="I126" s="19" t="s">
        <v>249</v>
      </c>
      <c r="J126" s="19" t="s">
        <v>30</v>
      </c>
      <c r="K126">
        <v>3</v>
      </c>
      <c r="L126">
        <v>2</v>
      </c>
      <c r="M126">
        <v>-0.45</v>
      </c>
      <c r="N126" s="19" t="s">
        <v>23</v>
      </c>
      <c r="O126" s="19" t="s">
        <v>291</v>
      </c>
      <c r="P126" s="19" t="s">
        <v>284</v>
      </c>
      <c r="Q126" s="19" t="s">
        <v>287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0.91666666666666663</v>
      </c>
      <c r="C127" s="19" t="s">
        <v>31</v>
      </c>
      <c r="D127" s="19" t="s">
        <v>28</v>
      </c>
      <c r="E127" s="19" t="s">
        <v>31</v>
      </c>
      <c r="F127">
        <v>5</v>
      </c>
      <c r="G127">
        <v>3</v>
      </c>
      <c r="H127">
        <v>0.74139999999999995</v>
      </c>
      <c r="I127" s="19" t="s">
        <v>249</v>
      </c>
      <c r="J127" s="19" t="s">
        <v>31</v>
      </c>
      <c r="K127">
        <v>3</v>
      </c>
      <c r="L127">
        <v>2</v>
      </c>
      <c r="M127">
        <v>0.68</v>
      </c>
      <c r="N127" s="19" t="s">
        <v>31</v>
      </c>
      <c r="O127" s="19" t="s">
        <v>289</v>
      </c>
      <c r="P127" s="19" t="s">
        <v>291</v>
      </c>
      <c r="Q127" s="19" t="s">
        <v>285</v>
      </c>
      <c r="R127" s="19" t="s">
        <v>248</v>
      </c>
      <c r="S127" s="19" t="s">
        <v>248</v>
      </c>
      <c r="T127" s="19" t="s">
        <v>286</v>
      </c>
    </row>
    <row r="128" spans="1:20" x14ac:dyDescent="0.2">
      <c r="A128" s="1">
        <v>46011</v>
      </c>
      <c r="B128" s="2">
        <v>0.625</v>
      </c>
      <c r="C128" s="19" t="s">
        <v>36</v>
      </c>
      <c r="D128" s="19" t="s">
        <v>10</v>
      </c>
      <c r="E128" s="19" t="s">
        <v>36</v>
      </c>
      <c r="F128">
        <v>3</v>
      </c>
      <c r="G128">
        <v>2</v>
      </c>
      <c r="H128">
        <v>0.54479999999999995</v>
      </c>
      <c r="I128" s="19" t="s">
        <v>249</v>
      </c>
      <c r="J128" s="19" t="s">
        <v>36</v>
      </c>
      <c r="K128">
        <v>3</v>
      </c>
      <c r="L128">
        <v>2</v>
      </c>
      <c r="M128">
        <v>0.51</v>
      </c>
      <c r="N128" s="19" t="s">
        <v>36</v>
      </c>
      <c r="O128" s="19" t="s">
        <v>288</v>
      </c>
      <c r="P128" s="19" t="s">
        <v>289</v>
      </c>
      <c r="Q128" s="19" t="s">
        <v>285</v>
      </c>
      <c r="R128" s="19" t="s">
        <v>248</v>
      </c>
      <c r="S128" s="19" t="s">
        <v>248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21</v>
      </c>
      <c r="D129" s="19" t="s">
        <v>38</v>
      </c>
      <c r="E129" s="19" t="s">
        <v>38</v>
      </c>
      <c r="F129">
        <v>3</v>
      </c>
      <c r="G129">
        <v>4</v>
      </c>
      <c r="H129">
        <v>0.5171</v>
      </c>
      <c r="I129" s="19" t="s">
        <v>249</v>
      </c>
      <c r="J129" s="19" t="s">
        <v>21</v>
      </c>
      <c r="K129">
        <v>3</v>
      </c>
      <c r="L129">
        <v>2</v>
      </c>
      <c r="M129">
        <v>0.75</v>
      </c>
      <c r="N129" s="19" t="s">
        <v>38</v>
      </c>
      <c r="O129" s="19" t="s">
        <v>289</v>
      </c>
      <c r="P129" s="19" t="s">
        <v>283</v>
      </c>
      <c r="Q129" s="19" t="s">
        <v>287</v>
      </c>
      <c r="R129" s="19" t="s">
        <v>248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0.625</v>
      </c>
      <c r="C130" s="19" t="s">
        <v>34</v>
      </c>
      <c r="D130" s="19" t="s">
        <v>17</v>
      </c>
      <c r="E130" s="19" t="s">
        <v>17</v>
      </c>
      <c r="F130">
        <v>4</v>
      </c>
      <c r="G130">
        <v>5</v>
      </c>
      <c r="H130">
        <v>0.55320000000000003</v>
      </c>
      <c r="I130" s="19" t="s">
        <v>248</v>
      </c>
      <c r="J130" s="19" t="s">
        <v>34</v>
      </c>
      <c r="K130">
        <v>3</v>
      </c>
      <c r="L130">
        <v>2</v>
      </c>
      <c r="M130">
        <v>0.67</v>
      </c>
      <c r="N130" s="19" t="s">
        <v>34</v>
      </c>
      <c r="O130" s="19" t="s">
        <v>283</v>
      </c>
      <c r="P130" s="19" t="s">
        <v>284</v>
      </c>
      <c r="Q130" s="19" t="s">
        <v>285</v>
      </c>
      <c r="R130" s="19" t="s">
        <v>249</v>
      </c>
      <c r="S130" s="19" t="s">
        <v>248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16</v>
      </c>
      <c r="D131" s="19" t="s">
        <v>20</v>
      </c>
      <c r="E131" s="19" t="s">
        <v>20</v>
      </c>
      <c r="F131">
        <v>3</v>
      </c>
      <c r="G131">
        <v>4</v>
      </c>
      <c r="H131">
        <v>0.77259999999999995</v>
      </c>
      <c r="I131" s="19" t="s">
        <v>249</v>
      </c>
      <c r="J131" s="19" t="s">
        <v>20</v>
      </c>
      <c r="K131">
        <v>3</v>
      </c>
      <c r="L131">
        <v>2</v>
      </c>
      <c r="M131">
        <v>-0.65</v>
      </c>
      <c r="N131" s="19" t="s">
        <v>16</v>
      </c>
      <c r="O131" s="19" t="s">
        <v>288</v>
      </c>
      <c r="P131" s="19" t="s">
        <v>291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0.79166666666666663</v>
      </c>
      <c r="C132" s="19" t="s">
        <v>37</v>
      </c>
      <c r="D132" s="19" t="s">
        <v>25</v>
      </c>
      <c r="E132" s="19" t="s">
        <v>25</v>
      </c>
      <c r="F132">
        <v>2</v>
      </c>
      <c r="G132">
        <v>3</v>
      </c>
      <c r="H132">
        <v>0.55740000000000001</v>
      </c>
      <c r="I132" s="19" t="s">
        <v>249</v>
      </c>
      <c r="J132" s="19" t="s">
        <v>25</v>
      </c>
      <c r="K132">
        <v>3</v>
      </c>
      <c r="L132">
        <v>2</v>
      </c>
      <c r="M132">
        <v>-0.03</v>
      </c>
      <c r="N132" s="19" t="s">
        <v>37</v>
      </c>
      <c r="O132" s="19" t="s">
        <v>288</v>
      </c>
      <c r="P132" s="19" t="s">
        <v>289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0.75</v>
      </c>
      <c r="C133" s="19" t="s">
        <v>11</v>
      </c>
      <c r="D133" s="19" t="s">
        <v>35</v>
      </c>
      <c r="E133" s="19" t="s">
        <v>35</v>
      </c>
      <c r="F133">
        <v>4</v>
      </c>
      <c r="G133">
        <v>5</v>
      </c>
      <c r="H133">
        <v>0.5121</v>
      </c>
      <c r="I133" s="19" t="s">
        <v>249</v>
      </c>
      <c r="J133" s="19" t="s">
        <v>11</v>
      </c>
      <c r="K133">
        <v>3</v>
      </c>
      <c r="L133">
        <v>2</v>
      </c>
      <c r="M133">
        <v>1.4</v>
      </c>
      <c r="N133" s="19" t="s">
        <v>35</v>
      </c>
      <c r="O133" s="19" t="s">
        <v>284</v>
      </c>
      <c r="P133" s="19" t="s">
        <v>288</v>
      </c>
      <c r="Q133" s="19" t="s">
        <v>285</v>
      </c>
      <c r="R133" s="19" t="s">
        <v>248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0.52083333333333337</v>
      </c>
      <c r="C134" s="19" t="s">
        <v>15</v>
      </c>
      <c r="D134" s="19" t="s">
        <v>27</v>
      </c>
      <c r="E134" s="19" t="s">
        <v>27</v>
      </c>
      <c r="F134">
        <v>1</v>
      </c>
      <c r="G134">
        <v>3</v>
      </c>
      <c r="H134">
        <v>0.91959999999999997</v>
      </c>
      <c r="I134" s="19" t="s">
        <v>249</v>
      </c>
      <c r="J134" s="19" t="s">
        <v>27</v>
      </c>
      <c r="K134">
        <v>3</v>
      </c>
      <c r="L134">
        <v>2</v>
      </c>
      <c r="M134">
        <v>-0.19</v>
      </c>
      <c r="N134" s="19" t="s">
        <v>15</v>
      </c>
      <c r="O134" s="19" t="s">
        <v>283</v>
      </c>
      <c r="P134" s="19" t="s">
        <v>289</v>
      </c>
      <c r="Q134" s="19" t="s">
        <v>287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0.91666666666666663</v>
      </c>
      <c r="C135" s="19" t="s">
        <v>33</v>
      </c>
      <c r="D135" s="19" t="s">
        <v>32</v>
      </c>
      <c r="E135" s="19" t="s">
        <v>33</v>
      </c>
      <c r="F135">
        <v>4</v>
      </c>
      <c r="G135">
        <v>3</v>
      </c>
      <c r="H135">
        <v>0.73929999999999996</v>
      </c>
      <c r="I135" s="19" t="s">
        <v>248</v>
      </c>
      <c r="J135" s="19" t="s">
        <v>33</v>
      </c>
      <c r="K135">
        <v>3</v>
      </c>
      <c r="L135">
        <v>2</v>
      </c>
      <c r="M135">
        <v>0.57999999999999996</v>
      </c>
      <c r="N135" s="19" t="s">
        <v>32</v>
      </c>
      <c r="O135" s="19" t="s">
        <v>284</v>
      </c>
      <c r="P135" s="19" t="s">
        <v>289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0.52083333333333337</v>
      </c>
      <c r="C136" s="19" t="s">
        <v>22</v>
      </c>
      <c r="D136" s="19" t="s">
        <v>26</v>
      </c>
      <c r="E136" s="19" t="s">
        <v>22</v>
      </c>
      <c r="F136">
        <v>4</v>
      </c>
      <c r="G136">
        <v>3</v>
      </c>
      <c r="H136">
        <v>0.57709999999999995</v>
      </c>
      <c r="I136" s="19" t="s">
        <v>249</v>
      </c>
      <c r="J136" s="19" t="s">
        <v>22</v>
      </c>
      <c r="K136">
        <v>3</v>
      </c>
      <c r="L136">
        <v>2</v>
      </c>
      <c r="M136">
        <v>1.1000000000000001</v>
      </c>
      <c r="N136" s="19" t="s">
        <v>26</v>
      </c>
      <c r="O136" s="19" t="s">
        <v>284</v>
      </c>
      <c r="P136" s="19" t="s">
        <v>283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0.79166666666666663</v>
      </c>
      <c r="C137" s="19" t="s">
        <v>18</v>
      </c>
      <c r="D137" s="19" t="s">
        <v>14</v>
      </c>
      <c r="E137" s="19" t="s">
        <v>14</v>
      </c>
      <c r="F137">
        <v>3</v>
      </c>
      <c r="G137">
        <v>4</v>
      </c>
      <c r="H137">
        <v>0.5988</v>
      </c>
      <c r="I137" s="19" t="s">
        <v>249</v>
      </c>
      <c r="J137" s="19" t="s">
        <v>14</v>
      </c>
      <c r="K137">
        <v>3</v>
      </c>
      <c r="L137">
        <v>2</v>
      </c>
      <c r="M137">
        <v>-0.11</v>
      </c>
      <c r="N137" s="19" t="s">
        <v>18</v>
      </c>
      <c r="O137" s="19" t="s">
        <v>289</v>
      </c>
      <c r="P137" s="19" t="s">
        <v>285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24</v>
      </c>
      <c r="D138" s="19" t="s">
        <v>23</v>
      </c>
      <c r="E138" s="19" t="s">
        <v>24</v>
      </c>
      <c r="F138">
        <v>4</v>
      </c>
      <c r="G138">
        <v>3</v>
      </c>
      <c r="H138">
        <v>0.79630000000000001</v>
      </c>
      <c r="I138" s="19" t="s">
        <v>249</v>
      </c>
      <c r="J138" s="19" t="s">
        <v>24</v>
      </c>
      <c r="K138">
        <v>3</v>
      </c>
      <c r="L138">
        <v>2</v>
      </c>
      <c r="M138">
        <v>0.14000000000000001</v>
      </c>
      <c r="N138" s="19" t="s">
        <v>23</v>
      </c>
      <c r="O138" s="19" t="s">
        <v>287</v>
      </c>
      <c r="P138" s="19" t="s">
        <v>291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0.75</v>
      </c>
      <c r="C139" s="19" t="s">
        <v>34</v>
      </c>
      <c r="D139" s="19" t="s">
        <v>12</v>
      </c>
      <c r="E139" s="19" t="s">
        <v>34</v>
      </c>
      <c r="F139">
        <v>4</v>
      </c>
      <c r="G139">
        <v>3</v>
      </c>
      <c r="H139">
        <v>0.91279999999999994</v>
      </c>
      <c r="I139" s="19" t="s">
        <v>248</v>
      </c>
      <c r="J139" s="19" t="s">
        <v>12</v>
      </c>
      <c r="K139">
        <v>3</v>
      </c>
      <c r="L139">
        <v>2</v>
      </c>
      <c r="M139">
        <v>-0.94</v>
      </c>
      <c r="N139" s="19" t="s">
        <v>12</v>
      </c>
      <c r="O139" s="19" t="s">
        <v>287</v>
      </c>
      <c r="P139" s="19" t="s">
        <v>283</v>
      </c>
      <c r="Q139" s="19" t="s">
        <v>285</v>
      </c>
      <c r="R139" s="19" t="s">
        <v>249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21</v>
      </c>
      <c r="D140" s="19" t="s">
        <v>36</v>
      </c>
      <c r="E140" s="19" t="s">
        <v>21</v>
      </c>
      <c r="F140">
        <v>4</v>
      </c>
      <c r="G140">
        <v>3</v>
      </c>
      <c r="H140">
        <v>0.69989999999999997</v>
      </c>
      <c r="I140" s="19" t="s">
        <v>248</v>
      </c>
      <c r="J140" s="19" t="s">
        <v>21</v>
      </c>
      <c r="K140">
        <v>3</v>
      </c>
      <c r="L140">
        <v>2</v>
      </c>
      <c r="M140">
        <v>0.21</v>
      </c>
      <c r="N140" s="19" t="s">
        <v>36</v>
      </c>
      <c r="O140" s="19" t="s">
        <v>284</v>
      </c>
      <c r="P140" s="19" t="s">
        <v>288</v>
      </c>
      <c r="Q140" s="19" t="s">
        <v>285</v>
      </c>
      <c r="R140" s="19" t="s">
        <v>249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29</v>
      </c>
      <c r="D141" s="19" t="s">
        <v>15</v>
      </c>
      <c r="E141" s="19" t="s">
        <v>15</v>
      </c>
      <c r="F141">
        <v>2</v>
      </c>
      <c r="G141">
        <v>3</v>
      </c>
      <c r="H141">
        <v>0.60660000000000003</v>
      </c>
      <c r="I141" s="19" t="s">
        <v>249</v>
      </c>
      <c r="J141" s="19" t="s">
        <v>15</v>
      </c>
      <c r="K141">
        <v>3</v>
      </c>
      <c r="L141">
        <v>2</v>
      </c>
      <c r="M141">
        <v>-0.36</v>
      </c>
      <c r="N141" s="19" t="s">
        <v>29</v>
      </c>
      <c r="O141" s="19" t="s">
        <v>284</v>
      </c>
      <c r="P141" s="19" t="s">
        <v>287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39</v>
      </c>
      <c r="D142" s="19" t="s">
        <v>19</v>
      </c>
      <c r="E142" s="19" t="s">
        <v>39</v>
      </c>
      <c r="F142">
        <v>4</v>
      </c>
      <c r="G142">
        <v>3</v>
      </c>
      <c r="H142">
        <v>0.5847</v>
      </c>
      <c r="I142" s="19" t="s">
        <v>249</v>
      </c>
      <c r="J142" s="19" t="s">
        <v>39</v>
      </c>
      <c r="K142">
        <v>3</v>
      </c>
      <c r="L142">
        <v>2</v>
      </c>
      <c r="M142">
        <v>1.0900000000000001</v>
      </c>
      <c r="N142" s="19" t="s">
        <v>39</v>
      </c>
      <c r="O142" s="19" t="s">
        <v>283</v>
      </c>
      <c r="P142" s="19" t="s">
        <v>287</v>
      </c>
      <c r="Q142" s="19" t="s">
        <v>285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14</v>
      </c>
      <c r="D143" s="19" t="s">
        <v>18</v>
      </c>
      <c r="E143" s="19" t="s">
        <v>18</v>
      </c>
      <c r="F143">
        <v>2</v>
      </c>
      <c r="G143">
        <v>4</v>
      </c>
      <c r="H143">
        <v>0.80289999999999995</v>
      </c>
      <c r="I143" s="19" t="s">
        <v>249</v>
      </c>
      <c r="J143" s="19" t="s">
        <v>14</v>
      </c>
      <c r="K143">
        <v>3</v>
      </c>
      <c r="L143">
        <v>2</v>
      </c>
      <c r="M143">
        <v>0.01</v>
      </c>
      <c r="N143" s="19" t="s">
        <v>14</v>
      </c>
      <c r="O143" s="19" t="s">
        <v>289</v>
      </c>
      <c r="P143" s="19" t="s">
        <v>291</v>
      </c>
      <c r="Q143" s="19" t="s">
        <v>287</v>
      </c>
      <c r="R143" s="19" t="s">
        <v>249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0.83333333333333337</v>
      </c>
      <c r="C144" s="19" t="s">
        <v>17</v>
      </c>
      <c r="D144" s="19" t="s">
        <v>20</v>
      </c>
      <c r="E144" s="19" t="s">
        <v>17</v>
      </c>
      <c r="F144">
        <v>3</v>
      </c>
      <c r="G144">
        <v>2</v>
      </c>
      <c r="H144">
        <v>0.67889999999999995</v>
      </c>
      <c r="I144" s="19" t="s">
        <v>249</v>
      </c>
      <c r="J144" s="19" t="s">
        <v>20</v>
      </c>
      <c r="K144">
        <v>3</v>
      </c>
      <c r="L144">
        <v>2</v>
      </c>
      <c r="M144">
        <v>-0.09</v>
      </c>
      <c r="N144" s="19" t="s">
        <v>17</v>
      </c>
      <c r="O144" s="19" t="s">
        <v>289</v>
      </c>
      <c r="P144" s="19" t="s">
        <v>291</v>
      </c>
      <c r="Q144" s="19" t="s">
        <v>285</v>
      </c>
      <c r="R144" s="19" t="s">
        <v>248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0.54166666666666663</v>
      </c>
      <c r="C145" s="19" t="s">
        <v>26</v>
      </c>
      <c r="D145" s="19" t="s">
        <v>22</v>
      </c>
      <c r="E145" s="19" t="s">
        <v>26</v>
      </c>
      <c r="F145">
        <v>5</v>
      </c>
      <c r="G145">
        <v>4</v>
      </c>
      <c r="H145">
        <v>0.50509999999999999</v>
      </c>
      <c r="I145" s="19" t="s">
        <v>249</v>
      </c>
      <c r="J145" s="19" t="s">
        <v>22</v>
      </c>
      <c r="K145">
        <v>3</v>
      </c>
      <c r="L145">
        <v>2</v>
      </c>
      <c r="M145">
        <v>-0.73</v>
      </c>
      <c r="N145" s="19" t="s">
        <v>26</v>
      </c>
      <c r="O145" s="19" t="s">
        <v>291</v>
      </c>
      <c r="P145" s="19" t="s">
        <v>284</v>
      </c>
      <c r="Q145" s="19" t="s">
        <v>287</v>
      </c>
      <c r="R145" s="19" t="s">
        <v>248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55</v>
      </c>
      <c r="D146" s="19" t="s">
        <v>40</v>
      </c>
      <c r="E146" s="19" t="s">
        <v>55</v>
      </c>
      <c r="F146">
        <v>3</v>
      </c>
      <c r="G146">
        <v>2</v>
      </c>
      <c r="H146">
        <v>0.69499999999999995</v>
      </c>
      <c r="I146" s="19" t="s">
        <v>249</v>
      </c>
      <c r="J146" s="19" t="s">
        <v>55</v>
      </c>
      <c r="K146">
        <v>3</v>
      </c>
      <c r="L146">
        <v>2</v>
      </c>
      <c r="M146">
        <v>0.23</v>
      </c>
      <c r="N146" s="19" t="s">
        <v>55</v>
      </c>
      <c r="O146" s="19" t="s">
        <v>289</v>
      </c>
      <c r="P146" s="19" t="s">
        <v>291</v>
      </c>
      <c r="Q146" s="19" t="s">
        <v>287</v>
      </c>
      <c r="R146" s="19" t="s">
        <v>248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31</v>
      </c>
      <c r="D147" s="19" t="s">
        <v>32</v>
      </c>
      <c r="E147" s="19" t="s">
        <v>31</v>
      </c>
      <c r="F147">
        <v>5</v>
      </c>
      <c r="G147">
        <v>1</v>
      </c>
      <c r="H147">
        <v>0.85919999999999996</v>
      </c>
      <c r="I147" s="19" t="s">
        <v>249</v>
      </c>
      <c r="J147" s="19" t="s">
        <v>31</v>
      </c>
      <c r="K147">
        <v>3</v>
      </c>
      <c r="L147">
        <v>2</v>
      </c>
      <c r="M147">
        <v>0.88</v>
      </c>
      <c r="N147" s="19" t="s">
        <v>32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13</v>
      </c>
      <c r="D148" s="19" t="s">
        <v>28</v>
      </c>
      <c r="E148" s="19" t="s">
        <v>13</v>
      </c>
      <c r="F148">
        <v>4</v>
      </c>
      <c r="G148">
        <v>2</v>
      </c>
      <c r="H148">
        <v>0.52090000000000003</v>
      </c>
      <c r="I148" s="19" t="s">
        <v>249</v>
      </c>
      <c r="J148" s="19" t="s">
        <v>13</v>
      </c>
      <c r="K148">
        <v>3</v>
      </c>
      <c r="L148">
        <v>2</v>
      </c>
      <c r="M148">
        <v>0.55000000000000004</v>
      </c>
      <c r="N148" s="19" t="s">
        <v>28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0.79166666666666663</v>
      </c>
      <c r="C149" s="19" t="s">
        <v>37</v>
      </c>
      <c r="D149" s="19" t="s">
        <v>35</v>
      </c>
      <c r="E149" s="19" t="s">
        <v>37</v>
      </c>
      <c r="F149">
        <v>3</v>
      </c>
      <c r="G149">
        <v>2</v>
      </c>
      <c r="H149">
        <v>0.62280000000000002</v>
      </c>
      <c r="I149" s="19" t="s">
        <v>249</v>
      </c>
      <c r="J149" s="19" t="s">
        <v>37</v>
      </c>
      <c r="K149">
        <v>3</v>
      </c>
      <c r="L149">
        <v>2</v>
      </c>
      <c r="M149">
        <v>1.66</v>
      </c>
      <c r="N149" s="19" t="s">
        <v>37</v>
      </c>
      <c r="O149" s="19" t="s">
        <v>289</v>
      </c>
      <c r="P149" s="19" t="s">
        <v>287</v>
      </c>
      <c r="Q149" s="19" t="s">
        <v>285</v>
      </c>
      <c r="R149" s="19" t="s">
        <v>248</v>
      </c>
      <c r="S149" s="19" t="s">
        <v>248</v>
      </c>
      <c r="T149" s="19" t="s">
        <v>286</v>
      </c>
    </row>
    <row r="150" spans="1:20" x14ac:dyDescent="0.2">
      <c r="A150" s="1">
        <v>46013</v>
      </c>
      <c r="B150" s="2">
        <v>0.8125</v>
      </c>
      <c r="C150" s="19" t="s">
        <v>27</v>
      </c>
      <c r="D150" s="19" t="s">
        <v>38</v>
      </c>
      <c r="E150" s="19" t="s">
        <v>38</v>
      </c>
      <c r="F150">
        <v>2</v>
      </c>
      <c r="G150">
        <v>4</v>
      </c>
      <c r="H150">
        <v>0.83520000000000005</v>
      </c>
      <c r="I150" s="19" t="s">
        <v>249</v>
      </c>
      <c r="J150" s="19" t="s">
        <v>27</v>
      </c>
      <c r="K150">
        <v>3</v>
      </c>
      <c r="L150">
        <v>2</v>
      </c>
      <c r="M150">
        <v>0.57999999999999996</v>
      </c>
      <c r="N150" s="19" t="s">
        <v>27</v>
      </c>
      <c r="O150" s="19" t="s">
        <v>283</v>
      </c>
      <c r="P150" s="19" t="s">
        <v>284</v>
      </c>
      <c r="Q150" s="19" t="s">
        <v>285</v>
      </c>
      <c r="R150" s="19" t="s">
        <v>249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0.77083333333333337</v>
      </c>
      <c r="C151" s="19" t="s">
        <v>26</v>
      </c>
      <c r="D151" s="19" t="s">
        <v>39</v>
      </c>
      <c r="E151" s="19" t="s">
        <v>39</v>
      </c>
      <c r="F151">
        <v>3</v>
      </c>
      <c r="G151">
        <v>6</v>
      </c>
      <c r="H151">
        <v>0.59989999999999999</v>
      </c>
      <c r="I151" s="19" t="s">
        <v>249</v>
      </c>
      <c r="J151" s="19" t="s">
        <v>39</v>
      </c>
      <c r="K151">
        <v>3</v>
      </c>
      <c r="L151">
        <v>2</v>
      </c>
      <c r="M151">
        <v>-1.08</v>
      </c>
      <c r="N151" s="19" t="s">
        <v>26</v>
      </c>
      <c r="O151" s="19" t="s">
        <v>289</v>
      </c>
      <c r="P151" s="19" t="s">
        <v>291</v>
      </c>
      <c r="Q151" s="19" t="s">
        <v>287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17</v>
      </c>
      <c r="D152" s="19" t="s">
        <v>16</v>
      </c>
      <c r="E152" s="19" t="s">
        <v>16</v>
      </c>
      <c r="F152">
        <v>3</v>
      </c>
      <c r="G152">
        <v>4</v>
      </c>
      <c r="H152">
        <v>0.622</v>
      </c>
      <c r="I152" s="19" t="s">
        <v>248</v>
      </c>
      <c r="J152" s="19" t="s">
        <v>17</v>
      </c>
      <c r="K152">
        <v>3</v>
      </c>
      <c r="L152">
        <v>2</v>
      </c>
      <c r="M152">
        <v>0.43</v>
      </c>
      <c r="N152" s="19" t="s">
        <v>17</v>
      </c>
      <c r="O152" s="19" t="s">
        <v>283</v>
      </c>
      <c r="P152" s="19" t="s">
        <v>287</v>
      </c>
      <c r="Q152" s="19" t="s">
        <v>285</v>
      </c>
      <c r="R152" s="19" t="s">
        <v>249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0.66666666666666663</v>
      </c>
      <c r="C153" s="19" t="s">
        <v>19</v>
      </c>
      <c r="D153" s="19" t="s">
        <v>14</v>
      </c>
      <c r="E153" s="19" t="s">
        <v>19</v>
      </c>
      <c r="F153">
        <v>4</v>
      </c>
      <c r="G153">
        <v>3</v>
      </c>
      <c r="H153">
        <v>0.72040000000000004</v>
      </c>
      <c r="I153" s="19" t="s">
        <v>249</v>
      </c>
      <c r="J153" s="19" t="s">
        <v>14</v>
      </c>
      <c r="K153">
        <v>3</v>
      </c>
      <c r="L153">
        <v>2</v>
      </c>
      <c r="M153">
        <v>-0.05</v>
      </c>
      <c r="N153" s="19" t="s">
        <v>19</v>
      </c>
      <c r="O153" s="19" t="s">
        <v>288</v>
      </c>
      <c r="P153" s="19" t="s">
        <v>291</v>
      </c>
      <c r="Q153" s="19" t="s">
        <v>285</v>
      </c>
      <c r="R153" s="19" t="s">
        <v>248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0.91666666666666663</v>
      </c>
      <c r="C154" s="19" t="s">
        <v>20</v>
      </c>
      <c r="D154" s="19" t="s">
        <v>33</v>
      </c>
      <c r="E154" s="19" t="s">
        <v>33</v>
      </c>
      <c r="F154">
        <v>3</v>
      </c>
      <c r="G154">
        <v>4</v>
      </c>
      <c r="H154">
        <v>0.67400000000000004</v>
      </c>
      <c r="I154" s="19" t="s">
        <v>248</v>
      </c>
      <c r="J154" s="19" t="s">
        <v>20</v>
      </c>
      <c r="K154">
        <v>3</v>
      </c>
      <c r="L154">
        <v>2</v>
      </c>
      <c r="M154">
        <v>0.42</v>
      </c>
      <c r="N154" s="19" t="s">
        <v>20</v>
      </c>
      <c r="O154" s="19" t="s">
        <v>292</v>
      </c>
      <c r="P154" s="19" t="s">
        <v>284</v>
      </c>
      <c r="Q154" s="19" t="s">
        <v>285</v>
      </c>
      <c r="R154" s="19" t="s">
        <v>249</v>
      </c>
      <c r="S154" s="19" t="s">
        <v>248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30</v>
      </c>
      <c r="D155" s="19" t="s">
        <v>24</v>
      </c>
      <c r="E155" s="19" t="s">
        <v>24</v>
      </c>
      <c r="F155">
        <v>3</v>
      </c>
      <c r="G155">
        <v>4</v>
      </c>
      <c r="H155">
        <v>0.6946</v>
      </c>
      <c r="I155" s="19" t="s">
        <v>249</v>
      </c>
      <c r="J155" s="19" t="s">
        <v>30</v>
      </c>
      <c r="K155">
        <v>3</v>
      </c>
      <c r="L155">
        <v>2</v>
      </c>
      <c r="M155">
        <v>0.33</v>
      </c>
      <c r="N155" s="19" t="s">
        <v>30</v>
      </c>
      <c r="O155" s="19" t="s">
        <v>284</v>
      </c>
      <c r="P155" s="19" t="s">
        <v>287</v>
      </c>
      <c r="Q155" s="19" t="s">
        <v>285</v>
      </c>
      <c r="R155" s="19" t="s">
        <v>249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25</v>
      </c>
      <c r="D156" s="19" t="s">
        <v>11</v>
      </c>
      <c r="E156" s="19" t="s">
        <v>25</v>
      </c>
      <c r="F156">
        <v>4</v>
      </c>
      <c r="G156">
        <v>3</v>
      </c>
      <c r="H156">
        <v>0.5484</v>
      </c>
      <c r="I156" s="19" t="s">
        <v>249</v>
      </c>
      <c r="J156" s="19" t="s">
        <v>25</v>
      </c>
      <c r="K156">
        <v>3</v>
      </c>
      <c r="L156">
        <v>2</v>
      </c>
      <c r="M156">
        <v>0.6</v>
      </c>
      <c r="N156" s="19" t="s">
        <v>11</v>
      </c>
      <c r="O156" s="19" t="s">
        <v>284</v>
      </c>
      <c r="P156" s="19" t="s">
        <v>283</v>
      </c>
      <c r="Q156" s="19" t="s">
        <v>285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22</v>
      </c>
      <c r="D157" s="19" t="s">
        <v>15</v>
      </c>
      <c r="E157" s="19" t="s">
        <v>15</v>
      </c>
      <c r="F157">
        <v>3</v>
      </c>
      <c r="G157">
        <v>4</v>
      </c>
      <c r="H157">
        <v>0.76980000000000004</v>
      </c>
      <c r="I157" s="19" t="s">
        <v>249</v>
      </c>
      <c r="J157" s="19" t="s">
        <v>22</v>
      </c>
      <c r="K157">
        <v>3</v>
      </c>
      <c r="L157">
        <v>2</v>
      </c>
      <c r="M157">
        <v>0.68</v>
      </c>
      <c r="N157" s="19" t="s">
        <v>15</v>
      </c>
      <c r="O157" s="19" t="s">
        <v>291</v>
      </c>
      <c r="P157" s="19" t="s">
        <v>292</v>
      </c>
      <c r="Q157" s="19" t="s">
        <v>285</v>
      </c>
      <c r="R157" s="19" t="s">
        <v>248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0.875</v>
      </c>
      <c r="C158" s="19" t="s">
        <v>12</v>
      </c>
      <c r="D158" s="19" t="s">
        <v>55</v>
      </c>
      <c r="E158" s="19" t="s">
        <v>12</v>
      </c>
      <c r="F158">
        <v>5</v>
      </c>
      <c r="G158">
        <v>1</v>
      </c>
      <c r="H158">
        <v>0.87890000000000001</v>
      </c>
      <c r="I158" s="19" t="s">
        <v>249</v>
      </c>
      <c r="J158" s="19" t="s">
        <v>12</v>
      </c>
      <c r="K158">
        <v>3</v>
      </c>
      <c r="L158">
        <v>2</v>
      </c>
      <c r="M158">
        <v>1.68</v>
      </c>
      <c r="N158" s="19" t="s">
        <v>12</v>
      </c>
      <c r="O158" s="19" t="s">
        <v>287</v>
      </c>
      <c r="P158" s="19" t="s">
        <v>285</v>
      </c>
      <c r="Q158" s="19" t="s">
        <v>285</v>
      </c>
      <c r="R158" s="19" t="s">
        <v>248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0.83333333333333337</v>
      </c>
      <c r="C159" s="19" t="s">
        <v>34</v>
      </c>
      <c r="D159" s="19" t="s">
        <v>29</v>
      </c>
      <c r="E159" s="19" t="s">
        <v>34</v>
      </c>
      <c r="F159">
        <v>4</v>
      </c>
      <c r="G159">
        <v>3</v>
      </c>
      <c r="H159">
        <v>0.87450000000000006</v>
      </c>
      <c r="I159" s="19" t="s">
        <v>248</v>
      </c>
      <c r="J159" s="19" t="s">
        <v>34</v>
      </c>
      <c r="K159">
        <v>3</v>
      </c>
      <c r="L159">
        <v>2</v>
      </c>
      <c r="M159">
        <v>1.08</v>
      </c>
      <c r="N159" s="19" t="s">
        <v>29</v>
      </c>
      <c r="O159" s="19" t="s">
        <v>284</v>
      </c>
      <c r="P159" s="19" t="s">
        <v>291</v>
      </c>
      <c r="Q159" s="19" t="s">
        <v>287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0.91666666666666663</v>
      </c>
      <c r="C160" s="19" t="s">
        <v>13</v>
      </c>
      <c r="D160" s="19" t="s">
        <v>32</v>
      </c>
      <c r="E160" s="19" t="s">
        <v>32</v>
      </c>
      <c r="F160">
        <v>2</v>
      </c>
      <c r="G160">
        <v>3</v>
      </c>
      <c r="H160">
        <v>0.58230000000000004</v>
      </c>
      <c r="I160" s="19" t="s">
        <v>249</v>
      </c>
      <c r="J160" s="19" t="s">
        <v>13</v>
      </c>
      <c r="K160">
        <v>3</v>
      </c>
      <c r="L160">
        <v>2</v>
      </c>
      <c r="M160">
        <v>0.54</v>
      </c>
      <c r="N160" s="19" t="s">
        <v>32</v>
      </c>
      <c r="O160" s="19" t="s">
        <v>284</v>
      </c>
      <c r="P160" s="19" t="s">
        <v>291</v>
      </c>
      <c r="Q160" s="19" t="s">
        <v>285</v>
      </c>
      <c r="R160" s="19" t="s">
        <v>248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0.79166666666666663</v>
      </c>
      <c r="C161" s="19" t="s">
        <v>36</v>
      </c>
      <c r="D161" s="19" t="s">
        <v>23</v>
      </c>
      <c r="E161" s="19" t="s">
        <v>36</v>
      </c>
      <c r="F161">
        <v>4</v>
      </c>
      <c r="G161">
        <v>3</v>
      </c>
      <c r="H161">
        <v>0.72799999999999998</v>
      </c>
      <c r="I161" s="19" t="s">
        <v>249</v>
      </c>
      <c r="J161" s="19" t="s">
        <v>36</v>
      </c>
      <c r="K161">
        <v>3</v>
      </c>
      <c r="L161">
        <v>2</v>
      </c>
      <c r="M161">
        <v>0.38</v>
      </c>
      <c r="N161" s="19" t="s">
        <v>23</v>
      </c>
      <c r="O161" s="19" t="s">
        <v>284</v>
      </c>
      <c r="P161" s="19" t="s">
        <v>291</v>
      </c>
      <c r="Q161" s="19" t="s">
        <v>287</v>
      </c>
      <c r="R161" s="19" t="s">
        <v>249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21</v>
      </c>
      <c r="D162" s="19" t="s">
        <v>18</v>
      </c>
      <c r="E162" s="19" t="s">
        <v>21</v>
      </c>
      <c r="F162">
        <v>4</v>
      </c>
      <c r="G162">
        <v>3</v>
      </c>
      <c r="H162">
        <v>0.67310000000000003</v>
      </c>
      <c r="I162" s="19" t="s">
        <v>249</v>
      </c>
      <c r="J162" s="19" t="s">
        <v>21</v>
      </c>
      <c r="K162">
        <v>3</v>
      </c>
      <c r="L162">
        <v>2</v>
      </c>
      <c r="M162">
        <v>0.36</v>
      </c>
      <c r="N162" s="19" t="s">
        <v>18</v>
      </c>
      <c r="O162" s="19" t="s">
        <v>284</v>
      </c>
      <c r="P162" s="19" t="s">
        <v>288</v>
      </c>
      <c r="Q162" s="19" t="s">
        <v>285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0.875</v>
      </c>
      <c r="C163" s="19" t="s">
        <v>10</v>
      </c>
      <c r="D163" s="19" t="s">
        <v>27</v>
      </c>
      <c r="E163" s="19" t="s">
        <v>27</v>
      </c>
      <c r="F163">
        <v>3</v>
      </c>
      <c r="G163">
        <v>4</v>
      </c>
      <c r="H163">
        <v>0.52180000000000004</v>
      </c>
      <c r="I163" s="19" t="s">
        <v>249</v>
      </c>
      <c r="J163" s="19" t="s">
        <v>27</v>
      </c>
      <c r="K163">
        <v>3</v>
      </c>
      <c r="L163">
        <v>2</v>
      </c>
      <c r="M163">
        <v>-0.59</v>
      </c>
      <c r="N163" s="19" t="s">
        <v>27</v>
      </c>
      <c r="O163" s="19" t="s">
        <v>287</v>
      </c>
      <c r="P163" s="19" t="s">
        <v>291</v>
      </c>
      <c r="Q163" s="19" t="s">
        <v>285</v>
      </c>
      <c r="R163" s="19" t="s">
        <v>248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0.79166666666666663</v>
      </c>
      <c r="C164" s="19" t="s">
        <v>24</v>
      </c>
      <c r="D164" s="19" t="s">
        <v>22</v>
      </c>
      <c r="E164" s="19" t="s">
        <v>24</v>
      </c>
      <c r="F164">
        <v>4</v>
      </c>
      <c r="G164">
        <v>3</v>
      </c>
      <c r="H164">
        <v>0.60270000000000001</v>
      </c>
      <c r="I164" s="19" t="s">
        <v>249</v>
      </c>
      <c r="J164" s="19" t="s">
        <v>22</v>
      </c>
      <c r="K164">
        <v>3</v>
      </c>
      <c r="L164">
        <v>2</v>
      </c>
      <c r="M164">
        <v>-0.38</v>
      </c>
      <c r="N164" s="19" t="s">
        <v>22</v>
      </c>
      <c r="O164" s="19" t="s">
        <v>291</v>
      </c>
      <c r="P164" s="19" t="s">
        <v>289</v>
      </c>
      <c r="Q164" s="19" t="s">
        <v>287</v>
      </c>
      <c r="R164" s="19" t="s">
        <v>249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0.875</v>
      </c>
      <c r="C165" s="19" t="s">
        <v>13</v>
      </c>
      <c r="D165" s="19" t="s">
        <v>31</v>
      </c>
      <c r="E165" s="19" t="s">
        <v>31</v>
      </c>
      <c r="F165">
        <v>4</v>
      </c>
      <c r="G165">
        <v>5</v>
      </c>
      <c r="H165">
        <v>0.62739999999999996</v>
      </c>
      <c r="I165" s="19" t="s">
        <v>249</v>
      </c>
      <c r="J165" s="19" t="s">
        <v>31</v>
      </c>
      <c r="K165">
        <v>3</v>
      </c>
      <c r="L165">
        <v>2</v>
      </c>
      <c r="M165">
        <v>-0.17</v>
      </c>
      <c r="N165" s="19" t="s">
        <v>13</v>
      </c>
      <c r="O165" s="19" t="s">
        <v>288</v>
      </c>
      <c r="P165" s="19" t="s">
        <v>287</v>
      </c>
      <c r="Q165" s="19" t="s">
        <v>285</v>
      </c>
      <c r="R165" s="19" t="s">
        <v>249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0.75</v>
      </c>
      <c r="C166" s="19" t="s">
        <v>30</v>
      </c>
      <c r="D166" s="19" t="s">
        <v>15</v>
      </c>
      <c r="E166" s="19" t="s">
        <v>15</v>
      </c>
      <c r="F166">
        <v>3</v>
      </c>
      <c r="G166">
        <v>4</v>
      </c>
      <c r="H166">
        <v>0.59319999999999995</v>
      </c>
      <c r="I166" s="19" t="s">
        <v>249</v>
      </c>
      <c r="J166" s="19" t="s">
        <v>30</v>
      </c>
      <c r="K166">
        <v>3</v>
      </c>
      <c r="L166">
        <v>2</v>
      </c>
      <c r="M166">
        <v>0.28000000000000003</v>
      </c>
      <c r="N166" s="19" t="s">
        <v>30</v>
      </c>
      <c r="O166" s="19" t="s">
        <v>284</v>
      </c>
      <c r="P166" s="19" t="s">
        <v>285</v>
      </c>
      <c r="Q166" s="19" t="s">
        <v>285</v>
      </c>
      <c r="R166" s="19" t="s">
        <v>249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0.91666666666666663</v>
      </c>
      <c r="C167" s="19" t="s">
        <v>20</v>
      </c>
      <c r="D167" s="19" t="s">
        <v>12</v>
      </c>
      <c r="E167" s="19" t="s">
        <v>12</v>
      </c>
      <c r="F167">
        <v>2</v>
      </c>
      <c r="G167">
        <v>4</v>
      </c>
      <c r="H167">
        <v>0.76419999999999999</v>
      </c>
      <c r="I167" s="19" t="s">
        <v>249</v>
      </c>
      <c r="J167" s="19" t="s">
        <v>12</v>
      </c>
      <c r="K167">
        <v>3</v>
      </c>
      <c r="L167">
        <v>2</v>
      </c>
      <c r="M167">
        <v>-1.46</v>
      </c>
      <c r="N167" s="19" t="s">
        <v>12</v>
      </c>
      <c r="O167" s="19" t="s">
        <v>283</v>
      </c>
      <c r="P167" s="19" t="s">
        <v>288</v>
      </c>
      <c r="Q167" s="19" t="s">
        <v>287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0.83333333333333337</v>
      </c>
      <c r="C168" s="19" t="s">
        <v>39</v>
      </c>
      <c r="D168" s="19" t="s">
        <v>10</v>
      </c>
      <c r="E168" s="19" t="s">
        <v>39</v>
      </c>
      <c r="F168">
        <v>5</v>
      </c>
      <c r="G168">
        <v>1</v>
      </c>
      <c r="H168">
        <v>0.71579999999999999</v>
      </c>
      <c r="I168" s="19" t="s">
        <v>249</v>
      </c>
      <c r="J168" s="19" t="s">
        <v>39</v>
      </c>
      <c r="K168">
        <v>3</v>
      </c>
      <c r="L168">
        <v>2</v>
      </c>
      <c r="M168">
        <v>1.45</v>
      </c>
      <c r="N168" s="19" t="s">
        <v>10</v>
      </c>
      <c r="O168" s="19" t="s">
        <v>291</v>
      </c>
      <c r="P168" s="19" t="s">
        <v>289</v>
      </c>
      <c r="Q168" s="19" t="s">
        <v>287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0.83333333333333337</v>
      </c>
      <c r="C169" s="19" t="s">
        <v>35</v>
      </c>
      <c r="D169" s="19" t="s">
        <v>29</v>
      </c>
      <c r="E169" s="19" t="s">
        <v>29</v>
      </c>
      <c r="F169">
        <v>3</v>
      </c>
      <c r="G169">
        <v>4</v>
      </c>
      <c r="H169">
        <v>0.75290000000000001</v>
      </c>
      <c r="I169" s="19" t="s">
        <v>249</v>
      </c>
      <c r="J169" s="19" t="s">
        <v>29</v>
      </c>
      <c r="K169">
        <v>3</v>
      </c>
      <c r="L169">
        <v>2</v>
      </c>
      <c r="M169">
        <v>-0.54</v>
      </c>
      <c r="N169" s="19" t="s">
        <v>35</v>
      </c>
      <c r="O169" s="19" t="s">
        <v>291</v>
      </c>
      <c r="P169" s="19" t="s">
        <v>284</v>
      </c>
      <c r="Q169" s="19" t="s">
        <v>285</v>
      </c>
      <c r="R169" s="19" t="s">
        <v>249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0.91666666666666663</v>
      </c>
      <c r="C170" s="19" t="s">
        <v>16</v>
      </c>
      <c r="D170" s="19" t="s">
        <v>17</v>
      </c>
      <c r="E170" s="19" t="s">
        <v>16</v>
      </c>
      <c r="F170">
        <v>4</v>
      </c>
      <c r="G170">
        <v>3</v>
      </c>
      <c r="H170">
        <v>0.62190000000000001</v>
      </c>
      <c r="I170" s="19" t="s">
        <v>249</v>
      </c>
      <c r="J170" s="19" t="s">
        <v>17</v>
      </c>
      <c r="K170">
        <v>3</v>
      </c>
      <c r="L170">
        <v>2</v>
      </c>
      <c r="M170">
        <v>-0.48</v>
      </c>
      <c r="N170" s="19" t="s">
        <v>16</v>
      </c>
      <c r="O170" s="19" t="s">
        <v>291</v>
      </c>
      <c r="P170" s="19" t="s">
        <v>284</v>
      </c>
      <c r="Q170" s="19" t="s">
        <v>285</v>
      </c>
      <c r="R170" s="19" t="s">
        <v>248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40</v>
      </c>
      <c r="D171" s="19" t="s">
        <v>34</v>
      </c>
      <c r="E171" s="19" t="s">
        <v>34</v>
      </c>
      <c r="F171">
        <v>2</v>
      </c>
      <c r="G171">
        <v>3</v>
      </c>
      <c r="H171">
        <v>0.83430000000000004</v>
      </c>
      <c r="I171" s="19" t="s">
        <v>249</v>
      </c>
      <c r="J171" s="19" t="s">
        <v>34</v>
      </c>
      <c r="K171">
        <v>3</v>
      </c>
      <c r="L171">
        <v>2</v>
      </c>
      <c r="M171">
        <v>-0.52</v>
      </c>
      <c r="N171" s="19" t="s">
        <v>34</v>
      </c>
      <c r="O171" s="19" t="s">
        <v>291</v>
      </c>
      <c r="P171" s="19" t="s">
        <v>289</v>
      </c>
      <c r="Q171" s="19" t="s">
        <v>287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23</v>
      </c>
      <c r="D172" s="19" t="s">
        <v>21</v>
      </c>
      <c r="E172" s="19" t="s">
        <v>23</v>
      </c>
      <c r="F172">
        <v>4</v>
      </c>
      <c r="G172">
        <v>3</v>
      </c>
      <c r="H172">
        <v>0.59740000000000004</v>
      </c>
      <c r="I172" s="19" t="s">
        <v>249</v>
      </c>
      <c r="J172" s="19" t="s">
        <v>21</v>
      </c>
      <c r="K172">
        <v>3</v>
      </c>
      <c r="L172">
        <v>2</v>
      </c>
      <c r="M172">
        <v>-0.01</v>
      </c>
      <c r="N172" s="19" t="s">
        <v>23</v>
      </c>
      <c r="O172" s="19" t="s">
        <v>289</v>
      </c>
      <c r="P172" s="19" t="s">
        <v>287</v>
      </c>
      <c r="Q172" s="19" t="s">
        <v>285</v>
      </c>
      <c r="R172" s="19" t="s">
        <v>248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19</v>
      </c>
      <c r="D173" s="19" t="s">
        <v>36</v>
      </c>
      <c r="E173" s="19" t="s">
        <v>36</v>
      </c>
      <c r="F173">
        <v>4</v>
      </c>
      <c r="G173">
        <v>5</v>
      </c>
      <c r="H173">
        <v>0.73709999999999998</v>
      </c>
      <c r="I173" s="19" t="s">
        <v>249</v>
      </c>
      <c r="J173" s="19" t="s">
        <v>36</v>
      </c>
      <c r="K173">
        <v>3</v>
      </c>
      <c r="L173">
        <v>2</v>
      </c>
      <c r="M173">
        <v>-0.33</v>
      </c>
      <c r="N173" s="19" t="s">
        <v>19</v>
      </c>
      <c r="O173" s="19" t="s">
        <v>292</v>
      </c>
      <c r="P173" s="19" t="s">
        <v>283</v>
      </c>
      <c r="Q173" s="19" t="s">
        <v>285</v>
      </c>
      <c r="R173" s="19" t="s">
        <v>249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38</v>
      </c>
      <c r="D174" s="19" t="s">
        <v>33</v>
      </c>
      <c r="E174" s="19" t="s">
        <v>33</v>
      </c>
      <c r="F174">
        <v>3</v>
      </c>
      <c r="G174">
        <v>5</v>
      </c>
      <c r="H174">
        <v>0.71030000000000004</v>
      </c>
      <c r="I174" s="19" t="s">
        <v>249</v>
      </c>
      <c r="J174" s="19" t="s">
        <v>38</v>
      </c>
      <c r="K174">
        <v>3</v>
      </c>
      <c r="L174">
        <v>2</v>
      </c>
      <c r="M174">
        <v>0.02</v>
      </c>
      <c r="N174" s="19" t="s">
        <v>33</v>
      </c>
      <c r="O174" s="19" t="s">
        <v>291</v>
      </c>
      <c r="P174" s="19" t="s">
        <v>288</v>
      </c>
      <c r="Q174" s="19" t="s">
        <v>285</v>
      </c>
      <c r="R174" s="19" t="s">
        <v>248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0.79166666666666663</v>
      </c>
      <c r="C175" s="19" t="s">
        <v>11</v>
      </c>
      <c r="D175" s="19" t="s">
        <v>37</v>
      </c>
      <c r="E175" s="19" t="s">
        <v>37</v>
      </c>
      <c r="F175">
        <v>3</v>
      </c>
      <c r="G175">
        <v>4</v>
      </c>
      <c r="H175">
        <v>0.78510000000000002</v>
      </c>
      <c r="I175" s="19" t="s">
        <v>249</v>
      </c>
      <c r="J175" s="19" t="s">
        <v>37</v>
      </c>
      <c r="K175">
        <v>3</v>
      </c>
      <c r="L175">
        <v>2</v>
      </c>
      <c r="M175">
        <v>-0.45</v>
      </c>
      <c r="N175" s="19" t="s">
        <v>37</v>
      </c>
      <c r="O175" s="19" t="s">
        <v>284</v>
      </c>
      <c r="P175" s="19" t="s">
        <v>289</v>
      </c>
      <c r="Q175" s="19" t="s">
        <v>285</v>
      </c>
      <c r="R175" s="19" t="s">
        <v>248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25</v>
      </c>
      <c r="D176" s="19" t="s">
        <v>26</v>
      </c>
      <c r="E176" s="19" t="s">
        <v>25</v>
      </c>
      <c r="F176">
        <v>4</v>
      </c>
      <c r="G176">
        <v>3</v>
      </c>
      <c r="H176">
        <v>0.75470000000000004</v>
      </c>
      <c r="I176" s="19" t="s">
        <v>249</v>
      </c>
      <c r="J176" s="19" t="s">
        <v>25</v>
      </c>
      <c r="K176">
        <v>3</v>
      </c>
      <c r="L176">
        <v>2</v>
      </c>
      <c r="M176">
        <v>0.69</v>
      </c>
      <c r="N176" s="19" t="s">
        <v>25</v>
      </c>
      <c r="O176" s="19" t="s">
        <v>283</v>
      </c>
      <c r="P176" s="19" t="s">
        <v>284</v>
      </c>
      <c r="Q176" s="19" t="s">
        <v>285</v>
      </c>
      <c r="R176" s="19" t="s">
        <v>248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0.83333333333333337</v>
      </c>
      <c r="C177" s="19" t="s">
        <v>32</v>
      </c>
      <c r="D177" s="19" t="s">
        <v>27</v>
      </c>
      <c r="E177" s="19" t="s">
        <v>27</v>
      </c>
      <c r="F177">
        <v>2</v>
      </c>
      <c r="G177">
        <v>3</v>
      </c>
      <c r="H177">
        <v>0.63080000000000003</v>
      </c>
      <c r="I177" s="19" t="s">
        <v>249</v>
      </c>
      <c r="J177" s="19" t="s">
        <v>27</v>
      </c>
      <c r="K177">
        <v>3</v>
      </c>
      <c r="L177">
        <v>2</v>
      </c>
      <c r="M177">
        <v>-0.68</v>
      </c>
      <c r="N177" s="19" t="s">
        <v>32</v>
      </c>
      <c r="O177" s="19" t="s">
        <v>289</v>
      </c>
      <c r="P177" s="19" t="s">
        <v>287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37</v>
      </c>
      <c r="D178" s="19" t="s">
        <v>18</v>
      </c>
      <c r="E178" s="19" t="s">
        <v>18</v>
      </c>
      <c r="F178">
        <v>3</v>
      </c>
      <c r="G178">
        <v>4</v>
      </c>
      <c r="H178">
        <v>0.62360000000000004</v>
      </c>
      <c r="I178" s="19" t="s">
        <v>248</v>
      </c>
      <c r="J178" s="19" t="s">
        <v>37</v>
      </c>
      <c r="K178">
        <v>3</v>
      </c>
      <c r="L178">
        <v>2</v>
      </c>
      <c r="M178">
        <v>0.86</v>
      </c>
      <c r="N178" s="19" t="s">
        <v>37</v>
      </c>
      <c r="O178" s="19" t="s">
        <v>283</v>
      </c>
      <c r="P178" s="19" t="s">
        <v>289</v>
      </c>
      <c r="Q178" s="19" t="s">
        <v>287</v>
      </c>
      <c r="R178" s="19" t="s">
        <v>249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28</v>
      </c>
      <c r="D179" s="19" t="s">
        <v>30</v>
      </c>
      <c r="E179" s="19" t="s">
        <v>30</v>
      </c>
      <c r="F179">
        <v>3</v>
      </c>
      <c r="G179">
        <v>4</v>
      </c>
      <c r="H179">
        <v>0.55369999999999997</v>
      </c>
      <c r="I179" s="19" t="s">
        <v>249</v>
      </c>
      <c r="J179" s="19" t="s">
        <v>30</v>
      </c>
      <c r="K179">
        <v>3</v>
      </c>
      <c r="L179">
        <v>2</v>
      </c>
      <c r="M179">
        <v>-0.61</v>
      </c>
      <c r="N179" s="19" t="s">
        <v>28</v>
      </c>
      <c r="O179" s="19" t="s">
        <v>289</v>
      </c>
      <c r="P179" s="19" t="s">
        <v>284</v>
      </c>
      <c r="Q179" s="19" t="s">
        <v>285</v>
      </c>
      <c r="R179" s="19" t="s">
        <v>249</v>
      </c>
      <c r="S179" s="19" t="s">
        <v>249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26</v>
      </c>
      <c r="D180" s="19" t="s">
        <v>19</v>
      </c>
      <c r="E180" s="19" t="s">
        <v>26</v>
      </c>
      <c r="F180">
        <v>5</v>
      </c>
      <c r="G180">
        <v>3</v>
      </c>
      <c r="H180">
        <v>0.89239999999999997</v>
      </c>
      <c r="I180" s="19" t="s">
        <v>249</v>
      </c>
      <c r="J180" s="19" t="s">
        <v>26</v>
      </c>
      <c r="K180">
        <v>3</v>
      </c>
      <c r="L180">
        <v>2</v>
      </c>
      <c r="M180">
        <v>0.09</v>
      </c>
      <c r="N180" s="19" t="s">
        <v>26</v>
      </c>
      <c r="O180" s="19" t="s">
        <v>291</v>
      </c>
      <c r="P180" s="19" t="s">
        <v>284</v>
      </c>
      <c r="Q180" s="19" t="s">
        <v>287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0.79166666666666663</v>
      </c>
      <c r="C181" s="19" t="s">
        <v>10</v>
      </c>
      <c r="D181" s="19" t="s">
        <v>14</v>
      </c>
      <c r="E181" s="19" t="s">
        <v>14</v>
      </c>
      <c r="F181">
        <v>2</v>
      </c>
      <c r="G181">
        <v>3</v>
      </c>
      <c r="H181">
        <v>0.61629999999999996</v>
      </c>
      <c r="I181" s="19" t="s">
        <v>249</v>
      </c>
      <c r="J181" s="19" t="s">
        <v>14</v>
      </c>
      <c r="K181">
        <v>3</v>
      </c>
      <c r="L181">
        <v>2</v>
      </c>
      <c r="M181">
        <v>-0.06</v>
      </c>
      <c r="N181" s="19" t="s">
        <v>14</v>
      </c>
      <c r="O181" s="19" t="s">
        <v>291</v>
      </c>
      <c r="P181" s="19" t="s">
        <v>292</v>
      </c>
      <c r="Q181" s="19" t="s">
        <v>285</v>
      </c>
      <c r="R181" s="19" t="s">
        <v>248</v>
      </c>
      <c r="S181" s="19" t="s">
        <v>248</v>
      </c>
      <c r="T181" s="19" t="s">
        <v>286</v>
      </c>
    </row>
    <row r="182" spans="1:20" x14ac:dyDescent="0.2">
      <c r="A182" s="1">
        <v>46020</v>
      </c>
      <c r="B182" s="2">
        <v>0.91666666666666663</v>
      </c>
      <c r="C182" s="19" t="s">
        <v>31</v>
      </c>
      <c r="D182" s="19" t="s">
        <v>33</v>
      </c>
      <c r="E182" s="19" t="s">
        <v>31</v>
      </c>
      <c r="F182">
        <v>4</v>
      </c>
      <c r="G182">
        <v>3</v>
      </c>
      <c r="H182">
        <v>0.65629999999999999</v>
      </c>
      <c r="I182" s="19" t="s">
        <v>249</v>
      </c>
      <c r="J182" s="19" t="s">
        <v>31</v>
      </c>
      <c r="K182">
        <v>3</v>
      </c>
      <c r="L182">
        <v>2</v>
      </c>
      <c r="M182">
        <v>0.36</v>
      </c>
      <c r="N182" s="19" t="s">
        <v>33</v>
      </c>
      <c r="O182" s="19" t="s">
        <v>289</v>
      </c>
      <c r="P182" s="19" t="s">
        <v>283</v>
      </c>
      <c r="Q182" s="19" t="s">
        <v>285</v>
      </c>
      <c r="R182" s="19" t="s">
        <v>249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0.875</v>
      </c>
      <c r="C183" s="19" t="s">
        <v>55</v>
      </c>
      <c r="D183" s="19" t="s">
        <v>29</v>
      </c>
      <c r="E183" s="19" t="s">
        <v>55</v>
      </c>
      <c r="F183">
        <v>4</v>
      </c>
      <c r="G183">
        <v>2</v>
      </c>
      <c r="H183">
        <v>0.71530000000000005</v>
      </c>
      <c r="I183" s="19" t="s">
        <v>249</v>
      </c>
      <c r="J183" s="19" t="s">
        <v>55</v>
      </c>
      <c r="K183">
        <v>3</v>
      </c>
      <c r="L183">
        <v>2</v>
      </c>
      <c r="M183">
        <v>0.66</v>
      </c>
      <c r="N183" s="19" t="s">
        <v>29</v>
      </c>
      <c r="O183" s="19" t="s">
        <v>291</v>
      </c>
      <c r="P183" s="19" t="s">
        <v>289</v>
      </c>
      <c r="Q183" s="19" t="s">
        <v>285</v>
      </c>
      <c r="R183" s="19" t="s">
        <v>249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0.91666666666666663</v>
      </c>
      <c r="C184" s="19" t="s">
        <v>20</v>
      </c>
      <c r="D184" s="19" t="s">
        <v>34</v>
      </c>
      <c r="E184" s="19" t="s">
        <v>34</v>
      </c>
      <c r="F184">
        <v>3</v>
      </c>
      <c r="G184">
        <v>4</v>
      </c>
      <c r="H184">
        <v>0.59099999999999997</v>
      </c>
      <c r="I184" s="19" t="s">
        <v>249</v>
      </c>
      <c r="J184" s="19" t="s">
        <v>34</v>
      </c>
      <c r="K184">
        <v>3</v>
      </c>
      <c r="L184">
        <v>2</v>
      </c>
      <c r="M184">
        <v>-0.21</v>
      </c>
      <c r="N184" s="19" t="s">
        <v>34</v>
      </c>
      <c r="O184" s="19" t="s">
        <v>284</v>
      </c>
      <c r="P184" s="19" t="s">
        <v>283</v>
      </c>
      <c r="Q184" s="19" t="s">
        <v>285</v>
      </c>
      <c r="R184" s="19" t="s">
        <v>248</v>
      </c>
      <c r="S184" s="19" t="s">
        <v>248</v>
      </c>
      <c r="T184" s="19" t="s">
        <v>286</v>
      </c>
    </row>
    <row r="185" spans="1:20" x14ac:dyDescent="0.2">
      <c r="A185" s="1">
        <v>46020</v>
      </c>
      <c r="B185" s="2">
        <v>0.79166666666666663</v>
      </c>
      <c r="C185" s="19" t="s">
        <v>36</v>
      </c>
      <c r="D185" s="19" t="s">
        <v>28</v>
      </c>
      <c r="E185" s="19" t="s">
        <v>28</v>
      </c>
      <c r="F185">
        <v>3</v>
      </c>
      <c r="G185">
        <v>4</v>
      </c>
      <c r="H185">
        <v>0.5101</v>
      </c>
      <c r="I185" s="19" t="s">
        <v>249</v>
      </c>
      <c r="J185" s="19" t="s">
        <v>36</v>
      </c>
      <c r="K185">
        <v>3</v>
      </c>
      <c r="L185">
        <v>2</v>
      </c>
      <c r="M185">
        <v>0.48</v>
      </c>
      <c r="N185" s="19" t="s">
        <v>28</v>
      </c>
      <c r="O185" s="19" t="s">
        <v>287</v>
      </c>
      <c r="P185" s="19" t="s">
        <v>289</v>
      </c>
      <c r="Q185" s="19" t="s">
        <v>285</v>
      </c>
      <c r="R185" s="19" t="s">
        <v>248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0.8125</v>
      </c>
      <c r="C186" s="19" t="s">
        <v>40</v>
      </c>
      <c r="D186" s="19" t="s">
        <v>17</v>
      </c>
      <c r="E186" s="19" t="s">
        <v>17</v>
      </c>
      <c r="F186">
        <v>3</v>
      </c>
      <c r="G186">
        <v>4</v>
      </c>
      <c r="H186">
        <v>0.54410000000000003</v>
      </c>
      <c r="I186" s="19" t="s">
        <v>249</v>
      </c>
      <c r="J186" s="19" t="s">
        <v>17</v>
      </c>
      <c r="K186">
        <v>3</v>
      </c>
      <c r="L186">
        <v>2</v>
      </c>
      <c r="M186">
        <v>-0.05</v>
      </c>
      <c r="N186" s="19" t="s">
        <v>17</v>
      </c>
      <c r="O186" s="19" t="s">
        <v>287</v>
      </c>
      <c r="P186" s="19" t="s">
        <v>291</v>
      </c>
      <c r="Q186" s="19" t="s">
        <v>285</v>
      </c>
      <c r="R186" s="19" t="s">
        <v>248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0.83333333333333337</v>
      </c>
      <c r="C187" s="19" t="s">
        <v>35</v>
      </c>
      <c r="D187" s="19" t="s">
        <v>23</v>
      </c>
      <c r="E187" s="19" t="s">
        <v>35</v>
      </c>
      <c r="F187">
        <v>4</v>
      </c>
      <c r="G187">
        <v>3</v>
      </c>
      <c r="H187">
        <v>0.57420000000000004</v>
      </c>
      <c r="I187" s="19" t="s">
        <v>249</v>
      </c>
      <c r="J187" s="19" t="s">
        <v>23</v>
      </c>
      <c r="K187">
        <v>3</v>
      </c>
      <c r="L187">
        <v>2</v>
      </c>
      <c r="M187">
        <v>-0.86</v>
      </c>
      <c r="N187" s="19" t="s">
        <v>23</v>
      </c>
      <c r="O187" s="19" t="s">
        <v>284</v>
      </c>
      <c r="P187" s="19" t="s">
        <v>289</v>
      </c>
      <c r="Q187" s="19" t="s">
        <v>285</v>
      </c>
      <c r="R187" s="19" t="s">
        <v>249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0.875</v>
      </c>
      <c r="C188" s="19" t="s">
        <v>12</v>
      </c>
      <c r="D188" s="19" t="s">
        <v>13</v>
      </c>
      <c r="E188" s="19" t="s">
        <v>12</v>
      </c>
      <c r="F188">
        <v>6</v>
      </c>
      <c r="G188">
        <v>3</v>
      </c>
      <c r="H188">
        <v>0.82250000000000001</v>
      </c>
      <c r="I188" s="19" t="s">
        <v>249</v>
      </c>
      <c r="J188" s="19" t="s">
        <v>12</v>
      </c>
      <c r="K188">
        <v>3</v>
      </c>
      <c r="L188">
        <v>2</v>
      </c>
      <c r="M188">
        <v>1.79</v>
      </c>
      <c r="N188" s="19" t="s">
        <v>12</v>
      </c>
      <c r="O188" s="19" t="s">
        <v>283</v>
      </c>
      <c r="P188" s="19" t="s">
        <v>284</v>
      </c>
      <c r="Q188" s="19" t="s">
        <v>285</v>
      </c>
      <c r="R188" s="19" t="s">
        <v>248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0.79166666666666663</v>
      </c>
      <c r="C189" s="19" t="s">
        <v>25</v>
      </c>
      <c r="D189" s="19" t="s">
        <v>15</v>
      </c>
      <c r="E189" s="19" t="s">
        <v>15</v>
      </c>
      <c r="F189">
        <v>3</v>
      </c>
      <c r="G189">
        <v>4</v>
      </c>
      <c r="H189">
        <v>0.75149999999999995</v>
      </c>
      <c r="I189" s="19" t="s">
        <v>249</v>
      </c>
      <c r="J189" s="19" t="s">
        <v>25</v>
      </c>
      <c r="K189">
        <v>3</v>
      </c>
      <c r="L189">
        <v>2</v>
      </c>
      <c r="M189">
        <v>0.65</v>
      </c>
      <c r="N189" s="19" t="s">
        <v>25</v>
      </c>
      <c r="O189" s="19" t="s">
        <v>291</v>
      </c>
      <c r="P189" s="19" t="s">
        <v>284</v>
      </c>
      <c r="Q189" s="19" t="s">
        <v>287</v>
      </c>
      <c r="R189" s="19" t="s">
        <v>249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0.91666666666666663</v>
      </c>
      <c r="C190" s="19" t="s">
        <v>32</v>
      </c>
      <c r="D190" s="19" t="s">
        <v>38</v>
      </c>
      <c r="E190" s="19" t="s">
        <v>32</v>
      </c>
      <c r="F190">
        <v>4</v>
      </c>
      <c r="G190">
        <v>3</v>
      </c>
      <c r="H190">
        <v>0.51719999999999999</v>
      </c>
      <c r="I190" s="19" t="s">
        <v>249</v>
      </c>
      <c r="J190" s="19" t="s">
        <v>32</v>
      </c>
      <c r="K190">
        <v>3</v>
      </c>
      <c r="L190">
        <v>2</v>
      </c>
      <c r="M190">
        <v>0.21</v>
      </c>
      <c r="N190" s="19" t="s">
        <v>38</v>
      </c>
      <c r="O190" s="19" t="s">
        <v>284</v>
      </c>
      <c r="P190" s="19" t="s">
        <v>291</v>
      </c>
      <c r="Q190" s="19" t="s">
        <v>287</v>
      </c>
      <c r="R190" s="19" t="s">
        <v>249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0.875</v>
      </c>
      <c r="C191" s="19" t="s">
        <v>16</v>
      </c>
      <c r="D191" s="19" t="s">
        <v>21</v>
      </c>
      <c r="E191" s="19" t="s">
        <v>16</v>
      </c>
      <c r="F191">
        <v>4</v>
      </c>
      <c r="G191">
        <v>2</v>
      </c>
      <c r="H191">
        <v>0.67530000000000001</v>
      </c>
      <c r="I191" s="19" t="s">
        <v>249</v>
      </c>
      <c r="J191" s="19" t="s">
        <v>21</v>
      </c>
      <c r="K191">
        <v>3</v>
      </c>
      <c r="L191">
        <v>2</v>
      </c>
      <c r="M191">
        <v>-0.24</v>
      </c>
      <c r="N191" s="19" t="s">
        <v>16</v>
      </c>
      <c r="O191" s="19" t="s">
        <v>284</v>
      </c>
      <c r="P191" s="19" t="s">
        <v>287</v>
      </c>
      <c r="Q191" s="19" t="s">
        <v>287</v>
      </c>
      <c r="R191" s="19" t="s">
        <v>248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0.79166666666666663</v>
      </c>
      <c r="C192" s="19" t="s">
        <v>11</v>
      </c>
      <c r="D192" s="19" t="s">
        <v>22</v>
      </c>
      <c r="E192" s="19" t="s">
        <v>11</v>
      </c>
      <c r="F192">
        <v>4</v>
      </c>
      <c r="G192">
        <v>3</v>
      </c>
      <c r="H192">
        <v>0.65490000000000004</v>
      </c>
      <c r="I192" s="19" t="s">
        <v>249</v>
      </c>
      <c r="J192" s="19" t="s">
        <v>22</v>
      </c>
      <c r="K192">
        <v>3</v>
      </c>
      <c r="L192">
        <v>2</v>
      </c>
      <c r="M192">
        <v>-0.23</v>
      </c>
      <c r="N192" s="19" t="s">
        <v>11</v>
      </c>
      <c r="O192" s="19" t="s">
        <v>283</v>
      </c>
      <c r="P192" s="19" t="s">
        <v>291</v>
      </c>
      <c r="Q192" s="19" t="s">
        <v>285</v>
      </c>
      <c r="R192" s="19" t="s">
        <v>248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14</v>
      </c>
      <c r="D194" s="19" t="s">
        <v>25</v>
      </c>
      <c r="E194" s="19" t="s">
        <v>25</v>
      </c>
      <c r="F194">
        <v>3</v>
      </c>
      <c r="G194">
        <v>4</v>
      </c>
      <c r="H194">
        <v>0.59460000000000002</v>
      </c>
      <c r="I194" s="19" t="s">
        <v>249</v>
      </c>
      <c r="J194" s="19" t="s">
        <v>25</v>
      </c>
      <c r="K194">
        <v>3</v>
      </c>
      <c r="L194">
        <v>2</v>
      </c>
      <c r="M194">
        <v>-0.68</v>
      </c>
      <c r="N194" s="19" t="s">
        <v>14</v>
      </c>
      <c r="O194" s="19" t="s">
        <v>283</v>
      </c>
      <c r="P194" s="19" t="s">
        <v>287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19</v>
      </c>
      <c r="D196" s="19" t="s">
        <v>24</v>
      </c>
      <c r="E196" s="19" t="s">
        <v>24</v>
      </c>
      <c r="F196">
        <v>3</v>
      </c>
      <c r="G196">
        <v>4</v>
      </c>
      <c r="H196">
        <v>0.66710000000000003</v>
      </c>
      <c r="I196" s="19" t="s">
        <v>249</v>
      </c>
      <c r="J196" s="19" t="s">
        <v>24</v>
      </c>
      <c r="K196">
        <v>3</v>
      </c>
      <c r="L196">
        <v>2</v>
      </c>
      <c r="M196">
        <v>-0.08</v>
      </c>
      <c r="N196" s="19" t="s">
        <v>19</v>
      </c>
      <c r="O196" s="19" t="s">
        <v>289</v>
      </c>
      <c r="P196" s="19" t="s">
        <v>285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0.52083333333333337</v>
      </c>
      <c r="C198" s="19" t="s">
        <v>22</v>
      </c>
      <c r="D198" s="19" t="s">
        <v>15</v>
      </c>
      <c r="E198" s="19" t="s">
        <v>15</v>
      </c>
      <c r="F198">
        <v>3</v>
      </c>
      <c r="G198">
        <v>5</v>
      </c>
      <c r="H198">
        <v>0.80369999999999997</v>
      </c>
      <c r="I198" s="19" t="s">
        <v>249</v>
      </c>
      <c r="J198" s="19" t="s">
        <v>22</v>
      </c>
      <c r="K198">
        <v>3</v>
      </c>
      <c r="L198">
        <v>2</v>
      </c>
      <c r="M198">
        <v>0.46</v>
      </c>
      <c r="N198" s="19" t="s">
        <v>22</v>
      </c>
      <c r="O198" s="19" t="s">
        <v>288</v>
      </c>
      <c r="P198" s="19" t="s">
        <v>291</v>
      </c>
      <c r="Q198" s="19" t="s">
        <v>285</v>
      </c>
      <c r="R198" s="19" t="s">
        <v>249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0.875</v>
      </c>
      <c r="C199" s="19" t="s">
        <v>12</v>
      </c>
      <c r="D199" s="19" t="s">
        <v>35</v>
      </c>
      <c r="E199" s="19" t="s">
        <v>12</v>
      </c>
      <c r="F199">
        <v>3</v>
      </c>
      <c r="G199">
        <v>2</v>
      </c>
      <c r="H199">
        <v>0.87290000000000001</v>
      </c>
      <c r="I199" s="19" t="s">
        <v>249</v>
      </c>
      <c r="J199" s="19" t="s">
        <v>12</v>
      </c>
      <c r="K199">
        <v>3</v>
      </c>
      <c r="L199">
        <v>2</v>
      </c>
      <c r="M199">
        <v>2.8</v>
      </c>
      <c r="N199" s="19" t="s">
        <v>12</v>
      </c>
      <c r="O199" s="19" t="s">
        <v>288</v>
      </c>
      <c r="P199" s="19" t="s">
        <v>287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0.66666666666666663</v>
      </c>
      <c r="C200" s="19" t="s">
        <v>33</v>
      </c>
      <c r="D200" s="19" t="s">
        <v>34</v>
      </c>
      <c r="E200" s="19" t="s">
        <v>34</v>
      </c>
      <c r="F200">
        <v>2</v>
      </c>
      <c r="G200">
        <v>3</v>
      </c>
      <c r="H200">
        <v>0.72799999999999998</v>
      </c>
      <c r="I200" s="19" t="s">
        <v>249</v>
      </c>
      <c r="J200" s="19" t="s">
        <v>34</v>
      </c>
      <c r="K200">
        <v>3</v>
      </c>
      <c r="L200">
        <v>2</v>
      </c>
      <c r="M200">
        <v>-0.8</v>
      </c>
      <c r="N200" s="19" t="s">
        <v>33</v>
      </c>
      <c r="O200" s="19" t="s">
        <v>289</v>
      </c>
      <c r="P200" s="19" t="s">
        <v>291</v>
      </c>
      <c r="Q200" s="19" t="s">
        <v>287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0.625</v>
      </c>
      <c r="C201" s="19" t="s">
        <v>20</v>
      </c>
      <c r="D201" s="19" t="s">
        <v>29</v>
      </c>
      <c r="E201" s="19" t="s">
        <v>20</v>
      </c>
      <c r="F201">
        <v>4</v>
      </c>
      <c r="G201">
        <v>3</v>
      </c>
      <c r="H201">
        <v>0.66679999999999995</v>
      </c>
      <c r="I201" s="19" t="s">
        <v>248</v>
      </c>
      <c r="J201" s="19" t="s">
        <v>20</v>
      </c>
      <c r="K201">
        <v>3</v>
      </c>
      <c r="L201">
        <v>2</v>
      </c>
      <c r="M201">
        <v>0.59</v>
      </c>
      <c r="N201" s="19" t="s">
        <v>29</v>
      </c>
      <c r="O201" s="19" t="s">
        <v>284</v>
      </c>
      <c r="P201" s="19" t="s">
        <v>289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0.89583333333333337</v>
      </c>
      <c r="C202" s="19" t="s">
        <v>16</v>
      </c>
      <c r="D202" s="19" t="s">
        <v>27</v>
      </c>
      <c r="E202" s="19" t="s">
        <v>16</v>
      </c>
      <c r="F202">
        <v>5</v>
      </c>
      <c r="G202">
        <v>2</v>
      </c>
      <c r="H202">
        <v>0.67779999999999996</v>
      </c>
      <c r="I202" s="19" t="s">
        <v>249</v>
      </c>
      <c r="J202" s="19" t="s">
        <v>27</v>
      </c>
      <c r="K202">
        <v>3</v>
      </c>
      <c r="L202">
        <v>2</v>
      </c>
      <c r="M202">
        <v>-0.49</v>
      </c>
      <c r="N202" s="19" t="s">
        <v>16</v>
      </c>
      <c r="O202" s="19" t="s">
        <v>283</v>
      </c>
      <c r="P202" s="19" t="s">
        <v>287</v>
      </c>
      <c r="Q202" s="19" t="s">
        <v>285</v>
      </c>
      <c r="R202" s="19" t="s">
        <v>248</v>
      </c>
      <c r="S202" s="19" t="s">
        <v>249</v>
      </c>
      <c r="T202" s="19" t="s">
        <v>286</v>
      </c>
    </row>
    <row r="203" spans="1:20" x14ac:dyDescent="0.2">
      <c r="A203" s="1">
        <v>46022</v>
      </c>
      <c r="B203" s="2">
        <v>0.66666666666666663</v>
      </c>
      <c r="C203" s="19" t="s">
        <v>31</v>
      </c>
      <c r="D203" s="19" t="s">
        <v>37</v>
      </c>
      <c r="E203" s="19" t="s">
        <v>37</v>
      </c>
      <c r="F203">
        <v>2</v>
      </c>
      <c r="G203">
        <v>4</v>
      </c>
      <c r="H203">
        <v>0.76780000000000004</v>
      </c>
      <c r="I203" s="19" t="s">
        <v>249</v>
      </c>
      <c r="J203" s="19" t="s">
        <v>37</v>
      </c>
      <c r="K203">
        <v>3</v>
      </c>
      <c r="L203">
        <v>2</v>
      </c>
      <c r="M203">
        <v>-0.71</v>
      </c>
      <c r="N203" s="19" t="s">
        <v>37</v>
      </c>
      <c r="O203" s="19" t="s">
        <v>291</v>
      </c>
      <c r="P203" s="19" t="s">
        <v>289</v>
      </c>
      <c r="Q203" s="19" t="s">
        <v>287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0.89583333333333337</v>
      </c>
      <c r="C204" s="19" t="s">
        <v>17</v>
      </c>
      <c r="D204" s="19" t="s">
        <v>21</v>
      </c>
      <c r="E204" s="19" t="s">
        <v>17</v>
      </c>
      <c r="F204">
        <v>4</v>
      </c>
      <c r="G204">
        <v>3</v>
      </c>
      <c r="H204">
        <v>0.6331</v>
      </c>
      <c r="I204" s="19" t="s">
        <v>249</v>
      </c>
      <c r="J204" s="19" t="s">
        <v>17</v>
      </c>
      <c r="K204">
        <v>3</v>
      </c>
      <c r="L204">
        <v>2</v>
      </c>
      <c r="M204">
        <v>0.3</v>
      </c>
      <c r="N204" s="19" t="s">
        <v>21</v>
      </c>
      <c r="O204" s="19" t="s">
        <v>284</v>
      </c>
      <c r="P204" s="19" t="s">
        <v>288</v>
      </c>
      <c r="Q204" s="19" t="s">
        <v>285</v>
      </c>
      <c r="R204" s="19" t="s">
        <v>249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0.79166666666666663</v>
      </c>
      <c r="C205" s="19" t="s">
        <v>28</v>
      </c>
      <c r="D205" s="19" t="s">
        <v>24</v>
      </c>
      <c r="E205" s="19" t="s">
        <v>24</v>
      </c>
      <c r="F205">
        <v>3</v>
      </c>
      <c r="G205">
        <v>4</v>
      </c>
      <c r="H205">
        <v>0.67300000000000004</v>
      </c>
      <c r="I205" s="19" t="s">
        <v>249</v>
      </c>
      <c r="J205" s="19" t="s">
        <v>24</v>
      </c>
      <c r="K205">
        <v>3</v>
      </c>
      <c r="L205">
        <v>2</v>
      </c>
      <c r="M205">
        <v>-0.12</v>
      </c>
      <c r="N205" s="19" t="s">
        <v>24</v>
      </c>
      <c r="O205" s="19" t="s">
        <v>284</v>
      </c>
      <c r="P205" s="19" t="s">
        <v>291</v>
      </c>
      <c r="Q205" s="19" t="s">
        <v>285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0.77083333333333337</v>
      </c>
      <c r="C206" s="19" t="s">
        <v>26</v>
      </c>
      <c r="D206" s="19" t="s">
        <v>40</v>
      </c>
      <c r="E206" s="19" t="s">
        <v>26</v>
      </c>
      <c r="F206">
        <v>5</v>
      </c>
      <c r="G206">
        <v>4</v>
      </c>
      <c r="H206">
        <v>0.53749999999999998</v>
      </c>
      <c r="I206" s="19" t="s">
        <v>249</v>
      </c>
      <c r="J206" s="19" t="s">
        <v>26</v>
      </c>
      <c r="K206">
        <v>3</v>
      </c>
      <c r="L206">
        <v>2</v>
      </c>
      <c r="M206">
        <v>0.04</v>
      </c>
      <c r="N206" s="19" t="s">
        <v>26</v>
      </c>
      <c r="O206" s="19" t="s">
        <v>284</v>
      </c>
      <c r="P206" s="19" t="s">
        <v>287</v>
      </c>
      <c r="Q206" s="19" t="s">
        <v>285</v>
      </c>
      <c r="R206" s="19" t="s">
        <v>248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0.83333333333333337</v>
      </c>
      <c r="C207" s="19" t="s">
        <v>39</v>
      </c>
      <c r="D207" s="19" t="s">
        <v>23</v>
      </c>
      <c r="E207" s="19" t="s">
        <v>39</v>
      </c>
      <c r="F207">
        <v>4</v>
      </c>
      <c r="G207">
        <v>3</v>
      </c>
      <c r="H207">
        <v>0.78620000000000001</v>
      </c>
      <c r="I207" s="19" t="s">
        <v>249</v>
      </c>
      <c r="J207" s="19" t="s">
        <v>39</v>
      </c>
      <c r="K207">
        <v>3</v>
      </c>
      <c r="L207">
        <v>2</v>
      </c>
      <c r="M207">
        <v>0.91</v>
      </c>
      <c r="N207" s="19" t="s">
        <v>23</v>
      </c>
      <c r="O207" s="19" t="s">
        <v>287</v>
      </c>
      <c r="P207" s="19" t="s">
        <v>289</v>
      </c>
      <c r="Q207" s="19" t="s">
        <v>285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13</v>
      </c>
      <c r="D208" s="19" t="s">
        <v>37</v>
      </c>
      <c r="E208" s="19" t="s">
        <v>37</v>
      </c>
      <c r="F208">
        <v>2</v>
      </c>
      <c r="G208">
        <v>3</v>
      </c>
      <c r="H208">
        <v>0.71709999999999996</v>
      </c>
      <c r="I208" s="19" t="s">
        <v>249</v>
      </c>
      <c r="J208" s="19" t="s">
        <v>37</v>
      </c>
      <c r="K208">
        <v>3</v>
      </c>
      <c r="L208">
        <v>2</v>
      </c>
      <c r="M208">
        <v>-0.66</v>
      </c>
      <c r="N208" s="19" t="s">
        <v>37</v>
      </c>
      <c r="O208" s="19" t="s">
        <v>291</v>
      </c>
      <c r="P208" s="19" t="s">
        <v>283</v>
      </c>
      <c r="Q208" s="19" t="s">
        <v>285</v>
      </c>
      <c r="R208" s="19" t="s">
        <v>248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0.85416666666666663</v>
      </c>
      <c r="C209" s="19" t="s">
        <v>10</v>
      </c>
      <c r="D209" s="19" t="s">
        <v>39</v>
      </c>
      <c r="E209" s="19" t="s">
        <v>39</v>
      </c>
      <c r="F209">
        <v>2</v>
      </c>
      <c r="G209">
        <v>3</v>
      </c>
      <c r="H209">
        <v>0.7883</v>
      </c>
      <c r="I209" s="19" t="s">
        <v>249</v>
      </c>
      <c r="J209" s="19" t="s">
        <v>39</v>
      </c>
      <c r="K209">
        <v>3</v>
      </c>
      <c r="L209">
        <v>2</v>
      </c>
      <c r="M209">
        <v>-1.2</v>
      </c>
      <c r="N209" s="19" t="s">
        <v>10</v>
      </c>
      <c r="O209" s="19" t="s">
        <v>289</v>
      </c>
      <c r="P209" s="19" t="s">
        <v>291</v>
      </c>
      <c r="Q209" s="19" t="s">
        <v>285</v>
      </c>
      <c r="R209" s="19" t="s">
        <v>249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25</v>
      </c>
      <c r="D210" s="19" t="s">
        <v>18</v>
      </c>
      <c r="E210" s="19" t="s">
        <v>18</v>
      </c>
      <c r="F210">
        <v>4</v>
      </c>
      <c r="G210">
        <v>5</v>
      </c>
      <c r="H210">
        <v>0.57499999999999996</v>
      </c>
      <c r="I210" s="19" t="s">
        <v>249</v>
      </c>
      <c r="J210" s="19" t="s">
        <v>25</v>
      </c>
      <c r="K210">
        <v>3</v>
      </c>
      <c r="L210">
        <v>2</v>
      </c>
      <c r="M210">
        <v>0.56999999999999995</v>
      </c>
      <c r="N210" s="19" t="s">
        <v>18</v>
      </c>
      <c r="O210" s="19" t="s">
        <v>283</v>
      </c>
      <c r="P210" s="19" t="s">
        <v>292</v>
      </c>
      <c r="Q210" s="19" t="s">
        <v>285</v>
      </c>
      <c r="R210" s="19" t="s">
        <v>248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0.625</v>
      </c>
      <c r="C211" s="19" t="s">
        <v>30</v>
      </c>
      <c r="D211" s="19" t="s">
        <v>55</v>
      </c>
      <c r="E211" s="19" t="s">
        <v>30</v>
      </c>
      <c r="F211">
        <v>3</v>
      </c>
      <c r="G211">
        <v>2</v>
      </c>
      <c r="H211">
        <v>0.56630000000000003</v>
      </c>
      <c r="I211" s="19" t="s">
        <v>249</v>
      </c>
      <c r="J211" s="19" t="s">
        <v>30</v>
      </c>
      <c r="K211">
        <v>3</v>
      </c>
      <c r="L211">
        <v>2</v>
      </c>
      <c r="M211">
        <v>0.17</v>
      </c>
      <c r="N211" s="19" t="s">
        <v>55</v>
      </c>
      <c r="O211" s="19" t="s">
        <v>284</v>
      </c>
      <c r="P211" s="19" t="s">
        <v>292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14</v>
      </c>
      <c r="D212" s="19" t="s">
        <v>26</v>
      </c>
      <c r="E212" s="19" t="s">
        <v>26</v>
      </c>
      <c r="F212">
        <v>3</v>
      </c>
      <c r="G212">
        <v>4</v>
      </c>
      <c r="H212">
        <v>0.62039999999999995</v>
      </c>
      <c r="I212" s="19" t="s">
        <v>249</v>
      </c>
      <c r="J212" s="19" t="s">
        <v>14</v>
      </c>
      <c r="K212">
        <v>3</v>
      </c>
      <c r="L212">
        <v>2</v>
      </c>
      <c r="M212">
        <v>0.15</v>
      </c>
      <c r="N212" s="19" t="s">
        <v>14</v>
      </c>
      <c r="O212" s="19" t="s">
        <v>289</v>
      </c>
      <c r="P212" s="19" t="s">
        <v>291</v>
      </c>
      <c r="Q212" s="19" t="s">
        <v>287</v>
      </c>
      <c r="R212" s="19" t="s">
        <v>249</v>
      </c>
      <c r="S212" s="19" t="s">
        <v>248</v>
      </c>
      <c r="T212" s="19" t="s">
        <v>286</v>
      </c>
    </row>
    <row r="213" spans="1:20" x14ac:dyDescent="0.2">
      <c r="A213" s="1">
        <v>46023</v>
      </c>
      <c r="B213" s="2">
        <v>0.54166666666666663</v>
      </c>
      <c r="C213" s="19" t="s">
        <v>36</v>
      </c>
      <c r="D213" s="19" t="s">
        <v>22</v>
      </c>
      <c r="E213" s="19" t="s">
        <v>22</v>
      </c>
      <c r="F213">
        <v>3</v>
      </c>
      <c r="G213">
        <v>4</v>
      </c>
      <c r="H213">
        <v>0.62760000000000005</v>
      </c>
      <c r="I213" s="19" t="s">
        <v>249</v>
      </c>
      <c r="J213" s="19" t="s">
        <v>22</v>
      </c>
      <c r="K213">
        <v>3</v>
      </c>
      <c r="L213">
        <v>2</v>
      </c>
      <c r="M213">
        <v>-0.37</v>
      </c>
      <c r="N213" s="19" t="s">
        <v>36</v>
      </c>
      <c r="O213" s="19" t="s">
        <v>289</v>
      </c>
      <c r="P213" s="19" t="s">
        <v>291</v>
      </c>
      <c r="Q213" s="19" t="s">
        <v>285</v>
      </c>
      <c r="R213" s="19" t="s">
        <v>249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0.91666666666666663</v>
      </c>
      <c r="C214" s="19" t="s">
        <v>32</v>
      </c>
      <c r="D214" s="19" t="s">
        <v>29</v>
      </c>
      <c r="E214" s="19" t="s">
        <v>32</v>
      </c>
      <c r="F214">
        <v>3</v>
      </c>
      <c r="G214">
        <v>2</v>
      </c>
      <c r="H214">
        <v>0.54830000000000001</v>
      </c>
      <c r="I214" s="19" t="s">
        <v>249</v>
      </c>
      <c r="J214" s="19" t="s">
        <v>29</v>
      </c>
      <c r="K214">
        <v>3</v>
      </c>
      <c r="L214">
        <v>2</v>
      </c>
      <c r="M214">
        <v>-0.04</v>
      </c>
      <c r="N214" s="19" t="s">
        <v>32</v>
      </c>
      <c r="O214" s="19" t="s">
        <v>289</v>
      </c>
      <c r="P214" s="19" t="s">
        <v>287</v>
      </c>
      <c r="Q214" s="19" t="s">
        <v>285</v>
      </c>
      <c r="R214" s="19" t="s">
        <v>248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19</v>
      </c>
      <c r="D215" s="19" t="s">
        <v>40</v>
      </c>
      <c r="E215" s="19" t="s">
        <v>19</v>
      </c>
      <c r="F215">
        <v>4</v>
      </c>
      <c r="G215">
        <v>2</v>
      </c>
      <c r="H215">
        <v>0.74609999999999999</v>
      </c>
      <c r="I215" s="19" t="s">
        <v>249</v>
      </c>
      <c r="J215" s="19" t="s">
        <v>19</v>
      </c>
      <c r="K215">
        <v>3</v>
      </c>
      <c r="L215">
        <v>2</v>
      </c>
      <c r="M215">
        <v>0.14000000000000001</v>
      </c>
      <c r="N215" s="19" t="s">
        <v>19</v>
      </c>
      <c r="O215" s="19" t="s">
        <v>288</v>
      </c>
      <c r="P215" s="19" t="s">
        <v>283</v>
      </c>
      <c r="Q215" s="19" t="s">
        <v>285</v>
      </c>
      <c r="R215" s="19" t="s">
        <v>248</v>
      </c>
      <c r="S215" s="19" t="s">
        <v>248</v>
      </c>
      <c r="T215" s="19" t="s">
        <v>286</v>
      </c>
    </row>
    <row r="216" spans="1:20" x14ac:dyDescent="0.2">
      <c r="A216" s="1">
        <v>46024</v>
      </c>
      <c r="B216" s="2">
        <v>0.83333333333333337</v>
      </c>
      <c r="C216" s="19" t="s">
        <v>11</v>
      </c>
      <c r="D216" s="19" t="s">
        <v>15</v>
      </c>
      <c r="E216" s="19" t="s">
        <v>11</v>
      </c>
      <c r="F216">
        <v>5</v>
      </c>
      <c r="G216">
        <v>4</v>
      </c>
      <c r="H216">
        <v>0.52010000000000001</v>
      </c>
      <c r="I216" s="19" t="s">
        <v>249</v>
      </c>
      <c r="J216" s="19" t="s">
        <v>11</v>
      </c>
      <c r="K216">
        <v>3</v>
      </c>
      <c r="L216">
        <v>2</v>
      </c>
      <c r="M216">
        <v>0.27</v>
      </c>
      <c r="N216" s="19" t="s">
        <v>15</v>
      </c>
      <c r="O216" s="19" t="s">
        <v>287</v>
      </c>
      <c r="P216" s="19" t="s">
        <v>283</v>
      </c>
      <c r="Q216" s="19" t="s">
        <v>285</v>
      </c>
      <c r="R216" s="19" t="s">
        <v>249</v>
      </c>
      <c r="S216" s="19" t="s">
        <v>249</v>
      </c>
      <c r="T216" s="19" t="s">
        <v>286</v>
      </c>
    </row>
    <row r="217" spans="1:20" x14ac:dyDescent="0.2">
      <c r="A217" s="1">
        <v>46024</v>
      </c>
      <c r="B217" s="2">
        <v>0.9375</v>
      </c>
      <c r="C217" s="19" t="s">
        <v>38</v>
      </c>
      <c r="D217" s="19" t="s">
        <v>32</v>
      </c>
      <c r="E217" s="19" t="s">
        <v>32</v>
      </c>
      <c r="F217">
        <v>2</v>
      </c>
      <c r="G217">
        <v>3</v>
      </c>
      <c r="H217">
        <v>0.76480000000000004</v>
      </c>
      <c r="I217" s="19" t="s">
        <v>249</v>
      </c>
      <c r="J217" s="19" t="s">
        <v>32</v>
      </c>
      <c r="K217">
        <v>3</v>
      </c>
      <c r="L217">
        <v>2</v>
      </c>
      <c r="M217">
        <v>-0.12</v>
      </c>
      <c r="N217" s="19" t="s">
        <v>32</v>
      </c>
      <c r="O217" s="19" t="s">
        <v>291</v>
      </c>
      <c r="P217" s="19" t="s">
        <v>289</v>
      </c>
      <c r="Q217" s="19" t="s">
        <v>287</v>
      </c>
      <c r="R217" s="19" t="s">
        <v>248</v>
      </c>
      <c r="S217" s="19" t="s">
        <v>248</v>
      </c>
      <c r="T217" s="19" t="s">
        <v>286</v>
      </c>
    </row>
    <row r="218" spans="1:20" x14ac:dyDescent="0.2">
      <c r="A218" s="1">
        <v>46024</v>
      </c>
      <c r="B218" s="2">
        <v>0.625</v>
      </c>
      <c r="C218" s="19" t="s">
        <v>35</v>
      </c>
      <c r="D218" s="19" t="s">
        <v>20</v>
      </c>
      <c r="E218" s="19" t="s">
        <v>20</v>
      </c>
      <c r="F218">
        <v>2</v>
      </c>
      <c r="G218">
        <v>4</v>
      </c>
      <c r="H218">
        <v>0.9012</v>
      </c>
      <c r="I218" s="19" t="s">
        <v>249</v>
      </c>
      <c r="J218" s="19" t="s">
        <v>20</v>
      </c>
      <c r="K218">
        <v>3</v>
      </c>
      <c r="L218">
        <v>2</v>
      </c>
      <c r="M218">
        <v>-1.03</v>
      </c>
      <c r="N218" s="19" t="s">
        <v>35</v>
      </c>
      <c r="O218" s="19" t="s">
        <v>289</v>
      </c>
      <c r="P218" s="19" t="s">
        <v>291</v>
      </c>
      <c r="Q218" s="19" t="s">
        <v>285</v>
      </c>
      <c r="R218" s="19" t="s">
        <v>249</v>
      </c>
      <c r="S218" s="19" t="s">
        <v>249</v>
      </c>
      <c r="T218" s="19" t="s">
        <v>286</v>
      </c>
    </row>
    <row r="219" spans="1:20" x14ac:dyDescent="0.2">
      <c r="A219" s="1">
        <v>46024</v>
      </c>
      <c r="B219" s="2">
        <v>0.9375</v>
      </c>
      <c r="C219" s="19" t="s">
        <v>31</v>
      </c>
      <c r="D219" s="19" t="s">
        <v>34</v>
      </c>
      <c r="E219" s="19" t="s">
        <v>34</v>
      </c>
      <c r="F219">
        <v>3</v>
      </c>
      <c r="G219">
        <v>6</v>
      </c>
      <c r="H219">
        <v>0.51370000000000005</v>
      </c>
      <c r="I219" s="19" t="s">
        <v>249</v>
      </c>
      <c r="J219" s="19" t="s">
        <v>34</v>
      </c>
      <c r="K219">
        <v>3</v>
      </c>
      <c r="L219">
        <v>2</v>
      </c>
      <c r="M219">
        <v>-0.52</v>
      </c>
      <c r="N219" s="19" t="s">
        <v>34</v>
      </c>
      <c r="O219" s="19" t="s">
        <v>284</v>
      </c>
      <c r="P219" s="19" t="s">
        <v>283</v>
      </c>
      <c r="Q219" s="19" t="s">
        <v>285</v>
      </c>
      <c r="R219" s="19" t="s">
        <v>248</v>
      </c>
      <c r="S219" s="19" t="s">
        <v>248</v>
      </c>
      <c r="T219" s="19" t="s">
        <v>286</v>
      </c>
    </row>
    <row r="220" spans="1:20" x14ac:dyDescent="0.2">
      <c r="A220" s="1">
        <v>46025</v>
      </c>
      <c r="B220" s="2">
        <v>0.79166666666666663</v>
      </c>
      <c r="C220" s="19" t="s">
        <v>16</v>
      </c>
      <c r="D220" s="19" t="s">
        <v>29</v>
      </c>
      <c r="E220" s="19" t="s">
        <v>16</v>
      </c>
      <c r="F220">
        <v>4</v>
      </c>
      <c r="G220">
        <v>3</v>
      </c>
      <c r="H220">
        <v>0.71840000000000004</v>
      </c>
      <c r="I220" s="19" t="s">
        <v>249</v>
      </c>
      <c r="J220" s="19" t="s">
        <v>16</v>
      </c>
      <c r="K220">
        <v>3</v>
      </c>
      <c r="L220">
        <v>2</v>
      </c>
      <c r="M220">
        <v>0.17</v>
      </c>
      <c r="N220" s="19" t="s">
        <v>29</v>
      </c>
      <c r="O220" s="19" t="s">
        <v>291</v>
      </c>
      <c r="P220" s="19" t="s">
        <v>289</v>
      </c>
      <c r="Q220" s="19" t="s">
        <v>285</v>
      </c>
      <c r="R220" s="19" t="s">
        <v>249</v>
      </c>
      <c r="S220" s="19" t="s">
        <v>249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30</v>
      </c>
      <c r="D221" s="19" t="s">
        <v>19</v>
      </c>
      <c r="E221" s="19" t="s">
        <v>30</v>
      </c>
      <c r="F221">
        <v>4</v>
      </c>
      <c r="G221">
        <v>3</v>
      </c>
      <c r="H221">
        <v>0.622</v>
      </c>
      <c r="I221" s="19" t="s">
        <v>249</v>
      </c>
      <c r="J221" s="19" t="s">
        <v>30</v>
      </c>
      <c r="K221">
        <v>3</v>
      </c>
      <c r="L221">
        <v>2</v>
      </c>
      <c r="M221">
        <v>0.27</v>
      </c>
      <c r="N221" s="19" t="s">
        <v>30</v>
      </c>
      <c r="O221" s="19" t="s">
        <v>289</v>
      </c>
      <c r="P221" s="19" t="s">
        <v>291</v>
      </c>
      <c r="Q221" s="19" t="s">
        <v>287</v>
      </c>
      <c r="R221" s="19" t="s">
        <v>248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0.79166666666666663</v>
      </c>
      <c r="C222" s="19" t="s">
        <v>25</v>
      </c>
      <c r="D222" s="19" t="s">
        <v>12</v>
      </c>
      <c r="E222" s="19" t="s">
        <v>25</v>
      </c>
      <c r="F222">
        <v>5</v>
      </c>
      <c r="G222">
        <v>4</v>
      </c>
      <c r="H222">
        <v>0.51919999999999999</v>
      </c>
      <c r="I222" s="19" t="s">
        <v>249</v>
      </c>
      <c r="J222" s="19" t="s">
        <v>12</v>
      </c>
      <c r="K222">
        <v>3</v>
      </c>
      <c r="L222">
        <v>2</v>
      </c>
      <c r="M222">
        <v>-1.34</v>
      </c>
      <c r="N222" s="19" t="s">
        <v>12</v>
      </c>
      <c r="O222" s="19" t="s">
        <v>291</v>
      </c>
      <c r="P222" s="19" t="s">
        <v>283</v>
      </c>
      <c r="Q222" s="19" t="s">
        <v>285</v>
      </c>
      <c r="R222" s="19" t="s">
        <v>249</v>
      </c>
      <c r="S222" s="19" t="s">
        <v>248</v>
      </c>
      <c r="T222" s="19" t="s">
        <v>286</v>
      </c>
    </row>
    <row r="223" spans="1:20" x14ac:dyDescent="0.2">
      <c r="A223" s="1">
        <v>46025</v>
      </c>
      <c r="B223" s="2">
        <v>0.64583333333333337</v>
      </c>
      <c r="C223" s="19" t="s">
        <v>17</v>
      </c>
      <c r="D223" s="19" t="s">
        <v>27</v>
      </c>
      <c r="E223" s="19" t="s">
        <v>17</v>
      </c>
      <c r="F223">
        <v>4</v>
      </c>
      <c r="G223">
        <v>3</v>
      </c>
      <c r="H223">
        <v>0.68379999999999996</v>
      </c>
      <c r="I223" s="19" t="s">
        <v>249</v>
      </c>
      <c r="J223" s="19" t="s">
        <v>27</v>
      </c>
      <c r="K223">
        <v>3</v>
      </c>
      <c r="L223">
        <v>2</v>
      </c>
      <c r="M223">
        <v>-0.03</v>
      </c>
      <c r="N223" s="19" t="s">
        <v>27</v>
      </c>
      <c r="O223" s="19" t="s">
        <v>284</v>
      </c>
      <c r="P223" s="19" t="s">
        <v>283</v>
      </c>
      <c r="Q223" s="19" t="s">
        <v>285</v>
      </c>
      <c r="R223" s="19" t="s">
        <v>249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0.5</v>
      </c>
      <c r="C224" s="19" t="s">
        <v>26</v>
      </c>
      <c r="D224" s="19" t="s">
        <v>14</v>
      </c>
      <c r="E224" s="19" t="s">
        <v>26</v>
      </c>
      <c r="F224">
        <v>4</v>
      </c>
      <c r="G224">
        <v>3</v>
      </c>
      <c r="H224">
        <v>0.8014</v>
      </c>
      <c r="I224" s="19" t="s">
        <v>249</v>
      </c>
      <c r="J224" s="19" t="s">
        <v>14</v>
      </c>
      <c r="K224">
        <v>3</v>
      </c>
      <c r="L224">
        <v>2</v>
      </c>
      <c r="M224">
        <v>-0.06</v>
      </c>
      <c r="N224" s="19" t="s">
        <v>14</v>
      </c>
      <c r="O224" s="19" t="s">
        <v>287</v>
      </c>
      <c r="P224" s="19" t="s">
        <v>289</v>
      </c>
      <c r="Q224" s="19" t="s">
        <v>285</v>
      </c>
      <c r="R224" s="19" t="s">
        <v>249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0.91666666666666663</v>
      </c>
      <c r="C225" s="19" t="s">
        <v>38</v>
      </c>
      <c r="D225" s="19" t="s">
        <v>21</v>
      </c>
      <c r="E225" s="19" t="s">
        <v>21</v>
      </c>
      <c r="F225">
        <v>2</v>
      </c>
      <c r="G225">
        <v>3</v>
      </c>
      <c r="H225">
        <v>0.84850000000000003</v>
      </c>
      <c r="I225" s="19" t="s">
        <v>249</v>
      </c>
      <c r="J225" s="19" t="s">
        <v>21</v>
      </c>
      <c r="K225">
        <v>3</v>
      </c>
      <c r="L225">
        <v>2</v>
      </c>
      <c r="M225">
        <v>-0.47</v>
      </c>
      <c r="N225" s="19" t="s">
        <v>21</v>
      </c>
      <c r="O225" s="19" t="s">
        <v>284</v>
      </c>
      <c r="P225" s="19" t="s">
        <v>291</v>
      </c>
      <c r="Q225" s="19" t="s">
        <v>287</v>
      </c>
      <c r="R225" s="19" t="s">
        <v>248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0.875</v>
      </c>
      <c r="C226" s="19" t="s">
        <v>13</v>
      </c>
      <c r="D226" s="19" t="s">
        <v>34</v>
      </c>
      <c r="E226" s="19" t="s">
        <v>34</v>
      </c>
      <c r="F226">
        <v>1</v>
      </c>
      <c r="G226">
        <v>3</v>
      </c>
      <c r="H226">
        <v>0.93779999999999997</v>
      </c>
      <c r="I226" s="19" t="s">
        <v>249</v>
      </c>
      <c r="J226" s="19" t="s">
        <v>34</v>
      </c>
      <c r="K226">
        <v>3</v>
      </c>
      <c r="L226">
        <v>2</v>
      </c>
      <c r="M226">
        <v>-0.57999999999999996</v>
      </c>
      <c r="N226" s="19" t="s">
        <v>13</v>
      </c>
      <c r="O226" s="19" t="s">
        <v>283</v>
      </c>
      <c r="P226" s="19" t="s">
        <v>289</v>
      </c>
      <c r="Q226" s="19" t="s">
        <v>287</v>
      </c>
      <c r="R226" s="19" t="s">
        <v>249</v>
      </c>
      <c r="S226" s="19" t="s">
        <v>249</v>
      </c>
      <c r="T226" s="19" t="s">
        <v>286</v>
      </c>
    </row>
    <row r="227" spans="1:20" x14ac:dyDescent="0.2">
      <c r="A227" s="1">
        <v>46025</v>
      </c>
      <c r="B227" s="2">
        <v>0.625</v>
      </c>
      <c r="C227" s="19" t="s">
        <v>24</v>
      </c>
      <c r="D227" s="19" t="s">
        <v>55</v>
      </c>
      <c r="E227" s="19" t="s">
        <v>24</v>
      </c>
      <c r="F227">
        <v>4</v>
      </c>
      <c r="G227">
        <v>3</v>
      </c>
      <c r="H227">
        <v>0.62829999999999997</v>
      </c>
      <c r="I227" s="19" t="s">
        <v>249</v>
      </c>
      <c r="J227" s="19" t="s">
        <v>55</v>
      </c>
      <c r="K227">
        <v>3</v>
      </c>
      <c r="L227">
        <v>2</v>
      </c>
      <c r="M227">
        <v>-0.32</v>
      </c>
      <c r="N227" s="19" t="s">
        <v>24</v>
      </c>
      <c r="O227" s="19" t="s">
        <v>289</v>
      </c>
      <c r="P227" s="19" t="s">
        <v>287</v>
      </c>
      <c r="Q227" s="19" t="s">
        <v>285</v>
      </c>
      <c r="R227" s="19" t="s">
        <v>248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0.79166666666666663</v>
      </c>
      <c r="C228" s="19" t="s">
        <v>36</v>
      </c>
      <c r="D228" s="19" t="s">
        <v>40</v>
      </c>
      <c r="E228" s="19" t="s">
        <v>36</v>
      </c>
      <c r="F228">
        <v>3</v>
      </c>
      <c r="G228">
        <v>2</v>
      </c>
      <c r="H228">
        <v>0.71260000000000001</v>
      </c>
      <c r="I228" s="19" t="s">
        <v>249</v>
      </c>
      <c r="J228" s="19" t="s">
        <v>36</v>
      </c>
      <c r="K228">
        <v>3</v>
      </c>
      <c r="L228">
        <v>2</v>
      </c>
      <c r="M228">
        <v>0.27</v>
      </c>
      <c r="N228" s="19" t="s">
        <v>36</v>
      </c>
      <c r="O228" s="19" t="s">
        <v>289</v>
      </c>
      <c r="P228" s="19" t="s">
        <v>284</v>
      </c>
      <c r="Q228" s="19" t="s">
        <v>285</v>
      </c>
      <c r="R228" s="19" t="s">
        <v>248</v>
      </c>
      <c r="S228" s="19" t="s">
        <v>248</v>
      </c>
      <c r="T228" s="19" t="s">
        <v>286</v>
      </c>
    </row>
    <row r="229" spans="1:20" x14ac:dyDescent="0.2">
      <c r="A229" s="1">
        <v>46025</v>
      </c>
      <c r="B229" s="2">
        <v>0.66666666666666663</v>
      </c>
      <c r="C229" s="19" t="s">
        <v>35</v>
      </c>
      <c r="D229" s="19" t="s">
        <v>18</v>
      </c>
      <c r="E229" s="19" t="s">
        <v>18</v>
      </c>
      <c r="F229">
        <v>3</v>
      </c>
      <c r="G229">
        <v>4</v>
      </c>
      <c r="H229">
        <v>0.63329999999999997</v>
      </c>
      <c r="I229" s="19" t="s">
        <v>249</v>
      </c>
      <c r="J229" s="19" t="s">
        <v>18</v>
      </c>
      <c r="K229">
        <v>3</v>
      </c>
      <c r="L229">
        <v>2</v>
      </c>
      <c r="M229">
        <v>-0.95</v>
      </c>
      <c r="N229" s="19" t="s">
        <v>35</v>
      </c>
      <c r="O229" s="19" t="s">
        <v>284</v>
      </c>
      <c r="P229" s="19" t="s">
        <v>285</v>
      </c>
      <c r="Q229" s="19" t="s">
        <v>285</v>
      </c>
      <c r="R229" s="19" t="s">
        <v>249</v>
      </c>
      <c r="S229" s="19" t="s">
        <v>249</v>
      </c>
      <c r="T229" s="19" t="s">
        <v>286</v>
      </c>
    </row>
    <row r="230" spans="1:20" x14ac:dyDescent="0.2">
      <c r="A230" s="1">
        <v>46025</v>
      </c>
      <c r="B230" s="2">
        <v>0.79166666666666663</v>
      </c>
      <c r="C230" s="19" t="s">
        <v>22</v>
      </c>
      <c r="D230" s="19" t="s">
        <v>10</v>
      </c>
      <c r="E230" s="19" t="s">
        <v>22</v>
      </c>
      <c r="F230">
        <v>3</v>
      </c>
      <c r="G230">
        <v>2</v>
      </c>
      <c r="H230">
        <v>0.77210000000000001</v>
      </c>
      <c r="I230" s="19" t="s">
        <v>249</v>
      </c>
      <c r="J230" s="19" t="s">
        <v>22</v>
      </c>
      <c r="K230">
        <v>3</v>
      </c>
      <c r="L230">
        <v>2</v>
      </c>
      <c r="M230">
        <v>0.93</v>
      </c>
      <c r="N230" s="19" t="s">
        <v>10</v>
      </c>
      <c r="O230" s="19" t="s">
        <v>284</v>
      </c>
      <c r="P230" s="19" t="s">
        <v>291</v>
      </c>
      <c r="Q230" s="19" t="s">
        <v>287</v>
      </c>
      <c r="R230" s="19" t="s">
        <v>249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0.66666666666666663</v>
      </c>
      <c r="C231" s="19" t="s">
        <v>33</v>
      </c>
      <c r="D231" s="19" t="s">
        <v>37</v>
      </c>
      <c r="E231" s="19" t="s">
        <v>37</v>
      </c>
      <c r="F231">
        <v>2</v>
      </c>
      <c r="G231">
        <v>4</v>
      </c>
      <c r="H231">
        <v>0.76839999999999997</v>
      </c>
      <c r="I231" s="19" t="s">
        <v>249</v>
      </c>
      <c r="J231" s="19" t="s">
        <v>37</v>
      </c>
      <c r="K231">
        <v>3</v>
      </c>
      <c r="L231">
        <v>2</v>
      </c>
      <c r="M231">
        <v>-0.9</v>
      </c>
      <c r="N231" s="19" t="s">
        <v>37</v>
      </c>
      <c r="O231" s="19" t="s">
        <v>291</v>
      </c>
      <c r="P231" s="19" t="s">
        <v>292</v>
      </c>
      <c r="Q231" s="19" t="s">
        <v>285</v>
      </c>
      <c r="R231" s="19" t="s">
        <v>248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0.625</v>
      </c>
      <c r="C232" s="19" t="s">
        <v>28</v>
      </c>
      <c r="D232" s="19" t="s">
        <v>23</v>
      </c>
      <c r="E232" s="19" t="s">
        <v>28</v>
      </c>
      <c r="F232">
        <v>4</v>
      </c>
      <c r="G232">
        <v>3</v>
      </c>
      <c r="H232">
        <v>0.62</v>
      </c>
      <c r="I232" s="19" t="s">
        <v>249</v>
      </c>
      <c r="J232" s="19" t="s">
        <v>23</v>
      </c>
      <c r="K232">
        <v>3</v>
      </c>
      <c r="L232">
        <v>2</v>
      </c>
      <c r="M232">
        <v>-0.32</v>
      </c>
      <c r="N232" s="19" t="s">
        <v>28</v>
      </c>
      <c r="O232" s="19" t="s">
        <v>283</v>
      </c>
      <c r="P232" s="19" t="s">
        <v>287</v>
      </c>
      <c r="Q232" s="19" t="s">
        <v>285</v>
      </c>
      <c r="R232" s="19" t="s">
        <v>248</v>
      </c>
      <c r="S232" s="19" t="s">
        <v>249</v>
      </c>
      <c r="T232" s="19" t="s">
        <v>286</v>
      </c>
    </row>
    <row r="233" spans="1:20" x14ac:dyDescent="0.2">
      <c r="A233" s="1">
        <v>46026</v>
      </c>
      <c r="B233" s="2">
        <v>0.625</v>
      </c>
      <c r="C233" s="19" t="s">
        <v>28</v>
      </c>
      <c r="D233" s="19" t="s">
        <v>14</v>
      </c>
      <c r="E233" s="19" t="s">
        <v>14</v>
      </c>
      <c r="F233">
        <v>3</v>
      </c>
      <c r="G233">
        <v>4</v>
      </c>
      <c r="H233">
        <v>0.80030000000000001</v>
      </c>
      <c r="I233" s="19" t="s">
        <v>248</v>
      </c>
      <c r="J233" s="19" t="s">
        <v>14</v>
      </c>
      <c r="K233">
        <v>3</v>
      </c>
      <c r="L233">
        <v>2</v>
      </c>
      <c r="M233">
        <v>-0.17</v>
      </c>
      <c r="N233" s="19" t="s">
        <v>14</v>
      </c>
      <c r="O233" s="19" t="s">
        <v>289</v>
      </c>
      <c r="P233" s="19" t="s">
        <v>283</v>
      </c>
      <c r="Q233" s="19" t="s">
        <v>287</v>
      </c>
      <c r="R233" s="19" t="s">
        <v>248</v>
      </c>
      <c r="S233" s="19" t="s">
        <v>248</v>
      </c>
      <c r="T233" s="19" t="s">
        <v>286</v>
      </c>
    </row>
    <row r="234" spans="1:20" x14ac:dyDescent="0.2">
      <c r="A234" s="1">
        <v>46026</v>
      </c>
      <c r="B234" s="2">
        <v>0.70833333333333337</v>
      </c>
      <c r="C234" s="19" t="s">
        <v>11</v>
      </c>
      <c r="D234" s="19" t="s">
        <v>12</v>
      </c>
      <c r="E234" s="19" t="s">
        <v>11</v>
      </c>
      <c r="F234">
        <v>5</v>
      </c>
      <c r="G234">
        <v>4</v>
      </c>
      <c r="H234">
        <v>0.54</v>
      </c>
      <c r="I234" s="19" t="s">
        <v>248</v>
      </c>
      <c r="J234" s="19" t="s">
        <v>12</v>
      </c>
      <c r="K234">
        <v>3</v>
      </c>
      <c r="L234">
        <v>2</v>
      </c>
      <c r="M234">
        <v>-1.71</v>
      </c>
      <c r="N234" s="19" t="s">
        <v>11</v>
      </c>
      <c r="O234" s="19" t="s">
        <v>284</v>
      </c>
      <c r="P234" s="19" t="s">
        <v>287</v>
      </c>
      <c r="Q234" s="19" t="s">
        <v>285</v>
      </c>
      <c r="R234" s="19" t="s">
        <v>248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10</v>
      </c>
      <c r="D235" s="19" t="s">
        <v>20</v>
      </c>
      <c r="E235" s="19" t="s">
        <v>20</v>
      </c>
      <c r="F235">
        <v>2</v>
      </c>
      <c r="G235">
        <v>3</v>
      </c>
      <c r="H235">
        <v>0.81279999999999997</v>
      </c>
      <c r="I235" s="19" t="s">
        <v>249</v>
      </c>
      <c r="J235" s="19" t="s">
        <v>20</v>
      </c>
      <c r="K235">
        <v>3</v>
      </c>
      <c r="L235">
        <v>2</v>
      </c>
      <c r="M235">
        <v>-0.43</v>
      </c>
      <c r="N235" s="19" t="s">
        <v>10</v>
      </c>
      <c r="O235" s="19" t="s">
        <v>291</v>
      </c>
      <c r="P235" s="19" t="s">
        <v>284</v>
      </c>
      <c r="Q235" s="19" t="s">
        <v>287</v>
      </c>
      <c r="R235" s="19" t="s">
        <v>249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0.58333333333333337</v>
      </c>
      <c r="C236" s="19" t="s">
        <v>39</v>
      </c>
      <c r="D236" s="19" t="s">
        <v>18</v>
      </c>
      <c r="E236" s="19" t="s">
        <v>39</v>
      </c>
      <c r="F236">
        <v>4</v>
      </c>
      <c r="G236">
        <v>3</v>
      </c>
      <c r="H236">
        <v>0.61960000000000004</v>
      </c>
      <c r="I236" s="19" t="s">
        <v>249</v>
      </c>
      <c r="J236" s="19" t="s">
        <v>39</v>
      </c>
      <c r="K236">
        <v>3</v>
      </c>
      <c r="L236">
        <v>2</v>
      </c>
      <c r="M236">
        <v>0.73</v>
      </c>
      <c r="N236" s="19" t="s">
        <v>18</v>
      </c>
      <c r="O236" s="19" t="s">
        <v>291</v>
      </c>
      <c r="P236" s="19" t="s">
        <v>289</v>
      </c>
      <c r="Q236" s="19" t="s">
        <v>287</v>
      </c>
      <c r="R236" s="19" t="s">
        <v>249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24</v>
      </c>
      <c r="D237" s="19" t="s">
        <v>25</v>
      </c>
      <c r="E237" s="19" t="s">
        <v>25</v>
      </c>
      <c r="F237">
        <v>2</v>
      </c>
      <c r="G237">
        <v>4</v>
      </c>
      <c r="H237">
        <v>0.55349999999999999</v>
      </c>
      <c r="I237" s="19" t="s">
        <v>249</v>
      </c>
      <c r="J237" s="19" t="s">
        <v>25</v>
      </c>
      <c r="K237">
        <v>3</v>
      </c>
      <c r="L237">
        <v>2</v>
      </c>
      <c r="M237">
        <v>-0.46</v>
      </c>
      <c r="N237" s="19" t="s">
        <v>25</v>
      </c>
      <c r="O237" s="19" t="s">
        <v>287</v>
      </c>
      <c r="P237" s="19" t="s">
        <v>291</v>
      </c>
      <c r="Q237" s="19" t="s">
        <v>285</v>
      </c>
      <c r="R237" s="19" t="s">
        <v>248</v>
      </c>
      <c r="S237" s="19" t="s">
        <v>248</v>
      </c>
      <c r="T237" s="19" t="s">
        <v>286</v>
      </c>
    </row>
    <row r="238" spans="1:20" x14ac:dyDescent="0.2">
      <c r="A238" s="1">
        <v>46027</v>
      </c>
      <c r="B238" s="2">
        <v>0.9375</v>
      </c>
      <c r="C238" s="19" t="s">
        <v>13</v>
      </c>
      <c r="D238" s="19" t="s">
        <v>34</v>
      </c>
      <c r="E238" s="19" t="s">
        <v>34</v>
      </c>
      <c r="F238">
        <v>1</v>
      </c>
      <c r="G238">
        <v>4</v>
      </c>
      <c r="H238">
        <v>0.94830000000000003</v>
      </c>
      <c r="I238" s="19" t="s">
        <v>249</v>
      </c>
      <c r="J238" s="19" t="s">
        <v>34</v>
      </c>
      <c r="K238">
        <v>3</v>
      </c>
      <c r="L238">
        <v>2</v>
      </c>
      <c r="M238">
        <v>-0.49</v>
      </c>
      <c r="N238" s="19" t="s">
        <v>13</v>
      </c>
      <c r="O238" s="19" t="s">
        <v>289</v>
      </c>
      <c r="P238" s="19" t="s">
        <v>284</v>
      </c>
      <c r="Q238" s="19" t="s">
        <v>285</v>
      </c>
      <c r="R238" s="19" t="s">
        <v>249</v>
      </c>
      <c r="S238" s="19" t="s">
        <v>249</v>
      </c>
      <c r="T238" s="19" t="s">
        <v>286</v>
      </c>
    </row>
    <row r="239" spans="1:20" x14ac:dyDescent="0.2">
      <c r="A239" s="1">
        <v>46027</v>
      </c>
      <c r="B239" s="2">
        <v>0.8125</v>
      </c>
      <c r="C239" s="19" t="s">
        <v>36</v>
      </c>
      <c r="D239" s="19" t="s">
        <v>26</v>
      </c>
      <c r="E239" s="19" t="s">
        <v>26</v>
      </c>
      <c r="F239">
        <v>3</v>
      </c>
      <c r="G239">
        <v>4</v>
      </c>
      <c r="H239">
        <v>0.58299999999999996</v>
      </c>
      <c r="I239" s="19" t="s">
        <v>249</v>
      </c>
      <c r="J239" s="19" t="s">
        <v>36</v>
      </c>
      <c r="K239">
        <v>3</v>
      </c>
      <c r="L239">
        <v>2</v>
      </c>
      <c r="M239">
        <v>0.36</v>
      </c>
      <c r="N239" s="19" t="s">
        <v>26</v>
      </c>
      <c r="O239" s="19" t="s">
        <v>291</v>
      </c>
      <c r="P239" s="19" t="s">
        <v>283</v>
      </c>
      <c r="Q239" s="19" t="s">
        <v>285</v>
      </c>
      <c r="R239" s="19" t="s">
        <v>248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0.79166666666666663</v>
      </c>
      <c r="C240" s="19" t="s">
        <v>22</v>
      </c>
      <c r="D240" s="19" t="s">
        <v>31</v>
      </c>
      <c r="E240" s="19" t="s">
        <v>31</v>
      </c>
      <c r="F240">
        <v>3</v>
      </c>
      <c r="G240">
        <v>4</v>
      </c>
      <c r="H240">
        <v>0.52459999999999996</v>
      </c>
      <c r="I240" s="19" t="s">
        <v>249</v>
      </c>
      <c r="J240" s="19" t="s">
        <v>22</v>
      </c>
      <c r="K240">
        <v>3</v>
      </c>
      <c r="L240">
        <v>2</v>
      </c>
      <c r="M240">
        <v>0.56000000000000005</v>
      </c>
      <c r="N240" s="19" t="s">
        <v>22</v>
      </c>
      <c r="O240" s="19" t="s">
        <v>292</v>
      </c>
      <c r="P240" s="19" t="s">
        <v>289</v>
      </c>
      <c r="Q240" s="19" t="s">
        <v>285</v>
      </c>
      <c r="R240" s="19" t="s">
        <v>249</v>
      </c>
      <c r="S240" s="19" t="s">
        <v>248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15</v>
      </c>
      <c r="D241" s="19" t="s">
        <v>55</v>
      </c>
      <c r="E241" s="19" t="s">
        <v>55</v>
      </c>
      <c r="F241">
        <v>2</v>
      </c>
      <c r="G241">
        <v>3</v>
      </c>
      <c r="H241">
        <v>0.69230000000000003</v>
      </c>
      <c r="I241" s="19" t="s">
        <v>249</v>
      </c>
      <c r="J241" s="19" t="s">
        <v>55</v>
      </c>
      <c r="K241">
        <v>3</v>
      </c>
      <c r="L241">
        <v>2</v>
      </c>
      <c r="M241">
        <v>-7.0000000000000007E-2</v>
      </c>
      <c r="N241" s="19" t="s">
        <v>55</v>
      </c>
      <c r="O241" s="19" t="s">
        <v>284</v>
      </c>
      <c r="P241" s="19" t="s">
        <v>291</v>
      </c>
      <c r="Q241" s="19" t="s">
        <v>287</v>
      </c>
      <c r="R241" s="19" t="s">
        <v>248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0.89583333333333337</v>
      </c>
      <c r="C242" s="19" t="s">
        <v>16</v>
      </c>
      <c r="D242" s="19" t="s">
        <v>32</v>
      </c>
      <c r="E242" s="19" t="s">
        <v>16</v>
      </c>
      <c r="F242">
        <v>4</v>
      </c>
      <c r="G242">
        <v>2</v>
      </c>
      <c r="H242">
        <v>0.86470000000000002</v>
      </c>
      <c r="I242" s="19" t="s">
        <v>249</v>
      </c>
      <c r="J242" s="19" t="s">
        <v>16</v>
      </c>
      <c r="K242">
        <v>3</v>
      </c>
      <c r="L242">
        <v>2</v>
      </c>
      <c r="M242">
        <v>0.09</v>
      </c>
      <c r="N242" s="19" t="s">
        <v>32</v>
      </c>
      <c r="O242" s="19" t="s">
        <v>287</v>
      </c>
      <c r="P242" s="19" t="s">
        <v>283</v>
      </c>
      <c r="Q242" s="19" t="s">
        <v>285</v>
      </c>
      <c r="R242" s="19" t="s">
        <v>249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0.8125</v>
      </c>
      <c r="C243" s="19" t="s">
        <v>19</v>
      </c>
      <c r="D243" s="19" t="s">
        <v>11</v>
      </c>
      <c r="E243" s="19" t="s">
        <v>11</v>
      </c>
      <c r="F243">
        <v>3</v>
      </c>
      <c r="G243">
        <v>4</v>
      </c>
      <c r="H243">
        <v>0.60119999999999996</v>
      </c>
      <c r="I243" s="19" t="s">
        <v>249</v>
      </c>
      <c r="J243" s="19" t="s">
        <v>11</v>
      </c>
      <c r="K243">
        <v>3</v>
      </c>
      <c r="L243">
        <v>2</v>
      </c>
      <c r="M243">
        <v>-0.09</v>
      </c>
      <c r="N243" s="19" t="s">
        <v>19</v>
      </c>
      <c r="O243" s="19" t="s">
        <v>289</v>
      </c>
      <c r="P243" s="19" t="s">
        <v>287</v>
      </c>
      <c r="Q243" s="19" t="s">
        <v>285</v>
      </c>
      <c r="R243" s="19" t="s">
        <v>249</v>
      </c>
      <c r="S243" s="19" t="s">
        <v>249</v>
      </c>
      <c r="T243" s="19" t="s">
        <v>286</v>
      </c>
    </row>
    <row r="244" spans="1:20" x14ac:dyDescent="0.2">
      <c r="A244" s="1">
        <v>46028</v>
      </c>
      <c r="B244" s="2">
        <v>0.79166666666666663</v>
      </c>
      <c r="C244" s="19" t="s">
        <v>23</v>
      </c>
      <c r="D244" s="19" t="s">
        <v>38</v>
      </c>
      <c r="E244" s="19" t="s">
        <v>23</v>
      </c>
      <c r="F244">
        <v>4</v>
      </c>
      <c r="G244">
        <v>3</v>
      </c>
      <c r="H244">
        <v>0.5484</v>
      </c>
      <c r="I244" s="19" t="s">
        <v>249</v>
      </c>
      <c r="J244" s="19" t="s">
        <v>23</v>
      </c>
      <c r="K244">
        <v>3</v>
      </c>
      <c r="L244">
        <v>2</v>
      </c>
      <c r="M244">
        <v>0.66</v>
      </c>
      <c r="N244" s="19" t="s">
        <v>23</v>
      </c>
      <c r="O244" s="19" t="s">
        <v>283</v>
      </c>
      <c r="P244" s="19" t="s">
        <v>291</v>
      </c>
      <c r="Q244" s="19" t="s">
        <v>285</v>
      </c>
      <c r="R244" s="19" t="s">
        <v>248</v>
      </c>
      <c r="S244" s="19" t="s">
        <v>248</v>
      </c>
      <c r="T244" s="19" t="s">
        <v>286</v>
      </c>
    </row>
    <row r="245" spans="1:20" x14ac:dyDescent="0.2">
      <c r="A245" s="1">
        <v>46028</v>
      </c>
      <c r="B245" s="2">
        <v>0.91666666666666663</v>
      </c>
      <c r="C245" s="19" t="s">
        <v>32</v>
      </c>
      <c r="D245" s="19" t="s">
        <v>21</v>
      </c>
      <c r="E245" s="19" t="s">
        <v>21</v>
      </c>
      <c r="F245">
        <v>2</v>
      </c>
      <c r="G245">
        <v>3</v>
      </c>
      <c r="H245">
        <v>0.54420000000000002</v>
      </c>
      <c r="I245" s="19" t="s">
        <v>249</v>
      </c>
      <c r="J245" s="19" t="s">
        <v>21</v>
      </c>
      <c r="K245">
        <v>3</v>
      </c>
      <c r="L245">
        <v>2</v>
      </c>
      <c r="M245">
        <v>-0.15</v>
      </c>
      <c r="N245" s="19" t="s">
        <v>32</v>
      </c>
      <c r="O245" s="19" t="s">
        <v>292</v>
      </c>
      <c r="P245" s="19" t="s">
        <v>289</v>
      </c>
      <c r="Q245" s="19" t="s">
        <v>285</v>
      </c>
      <c r="R245" s="19" t="s">
        <v>249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25</v>
      </c>
      <c r="D246" s="19" t="s">
        <v>39</v>
      </c>
      <c r="E246" s="19" t="s">
        <v>25</v>
      </c>
      <c r="F246">
        <v>6</v>
      </c>
      <c r="G246">
        <v>5</v>
      </c>
      <c r="H246">
        <v>0.62119999999999997</v>
      </c>
      <c r="I246" s="19" t="s">
        <v>249</v>
      </c>
      <c r="J246" s="19" t="s">
        <v>39</v>
      </c>
      <c r="K246">
        <v>3</v>
      </c>
      <c r="L246">
        <v>2</v>
      </c>
      <c r="M246">
        <v>-0.2</v>
      </c>
      <c r="N246" s="19" t="s">
        <v>25</v>
      </c>
      <c r="O246" s="19" t="s">
        <v>288</v>
      </c>
      <c r="P246" s="19" t="s">
        <v>291</v>
      </c>
      <c r="Q246" s="19" t="s">
        <v>285</v>
      </c>
      <c r="R246" s="19" t="s">
        <v>248</v>
      </c>
      <c r="S246" s="19" t="s">
        <v>249</v>
      </c>
      <c r="T246" s="19" t="s">
        <v>286</v>
      </c>
    </row>
    <row r="247" spans="1:20" x14ac:dyDescent="0.2">
      <c r="A247" s="1">
        <v>46028</v>
      </c>
      <c r="B247" s="2">
        <v>0.83333333333333337</v>
      </c>
      <c r="C247" s="19" t="s">
        <v>40</v>
      </c>
      <c r="D247" s="19" t="s">
        <v>20</v>
      </c>
      <c r="E247" s="19" t="s">
        <v>40</v>
      </c>
      <c r="F247">
        <v>3</v>
      </c>
      <c r="G247">
        <v>2</v>
      </c>
      <c r="H247">
        <v>0.60250000000000004</v>
      </c>
      <c r="I247" s="19" t="s">
        <v>249</v>
      </c>
      <c r="J247" s="19" t="s">
        <v>20</v>
      </c>
      <c r="K247">
        <v>3</v>
      </c>
      <c r="L247">
        <v>2</v>
      </c>
      <c r="M247">
        <v>-0.15</v>
      </c>
      <c r="N247" s="19" t="s">
        <v>20</v>
      </c>
      <c r="O247" s="19" t="s">
        <v>291</v>
      </c>
      <c r="P247" s="19" t="s">
        <v>289</v>
      </c>
      <c r="Q247" s="19" t="s">
        <v>287</v>
      </c>
      <c r="R247" s="19" t="s">
        <v>249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0.875</v>
      </c>
      <c r="C248" s="19" t="s">
        <v>17</v>
      </c>
      <c r="D248" s="19" t="s">
        <v>29</v>
      </c>
      <c r="E248" s="19" t="s">
        <v>17</v>
      </c>
      <c r="F248">
        <v>4</v>
      </c>
      <c r="G248">
        <v>3</v>
      </c>
      <c r="H248">
        <v>0.67930000000000001</v>
      </c>
      <c r="I248" s="19" t="s">
        <v>248</v>
      </c>
      <c r="J248" s="19" t="s">
        <v>17</v>
      </c>
      <c r="K248">
        <v>3</v>
      </c>
      <c r="L248">
        <v>2</v>
      </c>
      <c r="M248">
        <v>0.36</v>
      </c>
      <c r="N248" s="19" t="s">
        <v>17</v>
      </c>
      <c r="O248" s="19" t="s">
        <v>288</v>
      </c>
      <c r="P248" s="19" t="s">
        <v>284</v>
      </c>
      <c r="Q248" s="19" t="s">
        <v>285</v>
      </c>
      <c r="R248" s="19" t="s">
        <v>248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0.79166666666666663</v>
      </c>
      <c r="C249" s="19" t="s">
        <v>27</v>
      </c>
      <c r="D249" s="19" t="s">
        <v>31</v>
      </c>
      <c r="E249" s="19" t="s">
        <v>27</v>
      </c>
      <c r="F249">
        <v>3</v>
      </c>
      <c r="G249">
        <v>2</v>
      </c>
      <c r="H249">
        <v>0.59240000000000004</v>
      </c>
      <c r="I249" s="19" t="s">
        <v>249</v>
      </c>
      <c r="J249" s="19" t="s">
        <v>27</v>
      </c>
      <c r="K249">
        <v>3</v>
      </c>
      <c r="L249">
        <v>2</v>
      </c>
      <c r="M249">
        <v>0.43</v>
      </c>
      <c r="N249" s="19" t="s">
        <v>27</v>
      </c>
      <c r="O249" s="19" t="s">
        <v>283</v>
      </c>
      <c r="P249" s="19" t="s">
        <v>284</v>
      </c>
      <c r="Q249" s="19" t="s">
        <v>285</v>
      </c>
      <c r="R249" s="19" t="s">
        <v>248</v>
      </c>
      <c r="S249" s="19" t="s">
        <v>248</v>
      </c>
      <c r="T249" s="19" t="s">
        <v>286</v>
      </c>
    </row>
    <row r="250" spans="1:20" x14ac:dyDescent="0.2">
      <c r="A250" s="1">
        <v>46028</v>
      </c>
      <c r="B250" s="2">
        <v>0.79166666666666663</v>
      </c>
      <c r="C250" s="19" t="s">
        <v>37</v>
      </c>
      <c r="D250" s="19" t="s">
        <v>12</v>
      </c>
      <c r="E250" s="19" t="s">
        <v>12</v>
      </c>
      <c r="F250">
        <v>2</v>
      </c>
      <c r="G250">
        <v>3</v>
      </c>
      <c r="H250">
        <v>0.54349999999999998</v>
      </c>
      <c r="I250" s="19" t="s">
        <v>249</v>
      </c>
      <c r="J250" s="19" t="s">
        <v>12</v>
      </c>
      <c r="K250">
        <v>3</v>
      </c>
      <c r="L250">
        <v>2</v>
      </c>
      <c r="M250">
        <v>-0.87</v>
      </c>
      <c r="N250" s="19" t="s">
        <v>37</v>
      </c>
      <c r="O250" s="19" t="s">
        <v>289</v>
      </c>
      <c r="P250" s="19" t="s">
        <v>284</v>
      </c>
      <c r="Q250" s="19" t="s">
        <v>285</v>
      </c>
      <c r="R250" s="19" t="s">
        <v>249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0.8125</v>
      </c>
      <c r="C251" s="19" t="s">
        <v>30</v>
      </c>
      <c r="D251" s="19" t="s">
        <v>24</v>
      </c>
      <c r="E251" s="19" t="s">
        <v>30</v>
      </c>
      <c r="F251">
        <v>4</v>
      </c>
      <c r="G251">
        <v>3</v>
      </c>
      <c r="H251">
        <v>0.63380000000000003</v>
      </c>
      <c r="I251" s="19" t="s">
        <v>249</v>
      </c>
      <c r="J251" s="19" t="s">
        <v>30</v>
      </c>
      <c r="K251">
        <v>3</v>
      </c>
      <c r="L251">
        <v>2</v>
      </c>
      <c r="M251">
        <v>0.28000000000000003</v>
      </c>
      <c r="N251" s="19" t="s">
        <v>30</v>
      </c>
      <c r="O251" s="19" t="s">
        <v>290</v>
      </c>
      <c r="P251" s="19" t="s">
        <v>285</v>
      </c>
      <c r="Q251" s="19" t="s">
        <v>285</v>
      </c>
      <c r="R251" s="19" t="s">
        <v>248</v>
      </c>
      <c r="S251" s="19" t="s">
        <v>248</v>
      </c>
      <c r="T251" s="19" t="s">
        <v>286</v>
      </c>
    </row>
    <row r="252" spans="1:20" x14ac:dyDescent="0.2">
      <c r="A252" s="1">
        <v>46028</v>
      </c>
      <c r="B252" s="2">
        <v>0.91666666666666663</v>
      </c>
      <c r="C252" s="19" t="s">
        <v>33</v>
      </c>
      <c r="D252" s="19" t="s">
        <v>28</v>
      </c>
      <c r="E252" s="19" t="s">
        <v>33</v>
      </c>
      <c r="F252">
        <v>5</v>
      </c>
      <c r="G252">
        <v>4</v>
      </c>
      <c r="H252">
        <v>0.59719999999999995</v>
      </c>
      <c r="I252" s="19" t="s">
        <v>249</v>
      </c>
      <c r="J252" s="19" t="s">
        <v>28</v>
      </c>
      <c r="K252">
        <v>3</v>
      </c>
      <c r="L252">
        <v>2</v>
      </c>
      <c r="M252">
        <v>-0.09</v>
      </c>
      <c r="N252" s="19" t="s">
        <v>33</v>
      </c>
      <c r="O252" s="19" t="s">
        <v>283</v>
      </c>
      <c r="P252" s="19" t="s">
        <v>284</v>
      </c>
      <c r="Q252" s="19" t="s">
        <v>285</v>
      </c>
      <c r="R252" s="19" t="s">
        <v>248</v>
      </c>
      <c r="S252" s="19" t="s">
        <v>249</v>
      </c>
      <c r="T252" s="19" t="s">
        <v>286</v>
      </c>
    </row>
    <row r="253" spans="1:20" x14ac:dyDescent="0.2">
      <c r="A253" s="1">
        <v>46029</v>
      </c>
      <c r="B253" s="2">
        <v>0.89583333333333337</v>
      </c>
      <c r="C253" s="19" t="s">
        <v>55</v>
      </c>
      <c r="D253" s="19" t="s">
        <v>36</v>
      </c>
      <c r="E253" s="19" t="s">
        <v>36</v>
      </c>
      <c r="F253">
        <v>4</v>
      </c>
      <c r="G253">
        <v>5</v>
      </c>
      <c r="H253">
        <v>0.53620000000000001</v>
      </c>
      <c r="I253" s="19" t="s">
        <v>249</v>
      </c>
      <c r="J253" s="19" t="s">
        <v>55</v>
      </c>
      <c r="K253">
        <v>3</v>
      </c>
      <c r="L253">
        <v>2</v>
      </c>
      <c r="M253">
        <v>0.27</v>
      </c>
      <c r="N253" s="19" t="s">
        <v>55</v>
      </c>
      <c r="O253" s="19" t="s">
        <v>291</v>
      </c>
      <c r="P253" s="19" t="s">
        <v>287</v>
      </c>
      <c r="Q253" s="19" t="s">
        <v>285</v>
      </c>
      <c r="R253" s="19" t="s">
        <v>249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0.79166666666666663</v>
      </c>
      <c r="C254" s="19" t="s">
        <v>22</v>
      </c>
      <c r="D254" s="19" t="s">
        <v>39</v>
      </c>
      <c r="E254" s="19" t="s">
        <v>39</v>
      </c>
      <c r="F254">
        <v>3</v>
      </c>
      <c r="G254">
        <v>4</v>
      </c>
      <c r="H254">
        <v>0.50209999999999999</v>
      </c>
      <c r="I254" s="19" t="s">
        <v>249</v>
      </c>
      <c r="J254" s="19" t="s">
        <v>39</v>
      </c>
      <c r="K254">
        <v>3</v>
      </c>
      <c r="L254">
        <v>2</v>
      </c>
      <c r="M254">
        <v>-0.06</v>
      </c>
      <c r="N254" s="19" t="s">
        <v>39</v>
      </c>
      <c r="O254" s="19" t="s">
        <v>287</v>
      </c>
      <c r="P254" s="19" t="s">
        <v>289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10</v>
      </c>
      <c r="D255" s="19" t="s">
        <v>35</v>
      </c>
      <c r="E255" s="19" t="s">
        <v>10</v>
      </c>
      <c r="F255">
        <v>4</v>
      </c>
      <c r="G255">
        <v>3</v>
      </c>
      <c r="H255">
        <v>0.52110000000000001</v>
      </c>
      <c r="I255" s="19" t="s">
        <v>249</v>
      </c>
      <c r="J255" s="19" t="s">
        <v>10</v>
      </c>
      <c r="K255">
        <v>3</v>
      </c>
      <c r="L255">
        <v>2</v>
      </c>
      <c r="M255">
        <v>0.64</v>
      </c>
      <c r="N255" s="19" t="s">
        <v>10</v>
      </c>
      <c r="O255" s="19" t="s">
        <v>292</v>
      </c>
      <c r="P255" s="19" t="s">
        <v>291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0.9375</v>
      </c>
      <c r="C256" s="19" t="s">
        <v>13</v>
      </c>
      <c r="D256" s="19" t="s">
        <v>33</v>
      </c>
      <c r="E256" s="19" t="s">
        <v>33</v>
      </c>
      <c r="F256">
        <v>3</v>
      </c>
      <c r="G256">
        <v>4</v>
      </c>
      <c r="H256">
        <v>0.64629999999999999</v>
      </c>
      <c r="I256" s="19" t="s">
        <v>249</v>
      </c>
      <c r="J256" s="19" t="s">
        <v>13</v>
      </c>
      <c r="K256">
        <v>3</v>
      </c>
      <c r="L256">
        <v>2</v>
      </c>
      <c r="M256">
        <v>0.4</v>
      </c>
      <c r="N256" s="19" t="s">
        <v>33</v>
      </c>
      <c r="O256" s="19" t="s">
        <v>291</v>
      </c>
      <c r="P256" s="19" t="s">
        <v>289</v>
      </c>
      <c r="Q256" s="19" t="s">
        <v>287</v>
      </c>
      <c r="R256" s="19" t="s">
        <v>248</v>
      </c>
      <c r="S256" s="19" t="s">
        <v>249</v>
      </c>
      <c r="T256" s="19" t="s">
        <v>286</v>
      </c>
    </row>
    <row r="257" spans="1:20" x14ac:dyDescent="0.2">
      <c r="A257" s="1">
        <v>46029</v>
      </c>
      <c r="B257" s="2">
        <v>0.8125</v>
      </c>
      <c r="C257" s="19" t="s">
        <v>18</v>
      </c>
      <c r="D257" s="19" t="s">
        <v>16</v>
      </c>
      <c r="E257" s="19" t="s">
        <v>18</v>
      </c>
      <c r="F257">
        <v>4</v>
      </c>
      <c r="G257">
        <v>2</v>
      </c>
      <c r="H257">
        <v>0.73640000000000005</v>
      </c>
      <c r="I257" s="19" t="s">
        <v>249</v>
      </c>
      <c r="J257" s="19" t="s">
        <v>18</v>
      </c>
      <c r="K257">
        <v>3</v>
      </c>
      <c r="L257">
        <v>2</v>
      </c>
      <c r="M257">
        <v>0.55000000000000004</v>
      </c>
      <c r="N257" s="19" t="s">
        <v>18</v>
      </c>
      <c r="O257" s="19" t="s">
        <v>289</v>
      </c>
      <c r="P257" s="19" t="s">
        <v>287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15</v>
      </c>
      <c r="D258" s="19" t="s">
        <v>23</v>
      </c>
      <c r="E258" s="19" t="s">
        <v>23</v>
      </c>
      <c r="F258">
        <v>2</v>
      </c>
      <c r="G258">
        <v>3</v>
      </c>
      <c r="H258">
        <v>0.88</v>
      </c>
      <c r="I258" s="19" t="s">
        <v>249</v>
      </c>
      <c r="J258" s="19" t="s">
        <v>15</v>
      </c>
      <c r="K258">
        <v>3</v>
      </c>
      <c r="L258">
        <v>2</v>
      </c>
      <c r="M258">
        <v>0.09</v>
      </c>
      <c r="N258" s="19" t="s">
        <v>23</v>
      </c>
      <c r="O258" s="19" t="s">
        <v>284</v>
      </c>
      <c r="P258" s="19" t="s">
        <v>283</v>
      </c>
      <c r="Q258" s="19" t="s">
        <v>285</v>
      </c>
      <c r="R258" s="19" t="s">
        <v>248</v>
      </c>
      <c r="S258" s="19" t="s">
        <v>249</v>
      </c>
      <c r="T258" s="19" t="s">
        <v>286</v>
      </c>
    </row>
    <row r="259" spans="1:20" x14ac:dyDescent="0.2">
      <c r="A259" s="1">
        <v>46030</v>
      </c>
      <c r="B259" s="2">
        <v>0.875</v>
      </c>
      <c r="C259" s="19" t="s">
        <v>12</v>
      </c>
      <c r="D259" s="19" t="s">
        <v>36</v>
      </c>
      <c r="E259" s="19" t="s">
        <v>12</v>
      </c>
      <c r="F259">
        <v>5</v>
      </c>
      <c r="G259">
        <v>1</v>
      </c>
      <c r="H259">
        <v>0.96279999999999999</v>
      </c>
      <c r="I259" s="19" t="s">
        <v>249</v>
      </c>
      <c r="J259" s="19" t="s">
        <v>12</v>
      </c>
      <c r="K259">
        <v>3</v>
      </c>
      <c r="L259">
        <v>2</v>
      </c>
      <c r="M259">
        <v>1.81</v>
      </c>
      <c r="N259" s="19" t="s">
        <v>12</v>
      </c>
      <c r="O259" s="19" t="s">
        <v>1525</v>
      </c>
      <c r="P259" s="19" t="s">
        <v>284</v>
      </c>
      <c r="Q259" s="19" t="s">
        <v>285</v>
      </c>
      <c r="R259" s="19" t="s">
        <v>248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0.91666666666666663</v>
      </c>
      <c r="C260" s="19" t="s">
        <v>20</v>
      </c>
      <c r="D260" s="19" t="s">
        <v>28</v>
      </c>
      <c r="E260" s="19" t="s">
        <v>28</v>
      </c>
      <c r="F260">
        <v>3</v>
      </c>
      <c r="G260">
        <v>4</v>
      </c>
      <c r="H260">
        <v>0.51880000000000004</v>
      </c>
      <c r="I260" s="19" t="s">
        <v>248</v>
      </c>
      <c r="J260" s="19" t="s">
        <v>20</v>
      </c>
      <c r="K260">
        <v>3</v>
      </c>
      <c r="L260">
        <v>2</v>
      </c>
      <c r="M260">
        <v>0.38</v>
      </c>
      <c r="N260" s="19" t="s">
        <v>20</v>
      </c>
      <c r="O260" s="19" t="s">
        <v>283</v>
      </c>
      <c r="P260" s="19" t="s">
        <v>291</v>
      </c>
      <c r="Q260" s="19" t="s">
        <v>285</v>
      </c>
      <c r="R260" s="19" t="s">
        <v>249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0.91666666666666663</v>
      </c>
      <c r="C261" s="19" t="s">
        <v>32</v>
      </c>
      <c r="D261" s="19" t="s">
        <v>34</v>
      </c>
      <c r="E261" s="19" t="s">
        <v>34</v>
      </c>
      <c r="F261">
        <v>2</v>
      </c>
      <c r="G261">
        <v>3</v>
      </c>
      <c r="H261">
        <v>0.878</v>
      </c>
      <c r="I261" s="19" t="s">
        <v>249</v>
      </c>
      <c r="J261" s="19" t="s">
        <v>34</v>
      </c>
      <c r="K261">
        <v>3</v>
      </c>
      <c r="L261">
        <v>2</v>
      </c>
      <c r="M261">
        <v>-0.52</v>
      </c>
      <c r="N261" s="19" t="s">
        <v>34</v>
      </c>
      <c r="O261" s="19" t="s">
        <v>284</v>
      </c>
      <c r="P261" s="19" t="s">
        <v>291</v>
      </c>
      <c r="Q261" s="19" t="s">
        <v>287</v>
      </c>
      <c r="R261" s="19" t="s">
        <v>248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27</v>
      </c>
      <c r="D262" s="19" t="s">
        <v>19</v>
      </c>
      <c r="E262" s="19" t="s">
        <v>19</v>
      </c>
      <c r="F262">
        <v>3</v>
      </c>
      <c r="G262">
        <v>4</v>
      </c>
      <c r="H262">
        <v>0.5877</v>
      </c>
      <c r="I262" s="19" t="s">
        <v>249</v>
      </c>
      <c r="J262" s="19" t="s">
        <v>27</v>
      </c>
      <c r="K262">
        <v>3</v>
      </c>
      <c r="L262">
        <v>2</v>
      </c>
      <c r="M262">
        <v>0.35</v>
      </c>
      <c r="N262" s="19" t="s">
        <v>19</v>
      </c>
      <c r="O262" s="19" t="s">
        <v>287</v>
      </c>
      <c r="P262" s="19" t="s">
        <v>284</v>
      </c>
      <c r="Q262" s="19" t="s">
        <v>287</v>
      </c>
      <c r="R262" s="19" t="s">
        <v>248</v>
      </c>
      <c r="S262" s="19" t="s">
        <v>249</v>
      </c>
      <c r="T262" s="19" t="s">
        <v>286</v>
      </c>
    </row>
    <row r="263" spans="1:20" x14ac:dyDescent="0.2">
      <c r="A263" s="1">
        <v>46030</v>
      </c>
      <c r="B263" s="2">
        <v>0.79166666666666663</v>
      </c>
      <c r="C263" s="19" t="s">
        <v>26</v>
      </c>
      <c r="D263" s="19" t="s">
        <v>38</v>
      </c>
      <c r="E263" s="19" t="s">
        <v>26</v>
      </c>
      <c r="F263">
        <v>4</v>
      </c>
      <c r="G263">
        <v>3</v>
      </c>
      <c r="H263">
        <v>0.63100000000000001</v>
      </c>
      <c r="I263" s="19" t="s">
        <v>249</v>
      </c>
      <c r="J263" s="19" t="s">
        <v>26</v>
      </c>
      <c r="K263">
        <v>3</v>
      </c>
      <c r="L263">
        <v>2</v>
      </c>
      <c r="M263">
        <v>0.56999999999999995</v>
      </c>
      <c r="N263" s="19" t="s">
        <v>26</v>
      </c>
      <c r="O263" s="19" t="s">
        <v>283</v>
      </c>
      <c r="P263" s="19" t="s">
        <v>287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0.79166666666666663</v>
      </c>
      <c r="C264" s="19" t="s">
        <v>25</v>
      </c>
      <c r="D264" s="19" t="s">
        <v>31</v>
      </c>
      <c r="E264" s="19" t="s">
        <v>25</v>
      </c>
      <c r="F264">
        <v>6</v>
      </c>
      <c r="G264">
        <v>5</v>
      </c>
      <c r="H264">
        <v>0.51129999999999998</v>
      </c>
      <c r="I264" s="19" t="s">
        <v>249</v>
      </c>
      <c r="J264" s="19" t="s">
        <v>25</v>
      </c>
      <c r="K264">
        <v>3</v>
      </c>
      <c r="L264">
        <v>2</v>
      </c>
      <c r="M264">
        <v>0.82</v>
      </c>
      <c r="N264" s="19" t="s">
        <v>25</v>
      </c>
      <c r="O264" s="19" t="s">
        <v>283</v>
      </c>
      <c r="P264" s="19" t="s">
        <v>284</v>
      </c>
      <c r="Q264" s="19" t="s">
        <v>285</v>
      </c>
      <c r="R264" s="19" t="s">
        <v>248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21</v>
      </c>
      <c r="D265" s="19" t="s">
        <v>16</v>
      </c>
      <c r="E265" s="19" t="s">
        <v>21</v>
      </c>
      <c r="F265">
        <v>3</v>
      </c>
      <c r="G265">
        <v>2</v>
      </c>
      <c r="H265">
        <v>0.7903</v>
      </c>
      <c r="I265" s="19" t="s">
        <v>249</v>
      </c>
      <c r="J265" s="19" t="s">
        <v>21</v>
      </c>
      <c r="K265">
        <v>3</v>
      </c>
      <c r="L265">
        <v>2</v>
      </c>
      <c r="M265">
        <v>0.48</v>
      </c>
      <c r="N265" s="19" t="s">
        <v>21</v>
      </c>
      <c r="O265" s="19" t="s">
        <v>289</v>
      </c>
      <c r="P265" s="19" t="s">
        <v>287</v>
      </c>
      <c r="Q265" s="19" t="s">
        <v>285</v>
      </c>
      <c r="R265" s="19" t="s">
        <v>248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0.83333333333333337</v>
      </c>
      <c r="C266" s="19" t="s">
        <v>40</v>
      </c>
      <c r="D266" s="19" t="s">
        <v>17</v>
      </c>
      <c r="E266" s="19" t="s">
        <v>17</v>
      </c>
      <c r="F266">
        <v>3</v>
      </c>
      <c r="G266">
        <v>4</v>
      </c>
      <c r="H266">
        <v>0.59899999999999998</v>
      </c>
      <c r="I266" s="19" t="s">
        <v>249</v>
      </c>
      <c r="J266" s="19" t="s">
        <v>17</v>
      </c>
      <c r="K266">
        <v>3</v>
      </c>
      <c r="L266">
        <v>2</v>
      </c>
      <c r="M266">
        <v>-0.14000000000000001</v>
      </c>
      <c r="N266" s="19" t="s">
        <v>17</v>
      </c>
      <c r="O266" s="19" t="s">
        <v>291</v>
      </c>
      <c r="P266" s="19" t="s">
        <v>289</v>
      </c>
      <c r="Q266" s="19" t="s">
        <v>285</v>
      </c>
      <c r="R266" s="19" t="s">
        <v>248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14</v>
      </c>
      <c r="D267" s="19" t="s">
        <v>24</v>
      </c>
      <c r="E267" s="19" t="s">
        <v>24</v>
      </c>
      <c r="F267">
        <v>3</v>
      </c>
      <c r="G267">
        <v>4</v>
      </c>
      <c r="H267">
        <v>0.74209999999999998</v>
      </c>
      <c r="I267" s="19" t="s">
        <v>249</v>
      </c>
      <c r="J267" s="19" t="s">
        <v>14</v>
      </c>
      <c r="K267">
        <v>3</v>
      </c>
      <c r="L267">
        <v>2</v>
      </c>
      <c r="M267">
        <v>0.47</v>
      </c>
      <c r="N267" s="19" t="s">
        <v>14</v>
      </c>
      <c r="O267" s="19" t="s">
        <v>289</v>
      </c>
      <c r="P267" s="19" t="s">
        <v>287</v>
      </c>
      <c r="Q267" s="19" t="s">
        <v>285</v>
      </c>
      <c r="R267" s="19" t="s">
        <v>249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0.83333333333333337</v>
      </c>
      <c r="C268" s="19" t="s">
        <v>29</v>
      </c>
      <c r="D268" s="19" t="s">
        <v>30</v>
      </c>
      <c r="E268" s="19" t="s">
        <v>30</v>
      </c>
      <c r="F268">
        <v>3</v>
      </c>
      <c r="G268">
        <v>4</v>
      </c>
      <c r="H268">
        <v>0.55769999999999997</v>
      </c>
      <c r="I268" s="19" t="s">
        <v>249</v>
      </c>
      <c r="J268" s="19" t="s">
        <v>30</v>
      </c>
      <c r="K268">
        <v>3</v>
      </c>
      <c r="L268">
        <v>2</v>
      </c>
      <c r="M268">
        <v>-0.65</v>
      </c>
      <c r="N268" s="19" t="s">
        <v>29</v>
      </c>
      <c r="O268" s="19" t="s">
        <v>284</v>
      </c>
      <c r="P268" s="19" t="s">
        <v>287</v>
      </c>
      <c r="Q268" s="19" t="s">
        <v>287</v>
      </c>
      <c r="R268" s="19" t="s">
        <v>249</v>
      </c>
      <c r="S268" s="19" t="s">
        <v>249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18</v>
      </c>
      <c r="D269" s="19" t="s">
        <v>11</v>
      </c>
      <c r="E269" s="19" t="s">
        <v>11</v>
      </c>
      <c r="F269">
        <v>3</v>
      </c>
      <c r="G269">
        <v>4</v>
      </c>
      <c r="H269">
        <v>0.51329999999999998</v>
      </c>
      <c r="I269" s="19" t="s">
        <v>249</v>
      </c>
      <c r="J269" s="19" t="s">
        <v>18</v>
      </c>
      <c r="K269">
        <v>3</v>
      </c>
      <c r="L269">
        <v>2</v>
      </c>
      <c r="M269">
        <v>0.19</v>
      </c>
      <c r="N269" s="19" t="s">
        <v>18</v>
      </c>
      <c r="O269" s="19" t="s">
        <v>288</v>
      </c>
      <c r="P269" s="19" t="s">
        <v>284</v>
      </c>
      <c r="Q269" s="19" t="s">
        <v>285</v>
      </c>
      <c r="R269" s="19" t="s">
        <v>249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0.83333333333333337</v>
      </c>
      <c r="C270" s="19" t="s">
        <v>10</v>
      </c>
      <c r="D270" s="19" t="s">
        <v>22</v>
      </c>
      <c r="E270" s="19" t="s">
        <v>10</v>
      </c>
      <c r="F270">
        <v>3</v>
      </c>
      <c r="G270">
        <v>2</v>
      </c>
      <c r="H270">
        <v>0.58899999999999997</v>
      </c>
      <c r="I270" s="19" t="s">
        <v>249</v>
      </c>
      <c r="J270" s="19" t="s">
        <v>22</v>
      </c>
      <c r="K270">
        <v>3</v>
      </c>
      <c r="L270">
        <v>2</v>
      </c>
      <c r="M270">
        <v>-0.56000000000000005</v>
      </c>
      <c r="N270" s="19" t="s">
        <v>22</v>
      </c>
      <c r="O270" s="19" t="s">
        <v>287</v>
      </c>
      <c r="P270" s="19" t="s">
        <v>283</v>
      </c>
      <c r="Q270" s="19" t="s">
        <v>285</v>
      </c>
      <c r="R270" s="19" t="s">
        <v>249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0.875</v>
      </c>
      <c r="C271" s="19" t="s">
        <v>55</v>
      </c>
      <c r="D271" s="19" t="s">
        <v>35</v>
      </c>
      <c r="E271" s="19" t="s">
        <v>55</v>
      </c>
      <c r="F271">
        <v>3</v>
      </c>
      <c r="G271">
        <v>2</v>
      </c>
      <c r="H271">
        <v>0.54969999999999997</v>
      </c>
      <c r="I271" s="19" t="s">
        <v>249</v>
      </c>
      <c r="J271" s="19" t="s">
        <v>55</v>
      </c>
      <c r="K271">
        <v>3</v>
      </c>
      <c r="L271">
        <v>2</v>
      </c>
      <c r="M271">
        <v>1.32</v>
      </c>
      <c r="N271" s="19" t="s">
        <v>55</v>
      </c>
      <c r="O271" s="19" t="s">
        <v>289</v>
      </c>
      <c r="P271" s="19" t="s">
        <v>284</v>
      </c>
      <c r="Q271" s="19" t="s">
        <v>285</v>
      </c>
      <c r="R271" s="19" t="s">
        <v>248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40</v>
      </c>
      <c r="D272" s="19" t="s">
        <v>13</v>
      </c>
      <c r="E272" s="19" t="s">
        <v>40</v>
      </c>
      <c r="F272">
        <v>4</v>
      </c>
      <c r="G272">
        <v>3</v>
      </c>
      <c r="H272">
        <v>0.57879999999999998</v>
      </c>
      <c r="I272" s="19" t="s">
        <v>249</v>
      </c>
      <c r="J272" s="19" t="s">
        <v>13</v>
      </c>
      <c r="K272">
        <v>3</v>
      </c>
      <c r="L272">
        <v>2</v>
      </c>
      <c r="M272">
        <v>-0.13</v>
      </c>
      <c r="N272" s="19" t="s">
        <v>40</v>
      </c>
      <c r="O272" s="19" t="s">
        <v>283</v>
      </c>
      <c r="P272" s="19" t="s">
        <v>287</v>
      </c>
      <c r="Q272" s="19" t="s">
        <v>285</v>
      </c>
      <c r="R272" s="19" t="s">
        <v>248</v>
      </c>
      <c r="S272" s="19" t="s">
        <v>249</v>
      </c>
      <c r="T272" s="19" t="s">
        <v>286</v>
      </c>
    </row>
    <row r="273" spans="1:20" x14ac:dyDescent="0.2">
      <c r="A273" s="1">
        <v>46032</v>
      </c>
      <c r="B273" s="2">
        <v>0.54166666666666663</v>
      </c>
      <c r="C273" s="19" t="s">
        <v>21</v>
      </c>
      <c r="D273" s="19" t="s">
        <v>15</v>
      </c>
      <c r="E273" s="19" t="s">
        <v>15</v>
      </c>
      <c r="F273">
        <v>3</v>
      </c>
      <c r="G273">
        <v>4</v>
      </c>
      <c r="H273">
        <v>0.67290000000000005</v>
      </c>
      <c r="I273" s="19" t="s">
        <v>249</v>
      </c>
      <c r="J273" s="19" t="s">
        <v>21</v>
      </c>
      <c r="K273">
        <v>3</v>
      </c>
      <c r="L273">
        <v>2</v>
      </c>
      <c r="M273">
        <v>0.13</v>
      </c>
      <c r="N273" s="19" t="s">
        <v>21</v>
      </c>
      <c r="O273" s="19" t="s">
        <v>1906</v>
      </c>
      <c r="P273" s="19" t="s">
        <v>284</v>
      </c>
      <c r="Q273" s="19" t="s">
        <v>285</v>
      </c>
      <c r="R273" s="19" t="s">
        <v>249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0.83333333333333337</v>
      </c>
      <c r="C274" s="19" t="s">
        <v>34</v>
      </c>
      <c r="D274" s="19" t="s">
        <v>30</v>
      </c>
      <c r="E274" s="19" t="s">
        <v>30</v>
      </c>
      <c r="F274">
        <v>3</v>
      </c>
      <c r="G274">
        <v>4</v>
      </c>
      <c r="H274">
        <v>0.50819999999999999</v>
      </c>
      <c r="I274" s="19" t="s">
        <v>249</v>
      </c>
      <c r="J274" s="19" t="s">
        <v>34</v>
      </c>
      <c r="K274">
        <v>3</v>
      </c>
      <c r="L274">
        <v>2</v>
      </c>
      <c r="M274">
        <v>0.35</v>
      </c>
      <c r="N274" s="19" t="s">
        <v>30</v>
      </c>
      <c r="O274" s="19" t="s">
        <v>291</v>
      </c>
      <c r="P274" s="19" t="s">
        <v>289</v>
      </c>
      <c r="Q274" s="19" t="s">
        <v>287</v>
      </c>
      <c r="R274" s="19" t="s">
        <v>248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0.91666666666666663</v>
      </c>
      <c r="C275" s="19" t="s">
        <v>20</v>
      </c>
      <c r="D275" s="19" t="s">
        <v>35</v>
      </c>
      <c r="E275" s="19" t="s">
        <v>20</v>
      </c>
      <c r="F275">
        <v>4</v>
      </c>
      <c r="G275">
        <v>3</v>
      </c>
      <c r="H275">
        <v>0.60719999999999996</v>
      </c>
      <c r="I275" s="19" t="s">
        <v>249</v>
      </c>
      <c r="J275" s="19" t="s">
        <v>20</v>
      </c>
      <c r="K275">
        <v>3</v>
      </c>
      <c r="L275">
        <v>2</v>
      </c>
      <c r="M275">
        <v>1.19</v>
      </c>
      <c r="N275" s="19" t="s">
        <v>20</v>
      </c>
      <c r="O275" s="19" t="s">
        <v>289</v>
      </c>
      <c r="P275" s="19" t="s">
        <v>284</v>
      </c>
      <c r="Q275" s="19" t="s">
        <v>285</v>
      </c>
      <c r="R275" s="19" t="s">
        <v>248</v>
      </c>
      <c r="S275" s="19" t="s">
        <v>248</v>
      </c>
      <c r="T275" s="19" t="s">
        <v>286</v>
      </c>
    </row>
    <row r="276" spans="1:20" x14ac:dyDescent="0.2">
      <c r="A276" s="1">
        <v>46032</v>
      </c>
      <c r="B276" s="2">
        <v>0.66666666666666663</v>
      </c>
      <c r="C276" s="19" t="s">
        <v>12</v>
      </c>
      <c r="D276" s="19" t="s">
        <v>28</v>
      </c>
      <c r="E276" s="19" t="s">
        <v>12</v>
      </c>
      <c r="F276">
        <v>3</v>
      </c>
      <c r="G276">
        <v>1</v>
      </c>
      <c r="H276">
        <v>0.90700000000000003</v>
      </c>
      <c r="I276" s="19" t="s">
        <v>249</v>
      </c>
      <c r="J276" s="19" t="s">
        <v>12</v>
      </c>
      <c r="K276">
        <v>3</v>
      </c>
      <c r="L276">
        <v>2</v>
      </c>
      <c r="M276">
        <v>2.19</v>
      </c>
      <c r="N276" s="19" t="s">
        <v>12</v>
      </c>
      <c r="O276" s="19" t="s">
        <v>289</v>
      </c>
      <c r="P276" s="19" t="s">
        <v>285</v>
      </c>
      <c r="Q276" s="19" t="s">
        <v>285</v>
      </c>
      <c r="R276" s="19" t="s">
        <v>248</v>
      </c>
      <c r="S276" s="19" t="s">
        <v>248</v>
      </c>
      <c r="T276" s="19" t="s">
        <v>286</v>
      </c>
    </row>
    <row r="277" spans="1:20" x14ac:dyDescent="0.2">
      <c r="A277" s="1">
        <v>46032</v>
      </c>
      <c r="B277" s="2">
        <v>0.79166666666666663</v>
      </c>
      <c r="C277" s="19" t="s">
        <v>23</v>
      </c>
      <c r="D277" s="19" t="s">
        <v>31</v>
      </c>
      <c r="E277" s="19" t="s">
        <v>23</v>
      </c>
      <c r="F277">
        <v>4</v>
      </c>
      <c r="G277">
        <v>2</v>
      </c>
      <c r="H277">
        <v>0.53600000000000003</v>
      </c>
      <c r="I277" s="19" t="s">
        <v>249</v>
      </c>
      <c r="J277" s="19" t="s">
        <v>23</v>
      </c>
      <c r="K277">
        <v>3</v>
      </c>
      <c r="L277">
        <v>2</v>
      </c>
      <c r="M277">
        <v>0.55000000000000004</v>
      </c>
      <c r="N277" s="19" t="s">
        <v>23</v>
      </c>
      <c r="O277" s="19" t="s">
        <v>283</v>
      </c>
      <c r="P277" s="19" t="s">
        <v>291</v>
      </c>
      <c r="Q277" s="19" t="s">
        <v>285</v>
      </c>
      <c r="R277" s="19" t="s">
        <v>248</v>
      </c>
      <c r="S277" s="19" t="s">
        <v>248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36</v>
      </c>
      <c r="D278" s="19" t="s">
        <v>11</v>
      </c>
      <c r="E278" s="19" t="s">
        <v>36</v>
      </c>
      <c r="F278">
        <v>4</v>
      </c>
      <c r="G278">
        <v>3</v>
      </c>
      <c r="H278">
        <v>0.60099999999999998</v>
      </c>
      <c r="I278" s="19" t="s">
        <v>249</v>
      </c>
      <c r="J278" s="19" t="s">
        <v>36</v>
      </c>
      <c r="K278">
        <v>3</v>
      </c>
      <c r="L278">
        <v>2</v>
      </c>
      <c r="M278">
        <v>0.11</v>
      </c>
      <c r="N278" s="19" t="s">
        <v>11</v>
      </c>
      <c r="O278" s="19" t="s">
        <v>284</v>
      </c>
      <c r="P278" s="19" t="s">
        <v>291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0.66666666666666663</v>
      </c>
      <c r="C279" s="19" t="s">
        <v>33</v>
      </c>
      <c r="D279" s="19" t="s">
        <v>39</v>
      </c>
      <c r="E279" s="19" t="s">
        <v>39</v>
      </c>
      <c r="F279">
        <v>3</v>
      </c>
      <c r="G279">
        <v>5</v>
      </c>
      <c r="H279">
        <v>0.80640000000000001</v>
      </c>
      <c r="I279" s="19" t="s">
        <v>249</v>
      </c>
      <c r="J279" s="19" t="s">
        <v>39</v>
      </c>
      <c r="K279">
        <v>3</v>
      </c>
      <c r="L279">
        <v>2</v>
      </c>
      <c r="M279">
        <v>-0.76</v>
      </c>
      <c r="N279" s="19" t="s">
        <v>33</v>
      </c>
      <c r="O279" s="19" t="s">
        <v>283</v>
      </c>
      <c r="P279" s="19" t="s">
        <v>289</v>
      </c>
      <c r="Q279" s="19" t="s">
        <v>287</v>
      </c>
      <c r="R279" s="19" t="s">
        <v>249</v>
      </c>
      <c r="S279" s="19" t="s">
        <v>249</v>
      </c>
      <c r="T279" s="19" t="s">
        <v>286</v>
      </c>
    </row>
    <row r="280" spans="1:20" x14ac:dyDescent="0.2">
      <c r="A280" s="1">
        <v>46032</v>
      </c>
      <c r="B280" s="2">
        <v>0.64583333333333337</v>
      </c>
      <c r="C280" s="19" t="s">
        <v>14</v>
      </c>
      <c r="D280" s="19" t="s">
        <v>16</v>
      </c>
      <c r="E280" s="19" t="s">
        <v>14</v>
      </c>
      <c r="F280">
        <v>4</v>
      </c>
      <c r="G280">
        <v>2</v>
      </c>
      <c r="H280">
        <v>0.74260000000000004</v>
      </c>
      <c r="I280" s="19" t="s">
        <v>249</v>
      </c>
      <c r="J280" s="19" t="s">
        <v>14</v>
      </c>
      <c r="K280">
        <v>3</v>
      </c>
      <c r="L280">
        <v>2</v>
      </c>
      <c r="M280">
        <v>0.78</v>
      </c>
      <c r="N280" s="19" t="s">
        <v>16</v>
      </c>
      <c r="O280" s="19" t="s">
        <v>287</v>
      </c>
      <c r="P280" s="19" t="s">
        <v>284</v>
      </c>
      <c r="Q280" s="19" t="s">
        <v>285</v>
      </c>
      <c r="R280" s="19" t="s">
        <v>249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0.79166666666666663</v>
      </c>
      <c r="C281" s="19" t="s">
        <v>18</v>
      </c>
      <c r="D281" s="19" t="s">
        <v>26</v>
      </c>
      <c r="E281" s="19" t="s">
        <v>18</v>
      </c>
      <c r="F281">
        <v>5</v>
      </c>
      <c r="G281">
        <v>4</v>
      </c>
      <c r="H281">
        <v>0.5161</v>
      </c>
      <c r="I281" s="19" t="s">
        <v>249</v>
      </c>
      <c r="J281" s="19" t="s">
        <v>18</v>
      </c>
      <c r="K281">
        <v>3</v>
      </c>
      <c r="L281">
        <v>2</v>
      </c>
      <c r="M281">
        <v>0.39</v>
      </c>
      <c r="N281" s="19" t="s">
        <v>26</v>
      </c>
      <c r="O281" s="19" t="s">
        <v>285</v>
      </c>
      <c r="P281" s="19" t="s">
        <v>289</v>
      </c>
      <c r="Q281" s="19" t="s">
        <v>285</v>
      </c>
      <c r="R281" s="19" t="s">
        <v>249</v>
      </c>
      <c r="S281" s="19" t="s">
        <v>249</v>
      </c>
      <c r="T281" s="19" t="s">
        <v>286</v>
      </c>
    </row>
    <row r="282" spans="1:20" x14ac:dyDescent="0.2">
      <c r="A282" s="1">
        <v>46032</v>
      </c>
      <c r="B282" s="2">
        <v>0.79166666666666663</v>
      </c>
      <c r="C282" s="19" t="s">
        <v>25</v>
      </c>
      <c r="D282" s="19" t="s">
        <v>32</v>
      </c>
      <c r="E282" s="19" t="s">
        <v>25</v>
      </c>
      <c r="F282">
        <v>4</v>
      </c>
      <c r="G282">
        <v>3</v>
      </c>
      <c r="H282">
        <v>0.6603</v>
      </c>
      <c r="I282" s="19" t="s">
        <v>249</v>
      </c>
      <c r="J282" s="19" t="s">
        <v>25</v>
      </c>
      <c r="K282">
        <v>3</v>
      </c>
      <c r="L282">
        <v>2</v>
      </c>
      <c r="M282">
        <v>0.82</v>
      </c>
      <c r="N282" s="19" t="s">
        <v>25</v>
      </c>
      <c r="O282" s="19" t="s">
        <v>291</v>
      </c>
      <c r="P282" s="19" t="s">
        <v>284</v>
      </c>
      <c r="Q282" s="19" t="s">
        <v>285</v>
      </c>
      <c r="R282" s="19" t="s">
        <v>248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0.91666666666666663</v>
      </c>
      <c r="C283" s="19" t="s">
        <v>17</v>
      </c>
      <c r="D283" s="19" t="s">
        <v>13</v>
      </c>
      <c r="E283" s="19" t="s">
        <v>17</v>
      </c>
      <c r="F283">
        <v>4</v>
      </c>
      <c r="G283">
        <v>3</v>
      </c>
      <c r="H283">
        <v>0.52880000000000005</v>
      </c>
      <c r="I283" s="19" t="s">
        <v>248</v>
      </c>
      <c r="J283" s="19" t="s">
        <v>17</v>
      </c>
      <c r="K283">
        <v>3</v>
      </c>
      <c r="L283">
        <v>2</v>
      </c>
      <c r="M283">
        <v>0.28000000000000003</v>
      </c>
      <c r="N283" s="19" t="s">
        <v>13</v>
      </c>
      <c r="O283" s="19" t="s">
        <v>291</v>
      </c>
      <c r="P283" s="19" t="s">
        <v>289</v>
      </c>
      <c r="Q283" s="19" t="s">
        <v>287</v>
      </c>
      <c r="R283" s="19" t="s">
        <v>249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0.79166666666666663</v>
      </c>
      <c r="C284" s="19" t="s">
        <v>27</v>
      </c>
      <c r="D284" s="19" t="s">
        <v>37</v>
      </c>
      <c r="E284" s="19" t="s">
        <v>37</v>
      </c>
      <c r="F284">
        <v>2</v>
      </c>
      <c r="G284">
        <v>3</v>
      </c>
      <c r="H284">
        <v>0.88600000000000001</v>
      </c>
      <c r="I284" s="19" t="s">
        <v>249</v>
      </c>
      <c r="J284" s="19" t="s">
        <v>37</v>
      </c>
      <c r="K284">
        <v>3</v>
      </c>
      <c r="L284">
        <v>2</v>
      </c>
      <c r="M284">
        <v>-0.51</v>
      </c>
      <c r="N284" s="19" t="s">
        <v>37</v>
      </c>
      <c r="O284" s="19" t="s">
        <v>284</v>
      </c>
      <c r="P284" s="19" t="s">
        <v>292</v>
      </c>
      <c r="Q284" s="19" t="s">
        <v>285</v>
      </c>
      <c r="R284" s="19" t="s">
        <v>248</v>
      </c>
      <c r="S284" s="19" t="s">
        <v>248</v>
      </c>
      <c r="T284" s="19" t="s">
        <v>286</v>
      </c>
    </row>
    <row r="285" spans="1:20" x14ac:dyDescent="0.2">
      <c r="A285" s="1">
        <v>46032</v>
      </c>
      <c r="B285" s="2">
        <v>0.83333333333333337</v>
      </c>
      <c r="C285" s="19" t="s">
        <v>29</v>
      </c>
      <c r="D285" s="19" t="s">
        <v>10</v>
      </c>
      <c r="E285" s="19" t="s">
        <v>29</v>
      </c>
      <c r="F285">
        <v>4</v>
      </c>
      <c r="G285">
        <v>3</v>
      </c>
      <c r="H285">
        <v>0.75119999999999998</v>
      </c>
      <c r="I285" s="19" t="s">
        <v>249</v>
      </c>
      <c r="J285" s="19" t="s">
        <v>29</v>
      </c>
      <c r="K285">
        <v>3</v>
      </c>
      <c r="L285">
        <v>2</v>
      </c>
      <c r="M285">
        <v>0.13</v>
      </c>
      <c r="N285" s="19" t="s">
        <v>10</v>
      </c>
      <c r="O285" s="19" t="s">
        <v>285</v>
      </c>
      <c r="P285" s="19" t="s">
        <v>291</v>
      </c>
      <c r="Q285" s="19" t="s">
        <v>285</v>
      </c>
      <c r="R285" s="19" t="s">
        <v>249</v>
      </c>
      <c r="S285" s="19" t="s">
        <v>249</v>
      </c>
      <c r="T285" s="19" t="s">
        <v>286</v>
      </c>
    </row>
    <row r="286" spans="1:20" x14ac:dyDescent="0.2">
      <c r="A286" s="1">
        <v>46032</v>
      </c>
      <c r="B286" s="2">
        <v>0.79166666666666663</v>
      </c>
      <c r="C286" s="19" t="s">
        <v>19</v>
      </c>
      <c r="D286" s="19" t="s">
        <v>38</v>
      </c>
      <c r="E286" s="19" t="s">
        <v>19</v>
      </c>
      <c r="F286">
        <v>4</v>
      </c>
      <c r="G286">
        <v>3</v>
      </c>
      <c r="H286">
        <v>0.67830000000000001</v>
      </c>
      <c r="I286" s="19" t="s">
        <v>249</v>
      </c>
      <c r="J286" s="19" t="s">
        <v>19</v>
      </c>
      <c r="K286">
        <v>3</v>
      </c>
      <c r="L286">
        <v>2</v>
      </c>
      <c r="M286">
        <v>0.85</v>
      </c>
      <c r="N286" s="19" t="s">
        <v>19</v>
      </c>
      <c r="O286" s="19" t="s">
        <v>283</v>
      </c>
      <c r="P286" s="19" t="s">
        <v>285</v>
      </c>
      <c r="Q286" s="19" t="s">
        <v>285</v>
      </c>
      <c r="R286" s="19" t="s">
        <v>248</v>
      </c>
      <c r="S286" s="19" t="s">
        <v>248</v>
      </c>
      <c r="T286" s="19" t="s">
        <v>286</v>
      </c>
    </row>
    <row r="287" spans="1:20" x14ac:dyDescent="0.2">
      <c r="A287" s="1">
        <v>46033</v>
      </c>
      <c r="B287" s="2">
        <v>0.58333333333333337</v>
      </c>
      <c r="C287" s="19" t="s">
        <v>40</v>
      </c>
      <c r="D287" s="19" t="s">
        <v>24</v>
      </c>
      <c r="E287" s="19" t="s">
        <v>24</v>
      </c>
      <c r="F287">
        <v>3</v>
      </c>
      <c r="G287">
        <v>4</v>
      </c>
      <c r="H287">
        <v>0.66759999999999997</v>
      </c>
      <c r="I287" s="19" t="s">
        <v>249</v>
      </c>
      <c r="J287" s="19" t="s">
        <v>40</v>
      </c>
      <c r="K287">
        <v>3</v>
      </c>
      <c r="L287">
        <v>2</v>
      </c>
      <c r="M287">
        <v>0.28999999999999998</v>
      </c>
      <c r="N287" s="19" t="s">
        <v>40</v>
      </c>
      <c r="O287" s="19" t="s">
        <v>289</v>
      </c>
      <c r="P287" s="19" t="s">
        <v>291</v>
      </c>
      <c r="Q287" s="19" t="s">
        <v>285</v>
      </c>
      <c r="R287" s="19" t="s">
        <v>249</v>
      </c>
      <c r="S287" s="19" t="s">
        <v>248</v>
      </c>
      <c r="T287" s="19" t="s">
        <v>286</v>
      </c>
    </row>
    <row r="288" spans="1:20" x14ac:dyDescent="0.2">
      <c r="A288" s="1">
        <v>46033</v>
      </c>
      <c r="B288" s="2">
        <v>0.83333333333333337</v>
      </c>
      <c r="C288" s="19" t="s">
        <v>33</v>
      </c>
      <c r="D288" s="19" t="s">
        <v>20</v>
      </c>
      <c r="E288" s="19" t="s">
        <v>20</v>
      </c>
      <c r="F288">
        <v>3</v>
      </c>
      <c r="G288">
        <v>4</v>
      </c>
      <c r="H288">
        <v>0.52929999999999999</v>
      </c>
      <c r="I288" s="19" t="s">
        <v>248</v>
      </c>
      <c r="J288" s="19" t="s">
        <v>20</v>
      </c>
      <c r="K288">
        <v>3</v>
      </c>
      <c r="L288">
        <v>2</v>
      </c>
      <c r="M288">
        <v>-0.13</v>
      </c>
      <c r="N288" s="19" t="s">
        <v>20</v>
      </c>
      <c r="O288" s="19" t="s">
        <v>284</v>
      </c>
      <c r="P288" s="19" t="s">
        <v>292</v>
      </c>
      <c r="Q288" s="19" t="s">
        <v>285</v>
      </c>
      <c r="R288" s="19" t="s">
        <v>248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0.79166666666666663</v>
      </c>
      <c r="C289" s="19" t="s">
        <v>29</v>
      </c>
      <c r="D289" s="19" t="s">
        <v>22</v>
      </c>
      <c r="E289" s="19" t="s">
        <v>29</v>
      </c>
      <c r="F289">
        <v>4</v>
      </c>
      <c r="G289">
        <v>3</v>
      </c>
      <c r="H289">
        <v>0.57699999999999996</v>
      </c>
      <c r="I289" s="19" t="s">
        <v>249</v>
      </c>
      <c r="J289" s="19" t="s">
        <v>22</v>
      </c>
      <c r="K289">
        <v>3</v>
      </c>
      <c r="L289">
        <v>2</v>
      </c>
      <c r="M289">
        <v>-0.78</v>
      </c>
      <c r="N289" s="19" t="s">
        <v>29</v>
      </c>
      <c r="O289" s="19" t="s">
        <v>291</v>
      </c>
      <c r="P289" s="19" t="s">
        <v>284</v>
      </c>
      <c r="Q289" s="19" t="s">
        <v>285</v>
      </c>
      <c r="R289" s="19" t="s">
        <v>248</v>
      </c>
      <c r="S289" s="19" t="s">
        <v>249</v>
      </c>
      <c r="T289" s="19" t="s">
        <v>286</v>
      </c>
    </row>
    <row r="290" spans="1:20" x14ac:dyDescent="0.2">
      <c r="A290" s="1">
        <v>46033</v>
      </c>
      <c r="B290" s="2">
        <v>0.70833333333333337</v>
      </c>
      <c r="C290" s="19" t="s">
        <v>21</v>
      </c>
      <c r="D290" s="19" t="s">
        <v>14</v>
      </c>
      <c r="E290" s="19" t="s">
        <v>21</v>
      </c>
      <c r="F290">
        <v>4</v>
      </c>
      <c r="G290">
        <v>3</v>
      </c>
      <c r="H290">
        <v>0.5968</v>
      </c>
      <c r="I290" s="19" t="s">
        <v>249</v>
      </c>
      <c r="J290" s="19" t="s">
        <v>21</v>
      </c>
      <c r="K290">
        <v>3</v>
      </c>
      <c r="L290">
        <v>2</v>
      </c>
      <c r="M290">
        <v>0.19</v>
      </c>
      <c r="N290" s="19" t="s">
        <v>21</v>
      </c>
      <c r="O290" s="19" t="s">
        <v>287</v>
      </c>
      <c r="P290" s="19" t="s">
        <v>285</v>
      </c>
      <c r="Q290" s="19" t="s">
        <v>285</v>
      </c>
      <c r="R290" s="19" t="s">
        <v>248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0.79166666666666663</v>
      </c>
      <c r="C291" s="19" t="s">
        <v>55</v>
      </c>
      <c r="D291" s="19" t="s">
        <v>28</v>
      </c>
      <c r="E291" s="19" t="s">
        <v>55</v>
      </c>
      <c r="F291">
        <v>4</v>
      </c>
      <c r="G291">
        <v>3</v>
      </c>
      <c r="H291">
        <v>0.5736</v>
      </c>
      <c r="I291" s="19" t="s">
        <v>249</v>
      </c>
      <c r="J291" s="19" t="s">
        <v>55</v>
      </c>
      <c r="K291">
        <v>3</v>
      </c>
      <c r="L291">
        <v>2</v>
      </c>
      <c r="M291">
        <v>0.7</v>
      </c>
      <c r="N291" s="19" t="s">
        <v>28</v>
      </c>
      <c r="O291" s="19" t="s">
        <v>284</v>
      </c>
      <c r="P291" s="19" t="s">
        <v>291</v>
      </c>
      <c r="Q291" s="19" t="s">
        <v>287</v>
      </c>
      <c r="R291" s="19" t="s">
        <v>249</v>
      </c>
      <c r="S291" s="19" t="s">
        <v>249</v>
      </c>
      <c r="T291" s="19" t="s">
        <v>286</v>
      </c>
    </row>
    <row r="292" spans="1:20" x14ac:dyDescent="0.2">
      <c r="A292" s="1">
        <v>46034</v>
      </c>
      <c r="B292" s="2">
        <v>0.91666666666666663</v>
      </c>
      <c r="C292" s="19" t="s">
        <v>12</v>
      </c>
      <c r="D292" s="19" t="s">
        <v>19</v>
      </c>
      <c r="E292" s="19" t="s">
        <v>12</v>
      </c>
      <c r="F292">
        <v>5</v>
      </c>
      <c r="G292">
        <v>2</v>
      </c>
      <c r="H292">
        <v>0.90039999999999998</v>
      </c>
      <c r="I292" s="19" t="s">
        <v>249</v>
      </c>
      <c r="J292" s="19" t="s">
        <v>12</v>
      </c>
      <c r="K292">
        <v>3</v>
      </c>
      <c r="L292">
        <v>2</v>
      </c>
      <c r="M292">
        <v>1.81</v>
      </c>
      <c r="N292" s="19" t="s">
        <v>19</v>
      </c>
      <c r="O292" s="19" t="s">
        <v>291</v>
      </c>
      <c r="P292" s="19" t="s">
        <v>289</v>
      </c>
      <c r="Q292" s="19" t="s">
        <v>287</v>
      </c>
      <c r="R292" s="19" t="s">
        <v>249</v>
      </c>
      <c r="S292" s="19" t="s">
        <v>249</v>
      </c>
      <c r="T292" s="19" t="s">
        <v>286</v>
      </c>
    </row>
    <row r="293" spans="1:20" x14ac:dyDescent="0.2">
      <c r="A293" s="1">
        <v>46034</v>
      </c>
      <c r="B293" s="2">
        <v>0.79166666666666663</v>
      </c>
      <c r="C293" s="19" t="s">
        <v>15</v>
      </c>
      <c r="D293" s="19" t="s">
        <v>32</v>
      </c>
      <c r="E293" s="19" t="s">
        <v>32</v>
      </c>
      <c r="F293">
        <v>2</v>
      </c>
      <c r="G293">
        <v>3</v>
      </c>
      <c r="H293">
        <v>0.79149999999999998</v>
      </c>
      <c r="I293" s="19" t="s">
        <v>249</v>
      </c>
      <c r="J293" s="19" t="s">
        <v>15</v>
      </c>
      <c r="K293">
        <v>3</v>
      </c>
      <c r="L293">
        <v>2</v>
      </c>
      <c r="M293">
        <v>0.12</v>
      </c>
      <c r="N293" s="19" t="s">
        <v>32</v>
      </c>
      <c r="O293" s="19" t="s">
        <v>284</v>
      </c>
      <c r="P293" s="19" t="s">
        <v>289</v>
      </c>
      <c r="Q293" s="19" t="s">
        <v>285</v>
      </c>
      <c r="R293" s="19" t="s">
        <v>248</v>
      </c>
      <c r="S293" s="19" t="s">
        <v>249</v>
      </c>
      <c r="T293" s="19" t="s">
        <v>286</v>
      </c>
    </row>
    <row r="294" spans="1:20" x14ac:dyDescent="0.2">
      <c r="A294" s="1">
        <v>46034</v>
      </c>
      <c r="B294" s="2">
        <v>0.83333333333333337</v>
      </c>
      <c r="C294" s="19" t="s">
        <v>34</v>
      </c>
      <c r="D294" s="19" t="s">
        <v>24</v>
      </c>
      <c r="E294" s="19" t="s">
        <v>34</v>
      </c>
      <c r="F294">
        <v>4</v>
      </c>
      <c r="G294">
        <v>3</v>
      </c>
      <c r="H294">
        <v>0.62450000000000006</v>
      </c>
      <c r="I294" s="19" t="s">
        <v>248</v>
      </c>
      <c r="J294" s="19" t="s">
        <v>34</v>
      </c>
      <c r="K294">
        <v>3</v>
      </c>
      <c r="L294">
        <v>2</v>
      </c>
      <c r="M294">
        <v>0.91</v>
      </c>
      <c r="N294" s="19" t="s">
        <v>24</v>
      </c>
      <c r="O294" s="19" t="s">
        <v>284</v>
      </c>
      <c r="P294" s="19" t="s">
        <v>283</v>
      </c>
      <c r="Q294" s="19" t="s">
        <v>285</v>
      </c>
      <c r="R294" s="19" t="s">
        <v>249</v>
      </c>
      <c r="S294" s="19" t="s">
        <v>249</v>
      </c>
      <c r="T294" s="19" t="s">
        <v>286</v>
      </c>
    </row>
    <row r="295" spans="1:20" x14ac:dyDescent="0.2">
      <c r="A295" s="1">
        <v>46034</v>
      </c>
      <c r="B295" s="2">
        <v>0.79166666666666663</v>
      </c>
      <c r="C295" s="19" t="s">
        <v>26</v>
      </c>
      <c r="D295" s="19" t="s">
        <v>25</v>
      </c>
      <c r="E295" s="19" t="s">
        <v>26</v>
      </c>
      <c r="F295">
        <v>4</v>
      </c>
      <c r="G295">
        <v>3</v>
      </c>
      <c r="H295">
        <v>0.63759999999999994</v>
      </c>
      <c r="I295" s="19" t="s">
        <v>249</v>
      </c>
      <c r="J295" s="19" t="s">
        <v>25</v>
      </c>
      <c r="K295">
        <v>3</v>
      </c>
      <c r="L295">
        <v>2</v>
      </c>
      <c r="M295">
        <v>-0.36</v>
      </c>
      <c r="N295" s="19" t="s">
        <v>26</v>
      </c>
      <c r="O295" s="19" t="s">
        <v>289</v>
      </c>
      <c r="P295" s="19" t="s">
        <v>291</v>
      </c>
      <c r="Q295" s="19" t="s">
        <v>287</v>
      </c>
      <c r="R295" s="19" t="s">
        <v>248</v>
      </c>
      <c r="S295" s="19" t="s">
        <v>249</v>
      </c>
      <c r="T295" s="19" t="s">
        <v>286</v>
      </c>
    </row>
    <row r="296" spans="1:20" x14ac:dyDescent="0.2">
      <c r="A296" s="1">
        <v>46034</v>
      </c>
      <c r="B296" s="2">
        <v>0.8125</v>
      </c>
      <c r="C296" s="19" t="s">
        <v>18</v>
      </c>
      <c r="D296" s="19" t="s">
        <v>38</v>
      </c>
      <c r="E296" s="19" t="s">
        <v>18</v>
      </c>
      <c r="F296">
        <v>4</v>
      </c>
      <c r="G296">
        <v>2</v>
      </c>
      <c r="H296">
        <v>0.76570000000000005</v>
      </c>
      <c r="I296" s="19" t="s">
        <v>249</v>
      </c>
      <c r="J296" s="19" t="s">
        <v>18</v>
      </c>
      <c r="K296">
        <v>3</v>
      </c>
      <c r="L296">
        <v>2</v>
      </c>
      <c r="M296">
        <v>0.99</v>
      </c>
      <c r="N296" s="19" t="s">
        <v>18</v>
      </c>
      <c r="O296" s="19" t="s">
        <v>288</v>
      </c>
      <c r="P296" s="19" t="s">
        <v>291</v>
      </c>
      <c r="Q296" s="19" t="s">
        <v>285</v>
      </c>
      <c r="R296" s="19" t="s">
        <v>248</v>
      </c>
      <c r="S296" s="19" t="s">
        <v>248</v>
      </c>
      <c r="T296" s="19" t="s">
        <v>286</v>
      </c>
    </row>
    <row r="297" spans="1:20" x14ac:dyDescent="0.2">
      <c r="A297" s="1">
        <v>46034</v>
      </c>
      <c r="B297" s="2">
        <v>0.85416666666666663</v>
      </c>
      <c r="C297" s="19" t="s">
        <v>10</v>
      </c>
      <c r="D297" s="19" t="s">
        <v>17</v>
      </c>
      <c r="E297" s="19" t="s">
        <v>10</v>
      </c>
      <c r="F297">
        <v>4</v>
      </c>
      <c r="G297">
        <v>3</v>
      </c>
      <c r="H297">
        <v>0.51800000000000002</v>
      </c>
      <c r="I297" s="19" t="s">
        <v>249</v>
      </c>
      <c r="J297" s="19" t="s">
        <v>17</v>
      </c>
      <c r="K297">
        <v>3</v>
      </c>
      <c r="L297">
        <v>2</v>
      </c>
      <c r="M297">
        <v>-0.22</v>
      </c>
      <c r="N297" s="19" t="s">
        <v>17</v>
      </c>
      <c r="O297" s="19" t="s">
        <v>287</v>
      </c>
      <c r="P297" s="19" t="s">
        <v>289</v>
      </c>
      <c r="Q297" s="19" t="s">
        <v>285</v>
      </c>
      <c r="R297" s="19" t="s">
        <v>249</v>
      </c>
      <c r="S297" s="19" t="s">
        <v>248</v>
      </c>
      <c r="T297" s="19" t="s">
        <v>286</v>
      </c>
    </row>
    <row r="298" spans="1:20" x14ac:dyDescent="0.2">
      <c r="A298" s="1">
        <v>46034</v>
      </c>
      <c r="B298" s="2">
        <v>0.91666666666666663</v>
      </c>
      <c r="C298" s="19" t="s">
        <v>13</v>
      </c>
      <c r="D298" s="19" t="s">
        <v>39</v>
      </c>
      <c r="E298" s="19" t="s">
        <v>13</v>
      </c>
      <c r="F298">
        <v>5</v>
      </c>
      <c r="G298">
        <v>4</v>
      </c>
      <c r="H298">
        <v>0.53180000000000005</v>
      </c>
      <c r="I298" s="19" t="s">
        <v>249</v>
      </c>
      <c r="J298" s="19" t="s">
        <v>39</v>
      </c>
      <c r="K298">
        <v>3</v>
      </c>
      <c r="L298">
        <v>2</v>
      </c>
      <c r="M298">
        <v>-0.52</v>
      </c>
      <c r="N298" s="19" t="s">
        <v>39</v>
      </c>
      <c r="O298" s="19" t="s">
        <v>287</v>
      </c>
      <c r="P298" s="19" t="s">
        <v>291</v>
      </c>
      <c r="Q298" s="19" t="s">
        <v>285</v>
      </c>
      <c r="R298" s="19" t="s">
        <v>249</v>
      </c>
      <c r="S298" s="19" t="s">
        <v>248</v>
      </c>
      <c r="T298" s="19" t="s">
        <v>286</v>
      </c>
    </row>
    <row r="299" spans="1:20" x14ac:dyDescent="0.2">
      <c r="A299" s="1">
        <v>46034</v>
      </c>
      <c r="B299" s="2">
        <v>0.79166666666666663</v>
      </c>
      <c r="C299" s="19" t="s">
        <v>23</v>
      </c>
      <c r="D299" s="19" t="s">
        <v>11</v>
      </c>
      <c r="E299" s="19" t="s">
        <v>23</v>
      </c>
      <c r="F299">
        <v>4</v>
      </c>
      <c r="G299">
        <v>2</v>
      </c>
      <c r="H299">
        <v>0.75890000000000002</v>
      </c>
      <c r="I299" s="19" t="s">
        <v>249</v>
      </c>
      <c r="J299" s="19" t="s">
        <v>23</v>
      </c>
      <c r="K299">
        <v>3</v>
      </c>
      <c r="L299">
        <v>2</v>
      </c>
      <c r="M299">
        <v>0.34</v>
      </c>
      <c r="N299" s="19" t="s">
        <v>11</v>
      </c>
      <c r="O299" s="19" t="s">
        <v>291</v>
      </c>
      <c r="P299" s="19" t="s">
        <v>289</v>
      </c>
      <c r="Q299" s="19" t="s">
        <v>285</v>
      </c>
      <c r="R299" s="19" t="s">
        <v>249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0.79166666666666663</v>
      </c>
      <c r="C300" s="19" t="s">
        <v>27</v>
      </c>
      <c r="D300" s="19" t="s">
        <v>37</v>
      </c>
      <c r="E300" s="19" t="s">
        <v>37</v>
      </c>
      <c r="F300">
        <v>2</v>
      </c>
      <c r="G300">
        <v>5</v>
      </c>
      <c r="H300">
        <v>0.94599999999999995</v>
      </c>
      <c r="I300" s="19" t="s">
        <v>249</v>
      </c>
      <c r="J300" s="19" t="s">
        <v>37</v>
      </c>
      <c r="K300">
        <v>3</v>
      </c>
      <c r="L300">
        <v>2</v>
      </c>
      <c r="M300">
        <v>-0.72</v>
      </c>
      <c r="N300" s="19" t="s">
        <v>37</v>
      </c>
      <c r="O300" s="19" t="s">
        <v>287</v>
      </c>
      <c r="P300" s="19" t="s">
        <v>283</v>
      </c>
      <c r="Q300" s="19" t="s">
        <v>285</v>
      </c>
      <c r="R300" s="19" t="s">
        <v>248</v>
      </c>
      <c r="S300" s="19" t="s">
        <v>248</v>
      </c>
      <c r="T300" s="19" t="s">
        <v>286</v>
      </c>
    </row>
    <row r="301" spans="1:20" x14ac:dyDescent="0.2">
      <c r="A301" s="1">
        <v>46035</v>
      </c>
      <c r="B301" s="2">
        <v>0.91666666666666663</v>
      </c>
      <c r="C301" s="19" t="s">
        <v>55</v>
      </c>
      <c r="D301" s="19" t="s">
        <v>19</v>
      </c>
      <c r="E301" s="19" t="s">
        <v>55</v>
      </c>
      <c r="F301">
        <v>4</v>
      </c>
      <c r="G301">
        <v>2</v>
      </c>
      <c r="H301">
        <v>0.7389</v>
      </c>
      <c r="I301" s="19" t="s">
        <v>249</v>
      </c>
      <c r="J301" s="19" t="s">
        <v>55</v>
      </c>
      <c r="K301">
        <v>3</v>
      </c>
      <c r="L301">
        <v>2</v>
      </c>
      <c r="M301">
        <v>0.11</v>
      </c>
      <c r="N301" s="19" t="s">
        <v>55</v>
      </c>
      <c r="O301" s="19" t="s">
        <v>288</v>
      </c>
      <c r="P301" s="19" t="s">
        <v>287</v>
      </c>
      <c r="Q301" s="19" t="s">
        <v>285</v>
      </c>
      <c r="R301" s="19" t="s">
        <v>248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0.79166666666666663</v>
      </c>
      <c r="C302" s="19" t="s">
        <v>22</v>
      </c>
      <c r="D302" s="19" t="s">
        <v>18</v>
      </c>
      <c r="E302" s="19" t="s">
        <v>18</v>
      </c>
      <c r="F302">
        <v>3</v>
      </c>
      <c r="G302">
        <v>4</v>
      </c>
      <c r="H302">
        <v>0.74860000000000004</v>
      </c>
      <c r="I302" s="19" t="s">
        <v>249</v>
      </c>
      <c r="J302" s="19" t="s">
        <v>22</v>
      </c>
      <c r="K302">
        <v>3</v>
      </c>
      <c r="L302">
        <v>2</v>
      </c>
      <c r="M302">
        <v>0.37</v>
      </c>
      <c r="N302" s="19" t="s">
        <v>22</v>
      </c>
      <c r="O302" s="19" t="s">
        <v>291</v>
      </c>
      <c r="P302" s="19" t="s">
        <v>284</v>
      </c>
      <c r="Q302" s="19" t="s">
        <v>287</v>
      </c>
      <c r="R302" s="19" t="s">
        <v>249</v>
      </c>
      <c r="S302" s="19" t="s">
        <v>248</v>
      </c>
      <c r="T302" s="19" t="s">
        <v>286</v>
      </c>
    </row>
    <row r="303" spans="1:20" x14ac:dyDescent="0.2">
      <c r="A303" s="1">
        <v>46035</v>
      </c>
      <c r="B303" s="2">
        <v>0.83333333333333337</v>
      </c>
      <c r="C303" s="19" t="s">
        <v>40</v>
      </c>
      <c r="D303" s="19" t="s">
        <v>30</v>
      </c>
      <c r="E303" s="19" t="s">
        <v>30</v>
      </c>
      <c r="F303">
        <v>3</v>
      </c>
      <c r="G303">
        <v>4</v>
      </c>
      <c r="H303">
        <v>0.52470000000000006</v>
      </c>
      <c r="I303" s="19" t="s">
        <v>249</v>
      </c>
      <c r="J303" s="19" t="s">
        <v>30</v>
      </c>
      <c r="K303">
        <v>3</v>
      </c>
      <c r="L303">
        <v>2</v>
      </c>
      <c r="M303">
        <v>-0.37</v>
      </c>
      <c r="N303" s="19" t="s">
        <v>40</v>
      </c>
      <c r="O303" s="19" t="s">
        <v>283</v>
      </c>
      <c r="P303" s="19" t="s">
        <v>289</v>
      </c>
      <c r="Q303" s="19" t="s">
        <v>285</v>
      </c>
      <c r="R303" s="19" t="s">
        <v>249</v>
      </c>
      <c r="S303" s="19" t="s">
        <v>249</v>
      </c>
      <c r="T303" s="19" t="s">
        <v>286</v>
      </c>
    </row>
    <row r="304" spans="1:20" x14ac:dyDescent="0.2">
      <c r="A304" s="1">
        <v>46035</v>
      </c>
      <c r="B304" s="2">
        <v>0.79166666666666663</v>
      </c>
      <c r="C304" s="19" t="s">
        <v>14</v>
      </c>
      <c r="D304" s="19" t="s">
        <v>37</v>
      </c>
      <c r="E304" s="19" t="s">
        <v>37</v>
      </c>
      <c r="F304">
        <v>2</v>
      </c>
      <c r="G304">
        <v>6</v>
      </c>
      <c r="H304">
        <v>0.95299999999999996</v>
      </c>
      <c r="I304" s="19" t="s">
        <v>249</v>
      </c>
      <c r="J304" s="19" t="s">
        <v>37</v>
      </c>
      <c r="K304">
        <v>3</v>
      </c>
      <c r="L304">
        <v>2</v>
      </c>
      <c r="M304">
        <v>-0.85</v>
      </c>
      <c r="N304" s="19" t="s">
        <v>37</v>
      </c>
      <c r="O304" s="19" t="s">
        <v>287</v>
      </c>
      <c r="P304" s="19" t="s">
        <v>284</v>
      </c>
      <c r="Q304" s="19" t="s">
        <v>287</v>
      </c>
      <c r="R304" s="19" t="s">
        <v>248</v>
      </c>
      <c r="S304" s="19" t="s">
        <v>248</v>
      </c>
      <c r="T304" s="19" t="s">
        <v>286</v>
      </c>
    </row>
    <row r="305" spans="1:20" x14ac:dyDescent="0.2">
      <c r="A305" s="1">
        <v>46035</v>
      </c>
      <c r="B305" s="2">
        <v>0.79166666666666663</v>
      </c>
      <c r="C305" s="19" t="s">
        <v>36</v>
      </c>
      <c r="D305" s="19" t="s">
        <v>38</v>
      </c>
      <c r="E305" s="19" t="s">
        <v>38</v>
      </c>
      <c r="F305">
        <v>3</v>
      </c>
      <c r="G305">
        <v>4</v>
      </c>
      <c r="H305">
        <v>0.51249999999999996</v>
      </c>
      <c r="I305" s="19" t="s">
        <v>248</v>
      </c>
      <c r="J305" s="19" t="s">
        <v>36</v>
      </c>
      <c r="K305">
        <v>3</v>
      </c>
      <c r="L305">
        <v>2</v>
      </c>
      <c r="M305">
        <v>0.81</v>
      </c>
      <c r="N305" s="19" t="s">
        <v>36</v>
      </c>
      <c r="O305" s="19" t="s">
        <v>284</v>
      </c>
      <c r="P305" s="19" t="s">
        <v>287</v>
      </c>
      <c r="Q305" s="19" t="s">
        <v>285</v>
      </c>
      <c r="R305" s="19" t="s">
        <v>249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0.83333333333333337</v>
      </c>
      <c r="C306" s="19" t="s">
        <v>29</v>
      </c>
      <c r="D306" s="19" t="s">
        <v>17</v>
      </c>
      <c r="E306" s="19" t="s">
        <v>29</v>
      </c>
      <c r="F306">
        <v>4</v>
      </c>
      <c r="G306">
        <v>3</v>
      </c>
      <c r="H306">
        <v>0.67030000000000001</v>
      </c>
      <c r="I306" s="19" t="s">
        <v>249</v>
      </c>
      <c r="J306" s="19" t="s">
        <v>17</v>
      </c>
      <c r="K306">
        <v>3</v>
      </c>
      <c r="L306">
        <v>2</v>
      </c>
      <c r="M306">
        <v>-0.42</v>
      </c>
      <c r="N306" s="19" t="s">
        <v>29</v>
      </c>
      <c r="O306" s="19" t="s">
        <v>289</v>
      </c>
      <c r="P306" s="19" t="s">
        <v>291</v>
      </c>
      <c r="Q306" s="19" t="s">
        <v>287</v>
      </c>
      <c r="R306" s="19" t="s">
        <v>248</v>
      </c>
      <c r="S306" s="19" t="s">
        <v>249</v>
      </c>
      <c r="T306" s="19" t="s">
        <v>286</v>
      </c>
    </row>
    <row r="307" spans="1:20" x14ac:dyDescent="0.2">
      <c r="A307" s="1">
        <v>46035</v>
      </c>
      <c r="B307" s="2">
        <v>0.8125</v>
      </c>
      <c r="C307" s="19" t="s">
        <v>35</v>
      </c>
      <c r="D307" s="19" t="s">
        <v>25</v>
      </c>
      <c r="E307" s="19" t="s">
        <v>25</v>
      </c>
      <c r="F307">
        <v>2</v>
      </c>
      <c r="G307">
        <v>4</v>
      </c>
      <c r="H307">
        <v>0.88229999999999997</v>
      </c>
      <c r="I307" s="19" t="s">
        <v>249</v>
      </c>
      <c r="J307" s="19" t="s">
        <v>25</v>
      </c>
      <c r="K307">
        <v>3</v>
      </c>
      <c r="L307">
        <v>2</v>
      </c>
      <c r="M307">
        <v>-1.41</v>
      </c>
      <c r="N307" s="19" t="s">
        <v>35</v>
      </c>
      <c r="O307" s="19" t="s">
        <v>291</v>
      </c>
      <c r="P307" s="19" t="s">
        <v>285</v>
      </c>
      <c r="Q307" s="19" t="s">
        <v>285</v>
      </c>
      <c r="R307" s="19" t="s">
        <v>249</v>
      </c>
      <c r="S307" s="19" t="s">
        <v>249</v>
      </c>
      <c r="T307" s="19" t="s">
        <v>286</v>
      </c>
    </row>
    <row r="308" spans="1:20" x14ac:dyDescent="0.2">
      <c r="A308" s="1">
        <v>46035</v>
      </c>
      <c r="B308" s="2">
        <v>0.79166666666666663</v>
      </c>
      <c r="C308" s="19" t="s">
        <v>28</v>
      </c>
      <c r="D308" s="19" t="s">
        <v>16</v>
      </c>
      <c r="E308" s="19" t="s">
        <v>28</v>
      </c>
      <c r="F308">
        <v>4</v>
      </c>
      <c r="G308">
        <v>3</v>
      </c>
      <c r="H308">
        <v>0.75800000000000001</v>
      </c>
      <c r="I308" s="19" t="s">
        <v>249</v>
      </c>
      <c r="J308" s="19" t="s">
        <v>28</v>
      </c>
      <c r="K308">
        <v>3</v>
      </c>
      <c r="L308">
        <v>2</v>
      </c>
      <c r="M308">
        <v>0.3</v>
      </c>
      <c r="N308" s="19" t="s">
        <v>28</v>
      </c>
      <c r="O308" s="19" t="s">
        <v>283</v>
      </c>
      <c r="P308" s="19" t="s">
        <v>291</v>
      </c>
      <c r="Q308" s="19" t="s">
        <v>285</v>
      </c>
      <c r="R308" s="19" t="s">
        <v>248</v>
      </c>
      <c r="S308" s="19" t="s">
        <v>248</v>
      </c>
      <c r="T308" s="19" t="s">
        <v>286</v>
      </c>
    </row>
    <row r="309" spans="1:20" x14ac:dyDescent="0.2">
      <c r="A309" s="1">
        <v>46035</v>
      </c>
      <c r="B309" s="2">
        <v>0.8125</v>
      </c>
      <c r="C309" s="19" t="s">
        <v>21</v>
      </c>
      <c r="D309" s="19" t="s">
        <v>26</v>
      </c>
      <c r="E309" s="19" t="s">
        <v>21</v>
      </c>
      <c r="F309">
        <v>4</v>
      </c>
      <c r="G309">
        <v>3</v>
      </c>
      <c r="H309">
        <v>0.56379999999999997</v>
      </c>
      <c r="I309" s="19" t="s">
        <v>249</v>
      </c>
      <c r="J309" s="19" t="s">
        <v>21</v>
      </c>
      <c r="K309">
        <v>3</v>
      </c>
      <c r="L309">
        <v>2</v>
      </c>
      <c r="M309">
        <v>0.2</v>
      </c>
      <c r="N309" s="19" t="s">
        <v>21</v>
      </c>
      <c r="O309" s="19" t="s">
        <v>291</v>
      </c>
      <c r="P309" s="19" t="s">
        <v>285</v>
      </c>
      <c r="Q309" s="19" t="s">
        <v>285</v>
      </c>
      <c r="R309" s="19" t="s">
        <v>248</v>
      </c>
      <c r="S309" s="19" t="s">
        <v>248</v>
      </c>
      <c r="T309" s="19" t="s">
        <v>286</v>
      </c>
    </row>
    <row r="310" spans="1:20" x14ac:dyDescent="0.2">
      <c r="A310" s="1">
        <v>46035</v>
      </c>
      <c r="B310" s="2">
        <v>0.91666666666666663</v>
      </c>
      <c r="C310" s="19" t="s">
        <v>31</v>
      </c>
      <c r="D310" s="19" t="s">
        <v>39</v>
      </c>
      <c r="E310" s="19" t="s">
        <v>39</v>
      </c>
      <c r="F310">
        <v>3</v>
      </c>
      <c r="G310">
        <v>7</v>
      </c>
      <c r="H310">
        <v>0.84099999999999997</v>
      </c>
      <c r="I310" s="19" t="s">
        <v>249</v>
      </c>
      <c r="J310" s="19" t="s">
        <v>39</v>
      </c>
      <c r="K310">
        <v>3</v>
      </c>
      <c r="L310">
        <v>2</v>
      </c>
      <c r="M310">
        <v>-0.84</v>
      </c>
      <c r="N310" s="19" t="s">
        <v>31</v>
      </c>
      <c r="O310" s="19" t="s">
        <v>291</v>
      </c>
      <c r="P310" s="19" t="s">
        <v>287</v>
      </c>
      <c r="Q310" s="19" t="s">
        <v>285</v>
      </c>
      <c r="R310" s="19" t="s">
        <v>249</v>
      </c>
      <c r="S310" s="19" t="s">
        <v>249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15</v>
      </c>
      <c r="D311" s="19" t="s">
        <v>36</v>
      </c>
      <c r="E311" s="19" t="s">
        <v>36</v>
      </c>
      <c r="F311">
        <v>3</v>
      </c>
      <c r="G311">
        <v>4</v>
      </c>
      <c r="H311">
        <v>0.58830000000000005</v>
      </c>
      <c r="I311" s="19" t="s">
        <v>249</v>
      </c>
      <c r="J311" s="19" t="s">
        <v>15</v>
      </c>
      <c r="K311">
        <v>3</v>
      </c>
      <c r="L311">
        <v>2</v>
      </c>
      <c r="M311">
        <v>0.01</v>
      </c>
      <c r="N311" s="19" t="s">
        <v>36</v>
      </c>
      <c r="O311" s="19" t="s">
        <v>289</v>
      </c>
      <c r="P311" s="19" t="s">
        <v>1525</v>
      </c>
      <c r="Q311" s="19" t="s">
        <v>285</v>
      </c>
      <c r="R311" s="19" t="s">
        <v>248</v>
      </c>
      <c r="S311" s="19" t="s">
        <v>249</v>
      </c>
      <c r="T311" s="19" t="s">
        <v>286</v>
      </c>
    </row>
    <row r="312" spans="1:20" x14ac:dyDescent="0.2">
      <c r="A312" s="1">
        <v>46036</v>
      </c>
      <c r="B312" s="2">
        <v>0.79166666666666663</v>
      </c>
      <c r="C312" s="19" t="s">
        <v>24</v>
      </c>
      <c r="D312" s="19" t="s">
        <v>32</v>
      </c>
      <c r="E312" s="19" t="s">
        <v>32</v>
      </c>
      <c r="F312">
        <v>3</v>
      </c>
      <c r="G312">
        <v>4</v>
      </c>
      <c r="H312">
        <v>0.54290000000000005</v>
      </c>
      <c r="I312" s="19" t="s">
        <v>249</v>
      </c>
      <c r="J312" s="19" t="s">
        <v>24</v>
      </c>
      <c r="K312">
        <v>3</v>
      </c>
      <c r="L312">
        <v>2</v>
      </c>
      <c r="M312">
        <v>0.03</v>
      </c>
      <c r="N312" s="19" t="s">
        <v>24</v>
      </c>
      <c r="O312" s="19" t="s">
        <v>291</v>
      </c>
      <c r="P312" s="19" t="s">
        <v>284</v>
      </c>
      <c r="Q312" s="19" t="s">
        <v>287</v>
      </c>
      <c r="R312" s="19" t="s">
        <v>249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0.91666666666666663</v>
      </c>
      <c r="C313" s="19" t="s">
        <v>13</v>
      </c>
      <c r="D313" s="19" t="s">
        <v>20</v>
      </c>
      <c r="E313" s="19" t="s">
        <v>20</v>
      </c>
      <c r="F313">
        <v>2</v>
      </c>
      <c r="G313">
        <v>3</v>
      </c>
      <c r="H313">
        <v>0.84589999999999999</v>
      </c>
      <c r="I313" s="19" t="s">
        <v>249</v>
      </c>
      <c r="J313" s="19" t="s">
        <v>20</v>
      </c>
      <c r="K313">
        <v>3</v>
      </c>
      <c r="L313">
        <v>2</v>
      </c>
      <c r="M313">
        <v>-0.12</v>
      </c>
      <c r="N313" s="19" t="s">
        <v>20</v>
      </c>
      <c r="O313" s="19" t="s">
        <v>284</v>
      </c>
      <c r="P313" s="19" t="s">
        <v>291</v>
      </c>
      <c r="Q313" s="19" t="s">
        <v>287</v>
      </c>
      <c r="R313" s="19" t="s">
        <v>248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23</v>
      </c>
      <c r="D314" s="19" t="s">
        <v>27</v>
      </c>
      <c r="E314" s="19" t="s">
        <v>23</v>
      </c>
      <c r="F314">
        <v>4</v>
      </c>
      <c r="G314">
        <v>3</v>
      </c>
      <c r="H314">
        <v>0.81810000000000005</v>
      </c>
      <c r="I314" s="19" t="s">
        <v>249</v>
      </c>
      <c r="J314" s="19" t="s">
        <v>23</v>
      </c>
      <c r="K314">
        <v>3</v>
      </c>
      <c r="L314">
        <v>2</v>
      </c>
      <c r="M314">
        <v>0.23</v>
      </c>
      <c r="N314" s="19" t="s">
        <v>23</v>
      </c>
      <c r="O314" s="19" t="s">
        <v>283</v>
      </c>
      <c r="P314" s="19" t="s">
        <v>284</v>
      </c>
      <c r="Q314" s="19" t="s">
        <v>285</v>
      </c>
      <c r="R314" s="19" t="s">
        <v>248</v>
      </c>
      <c r="S314" s="19" t="s">
        <v>248</v>
      </c>
      <c r="T314" s="19" t="s">
        <v>286</v>
      </c>
    </row>
    <row r="315" spans="1:20" x14ac:dyDescent="0.2">
      <c r="A315" s="1">
        <v>46037</v>
      </c>
      <c r="B315" s="2">
        <v>0.875</v>
      </c>
      <c r="C315" s="19" t="s">
        <v>17</v>
      </c>
      <c r="D315" s="19" t="s">
        <v>30</v>
      </c>
      <c r="E315" s="19" t="s">
        <v>30</v>
      </c>
      <c r="F315">
        <v>3</v>
      </c>
      <c r="G315">
        <v>4</v>
      </c>
      <c r="H315">
        <v>0.53639999999999999</v>
      </c>
      <c r="I315" s="19" t="s">
        <v>249</v>
      </c>
      <c r="J315" s="19" t="s">
        <v>30</v>
      </c>
      <c r="K315">
        <v>3</v>
      </c>
      <c r="L315">
        <v>2</v>
      </c>
      <c r="M315">
        <v>-0.12</v>
      </c>
      <c r="N315" s="19" t="s">
        <v>30</v>
      </c>
      <c r="O315" s="19" t="s">
        <v>285</v>
      </c>
      <c r="P315" s="19" t="s">
        <v>287</v>
      </c>
      <c r="Q315" s="19" t="s">
        <v>285</v>
      </c>
      <c r="R315" s="19" t="s">
        <v>248</v>
      </c>
      <c r="S315" s="19" t="s">
        <v>248</v>
      </c>
      <c r="T315" s="19" t="s">
        <v>286</v>
      </c>
    </row>
    <row r="316" spans="1:20" x14ac:dyDescent="0.2">
      <c r="A316" s="1">
        <v>46037</v>
      </c>
      <c r="B316" s="2">
        <v>0.85416666666666663</v>
      </c>
      <c r="C316" s="19" t="s">
        <v>10</v>
      </c>
      <c r="D316" s="19" t="s">
        <v>16</v>
      </c>
      <c r="E316" s="19" t="s">
        <v>10</v>
      </c>
      <c r="F316">
        <v>4</v>
      </c>
      <c r="G316">
        <v>3</v>
      </c>
      <c r="H316">
        <v>0.77349999999999997</v>
      </c>
      <c r="I316" s="19" t="s">
        <v>249</v>
      </c>
      <c r="J316" s="19" t="s">
        <v>10</v>
      </c>
      <c r="K316">
        <v>3</v>
      </c>
      <c r="L316">
        <v>2</v>
      </c>
      <c r="M316">
        <v>0.25</v>
      </c>
      <c r="N316" s="19" t="s">
        <v>16</v>
      </c>
      <c r="O316" s="19" t="s">
        <v>287</v>
      </c>
      <c r="P316" s="19" t="s">
        <v>291</v>
      </c>
      <c r="Q316" s="19" t="s">
        <v>285</v>
      </c>
      <c r="R316" s="19" t="s">
        <v>249</v>
      </c>
      <c r="S316" s="19" t="s">
        <v>249</v>
      </c>
      <c r="T316" s="19" t="s">
        <v>286</v>
      </c>
    </row>
    <row r="317" spans="1:20" x14ac:dyDescent="0.2">
      <c r="A317" s="1">
        <v>46037</v>
      </c>
      <c r="B317" s="2">
        <v>0.89583333333333337</v>
      </c>
      <c r="C317" s="19" t="s">
        <v>20</v>
      </c>
      <c r="D317" s="19" t="s">
        <v>19</v>
      </c>
      <c r="E317" s="19" t="s">
        <v>19</v>
      </c>
      <c r="F317">
        <v>3</v>
      </c>
      <c r="G317">
        <v>4</v>
      </c>
      <c r="H317">
        <v>0.51100000000000001</v>
      </c>
      <c r="I317" s="19" t="s">
        <v>249</v>
      </c>
      <c r="J317" s="19" t="s">
        <v>20</v>
      </c>
      <c r="K317">
        <v>3</v>
      </c>
      <c r="L317">
        <v>2</v>
      </c>
      <c r="M317">
        <v>0.23</v>
      </c>
      <c r="N317" s="19" t="s">
        <v>20</v>
      </c>
      <c r="O317" s="19" t="s">
        <v>288</v>
      </c>
      <c r="P317" s="19" t="s">
        <v>283</v>
      </c>
      <c r="Q317" s="19" t="s">
        <v>287</v>
      </c>
      <c r="R317" s="19" t="s">
        <v>249</v>
      </c>
      <c r="S317" s="19" t="s">
        <v>248</v>
      </c>
      <c r="T317" s="19" t="s">
        <v>286</v>
      </c>
    </row>
    <row r="318" spans="1:20" x14ac:dyDescent="0.2">
      <c r="A318" s="1">
        <v>46037</v>
      </c>
      <c r="B318" s="2">
        <v>0.79166666666666663</v>
      </c>
      <c r="C318" s="19" t="s">
        <v>14</v>
      </c>
      <c r="D318" s="19" t="s">
        <v>27</v>
      </c>
      <c r="E318" s="19" t="s">
        <v>27</v>
      </c>
      <c r="F318">
        <v>4</v>
      </c>
      <c r="G318">
        <v>5</v>
      </c>
      <c r="H318">
        <v>0.52329999999999999</v>
      </c>
      <c r="I318" s="19" t="s">
        <v>249</v>
      </c>
      <c r="J318" s="19" t="s">
        <v>14</v>
      </c>
      <c r="K318">
        <v>3</v>
      </c>
      <c r="L318">
        <v>2</v>
      </c>
      <c r="M318">
        <v>0.22</v>
      </c>
      <c r="N318" s="19" t="s">
        <v>14</v>
      </c>
      <c r="O318" s="19" t="s">
        <v>288</v>
      </c>
      <c r="P318" s="19" t="s">
        <v>291</v>
      </c>
      <c r="Q318" s="19" t="s">
        <v>285</v>
      </c>
      <c r="R318" s="19" t="s">
        <v>249</v>
      </c>
      <c r="S318" s="19" t="s">
        <v>248</v>
      </c>
      <c r="T318" s="19" t="s">
        <v>286</v>
      </c>
    </row>
    <row r="319" spans="1:20" x14ac:dyDescent="0.2">
      <c r="A319" s="1">
        <v>46037</v>
      </c>
      <c r="B319" s="2">
        <v>0.79166666666666663</v>
      </c>
      <c r="C319" s="19" t="s">
        <v>28</v>
      </c>
      <c r="D319" s="19" t="s">
        <v>38</v>
      </c>
      <c r="E319" s="19" t="s">
        <v>28</v>
      </c>
      <c r="F319">
        <v>4</v>
      </c>
      <c r="G319">
        <v>3</v>
      </c>
      <c r="H319">
        <v>0.62949999999999995</v>
      </c>
      <c r="I319" s="19" t="s">
        <v>249</v>
      </c>
      <c r="J319" s="19" t="s">
        <v>28</v>
      </c>
      <c r="K319">
        <v>3</v>
      </c>
      <c r="L319">
        <v>2</v>
      </c>
      <c r="M319">
        <v>0.72</v>
      </c>
      <c r="N319" s="19" t="s">
        <v>28</v>
      </c>
      <c r="O319" s="19" t="s">
        <v>289</v>
      </c>
      <c r="P319" s="19" t="s">
        <v>287</v>
      </c>
      <c r="Q319" s="19" t="s">
        <v>285</v>
      </c>
      <c r="R319" s="19" t="s">
        <v>248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0.83333333333333337</v>
      </c>
      <c r="C320" s="19" t="s">
        <v>34</v>
      </c>
      <c r="D320" s="19" t="s">
        <v>40</v>
      </c>
      <c r="E320" s="19" t="s">
        <v>40</v>
      </c>
      <c r="F320">
        <v>3</v>
      </c>
      <c r="G320">
        <v>4</v>
      </c>
      <c r="H320">
        <v>0.62229999999999996</v>
      </c>
      <c r="I320" s="19" t="s">
        <v>248</v>
      </c>
      <c r="J320" s="19" t="s">
        <v>34</v>
      </c>
      <c r="K320">
        <v>3</v>
      </c>
      <c r="L320">
        <v>2</v>
      </c>
      <c r="M320">
        <v>0.63</v>
      </c>
      <c r="N320" s="19" t="s">
        <v>40</v>
      </c>
      <c r="O320" s="19" t="s">
        <v>284</v>
      </c>
      <c r="P320" s="19" t="s">
        <v>288</v>
      </c>
      <c r="Q320" s="19" t="s">
        <v>285</v>
      </c>
      <c r="R320" s="19" t="s">
        <v>248</v>
      </c>
      <c r="S320" s="19" t="s">
        <v>249</v>
      </c>
      <c r="T320" s="19" t="s">
        <v>286</v>
      </c>
    </row>
    <row r="321" spans="1:20" x14ac:dyDescent="0.2">
      <c r="A321" s="1">
        <v>46037</v>
      </c>
      <c r="B321" s="2">
        <v>0.875</v>
      </c>
      <c r="C321" s="19" t="s">
        <v>55</v>
      </c>
      <c r="D321" s="19" t="s">
        <v>39</v>
      </c>
      <c r="E321" s="19" t="s">
        <v>39</v>
      </c>
      <c r="F321">
        <v>3</v>
      </c>
      <c r="G321">
        <v>4</v>
      </c>
      <c r="H321">
        <v>0.56899999999999995</v>
      </c>
      <c r="I321" s="19" t="s">
        <v>249</v>
      </c>
      <c r="J321" s="19" t="s">
        <v>39</v>
      </c>
      <c r="K321">
        <v>3</v>
      </c>
      <c r="L321">
        <v>2</v>
      </c>
      <c r="M321">
        <v>-0.12</v>
      </c>
      <c r="N321" s="19" t="s">
        <v>55</v>
      </c>
      <c r="O321" s="19" t="s">
        <v>284</v>
      </c>
      <c r="P321" s="19" t="s">
        <v>287</v>
      </c>
      <c r="Q321" s="19" t="s">
        <v>285</v>
      </c>
      <c r="R321" s="19" t="s">
        <v>249</v>
      </c>
      <c r="S321" s="19" t="s">
        <v>249</v>
      </c>
      <c r="T321" s="19" t="s">
        <v>286</v>
      </c>
    </row>
    <row r="322" spans="1:20" x14ac:dyDescent="0.2">
      <c r="A322" s="1">
        <v>46037</v>
      </c>
      <c r="B322" s="2">
        <v>0.79166666666666663</v>
      </c>
      <c r="C322" s="19" t="s">
        <v>23</v>
      </c>
      <c r="D322" s="19" t="s">
        <v>18</v>
      </c>
      <c r="E322" s="19" t="s">
        <v>23</v>
      </c>
      <c r="F322">
        <v>5</v>
      </c>
      <c r="G322">
        <v>4</v>
      </c>
      <c r="H322">
        <v>0.56359999999999999</v>
      </c>
      <c r="I322" s="19" t="s">
        <v>249</v>
      </c>
      <c r="J322" s="19" t="s">
        <v>23</v>
      </c>
      <c r="K322">
        <v>3</v>
      </c>
      <c r="L322">
        <v>2</v>
      </c>
      <c r="M322">
        <v>0.2</v>
      </c>
      <c r="N322" s="19" t="s">
        <v>23</v>
      </c>
      <c r="O322" s="19" t="s">
        <v>283</v>
      </c>
      <c r="P322" s="19" t="s">
        <v>291</v>
      </c>
      <c r="Q322" s="19" t="s">
        <v>285</v>
      </c>
      <c r="R322" s="19" t="s">
        <v>248</v>
      </c>
      <c r="S322" s="19" t="s">
        <v>248</v>
      </c>
      <c r="T322" s="19" t="s">
        <v>286</v>
      </c>
    </row>
    <row r="323" spans="1:20" x14ac:dyDescent="0.2">
      <c r="A323" s="1">
        <v>46037</v>
      </c>
      <c r="B323" s="2">
        <v>0.79166666666666663</v>
      </c>
      <c r="C323" s="19" t="s">
        <v>21</v>
      </c>
      <c r="D323" s="19" t="s">
        <v>32</v>
      </c>
      <c r="E323" s="19" t="s">
        <v>21</v>
      </c>
      <c r="F323">
        <v>3</v>
      </c>
      <c r="G323">
        <v>2</v>
      </c>
      <c r="H323">
        <v>0.71240000000000003</v>
      </c>
      <c r="I323" s="19" t="s">
        <v>249</v>
      </c>
      <c r="J323" s="19" t="s">
        <v>21</v>
      </c>
      <c r="K323">
        <v>3</v>
      </c>
      <c r="L323">
        <v>2</v>
      </c>
      <c r="M323">
        <v>0.53</v>
      </c>
      <c r="N323" s="19" t="s">
        <v>21</v>
      </c>
      <c r="O323" s="19" t="s">
        <v>289</v>
      </c>
      <c r="P323" s="19" t="s">
        <v>284</v>
      </c>
      <c r="Q323" s="19" t="s">
        <v>285</v>
      </c>
      <c r="R323" s="19" t="s">
        <v>248</v>
      </c>
      <c r="S323" s="19" t="s">
        <v>248</v>
      </c>
      <c r="T323" s="19" t="s">
        <v>286</v>
      </c>
    </row>
    <row r="324" spans="1:20" x14ac:dyDescent="0.2">
      <c r="A324" s="1">
        <v>46037</v>
      </c>
      <c r="B324" s="2">
        <v>0.79166666666666663</v>
      </c>
      <c r="C324" s="19" t="s">
        <v>22</v>
      </c>
      <c r="D324" s="19" t="s">
        <v>33</v>
      </c>
      <c r="E324" s="19" t="s">
        <v>22</v>
      </c>
      <c r="F324">
        <v>4</v>
      </c>
      <c r="G324">
        <v>3</v>
      </c>
      <c r="H324">
        <v>0.53859999999999997</v>
      </c>
      <c r="I324" s="19" t="s">
        <v>249</v>
      </c>
      <c r="J324" s="19" t="s">
        <v>22</v>
      </c>
      <c r="K324">
        <v>3</v>
      </c>
      <c r="L324">
        <v>2</v>
      </c>
      <c r="M324">
        <v>0.84</v>
      </c>
      <c r="N324" s="19" t="s">
        <v>33</v>
      </c>
      <c r="O324" s="19" t="s">
        <v>284</v>
      </c>
      <c r="P324" s="19" t="s">
        <v>291</v>
      </c>
      <c r="Q324" s="19" t="s">
        <v>285</v>
      </c>
      <c r="R324" s="19" t="s">
        <v>249</v>
      </c>
      <c r="S324" s="19" t="s">
        <v>249</v>
      </c>
      <c r="T324" s="19" t="s">
        <v>286</v>
      </c>
    </row>
    <row r="325" spans="1:20" x14ac:dyDescent="0.2">
      <c r="A325" s="1">
        <v>46038</v>
      </c>
      <c r="B325" s="2">
        <v>0.9375</v>
      </c>
      <c r="C325" s="19" t="s">
        <v>13</v>
      </c>
      <c r="D325" s="19" t="s">
        <v>31</v>
      </c>
      <c r="E325" s="19" t="s">
        <v>13</v>
      </c>
      <c r="F325">
        <v>4</v>
      </c>
      <c r="G325">
        <v>2</v>
      </c>
      <c r="H325">
        <v>0.76439999999999997</v>
      </c>
      <c r="I325" s="19" t="s">
        <v>249</v>
      </c>
      <c r="J325" s="19" t="s">
        <v>13</v>
      </c>
      <c r="K325">
        <v>3</v>
      </c>
      <c r="L325">
        <v>2</v>
      </c>
      <c r="M325">
        <v>0.28999999999999998</v>
      </c>
      <c r="N325" s="19" t="s">
        <v>31</v>
      </c>
      <c r="O325" s="19" t="s">
        <v>284</v>
      </c>
      <c r="P325" s="19" t="s">
        <v>291</v>
      </c>
      <c r="Q325" s="19" t="s">
        <v>287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0.79166666666666663</v>
      </c>
      <c r="C326" s="19" t="s">
        <v>26</v>
      </c>
      <c r="D326" s="19" t="s">
        <v>33</v>
      </c>
      <c r="E326" s="19" t="s">
        <v>26</v>
      </c>
      <c r="F326">
        <v>4</v>
      </c>
      <c r="G326">
        <v>3</v>
      </c>
      <c r="H326">
        <v>0.52869999999999995</v>
      </c>
      <c r="I326" s="19" t="s">
        <v>249</v>
      </c>
      <c r="J326" s="19" t="s">
        <v>26</v>
      </c>
      <c r="K326">
        <v>3</v>
      </c>
      <c r="L326">
        <v>2</v>
      </c>
      <c r="M326">
        <v>0.41</v>
      </c>
      <c r="N326" s="19" t="s">
        <v>26</v>
      </c>
      <c r="O326" s="19" t="s">
        <v>289</v>
      </c>
      <c r="P326" s="19" t="s">
        <v>284</v>
      </c>
      <c r="Q326" s="19" t="s">
        <v>285</v>
      </c>
      <c r="R326" s="19" t="s">
        <v>248</v>
      </c>
      <c r="S326" s="19" t="s">
        <v>248</v>
      </c>
      <c r="T326" s="19" t="s">
        <v>286</v>
      </c>
    </row>
    <row r="327" spans="1:20" x14ac:dyDescent="0.2">
      <c r="A327" s="1">
        <v>46038</v>
      </c>
      <c r="B327" s="2">
        <v>0.79166666666666663</v>
      </c>
      <c r="C327" s="19" t="s">
        <v>25</v>
      </c>
      <c r="D327" s="19" t="s">
        <v>11</v>
      </c>
      <c r="E327" s="19" t="s">
        <v>25</v>
      </c>
      <c r="F327">
        <v>4</v>
      </c>
      <c r="G327">
        <v>3</v>
      </c>
      <c r="H327">
        <v>0.51819999999999999</v>
      </c>
      <c r="I327" s="19" t="s">
        <v>249</v>
      </c>
      <c r="J327" s="19" t="s">
        <v>25</v>
      </c>
      <c r="K327">
        <v>3</v>
      </c>
      <c r="L327">
        <v>2</v>
      </c>
      <c r="M327">
        <v>0.55000000000000004</v>
      </c>
      <c r="N327" s="19" t="s">
        <v>25</v>
      </c>
      <c r="O327" s="19" t="s">
        <v>290</v>
      </c>
      <c r="P327" s="19" t="s">
        <v>287</v>
      </c>
      <c r="Q327" s="19" t="s">
        <v>285</v>
      </c>
      <c r="R327" s="19" t="s">
        <v>248</v>
      </c>
      <c r="S327" s="19" t="s">
        <v>248</v>
      </c>
      <c r="T327" s="19" t="s">
        <v>286</v>
      </c>
    </row>
    <row r="328" spans="1:20" x14ac:dyDescent="0.2">
      <c r="A328" s="1">
        <v>46038</v>
      </c>
      <c r="B328" s="2">
        <v>0.83333333333333337</v>
      </c>
      <c r="C328" s="19" t="s">
        <v>35</v>
      </c>
      <c r="D328" s="19" t="s">
        <v>37</v>
      </c>
      <c r="E328" s="19" t="s">
        <v>37</v>
      </c>
      <c r="F328">
        <v>2</v>
      </c>
      <c r="G328">
        <v>4</v>
      </c>
      <c r="H328">
        <v>0.92679999999999996</v>
      </c>
      <c r="I328" s="19" t="s">
        <v>249</v>
      </c>
      <c r="J328" s="19" t="s">
        <v>37</v>
      </c>
      <c r="K328">
        <v>3</v>
      </c>
      <c r="L328">
        <v>2</v>
      </c>
      <c r="M328">
        <v>-1.83</v>
      </c>
      <c r="N328" s="19" t="s">
        <v>35</v>
      </c>
      <c r="O328" s="19" t="s">
        <v>291</v>
      </c>
      <c r="P328" s="19" t="s">
        <v>284</v>
      </c>
      <c r="Q328" s="19" t="s">
        <v>287</v>
      </c>
      <c r="R328" s="19" t="s">
        <v>249</v>
      </c>
      <c r="S328" s="19" t="s">
        <v>249</v>
      </c>
      <c r="T328" s="19" t="s">
        <v>286</v>
      </c>
    </row>
    <row r="329" spans="1:20" x14ac:dyDescent="0.2">
      <c r="A329" s="1">
        <v>46038</v>
      </c>
      <c r="B329" s="2">
        <v>0.875</v>
      </c>
      <c r="C329" s="19" t="s">
        <v>12</v>
      </c>
      <c r="D329" s="19" t="s">
        <v>29</v>
      </c>
      <c r="E329" s="19" t="s">
        <v>12</v>
      </c>
      <c r="F329">
        <v>4</v>
      </c>
      <c r="G329">
        <v>2</v>
      </c>
      <c r="H329">
        <v>0.97899999999999998</v>
      </c>
      <c r="I329" s="19" t="s">
        <v>249</v>
      </c>
      <c r="J329" s="19" t="s">
        <v>12</v>
      </c>
      <c r="K329">
        <v>3</v>
      </c>
      <c r="L329">
        <v>2</v>
      </c>
      <c r="M329">
        <v>2.33</v>
      </c>
      <c r="N329" s="19" t="s">
        <v>29</v>
      </c>
      <c r="O329" s="19" t="s">
        <v>291</v>
      </c>
      <c r="P329" s="19" t="s">
        <v>292</v>
      </c>
      <c r="Q329" s="19" t="s">
        <v>285</v>
      </c>
      <c r="R329" s="19" t="s">
        <v>249</v>
      </c>
      <c r="S329" s="19" t="s">
        <v>249</v>
      </c>
      <c r="T329" s="19" t="s">
        <v>286</v>
      </c>
    </row>
    <row r="330" spans="1:20" x14ac:dyDescent="0.2">
      <c r="A330" s="1">
        <v>46039</v>
      </c>
      <c r="B330" s="2">
        <v>0.79166666666666663</v>
      </c>
      <c r="C330" s="19" t="s">
        <v>40</v>
      </c>
      <c r="D330" s="19" t="s">
        <v>19</v>
      </c>
      <c r="E330" s="19" t="s">
        <v>40</v>
      </c>
      <c r="F330">
        <v>6</v>
      </c>
      <c r="G330">
        <v>3</v>
      </c>
      <c r="H330">
        <v>0.73760000000000003</v>
      </c>
      <c r="I330" s="19" t="s">
        <v>249</v>
      </c>
      <c r="J330" s="19" t="s">
        <v>40</v>
      </c>
      <c r="K330">
        <v>3</v>
      </c>
      <c r="L330">
        <v>2</v>
      </c>
      <c r="M330">
        <v>0.04</v>
      </c>
      <c r="N330" s="19" t="s">
        <v>19</v>
      </c>
      <c r="O330" s="19" t="s">
        <v>291</v>
      </c>
      <c r="P330" s="19" t="s">
        <v>289</v>
      </c>
      <c r="Q330" s="19" t="s">
        <v>287</v>
      </c>
      <c r="R330" s="19" t="s">
        <v>249</v>
      </c>
      <c r="S330" s="19" t="s">
        <v>249</v>
      </c>
      <c r="T330" s="19" t="s">
        <v>286</v>
      </c>
    </row>
    <row r="331" spans="1:20" x14ac:dyDescent="0.2">
      <c r="A331" s="1">
        <v>46039</v>
      </c>
      <c r="B331" s="2">
        <v>0.625</v>
      </c>
      <c r="C331" s="19" t="s">
        <v>16</v>
      </c>
      <c r="D331" s="19" t="s">
        <v>30</v>
      </c>
      <c r="E331" s="19" t="s">
        <v>16</v>
      </c>
      <c r="F331">
        <v>4</v>
      </c>
      <c r="G331">
        <v>3</v>
      </c>
      <c r="H331">
        <v>0.6351</v>
      </c>
      <c r="I331" s="19" t="s">
        <v>249</v>
      </c>
      <c r="J331" s="19" t="s">
        <v>30</v>
      </c>
      <c r="K331">
        <v>3</v>
      </c>
      <c r="L331">
        <v>2</v>
      </c>
      <c r="M331">
        <v>-0.62</v>
      </c>
      <c r="N331" s="19" t="s">
        <v>16</v>
      </c>
      <c r="O331" s="19" t="s">
        <v>289</v>
      </c>
      <c r="P331" s="19" t="s">
        <v>284</v>
      </c>
      <c r="Q331" s="19" t="s">
        <v>285</v>
      </c>
      <c r="R331" s="19" t="s">
        <v>248</v>
      </c>
      <c r="S331" s="19" t="s">
        <v>249</v>
      </c>
      <c r="T331" s="19" t="s">
        <v>286</v>
      </c>
    </row>
    <row r="332" spans="1:20" x14ac:dyDescent="0.2">
      <c r="A332" s="1">
        <v>46039</v>
      </c>
      <c r="B332" s="2">
        <v>0.79166666666666663</v>
      </c>
      <c r="C332" s="19" t="s">
        <v>22</v>
      </c>
      <c r="D332" s="19" t="s">
        <v>11</v>
      </c>
      <c r="E332" s="19" t="s">
        <v>22</v>
      </c>
      <c r="F332">
        <v>4</v>
      </c>
      <c r="G332">
        <v>3</v>
      </c>
      <c r="H332">
        <v>0.504</v>
      </c>
      <c r="I332" s="19" t="s">
        <v>249</v>
      </c>
      <c r="J332" s="19" t="s">
        <v>22</v>
      </c>
      <c r="K332">
        <v>3</v>
      </c>
      <c r="L332">
        <v>2</v>
      </c>
      <c r="M332">
        <v>0.69</v>
      </c>
      <c r="N332" s="19" t="s">
        <v>11</v>
      </c>
      <c r="O332" s="19" t="s">
        <v>284</v>
      </c>
      <c r="P332" s="19" t="s">
        <v>283</v>
      </c>
      <c r="Q332" s="19" t="s">
        <v>285</v>
      </c>
      <c r="R332" s="19" t="s">
        <v>249</v>
      </c>
      <c r="S332" s="19" t="s">
        <v>249</v>
      </c>
      <c r="T332" s="19" t="s">
        <v>286</v>
      </c>
    </row>
    <row r="333" spans="1:20" x14ac:dyDescent="0.2">
      <c r="A333" s="1">
        <v>46039</v>
      </c>
      <c r="B333" s="2">
        <v>0.91666666666666663</v>
      </c>
      <c r="C333" s="19" t="s">
        <v>20</v>
      </c>
      <c r="D333" s="19" t="s">
        <v>29</v>
      </c>
      <c r="E333" s="19" t="s">
        <v>20</v>
      </c>
      <c r="F333">
        <v>4</v>
      </c>
      <c r="G333">
        <v>3</v>
      </c>
      <c r="H333">
        <v>0.6472</v>
      </c>
      <c r="I333" s="19" t="s">
        <v>248</v>
      </c>
      <c r="J333" s="19" t="s">
        <v>20</v>
      </c>
      <c r="K333">
        <v>3</v>
      </c>
      <c r="L333">
        <v>2</v>
      </c>
      <c r="M333">
        <v>0.66</v>
      </c>
      <c r="N333" s="19" t="s">
        <v>20</v>
      </c>
      <c r="O333" s="19" t="s">
        <v>292</v>
      </c>
      <c r="P333" s="19" t="s">
        <v>284</v>
      </c>
      <c r="Q333" s="19" t="s">
        <v>285</v>
      </c>
      <c r="R333" s="19" t="s">
        <v>248</v>
      </c>
      <c r="S333" s="19" t="s">
        <v>248</v>
      </c>
      <c r="T333" s="19" t="s">
        <v>286</v>
      </c>
    </row>
    <row r="334" spans="1:20" x14ac:dyDescent="0.2">
      <c r="A334" s="1">
        <v>46039</v>
      </c>
      <c r="B334" s="2">
        <v>0.54166666666666663</v>
      </c>
      <c r="C334" s="19" t="s">
        <v>27</v>
      </c>
      <c r="D334" s="19" t="s">
        <v>15</v>
      </c>
      <c r="E334" s="19" t="s">
        <v>15</v>
      </c>
      <c r="F334">
        <v>2</v>
      </c>
      <c r="G334">
        <v>3</v>
      </c>
      <c r="H334">
        <v>0.85519999999999996</v>
      </c>
      <c r="I334" s="19" t="s">
        <v>248</v>
      </c>
      <c r="J334" s="19" t="s">
        <v>27</v>
      </c>
      <c r="K334">
        <v>3</v>
      </c>
      <c r="L334">
        <v>2</v>
      </c>
      <c r="M334">
        <v>0.37</v>
      </c>
      <c r="N334" s="19" t="s">
        <v>15</v>
      </c>
      <c r="O334" s="19" t="s">
        <v>291</v>
      </c>
      <c r="P334" s="19" t="s">
        <v>288</v>
      </c>
      <c r="Q334" s="19" t="s">
        <v>285</v>
      </c>
      <c r="R334" s="19" t="s">
        <v>248</v>
      </c>
      <c r="S334" s="19" t="s">
        <v>249</v>
      </c>
      <c r="T334" s="19" t="s">
        <v>286</v>
      </c>
    </row>
    <row r="335" spans="1:20" x14ac:dyDescent="0.2">
      <c r="A335" s="1">
        <v>46039</v>
      </c>
      <c r="B335" s="2">
        <v>0.79166666666666663</v>
      </c>
      <c r="C335" s="19" t="s">
        <v>14</v>
      </c>
      <c r="D335" s="19" t="s">
        <v>28</v>
      </c>
      <c r="E335" s="19" t="s">
        <v>28</v>
      </c>
      <c r="F335">
        <v>4</v>
      </c>
      <c r="G335">
        <v>5</v>
      </c>
      <c r="H335">
        <v>0.55930000000000002</v>
      </c>
      <c r="I335" s="19" t="s">
        <v>249</v>
      </c>
      <c r="J335" s="19" t="s">
        <v>14</v>
      </c>
      <c r="K335">
        <v>3</v>
      </c>
      <c r="L335">
        <v>2</v>
      </c>
      <c r="M335">
        <v>0.46</v>
      </c>
      <c r="N335" s="19" t="s">
        <v>28</v>
      </c>
      <c r="O335" s="19" t="s">
        <v>291</v>
      </c>
      <c r="P335" s="19" t="s">
        <v>289</v>
      </c>
      <c r="Q335" s="19" t="s">
        <v>287</v>
      </c>
      <c r="R335" s="19" t="s">
        <v>248</v>
      </c>
      <c r="S335" s="19" t="s">
        <v>249</v>
      </c>
      <c r="T335" s="19" t="s">
        <v>286</v>
      </c>
    </row>
    <row r="336" spans="1:20" x14ac:dyDescent="0.2">
      <c r="A336" s="1">
        <v>46039</v>
      </c>
      <c r="B336" s="2">
        <v>0.83333333333333337</v>
      </c>
      <c r="C336" s="19" t="s">
        <v>10</v>
      </c>
      <c r="D336" s="19" t="s">
        <v>21</v>
      </c>
      <c r="E336" s="19" t="s">
        <v>21</v>
      </c>
      <c r="F336">
        <v>3</v>
      </c>
      <c r="G336">
        <v>4</v>
      </c>
      <c r="H336">
        <v>0.64539999999999997</v>
      </c>
      <c r="I336" s="19" t="s">
        <v>249</v>
      </c>
      <c r="J336" s="19" t="s">
        <v>21</v>
      </c>
      <c r="K336">
        <v>3</v>
      </c>
      <c r="L336">
        <v>2</v>
      </c>
      <c r="M336">
        <v>-0.54</v>
      </c>
      <c r="N336" s="19" t="s">
        <v>21</v>
      </c>
      <c r="O336" s="19" t="s">
        <v>284</v>
      </c>
      <c r="P336" s="19" t="s">
        <v>283</v>
      </c>
      <c r="Q336" s="19" t="s">
        <v>285</v>
      </c>
      <c r="R336" s="19" t="s">
        <v>248</v>
      </c>
      <c r="S336" s="19" t="s">
        <v>248</v>
      </c>
      <c r="T336" s="19" t="s">
        <v>286</v>
      </c>
    </row>
    <row r="337" spans="1:20" x14ac:dyDescent="0.2">
      <c r="A337" s="1">
        <v>46039</v>
      </c>
      <c r="B337" s="2">
        <v>0.79166666666666663</v>
      </c>
      <c r="C337" s="19" t="s">
        <v>36</v>
      </c>
      <c r="D337" s="19" t="s">
        <v>18</v>
      </c>
      <c r="E337" s="19" t="s">
        <v>18</v>
      </c>
      <c r="F337">
        <v>3</v>
      </c>
      <c r="G337">
        <v>4</v>
      </c>
      <c r="H337">
        <v>0.55120000000000002</v>
      </c>
      <c r="I337" s="19" t="s">
        <v>248</v>
      </c>
      <c r="J337" s="19" t="s">
        <v>36</v>
      </c>
      <c r="K337">
        <v>3</v>
      </c>
      <c r="L337">
        <v>2</v>
      </c>
      <c r="M337">
        <v>0.04</v>
      </c>
      <c r="N337" s="19" t="s">
        <v>18</v>
      </c>
      <c r="O337" s="19" t="s">
        <v>283</v>
      </c>
      <c r="P337" s="19" t="s">
        <v>288</v>
      </c>
      <c r="Q337" s="19" t="s">
        <v>287</v>
      </c>
      <c r="R337" s="19" t="s">
        <v>248</v>
      </c>
      <c r="S337" s="19" t="s">
        <v>249</v>
      </c>
      <c r="T337" s="19" t="s">
        <v>286</v>
      </c>
    </row>
    <row r="338" spans="1:20" x14ac:dyDescent="0.2">
      <c r="A338" s="1">
        <v>46039</v>
      </c>
      <c r="B338" s="2">
        <v>0.79166666666666663</v>
      </c>
      <c r="C338" s="19" t="s">
        <v>24</v>
      </c>
      <c r="D338" s="19" t="s">
        <v>25</v>
      </c>
      <c r="E338" s="19" t="s">
        <v>25</v>
      </c>
      <c r="F338">
        <v>3</v>
      </c>
      <c r="G338">
        <v>4</v>
      </c>
      <c r="H338">
        <v>0.64549999999999996</v>
      </c>
      <c r="I338" s="19" t="s">
        <v>249</v>
      </c>
      <c r="J338" s="19" t="s">
        <v>25</v>
      </c>
      <c r="K338">
        <v>3</v>
      </c>
      <c r="L338">
        <v>2</v>
      </c>
      <c r="M338">
        <v>-0.62</v>
      </c>
      <c r="N338" s="19" t="s">
        <v>25</v>
      </c>
      <c r="O338" s="19" t="s">
        <v>287</v>
      </c>
      <c r="P338" s="19" t="s">
        <v>289</v>
      </c>
      <c r="Q338" s="19" t="s">
        <v>285</v>
      </c>
      <c r="R338" s="19" t="s">
        <v>248</v>
      </c>
      <c r="S338" s="19" t="s">
        <v>248</v>
      </c>
      <c r="T338" s="19" t="s">
        <v>286</v>
      </c>
    </row>
    <row r="339" spans="1:20" x14ac:dyDescent="0.2">
      <c r="A339" s="1">
        <v>46039</v>
      </c>
      <c r="B339" s="2">
        <v>0.91666666666666663</v>
      </c>
      <c r="C339" s="19" t="s">
        <v>38</v>
      </c>
      <c r="D339" s="19" t="s">
        <v>17</v>
      </c>
      <c r="E339" s="19" t="s">
        <v>38</v>
      </c>
      <c r="F339">
        <v>4</v>
      </c>
      <c r="G339">
        <v>3</v>
      </c>
      <c r="H339">
        <v>0.60319999999999996</v>
      </c>
      <c r="I339" s="19" t="s">
        <v>248</v>
      </c>
      <c r="J339" s="19" t="s">
        <v>17</v>
      </c>
      <c r="K339">
        <v>3</v>
      </c>
      <c r="L339">
        <v>2</v>
      </c>
      <c r="M339">
        <v>-0.77</v>
      </c>
      <c r="N339" s="19" t="s">
        <v>17</v>
      </c>
      <c r="O339" s="19" t="s">
        <v>285</v>
      </c>
      <c r="P339" s="19" t="s">
        <v>288</v>
      </c>
      <c r="Q339" s="19" t="s">
        <v>285</v>
      </c>
      <c r="R339" s="19" t="s">
        <v>249</v>
      </c>
      <c r="S339" s="19" t="s">
        <v>248</v>
      </c>
      <c r="T339" s="19" t="s">
        <v>286</v>
      </c>
    </row>
    <row r="340" spans="1:20" x14ac:dyDescent="0.2">
      <c r="A340" s="1">
        <v>46039</v>
      </c>
      <c r="B340" s="2">
        <v>0.91666666666666663</v>
      </c>
      <c r="C340" s="19" t="s">
        <v>31</v>
      </c>
      <c r="D340" s="19" t="s">
        <v>13</v>
      </c>
      <c r="E340" s="19" t="s">
        <v>13</v>
      </c>
      <c r="F340">
        <v>3</v>
      </c>
      <c r="G340">
        <v>4</v>
      </c>
      <c r="H340">
        <v>0.51929999999999998</v>
      </c>
      <c r="I340" s="19" t="s">
        <v>249</v>
      </c>
      <c r="J340" s="19" t="s">
        <v>31</v>
      </c>
      <c r="K340">
        <v>3</v>
      </c>
      <c r="L340">
        <v>2</v>
      </c>
      <c r="M340">
        <v>0.05</v>
      </c>
      <c r="N340" s="19" t="s">
        <v>31</v>
      </c>
      <c r="O340" s="19" t="s">
        <v>284</v>
      </c>
      <c r="P340" s="19" t="s">
        <v>287</v>
      </c>
      <c r="Q340" s="19" t="s">
        <v>287</v>
      </c>
      <c r="R340" s="19" t="s">
        <v>249</v>
      </c>
      <c r="S340" s="19" t="s">
        <v>248</v>
      </c>
      <c r="T340" s="19" t="s">
        <v>286</v>
      </c>
    </row>
    <row r="341" spans="1:20" x14ac:dyDescent="0.2">
      <c r="A341" s="1">
        <v>46039</v>
      </c>
      <c r="B341" s="2">
        <v>0.52083333333333337</v>
      </c>
      <c r="C341" s="19" t="s">
        <v>23</v>
      </c>
      <c r="D341" s="19" t="s">
        <v>34</v>
      </c>
      <c r="E341" s="19" t="s">
        <v>23</v>
      </c>
      <c r="F341">
        <v>4</v>
      </c>
      <c r="G341">
        <v>2</v>
      </c>
      <c r="H341">
        <v>0.66069999999999995</v>
      </c>
      <c r="I341" s="19" t="s">
        <v>249</v>
      </c>
      <c r="J341" s="19" t="s">
        <v>23</v>
      </c>
      <c r="K341">
        <v>3</v>
      </c>
      <c r="L341">
        <v>2</v>
      </c>
      <c r="M341">
        <v>7.0000000000000007E-2</v>
      </c>
      <c r="N341" s="19" t="s">
        <v>34</v>
      </c>
      <c r="O341" s="19" t="s">
        <v>289</v>
      </c>
      <c r="P341" s="19" t="s">
        <v>283</v>
      </c>
      <c r="Q341" s="19" t="s">
        <v>287</v>
      </c>
      <c r="R341" s="19" t="s">
        <v>249</v>
      </c>
      <c r="S341" s="19" t="s">
        <v>249</v>
      </c>
      <c r="T341" s="19" t="s">
        <v>286</v>
      </c>
    </row>
    <row r="342" spans="1:20" x14ac:dyDescent="0.2">
      <c r="A342" s="1">
        <v>46039</v>
      </c>
      <c r="B342" s="2">
        <v>0.70833333333333337</v>
      </c>
      <c r="C342" s="19" t="s">
        <v>55</v>
      </c>
      <c r="D342" s="19" t="s">
        <v>32</v>
      </c>
      <c r="E342" s="19" t="s">
        <v>55</v>
      </c>
      <c r="F342">
        <v>4</v>
      </c>
      <c r="G342">
        <v>3</v>
      </c>
      <c r="H342">
        <v>0.52669999999999995</v>
      </c>
      <c r="I342" s="19" t="s">
        <v>249</v>
      </c>
      <c r="J342" s="19" t="s">
        <v>55</v>
      </c>
      <c r="K342">
        <v>3</v>
      </c>
      <c r="L342">
        <v>2</v>
      </c>
      <c r="M342">
        <v>0.68</v>
      </c>
      <c r="N342" s="19" t="s">
        <v>55</v>
      </c>
      <c r="O342" s="19" t="s">
        <v>288</v>
      </c>
      <c r="P342" s="19" t="s">
        <v>291</v>
      </c>
      <c r="Q342" s="19" t="s">
        <v>285</v>
      </c>
      <c r="R342" s="19" t="s">
        <v>248</v>
      </c>
      <c r="S342" s="19" t="s">
        <v>248</v>
      </c>
      <c r="T342" s="19" t="s">
        <v>286</v>
      </c>
    </row>
    <row r="343" spans="1:20" x14ac:dyDescent="0.2">
      <c r="A343" s="1">
        <v>46040</v>
      </c>
      <c r="B343" s="2">
        <v>0.58333333333333337</v>
      </c>
      <c r="C343" s="19" t="s">
        <v>39</v>
      </c>
      <c r="D343" s="19" t="s">
        <v>37</v>
      </c>
      <c r="E343" s="19" t="s">
        <v>37</v>
      </c>
      <c r="F343">
        <v>3</v>
      </c>
      <c r="G343">
        <v>4</v>
      </c>
      <c r="H343">
        <v>0.54430000000000001</v>
      </c>
      <c r="I343" s="19" t="s">
        <v>249</v>
      </c>
      <c r="J343" s="19" t="s">
        <v>37</v>
      </c>
      <c r="K343">
        <v>3</v>
      </c>
      <c r="L343">
        <v>2</v>
      </c>
      <c r="M343">
        <v>-0.27</v>
      </c>
      <c r="N343" s="19" t="s">
        <v>37</v>
      </c>
      <c r="O343" s="19" t="s">
        <v>287</v>
      </c>
      <c r="P343" s="19" t="s">
        <v>289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0.83333333333333337</v>
      </c>
      <c r="C344" s="19" t="s">
        <v>17</v>
      </c>
      <c r="D344" s="19" t="s">
        <v>35</v>
      </c>
      <c r="E344" s="19" t="s">
        <v>17</v>
      </c>
      <c r="F344">
        <v>4</v>
      </c>
      <c r="G344">
        <v>2</v>
      </c>
      <c r="H344">
        <v>0.72270000000000001</v>
      </c>
      <c r="I344" s="19" t="s">
        <v>249</v>
      </c>
      <c r="J344" s="19" t="s">
        <v>17</v>
      </c>
      <c r="K344">
        <v>3</v>
      </c>
      <c r="L344">
        <v>2</v>
      </c>
      <c r="M344">
        <v>1.05</v>
      </c>
      <c r="N344" s="19" t="s">
        <v>17</v>
      </c>
      <c r="O344" s="19" t="s">
        <v>283</v>
      </c>
      <c r="P344" s="19" t="s">
        <v>285</v>
      </c>
      <c r="Q344" s="19" t="s">
        <v>285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0.70833333333333337</v>
      </c>
      <c r="C345" s="19" t="s">
        <v>26</v>
      </c>
      <c r="D345" s="19" t="s">
        <v>36</v>
      </c>
      <c r="E345" s="19" t="s">
        <v>26</v>
      </c>
      <c r="F345">
        <v>5</v>
      </c>
      <c r="G345">
        <v>4</v>
      </c>
      <c r="H345">
        <v>0.72550000000000003</v>
      </c>
      <c r="I345" s="19" t="s">
        <v>249</v>
      </c>
      <c r="J345" s="19" t="s">
        <v>26</v>
      </c>
      <c r="K345">
        <v>3</v>
      </c>
      <c r="L345">
        <v>2</v>
      </c>
      <c r="M345">
        <v>0.21</v>
      </c>
      <c r="N345" s="19" t="s">
        <v>26</v>
      </c>
      <c r="O345" s="19" t="s">
        <v>289</v>
      </c>
      <c r="P345" s="19" t="s">
        <v>291</v>
      </c>
      <c r="Q345" s="19" t="s">
        <v>287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0.8125</v>
      </c>
      <c r="C346" s="19" t="s">
        <v>19</v>
      </c>
      <c r="D346" s="19" t="s">
        <v>34</v>
      </c>
      <c r="E346" s="19" t="s">
        <v>34</v>
      </c>
      <c r="F346">
        <v>2</v>
      </c>
      <c r="G346">
        <v>3</v>
      </c>
      <c r="H346">
        <v>0.63160000000000005</v>
      </c>
      <c r="I346" s="19" t="s">
        <v>249</v>
      </c>
      <c r="J346" s="19" t="s">
        <v>34</v>
      </c>
      <c r="K346">
        <v>3</v>
      </c>
      <c r="L346">
        <v>2</v>
      </c>
      <c r="M346">
        <v>-7.0000000000000007E-2</v>
      </c>
      <c r="N346" s="19" t="s">
        <v>34</v>
      </c>
      <c r="O346" s="19" t="s">
        <v>291</v>
      </c>
      <c r="P346" s="19" t="s">
        <v>288</v>
      </c>
      <c r="Q346" s="19" t="s">
        <v>285</v>
      </c>
      <c r="R346" s="19" t="s">
        <v>248</v>
      </c>
      <c r="S346" s="19" t="s">
        <v>248</v>
      </c>
      <c r="T346" s="19" t="s">
        <v>286</v>
      </c>
    </row>
    <row r="347" spans="1:20" x14ac:dyDescent="0.2">
      <c r="A347" s="1">
        <v>46041</v>
      </c>
      <c r="B347" s="2">
        <v>0.79166666666666663</v>
      </c>
      <c r="C347" s="19" t="s">
        <v>11</v>
      </c>
      <c r="D347" s="19" t="s">
        <v>33</v>
      </c>
      <c r="E347" s="19" t="s">
        <v>11</v>
      </c>
      <c r="F347">
        <v>4</v>
      </c>
      <c r="G347">
        <v>3</v>
      </c>
      <c r="H347">
        <v>0.60429999999999995</v>
      </c>
      <c r="I347" s="19" t="s">
        <v>249</v>
      </c>
      <c r="J347" s="19" t="s">
        <v>11</v>
      </c>
      <c r="K347">
        <v>3</v>
      </c>
      <c r="L347">
        <v>2</v>
      </c>
      <c r="M347">
        <v>0.32</v>
      </c>
      <c r="N347" s="19" t="s">
        <v>33</v>
      </c>
      <c r="O347" s="19" t="s">
        <v>287</v>
      </c>
      <c r="P347" s="19" t="s">
        <v>289</v>
      </c>
      <c r="Q347" s="19" t="s">
        <v>285</v>
      </c>
      <c r="R347" s="19" t="s">
        <v>249</v>
      </c>
      <c r="S347" s="19" t="s">
        <v>249</v>
      </c>
      <c r="T347" s="19" t="s">
        <v>286</v>
      </c>
    </row>
    <row r="348" spans="1:20" x14ac:dyDescent="0.2">
      <c r="A348" s="1">
        <v>46041</v>
      </c>
      <c r="B348" s="2">
        <v>0.70833333333333337</v>
      </c>
      <c r="C348" s="19" t="s">
        <v>32</v>
      </c>
      <c r="D348" s="19" t="s">
        <v>14</v>
      </c>
      <c r="E348" s="19" t="s">
        <v>32</v>
      </c>
      <c r="F348">
        <v>3</v>
      </c>
      <c r="G348">
        <v>2</v>
      </c>
      <c r="H348">
        <v>0.51019999999999999</v>
      </c>
      <c r="I348" s="19" t="s">
        <v>249</v>
      </c>
      <c r="J348" s="19" t="s">
        <v>14</v>
      </c>
      <c r="K348">
        <v>3</v>
      </c>
      <c r="L348">
        <v>2</v>
      </c>
      <c r="M348">
        <v>-0.26</v>
      </c>
      <c r="N348" s="19" t="s">
        <v>14</v>
      </c>
      <c r="O348" s="19" t="s">
        <v>291</v>
      </c>
      <c r="P348" s="19" t="s">
        <v>288</v>
      </c>
      <c r="Q348" s="19" t="s">
        <v>285</v>
      </c>
      <c r="R348" s="19" t="s">
        <v>249</v>
      </c>
      <c r="S348" s="19" t="s">
        <v>248</v>
      </c>
      <c r="T348" s="19" t="s">
        <v>286</v>
      </c>
    </row>
    <row r="349" spans="1:20" x14ac:dyDescent="0.2">
      <c r="A349" s="1">
        <v>46041</v>
      </c>
      <c r="B349" s="2">
        <v>0.66666666666666663</v>
      </c>
      <c r="C349" s="19" t="s">
        <v>12</v>
      </c>
      <c r="D349" s="19" t="s">
        <v>22</v>
      </c>
      <c r="E349" s="19" t="s">
        <v>12</v>
      </c>
      <c r="F349">
        <v>4</v>
      </c>
      <c r="G349">
        <v>1</v>
      </c>
      <c r="H349">
        <v>0.94540000000000002</v>
      </c>
      <c r="I349" s="19" t="s">
        <v>249</v>
      </c>
      <c r="J349" s="19" t="s">
        <v>12</v>
      </c>
      <c r="K349">
        <v>3</v>
      </c>
      <c r="L349">
        <v>2</v>
      </c>
      <c r="M349">
        <v>1.47</v>
      </c>
      <c r="N349" s="19" t="s">
        <v>12</v>
      </c>
      <c r="O349" s="19" t="s">
        <v>283</v>
      </c>
      <c r="P349" s="19" t="s">
        <v>284</v>
      </c>
      <c r="Q349" s="19" t="s">
        <v>285</v>
      </c>
      <c r="R349" s="19" t="s">
        <v>248</v>
      </c>
      <c r="S349" s="19" t="s">
        <v>248</v>
      </c>
      <c r="T349" s="19" t="s">
        <v>286</v>
      </c>
    </row>
    <row r="350" spans="1:20" x14ac:dyDescent="0.2">
      <c r="A350" s="1">
        <v>46041</v>
      </c>
      <c r="B350" s="2">
        <v>0.91666666666666663</v>
      </c>
      <c r="C350" s="19" t="s">
        <v>38</v>
      </c>
      <c r="D350" s="19" t="s">
        <v>30</v>
      </c>
      <c r="E350" s="19" t="s">
        <v>30</v>
      </c>
      <c r="F350">
        <v>1</v>
      </c>
      <c r="G350">
        <v>5</v>
      </c>
      <c r="H350">
        <v>0.88460000000000005</v>
      </c>
      <c r="I350" s="19" t="s">
        <v>249</v>
      </c>
      <c r="J350" s="19" t="s">
        <v>30</v>
      </c>
      <c r="K350">
        <v>3</v>
      </c>
      <c r="L350">
        <v>2</v>
      </c>
      <c r="M350">
        <v>-1.1200000000000001</v>
      </c>
      <c r="N350" s="19" t="s">
        <v>30</v>
      </c>
      <c r="O350" s="19" t="s">
        <v>291</v>
      </c>
      <c r="P350" s="19" t="s">
        <v>289</v>
      </c>
      <c r="Q350" s="19" t="s">
        <v>285</v>
      </c>
      <c r="R350" s="19" t="s">
        <v>248</v>
      </c>
      <c r="S350" s="19" t="s">
        <v>248</v>
      </c>
      <c r="T350" s="19" t="s">
        <v>286</v>
      </c>
    </row>
    <row r="351" spans="1:20" x14ac:dyDescent="0.2">
      <c r="A351" s="1">
        <v>46041</v>
      </c>
      <c r="B351" s="2">
        <v>0.875</v>
      </c>
      <c r="C351" s="19" t="s">
        <v>16</v>
      </c>
      <c r="D351" s="19" t="s">
        <v>24</v>
      </c>
      <c r="E351" s="19" t="s">
        <v>16</v>
      </c>
      <c r="F351">
        <v>4</v>
      </c>
      <c r="G351">
        <v>3</v>
      </c>
      <c r="H351">
        <v>0.59799999999999998</v>
      </c>
      <c r="I351" s="19" t="s">
        <v>249</v>
      </c>
      <c r="J351" s="19" t="s">
        <v>16</v>
      </c>
      <c r="K351">
        <v>3</v>
      </c>
      <c r="L351">
        <v>2</v>
      </c>
      <c r="M351">
        <v>0.02</v>
      </c>
      <c r="N351" s="19" t="s">
        <v>24</v>
      </c>
      <c r="O351" s="19" t="s">
        <v>287</v>
      </c>
      <c r="P351" s="19" t="s">
        <v>284</v>
      </c>
      <c r="Q351" s="19" t="s">
        <v>287</v>
      </c>
      <c r="R351" s="19" t="s">
        <v>249</v>
      </c>
      <c r="S351" s="19" t="s">
        <v>249</v>
      </c>
      <c r="T351" s="19" t="s">
        <v>286</v>
      </c>
    </row>
    <row r="352" spans="1:20" x14ac:dyDescent="0.2">
      <c r="A352" s="1">
        <v>46041</v>
      </c>
      <c r="B352" s="2">
        <v>0.83333333333333337</v>
      </c>
      <c r="C352" s="19" t="s">
        <v>20</v>
      </c>
      <c r="D352" s="19" t="s">
        <v>27</v>
      </c>
      <c r="E352" s="19" t="s">
        <v>27</v>
      </c>
      <c r="F352">
        <v>4</v>
      </c>
      <c r="G352">
        <v>5</v>
      </c>
      <c r="H352">
        <v>0.55069999999999997</v>
      </c>
      <c r="I352" s="19" t="s">
        <v>249</v>
      </c>
      <c r="J352" s="19" t="s">
        <v>20</v>
      </c>
      <c r="K352">
        <v>3</v>
      </c>
      <c r="L352">
        <v>2</v>
      </c>
      <c r="M352">
        <v>0.57999999999999996</v>
      </c>
      <c r="N352" s="19" t="s">
        <v>27</v>
      </c>
      <c r="O352" s="19" t="s">
        <v>287</v>
      </c>
      <c r="P352" s="19" t="s">
        <v>284</v>
      </c>
      <c r="Q352" s="19" t="s">
        <v>285</v>
      </c>
      <c r="R352" s="19" t="s">
        <v>248</v>
      </c>
      <c r="S352" s="19" t="s">
        <v>249</v>
      </c>
      <c r="T352" s="19" t="s">
        <v>286</v>
      </c>
    </row>
    <row r="353" spans="1:20" x14ac:dyDescent="0.2">
      <c r="A353" s="1">
        <v>46041</v>
      </c>
      <c r="B353" s="2">
        <v>0.85416666666666663</v>
      </c>
      <c r="C353" s="19" t="s">
        <v>10</v>
      </c>
      <c r="D353" s="19" t="s">
        <v>40</v>
      </c>
      <c r="E353" s="19" t="s">
        <v>10</v>
      </c>
      <c r="F353">
        <v>4</v>
      </c>
      <c r="G353">
        <v>3</v>
      </c>
      <c r="H353">
        <v>0.52829999999999999</v>
      </c>
      <c r="I353" s="19" t="s">
        <v>249</v>
      </c>
      <c r="J353" s="19" t="s">
        <v>40</v>
      </c>
      <c r="K353">
        <v>3</v>
      </c>
      <c r="L353">
        <v>2</v>
      </c>
      <c r="M353">
        <v>-0.32</v>
      </c>
      <c r="N353" s="19" t="s">
        <v>10</v>
      </c>
      <c r="O353" s="19" t="s">
        <v>284</v>
      </c>
      <c r="P353" s="19" t="s">
        <v>285</v>
      </c>
      <c r="Q353" s="19" t="s">
        <v>285</v>
      </c>
      <c r="R353" s="19" t="s">
        <v>248</v>
      </c>
      <c r="S353" s="19" t="s">
        <v>249</v>
      </c>
      <c r="T353" s="19" t="s">
        <v>286</v>
      </c>
    </row>
    <row r="354" spans="1:20" x14ac:dyDescent="0.2">
      <c r="A354" s="1">
        <v>46041</v>
      </c>
      <c r="B354" s="2">
        <v>0.5625</v>
      </c>
      <c r="C354" s="19" t="s">
        <v>25</v>
      </c>
      <c r="D354" s="19" t="s">
        <v>23</v>
      </c>
      <c r="E354" s="19" t="s">
        <v>25</v>
      </c>
      <c r="F354">
        <v>4</v>
      </c>
      <c r="G354">
        <v>3</v>
      </c>
      <c r="H354">
        <v>0.71020000000000005</v>
      </c>
      <c r="I354" s="19" t="s">
        <v>249</v>
      </c>
      <c r="J354" s="19" t="s">
        <v>25</v>
      </c>
      <c r="K354">
        <v>3</v>
      </c>
      <c r="L354">
        <v>2</v>
      </c>
      <c r="M354">
        <v>0.51</v>
      </c>
      <c r="N354" s="19" t="s">
        <v>25</v>
      </c>
      <c r="O354" s="19" t="s">
        <v>284</v>
      </c>
      <c r="P354" s="19" t="s">
        <v>287</v>
      </c>
      <c r="Q354" s="19" t="s">
        <v>285</v>
      </c>
      <c r="R354" s="19" t="s">
        <v>248</v>
      </c>
      <c r="S354" s="19" t="s">
        <v>248</v>
      </c>
      <c r="T354" s="19" t="s">
        <v>286</v>
      </c>
    </row>
    <row r="355" spans="1:20" x14ac:dyDescent="0.2">
      <c r="A355" s="1">
        <v>46041</v>
      </c>
      <c r="B355" s="2">
        <v>0.91666666666666663</v>
      </c>
      <c r="C355" s="19" t="s">
        <v>31</v>
      </c>
      <c r="D355" s="19" t="s">
        <v>15</v>
      </c>
      <c r="E355" s="19" t="s">
        <v>31</v>
      </c>
      <c r="F355">
        <v>4</v>
      </c>
      <c r="G355">
        <v>3</v>
      </c>
      <c r="H355">
        <v>0.68420000000000003</v>
      </c>
      <c r="I355" s="19" t="s">
        <v>249</v>
      </c>
      <c r="J355" s="19" t="s">
        <v>31</v>
      </c>
      <c r="K355">
        <v>3</v>
      </c>
      <c r="L355">
        <v>2</v>
      </c>
      <c r="M355">
        <v>0.16</v>
      </c>
      <c r="N355" s="19" t="s">
        <v>31</v>
      </c>
      <c r="O355" s="19" t="s">
        <v>283</v>
      </c>
      <c r="P355" s="19" t="s">
        <v>291</v>
      </c>
      <c r="Q355" s="19" t="s">
        <v>285</v>
      </c>
      <c r="R355" s="19" t="s">
        <v>248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0.91666666666666663</v>
      </c>
      <c r="C356" s="19" t="s">
        <v>13</v>
      </c>
      <c r="D356" s="19" t="s">
        <v>15</v>
      </c>
      <c r="E356" s="19" t="s">
        <v>15</v>
      </c>
      <c r="F356">
        <v>2</v>
      </c>
      <c r="G356">
        <v>4</v>
      </c>
      <c r="H356">
        <v>0.70779999999999998</v>
      </c>
      <c r="I356" s="19" t="s">
        <v>249</v>
      </c>
      <c r="J356" s="19" t="s">
        <v>13</v>
      </c>
      <c r="K356">
        <v>3</v>
      </c>
      <c r="L356">
        <v>2</v>
      </c>
      <c r="M356">
        <v>0.25</v>
      </c>
      <c r="N356" s="19" t="s">
        <v>13</v>
      </c>
      <c r="O356" s="19" t="s">
        <v>289</v>
      </c>
      <c r="P356" s="19" t="s">
        <v>291</v>
      </c>
      <c r="Q356" s="19" t="s">
        <v>285</v>
      </c>
      <c r="R356" s="19" t="s">
        <v>249</v>
      </c>
      <c r="S356" s="19" t="s">
        <v>248</v>
      </c>
      <c r="T356" s="19" t="s">
        <v>286</v>
      </c>
    </row>
    <row r="357" spans="1:20" x14ac:dyDescent="0.2">
      <c r="A357" s="1">
        <v>46042</v>
      </c>
      <c r="B357" s="2">
        <v>0.8125</v>
      </c>
      <c r="C357" s="19" t="s">
        <v>39</v>
      </c>
      <c r="D357" s="19" t="s">
        <v>21</v>
      </c>
      <c r="E357" s="19" t="s">
        <v>39</v>
      </c>
      <c r="F357">
        <v>4</v>
      </c>
      <c r="G357">
        <v>3</v>
      </c>
      <c r="H357">
        <v>0.61499999999999999</v>
      </c>
      <c r="I357" s="19" t="s">
        <v>249</v>
      </c>
      <c r="J357" s="19" t="s">
        <v>39</v>
      </c>
      <c r="K357">
        <v>3</v>
      </c>
      <c r="L357">
        <v>2</v>
      </c>
      <c r="M357">
        <v>0.31</v>
      </c>
      <c r="N357" s="19" t="s">
        <v>39</v>
      </c>
      <c r="O357" s="19" t="s">
        <v>288</v>
      </c>
      <c r="P357" s="19" t="s">
        <v>284</v>
      </c>
      <c r="Q357" s="19" t="s">
        <v>285</v>
      </c>
      <c r="R357" s="19" t="s">
        <v>248</v>
      </c>
      <c r="S357" s="19" t="s">
        <v>248</v>
      </c>
      <c r="T357" s="19" t="s">
        <v>286</v>
      </c>
    </row>
    <row r="358" spans="1:20" x14ac:dyDescent="0.2">
      <c r="A358" s="1">
        <v>46042</v>
      </c>
      <c r="B358" s="2">
        <v>0.83333333333333337</v>
      </c>
      <c r="C358" s="19" t="s">
        <v>40</v>
      </c>
      <c r="D358" s="19" t="s">
        <v>35</v>
      </c>
      <c r="E358" s="19" t="s">
        <v>40</v>
      </c>
      <c r="F358">
        <v>3</v>
      </c>
      <c r="G358">
        <v>2</v>
      </c>
      <c r="H358">
        <v>0.71179999999999999</v>
      </c>
      <c r="I358" s="19" t="s">
        <v>249</v>
      </c>
      <c r="J358" s="19" t="s">
        <v>40</v>
      </c>
      <c r="K358">
        <v>3</v>
      </c>
      <c r="L358">
        <v>2</v>
      </c>
      <c r="M358">
        <v>0.99</v>
      </c>
      <c r="N358" s="19" t="s">
        <v>40</v>
      </c>
      <c r="O358" s="19" t="s">
        <v>291</v>
      </c>
      <c r="P358" s="19" t="s">
        <v>287</v>
      </c>
      <c r="Q358" s="19" t="s">
        <v>285</v>
      </c>
      <c r="R358" s="19" t="s">
        <v>248</v>
      </c>
      <c r="S358" s="19" t="s">
        <v>248</v>
      </c>
      <c r="T358" s="19" t="s">
        <v>286</v>
      </c>
    </row>
    <row r="359" spans="1:20" x14ac:dyDescent="0.2">
      <c r="A359" s="1">
        <v>46042</v>
      </c>
      <c r="B359" s="2">
        <v>0.79166666666666663</v>
      </c>
      <c r="C359" s="19" t="s">
        <v>28</v>
      </c>
      <c r="D359" s="19" t="s">
        <v>36</v>
      </c>
      <c r="E359" s="19" t="s">
        <v>36</v>
      </c>
      <c r="F359">
        <v>3</v>
      </c>
      <c r="G359">
        <v>4</v>
      </c>
      <c r="H359">
        <v>0.61529999999999996</v>
      </c>
      <c r="I359" s="19" t="s">
        <v>249</v>
      </c>
      <c r="J359" s="19" t="s">
        <v>28</v>
      </c>
      <c r="K359">
        <v>3</v>
      </c>
      <c r="L359">
        <v>2</v>
      </c>
      <c r="M359">
        <v>0.03</v>
      </c>
      <c r="N359" s="19" t="s">
        <v>36</v>
      </c>
      <c r="O359" s="19" t="s">
        <v>287</v>
      </c>
      <c r="P359" s="19" t="s">
        <v>289</v>
      </c>
      <c r="Q359" s="19" t="s">
        <v>285</v>
      </c>
      <c r="R359" s="19" t="s">
        <v>248</v>
      </c>
      <c r="S359" s="19" t="s">
        <v>249</v>
      </c>
      <c r="T359" s="19" t="s">
        <v>286</v>
      </c>
    </row>
    <row r="360" spans="1:20" x14ac:dyDescent="0.2">
      <c r="A360" s="1">
        <v>46042</v>
      </c>
      <c r="B360" s="2">
        <v>0.79166666666666663</v>
      </c>
      <c r="C360" s="19" t="s">
        <v>37</v>
      </c>
      <c r="D360" s="19" t="s">
        <v>33</v>
      </c>
      <c r="E360" s="19" t="s">
        <v>37</v>
      </c>
      <c r="F360">
        <v>3</v>
      </c>
      <c r="G360">
        <v>2</v>
      </c>
      <c r="H360">
        <v>0.5917</v>
      </c>
      <c r="I360" s="19" t="s">
        <v>249</v>
      </c>
      <c r="J360" s="19" t="s">
        <v>37</v>
      </c>
      <c r="K360">
        <v>3</v>
      </c>
      <c r="L360">
        <v>2</v>
      </c>
      <c r="M360">
        <v>1.38</v>
      </c>
      <c r="N360" s="19" t="s">
        <v>37</v>
      </c>
      <c r="O360" s="19" t="s">
        <v>289</v>
      </c>
      <c r="P360" s="19" t="s">
        <v>287</v>
      </c>
      <c r="Q360" s="19" t="s">
        <v>285</v>
      </c>
      <c r="R360" s="19" t="s">
        <v>248</v>
      </c>
      <c r="S360" s="19" t="s">
        <v>248</v>
      </c>
      <c r="T360" s="19" t="s">
        <v>286</v>
      </c>
    </row>
    <row r="361" spans="1:20" x14ac:dyDescent="0.2">
      <c r="A361" s="1">
        <v>46042</v>
      </c>
      <c r="B361" s="2">
        <v>0.83333333333333337</v>
      </c>
      <c r="C361" s="19" t="s">
        <v>29</v>
      </c>
      <c r="D361" s="19" t="s">
        <v>23</v>
      </c>
      <c r="E361" s="19" t="s">
        <v>29</v>
      </c>
      <c r="F361">
        <v>4</v>
      </c>
      <c r="G361">
        <v>2</v>
      </c>
      <c r="H361">
        <v>0.63970000000000005</v>
      </c>
      <c r="I361" s="19" t="s">
        <v>249</v>
      </c>
      <c r="J361" s="19" t="s">
        <v>23</v>
      </c>
      <c r="K361">
        <v>3</v>
      </c>
      <c r="L361">
        <v>2</v>
      </c>
      <c r="M361">
        <v>-0.46</v>
      </c>
      <c r="N361" s="19" t="s">
        <v>23</v>
      </c>
      <c r="O361" s="19" t="s">
        <v>291</v>
      </c>
      <c r="P361" s="19" t="s">
        <v>283</v>
      </c>
      <c r="Q361" s="19" t="s">
        <v>285</v>
      </c>
      <c r="R361" s="19" t="s">
        <v>249</v>
      </c>
      <c r="S361" s="19" t="s">
        <v>248</v>
      </c>
      <c r="T361" s="19" t="s">
        <v>286</v>
      </c>
    </row>
    <row r="362" spans="1:20" x14ac:dyDescent="0.2">
      <c r="A362" s="1">
        <v>46042</v>
      </c>
      <c r="B362" s="2">
        <v>0.79166666666666663</v>
      </c>
      <c r="C362" s="19" t="s">
        <v>18</v>
      </c>
      <c r="D362" s="19" t="s">
        <v>34</v>
      </c>
      <c r="E362" s="19" t="s">
        <v>34</v>
      </c>
      <c r="F362">
        <v>3</v>
      </c>
      <c r="G362">
        <v>4</v>
      </c>
      <c r="H362">
        <v>0.61460000000000004</v>
      </c>
      <c r="I362" s="19" t="s">
        <v>249</v>
      </c>
      <c r="J362" s="19" t="s">
        <v>34</v>
      </c>
      <c r="K362">
        <v>3</v>
      </c>
      <c r="L362">
        <v>2</v>
      </c>
      <c r="M362">
        <v>-0.15</v>
      </c>
      <c r="N362" s="19" t="s">
        <v>18</v>
      </c>
      <c r="O362" s="19" t="s">
        <v>289</v>
      </c>
      <c r="P362" s="19" t="s">
        <v>291</v>
      </c>
      <c r="Q362" s="19" t="s">
        <v>285</v>
      </c>
      <c r="R362" s="19" t="s">
        <v>249</v>
      </c>
      <c r="S362" s="19" t="s">
        <v>249</v>
      </c>
      <c r="T362" s="19" t="s">
        <v>286</v>
      </c>
    </row>
    <row r="363" spans="1:20" x14ac:dyDescent="0.2">
      <c r="A363" s="1">
        <v>46042</v>
      </c>
      <c r="B363" s="2">
        <v>0.91666666666666663</v>
      </c>
      <c r="C363" s="19" t="s">
        <v>17</v>
      </c>
      <c r="D363" s="19" t="s">
        <v>24</v>
      </c>
      <c r="E363" s="19" t="s">
        <v>24</v>
      </c>
      <c r="F363">
        <v>4</v>
      </c>
      <c r="G363">
        <v>5</v>
      </c>
      <c r="H363">
        <v>0.50339999999999996</v>
      </c>
      <c r="I363" s="19" t="s">
        <v>249</v>
      </c>
      <c r="J363" s="19" t="s">
        <v>17</v>
      </c>
      <c r="K363">
        <v>3</v>
      </c>
      <c r="L363">
        <v>2</v>
      </c>
      <c r="M363">
        <v>0.57999999999999996</v>
      </c>
      <c r="N363" s="19" t="s">
        <v>24</v>
      </c>
      <c r="O363" s="19" t="s">
        <v>287</v>
      </c>
      <c r="P363" s="19" t="s">
        <v>284</v>
      </c>
      <c r="Q363" s="19" t="s">
        <v>285</v>
      </c>
      <c r="R363" s="19" t="s">
        <v>248</v>
      </c>
      <c r="S363" s="19" t="s">
        <v>249</v>
      </c>
      <c r="T363" s="19" t="s">
        <v>286</v>
      </c>
    </row>
    <row r="364" spans="1:20" x14ac:dyDescent="0.2">
      <c r="A364" s="1">
        <v>46043</v>
      </c>
      <c r="B364" s="2">
        <v>0.875</v>
      </c>
      <c r="C364" s="19" t="s">
        <v>55</v>
      </c>
      <c r="D364" s="19" t="s">
        <v>27</v>
      </c>
      <c r="E364" s="19" t="s">
        <v>55</v>
      </c>
      <c r="F364">
        <v>4</v>
      </c>
      <c r="G364">
        <v>3</v>
      </c>
      <c r="H364">
        <v>0.68020000000000003</v>
      </c>
      <c r="I364" s="19" t="s">
        <v>249</v>
      </c>
      <c r="J364" s="19" t="s">
        <v>55</v>
      </c>
      <c r="K364">
        <v>3</v>
      </c>
      <c r="L364">
        <v>2</v>
      </c>
      <c r="M364">
        <v>0.63</v>
      </c>
      <c r="N364" s="19" t="s">
        <v>55</v>
      </c>
      <c r="O364" s="19" t="s">
        <v>283</v>
      </c>
      <c r="P364" s="19" t="s">
        <v>289</v>
      </c>
      <c r="Q364" s="19" t="s">
        <v>287</v>
      </c>
      <c r="R364" s="19" t="s">
        <v>248</v>
      </c>
      <c r="S364" s="19" t="s">
        <v>248</v>
      </c>
      <c r="T364" s="19" t="s">
        <v>286</v>
      </c>
    </row>
    <row r="365" spans="1:20" x14ac:dyDescent="0.2">
      <c r="A365" s="1">
        <v>46043</v>
      </c>
      <c r="B365" s="2">
        <v>0.875</v>
      </c>
      <c r="C365" s="19" t="s">
        <v>12</v>
      </c>
      <c r="D365" s="19" t="s">
        <v>31</v>
      </c>
      <c r="E365" s="19" t="s">
        <v>12</v>
      </c>
      <c r="F365">
        <v>5</v>
      </c>
      <c r="G365">
        <v>1</v>
      </c>
      <c r="H365">
        <v>0.96020000000000005</v>
      </c>
      <c r="I365" s="19" t="s">
        <v>249</v>
      </c>
      <c r="J365" s="19" t="s">
        <v>12</v>
      </c>
      <c r="K365">
        <v>3</v>
      </c>
      <c r="L365">
        <v>2</v>
      </c>
      <c r="M365">
        <v>1.96</v>
      </c>
      <c r="N365" s="19" t="s">
        <v>31</v>
      </c>
      <c r="O365" s="19" t="s">
        <v>287</v>
      </c>
      <c r="P365" s="19" t="s">
        <v>284</v>
      </c>
      <c r="Q365" s="19" t="s">
        <v>287</v>
      </c>
      <c r="R365" s="19" t="s">
        <v>249</v>
      </c>
      <c r="S365" s="19" t="s">
        <v>249</v>
      </c>
      <c r="T365" s="19" t="s">
        <v>286</v>
      </c>
    </row>
    <row r="366" spans="1:20" x14ac:dyDescent="0.2">
      <c r="A366" s="1">
        <v>46043</v>
      </c>
      <c r="B366" s="2">
        <v>0.89583333333333337</v>
      </c>
      <c r="C366" s="19" t="s">
        <v>16</v>
      </c>
      <c r="D366" s="19" t="s">
        <v>14</v>
      </c>
      <c r="E366" s="19" t="s">
        <v>16</v>
      </c>
      <c r="F366">
        <v>4</v>
      </c>
      <c r="G366">
        <v>3</v>
      </c>
      <c r="H366">
        <v>0.61180000000000001</v>
      </c>
      <c r="I366" s="19" t="s">
        <v>249</v>
      </c>
      <c r="J366" s="19" t="s">
        <v>14</v>
      </c>
      <c r="K366">
        <v>3</v>
      </c>
      <c r="L366">
        <v>2</v>
      </c>
      <c r="M366">
        <v>-0.43</v>
      </c>
      <c r="N366" s="19" t="s">
        <v>14</v>
      </c>
      <c r="O366" s="19" t="s">
        <v>287</v>
      </c>
      <c r="P366" s="19" t="s">
        <v>289</v>
      </c>
      <c r="Q366" s="19" t="s">
        <v>285</v>
      </c>
      <c r="R366" s="19" t="s">
        <v>249</v>
      </c>
      <c r="S366" s="19" t="s">
        <v>248</v>
      </c>
      <c r="T366" s="19" t="s">
        <v>286</v>
      </c>
    </row>
    <row r="367" spans="1:20" x14ac:dyDescent="0.2">
      <c r="A367" s="1">
        <v>46043</v>
      </c>
      <c r="B367" s="2">
        <v>0.91666666666666663</v>
      </c>
      <c r="C367" s="19" t="s">
        <v>38</v>
      </c>
      <c r="D367" s="19" t="s">
        <v>22</v>
      </c>
      <c r="E367" s="19" t="s">
        <v>22</v>
      </c>
      <c r="F367">
        <v>2</v>
      </c>
      <c r="G367">
        <v>4</v>
      </c>
      <c r="H367">
        <v>0.84079999999999999</v>
      </c>
      <c r="I367" s="19" t="s">
        <v>249</v>
      </c>
      <c r="J367" s="19" t="s">
        <v>22</v>
      </c>
      <c r="K367">
        <v>3</v>
      </c>
      <c r="L367">
        <v>2</v>
      </c>
      <c r="M367">
        <v>-1.1100000000000001</v>
      </c>
      <c r="N367" s="19" t="s">
        <v>38</v>
      </c>
      <c r="O367" s="19" t="s">
        <v>289</v>
      </c>
      <c r="P367" s="19" t="s">
        <v>291</v>
      </c>
      <c r="Q367" s="19" t="s">
        <v>285</v>
      </c>
      <c r="R367" s="19" t="s">
        <v>249</v>
      </c>
      <c r="S367" s="19" t="s">
        <v>249</v>
      </c>
      <c r="T367" s="19" t="s">
        <v>286</v>
      </c>
    </row>
    <row r="368" spans="1:20" x14ac:dyDescent="0.2">
      <c r="A368" s="1">
        <v>46043</v>
      </c>
      <c r="B368" s="2">
        <v>0.79166666666666663</v>
      </c>
      <c r="C368" s="19" t="s">
        <v>19</v>
      </c>
      <c r="D368" s="19" t="s">
        <v>26</v>
      </c>
      <c r="E368" s="19" t="s">
        <v>26</v>
      </c>
      <c r="F368">
        <v>4</v>
      </c>
      <c r="G368">
        <v>5</v>
      </c>
      <c r="H368">
        <v>0.59689999999999999</v>
      </c>
      <c r="I368" s="19" t="s">
        <v>249</v>
      </c>
      <c r="J368" s="19" t="s">
        <v>19</v>
      </c>
      <c r="K368">
        <v>3</v>
      </c>
      <c r="L368">
        <v>2</v>
      </c>
      <c r="M368">
        <v>0.12</v>
      </c>
      <c r="N368" s="19" t="s">
        <v>26</v>
      </c>
      <c r="O368" s="19" t="s">
        <v>287</v>
      </c>
      <c r="P368" s="19" t="s">
        <v>284</v>
      </c>
      <c r="Q368" s="19" t="s">
        <v>287</v>
      </c>
      <c r="R368" s="19" t="s">
        <v>248</v>
      </c>
      <c r="S368" s="19" t="s">
        <v>249</v>
      </c>
      <c r="T368" s="19" t="s">
        <v>286</v>
      </c>
    </row>
    <row r="369" spans="1:20" x14ac:dyDescent="0.2">
      <c r="A369" s="1">
        <v>46043</v>
      </c>
      <c r="B369" s="2">
        <v>0.89583333333333337</v>
      </c>
      <c r="C369" s="19" t="s">
        <v>32</v>
      </c>
      <c r="D369" s="19" t="s">
        <v>30</v>
      </c>
      <c r="E369" s="19" t="s">
        <v>30</v>
      </c>
      <c r="F369">
        <v>3</v>
      </c>
      <c r="G369">
        <v>4</v>
      </c>
      <c r="H369">
        <v>0.69310000000000005</v>
      </c>
      <c r="I369" s="19" t="s">
        <v>249</v>
      </c>
      <c r="J369" s="19" t="s">
        <v>30</v>
      </c>
      <c r="K369">
        <v>3</v>
      </c>
      <c r="L369">
        <v>2</v>
      </c>
      <c r="M369">
        <v>-0.43</v>
      </c>
      <c r="N369" s="19" t="s">
        <v>32</v>
      </c>
      <c r="O369" s="19" t="s">
        <v>289</v>
      </c>
      <c r="P369" s="19" t="s">
        <v>287</v>
      </c>
      <c r="Q369" s="19" t="s">
        <v>285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0.79166666666666663</v>
      </c>
      <c r="C370" s="19" t="s">
        <v>28</v>
      </c>
      <c r="D370" s="19" t="s">
        <v>39</v>
      </c>
      <c r="E370" s="19" t="s">
        <v>39</v>
      </c>
      <c r="F370">
        <v>3</v>
      </c>
      <c r="G370">
        <v>4</v>
      </c>
      <c r="H370">
        <v>0.72750000000000004</v>
      </c>
      <c r="I370" s="19" t="s">
        <v>249</v>
      </c>
      <c r="J370" s="19" t="s">
        <v>39</v>
      </c>
      <c r="K370">
        <v>3</v>
      </c>
      <c r="L370">
        <v>2</v>
      </c>
      <c r="M370">
        <v>-0.66</v>
      </c>
      <c r="N370" s="19" t="s">
        <v>28</v>
      </c>
      <c r="O370" s="19" t="s">
        <v>287</v>
      </c>
      <c r="P370" s="19" t="s">
        <v>285</v>
      </c>
      <c r="Q370" s="19" t="s">
        <v>285</v>
      </c>
      <c r="R370" s="19" t="s">
        <v>249</v>
      </c>
      <c r="S370" s="19" t="s">
        <v>249</v>
      </c>
      <c r="T370" s="19" t="s">
        <v>286</v>
      </c>
    </row>
    <row r="371" spans="1:20" x14ac:dyDescent="0.2">
      <c r="A371" s="1">
        <v>46044</v>
      </c>
      <c r="B371" s="2">
        <v>0.79166666666666663</v>
      </c>
      <c r="C371" s="19" t="s">
        <v>21</v>
      </c>
      <c r="D371" s="19" t="s">
        <v>20</v>
      </c>
      <c r="E371" s="19" t="s">
        <v>21</v>
      </c>
      <c r="F371">
        <v>4</v>
      </c>
      <c r="G371">
        <v>2</v>
      </c>
      <c r="H371">
        <v>0.64539999999999997</v>
      </c>
      <c r="I371" s="19" t="s">
        <v>249</v>
      </c>
      <c r="J371" s="19" t="s">
        <v>21</v>
      </c>
      <c r="K371">
        <v>3</v>
      </c>
      <c r="L371">
        <v>2</v>
      </c>
      <c r="M371">
        <v>0.1</v>
      </c>
      <c r="N371" s="19" t="s">
        <v>21</v>
      </c>
      <c r="O371" s="19" t="s">
        <v>289</v>
      </c>
      <c r="P371" s="19" t="s">
        <v>291</v>
      </c>
      <c r="Q371" s="19" t="s">
        <v>285</v>
      </c>
      <c r="R371" s="19" t="s">
        <v>248</v>
      </c>
      <c r="S371" s="19" t="s">
        <v>248</v>
      </c>
      <c r="T371" s="19" t="s">
        <v>286</v>
      </c>
    </row>
    <row r="372" spans="1:20" x14ac:dyDescent="0.2">
      <c r="A372" s="1">
        <v>46044</v>
      </c>
      <c r="B372" s="2">
        <v>0.83333333333333337</v>
      </c>
      <c r="C372" s="19" t="s">
        <v>29</v>
      </c>
      <c r="D372" s="19" t="s">
        <v>36</v>
      </c>
      <c r="E372" s="19" t="s">
        <v>36</v>
      </c>
      <c r="F372">
        <v>3</v>
      </c>
      <c r="G372">
        <v>4</v>
      </c>
      <c r="H372">
        <v>0.51690000000000003</v>
      </c>
      <c r="I372" s="19" t="s">
        <v>249</v>
      </c>
      <c r="J372" s="19" t="s">
        <v>36</v>
      </c>
      <c r="K372">
        <v>3</v>
      </c>
      <c r="L372">
        <v>2</v>
      </c>
      <c r="M372">
        <v>-0.28999999999999998</v>
      </c>
      <c r="N372" s="19" t="s">
        <v>29</v>
      </c>
      <c r="O372" s="19" t="s">
        <v>283</v>
      </c>
      <c r="P372" s="19" t="s">
        <v>291</v>
      </c>
      <c r="Q372" s="19" t="s">
        <v>285</v>
      </c>
      <c r="R372" s="19" t="s">
        <v>249</v>
      </c>
      <c r="S372" s="19" t="s">
        <v>249</v>
      </c>
      <c r="T372" s="19" t="s">
        <v>286</v>
      </c>
    </row>
    <row r="373" spans="1:20" x14ac:dyDescent="0.2">
      <c r="A373" s="1">
        <v>46044</v>
      </c>
      <c r="B373" s="2">
        <v>0.79166666666666663</v>
      </c>
      <c r="C373" s="19" t="s">
        <v>25</v>
      </c>
      <c r="D373" s="19" t="s">
        <v>10</v>
      </c>
      <c r="E373" s="19" t="s">
        <v>25</v>
      </c>
      <c r="F373">
        <v>4</v>
      </c>
      <c r="G373">
        <v>3</v>
      </c>
      <c r="H373">
        <v>0.749</v>
      </c>
      <c r="I373" s="19" t="s">
        <v>249</v>
      </c>
      <c r="J373" s="19" t="s">
        <v>25</v>
      </c>
      <c r="K373">
        <v>3</v>
      </c>
      <c r="L373">
        <v>2</v>
      </c>
      <c r="M373">
        <v>1.1499999999999999</v>
      </c>
      <c r="N373" s="19" t="s">
        <v>10</v>
      </c>
      <c r="O373" s="19" t="s">
        <v>291</v>
      </c>
      <c r="P373" s="19" t="s">
        <v>289</v>
      </c>
      <c r="Q373" s="19" t="s">
        <v>287</v>
      </c>
      <c r="R373" s="19" t="s">
        <v>249</v>
      </c>
      <c r="S373" s="19" t="s">
        <v>249</v>
      </c>
      <c r="T373" s="19" t="s">
        <v>286</v>
      </c>
    </row>
    <row r="374" spans="1:20" x14ac:dyDescent="0.2">
      <c r="A374" s="1">
        <v>46044</v>
      </c>
      <c r="B374" s="2">
        <v>0.875</v>
      </c>
      <c r="C374" s="19" t="s">
        <v>17</v>
      </c>
      <c r="D374" s="19" t="s">
        <v>14</v>
      </c>
      <c r="E374" s="19" t="s">
        <v>17</v>
      </c>
      <c r="F374">
        <v>4</v>
      </c>
      <c r="G374">
        <v>3</v>
      </c>
      <c r="H374">
        <v>0.68830000000000002</v>
      </c>
      <c r="I374" s="19" t="s">
        <v>249</v>
      </c>
      <c r="J374" s="19" t="s">
        <v>17</v>
      </c>
      <c r="K374">
        <v>3</v>
      </c>
      <c r="L374">
        <v>2</v>
      </c>
      <c r="M374">
        <v>0.1</v>
      </c>
      <c r="N374" s="19" t="s">
        <v>14</v>
      </c>
      <c r="O374" s="19" t="s">
        <v>284</v>
      </c>
      <c r="P374" s="19" t="s">
        <v>288</v>
      </c>
      <c r="Q374" s="19" t="s">
        <v>285</v>
      </c>
      <c r="R374" s="19" t="s">
        <v>249</v>
      </c>
      <c r="S374" s="19" t="s">
        <v>249</v>
      </c>
      <c r="T374" s="19" t="s">
        <v>286</v>
      </c>
    </row>
    <row r="375" spans="1:20" x14ac:dyDescent="0.2">
      <c r="A375" s="1">
        <v>46044</v>
      </c>
      <c r="B375" s="2">
        <v>0.89583333333333337</v>
      </c>
      <c r="C375" s="19" t="s">
        <v>34</v>
      </c>
      <c r="D375" s="19" t="s">
        <v>26</v>
      </c>
      <c r="E375" s="19" t="s">
        <v>34</v>
      </c>
      <c r="F375">
        <v>4</v>
      </c>
      <c r="G375">
        <v>3</v>
      </c>
      <c r="H375">
        <v>0.54690000000000005</v>
      </c>
      <c r="I375" s="19" t="s">
        <v>248</v>
      </c>
      <c r="J375" s="19" t="s">
        <v>34</v>
      </c>
      <c r="K375">
        <v>3</v>
      </c>
      <c r="L375">
        <v>2</v>
      </c>
      <c r="M375">
        <v>0.39</v>
      </c>
      <c r="N375" s="19" t="s">
        <v>34</v>
      </c>
      <c r="O375" s="19" t="s">
        <v>289</v>
      </c>
      <c r="P375" s="19" t="s">
        <v>291</v>
      </c>
      <c r="Q375" s="19" t="s">
        <v>287</v>
      </c>
      <c r="R375" s="19" t="s">
        <v>248</v>
      </c>
      <c r="S375" s="19" t="s">
        <v>248</v>
      </c>
      <c r="T375" s="19" t="s">
        <v>286</v>
      </c>
    </row>
    <row r="376" spans="1:20" x14ac:dyDescent="0.2">
      <c r="A376" s="1">
        <v>46044</v>
      </c>
      <c r="B376" s="2">
        <v>0.79166666666666663</v>
      </c>
      <c r="C376" s="19" t="s">
        <v>18</v>
      </c>
      <c r="D376" s="19" t="s">
        <v>23</v>
      </c>
      <c r="E376" s="19" t="s">
        <v>18</v>
      </c>
      <c r="F376">
        <v>4</v>
      </c>
      <c r="G376">
        <v>3</v>
      </c>
      <c r="H376">
        <v>0.74329999999999996</v>
      </c>
      <c r="I376" s="19" t="s">
        <v>249</v>
      </c>
      <c r="J376" s="19" t="s">
        <v>18</v>
      </c>
      <c r="K376">
        <v>3</v>
      </c>
      <c r="L376">
        <v>2</v>
      </c>
      <c r="M376">
        <v>0.03</v>
      </c>
      <c r="N376" s="19" t="s">
        <v>23</v>
      </c>
      <c r="O376" s="19" t="s">
        <v>284</v>
      </c>
      <c r="P376" s="19" t="s">
        <v>289</v>
      </c>
      <c r="Q376" s="19" t="s">
        <v>285</v>
      </c>
      <c r="R376" s="19" t="s">
        <v>249</v>
      </c>
      <c r="S376" s="19" t="s">
        <v>249</v>
      </c>
      <c r="T376" s="19" t="s">
        <v>286</v>
      </c>
    </row>
    <row r="377" spans="1:20" x14ac:dyDescent="0.2">
      <c r="A377" s="1">
        <v>46044</v>
      </c>
      <c r="B377" s="2">
        <v>0.83333333333333337</v>
      </c>
      <c r="C377" s="19" t="s">
        <v>40</v>
      </c>
      <c r="D377" s="19" t="s">
        <v>11</v>
      </c>
      <c r="E377" s="19" t="s">
        <v>11</v>
      </c>
      <c r="F377">
        <v>3</v>
      </c>
      <c r="G377">
        <v>4</v>
      </c>
      <c r="H377">
        <v>0.56410000000000005</v>
      </c>
      <c r="I377" s="19" t="s">
        <v>249</v>
      </c>
      <c r="J377" s="19" t="s">
        <v>40</v>
      </c>
      <c r="K377">
        <v>3</v>
      </c>
      <c r="L377">
        <v>2</v>
      </c>
      <c r="M377">
        <v>0.24</v>
      </c>
      <c r="N377" s="19" t="s">
        <v>11</v>
      </c>
      <c r="O377" s="19" t="s">
        <v>287</v>
      </c>
      <c r="P377" s="19" t="s">
        <v>284</v>
      </c>
      <c r="Q377" s="19" t="s">
        <v>287</v>
      </c>
      <c r="R377" s="19" t="s">
        <v>248</v>
      </c>
      <c r="S377" s="19" t="s">
        <v>249</v>
      </c>
      <c r="T377" s="19" t="s">
        <v>286</v>
      </c>
    </row>
    <row r="378" spans="1:20" x14ac:dyDescent="0.2">
      <c r="A378" s="1">
        <v>46045</v>
      </c>
      <c r="B378" s="2">
        <v>0.91666666666666663</v>
      </c>
      <c r="C378" s="19" t="s">
        <v>32</v>
      </c>
      <c r="D378" s="19" t="s">
        <v>31</v>
      </c>
      <c r="E378" s="19" t="s">
        <v>32</v>
      </c>
      <c r="F378">
        <v>3</v>
      </c>
      <c r="G378">
        <v>2</v>
      </c>
      <c r="H378">
        <v>0.79500000000000004</v>
      </c>
      <c r="I378" s="19" t="s">
        <v>249</v>
      </c>
      <c r="J378" s="19" t="s">
        <v>32</v>
      </c>
      <c r="K378">
        <v>3</v>
      </c>
      <c r="L378">
        <v>2</v>
      </c>
      <c r="M378">
        <v>0.01</v>
      </c>
      <c r="N378" s="19" t="s">
        <v>31</v>
      </c>
      <c r="O378" s="19" t="s">
        <v>284</v>
      </c>
      <c r="P378" s="19" t="s">
        <v>289</v>
      </c>
      <c r="Q378" s="19" t="s">
        <v>285</v>
      </c>
      <c r="R378" s="19" t="s">
        <v>249</v>
      </c>
      <c r="S378" s="19" t="s">
        <v>249</v>
      </c>
      <c r="T378" s="19" t="s">
        <v>286</v>
      </c>
    </row>
    <row r="379" spans="1:20" x14ac:dyDescent="0.2">
      <c r="A379" s="1">
        <v>46045</v>
      </c>
      <c r="B379" s="2">
        <v>0.91666666666666663</v>
      </c>
      <c r="C379" s="19" t="s">
        <v>38</v>
      </c>
      <c r="D379" s="19" t="s">
        <v>24</v>
      </c>
      <c r="E379" s="19" t="s">
        <v>24</v>
      </c>
      <c r="F379">
        <v>3</v>
      </c>
      <c r="G379">
        <v>4</v>
      </c>
      <c r="H379">
        <v>0.73699999999999999</v>
      </c>
      <c r="I379" s="19" t="s">
        <v>249</v>
      </c>
      <c r="J379" s="19" t="s">
        <v>24</v>
      </c>
      <c r="K379">
        <v>3</v>
      </c>
      <c r="L379">
        <v>2</v>
      </c>
      <c r="M379">
        <v>-0.59</v>
      </c>
      <c r="N379" s="19" t="s">
        <v>24</v>
      </c>
      <c r="O379" s="19" t="s">
        <v>289</v>
      </c>
      <c r="P379" s="19" t="s">
        <v>283</v>
      </c>
      <c r="Q379" s="19" t="s">
        <v>285</v>
      </c>
      <c r="R379" s="19" t="s">
        <v>248</v>
      </c>
      <c r="S379" s="19" t="s">
        <v>248</v>
      </c>
      <c r="T379" s="19" t="s">
        <v>286</v>
      </c>
    </row>
    <row r="380" spans="1:20" x14ac:dyDescent="0.2">
      <c r="A380" s="1">
        <v>46045</v>
      </c>
      <c r="B380" s="2">
        <v>0.91666666666666663</v>
      </c>
      <c r="C380" s="19" t="s">
        <v>33</v>
      </c>
      <c r="D380" s="19" t="s">
        <v>15</v>
      </c>
      <c r="E380" s="19" t="s">
        <v>15</v>
      </c>
      <c r="F380">
        <v>3</v>
      </c>
      <c r="G380">
        <v>4</v>
      </c>
      <c r="H380">
        <v>0.65349999999999997</v>
      </c>
      <c r="I380" s="19" t="s">
        <v>249</v>
      </c>
      <c r="J380" s="19" t="s">
        <v>33</v>
      </c>
      <c r="K380">
        <v>3</v>
      </c>
      <c r="L380">
        <v>2</v>
      </c>
      <c r="M380">
        <v>0.15</v>
      </c>
      <c r="N380" s="19" t="s">
        <v>33</v>
      </c>
      <c r="O380" s="19" t="s">
        <v>291</v>
      </c>
      <c r="P380" s="19" t="s">
        <v>287</v>
      </c>
      <c r="Q380" s="19" t="s">
        <v>285</v>
      </c>
      <c r="R380" s="19" t="s">
        <v>249</v>
      </c>
      <c r="S380" s="19" t="s">
        <v>248</v>
      </c>
      <c r="T380" s="19" t="s">
        <v>286</v>
      </c>
    </row>
    <row r="381" spans="1:20" x14ac:dyDescent="0.2">
      <c r="A381" s="1">
        <v>46045</v>
      </c>
      <c r="B381" s="2">
        <v>0.83333333333333337</v>
      </c>
      <c r="C381" s="19" t="s">
        <v>39</v>
      </c>
      <c r="D381" s="19" t="s">
        <v>35</v>
      </c>
      <c r="E381" s="19" t="s">
        <v>39</v>
      </c>
      <c r="F381">
        <v>4</v>
      </c>
      <c r="G381">
        <v>3</v>
      </c>
      <c r="H381">
        <v>0.73329999999999995</v>
      </c>
      <c r="I381" s="19" t="s">
        <v>249</v>
      </c>
      <c r="J381" s="19" t="s">
        <v>39</v>
      </c>
      <c r="K381">
        <v>3</v>
      </c>
      <c r="L381">
        <v>2</v>
      </c>
      <c r="M381">
        <v>1.62</v>
      </c>
      <c r="N381" s="19" t="s">
        <v>39</v>
      </c>
      <c r="O381" s="19" t="s">
        <v>291</v>
      </c>
      <c r="P381" s="19" t="s">
        <v>284</v>
      </c>
      <c r="Q381" s="19" t="s">
        <v>285</v>
      </c>
      <c r="R381" s="19" t="s">
        <v>248</v>
      </c>
      <c r="S381" s="19" t="s">
        <v>248</v>
      </c>
      <c r="T381" s="19" t="s">
        <v>286</v>
      </c>
    </row>
    <row r="382" spans="1:20" x14ac:dyDescent="0.2">
      <c r="A382" s="1">
        <v>46045</v>
      </c>
      <c r="B382" s="2">
        <v>0.79166666666666663</v>
      </c>
      <c r="C382" s="19" t="s">
        <v>19</v>
      </c>
      <c r="D382" s="19" t="s">
        <v>20</v>
      </c>
      <c r="E382" s="19" t="s">
        <v>19</v>
      </c>
      <c r="F382">
        <v>4</v>
      </c>
      <c r="G382">
        <v>3</v>
      </c>
      <c r="H382">
        <v>0.62209999999999999</v>
      </c>
      <c r="I382" s="19" t="s">
        <v>249</v>
      </c>
      <c r="J382" s="19" t="s">
        <v>20</v>
      </c>
      <c r="K382">
        <v>3</v>
      </c>
      <c r="L382">
        <v>2</v>
      </c>
      <c r="M382">
        <v>-0.1</v>
      </c>
      <c r="N382" s="19" t="s">
        <v>20</v>
      </c>
      <c r="O382" s="19" t="s">
        <v>291</v>
      </c>
      <c r="P382" s="19" t="s">
        <v>288</v>
      </c>
      <c r="Q382" s="19" t="s">
        <v>285</v>
      </c>
      <c r="R382" s="19" t="s">
        <v>249</v>
      </c>
      <c r="S382" s="19" t="s">
        <v>248</v>
      </c>
      <c r="T382" s="19" t="s">
        <v>286</v>
      </c>
    </row>
    <row r="383" spans="1:20" x14ac:dyDescent="0.2">
      <c r="A383" s="1">
        <v>46045</v>
      </c>
      <c r="B383" s="2">
        <v>0.79166666666666663</v>
      </c>
      <c r="C383" s="19" t="s">
        <v>10</v>
      </c>
      <c r="D383" s="19" t="s">
        <v>37</v>
      </c>
      <c r="E383" s="19" t="s">
        <v>37</v>
      </c>
      <c r="F383">
        <v>2</v>
      </c>
      <c r="G383">
        <v>4</v>
      </c>
      <c r="H383">
        <v>0.84140000000000004</v>
      </c>
      <c r="I383" s="19" t="s">
        <v>249</v>
      </c>
      <c r="J383" s="19" t="s">
        <v>37</v>
      </c>
      <c r="K383">
        <v>3</v>
      </c>
      <c r="L383">
        <v>2</v>
      </c>
      <c r="M383">
        <v>-1.32</v>
      </c>
      <c r="N383" s="19" t="s">
        <v>37</v>
      </c>
      <c r="O383" s="19" t="s">
        <v>287</v>
      </c>
      <c r="P383" s="19" t="s">
        <v>284</v>
      </c>
      <c r="Q383" s="19" t="s">
        <v>287</v>
      </c>
      <c r="R383" s="19" t="s">
        <v>248</v>
      </c>
      <c r="S383" s="19" t="s">
        <v>248</v>
      </c>
      <c r="T383" s="19" t="s">
        <v>286</v>
      </c>
    </row>
    <row r="384" spans="1:20" x14ac:dyDescent="0.2">
      <c r="A384" s="1">
        <v>46045</v>
      </c>
      <c r="B384" s="2">
        <v>0.875</v>
      </c>
      <c r="C384" s="19" t="s">
        <v>16</v>
      </c>
      <c r="D384" s="19" t="s">
        <v>22</v>
      </c>
      <c r="E384" s="19" t="s">
        <v>16</v>
      </c>
      <c r="F384">
        <v>3</v>
      </c>
      <c r="G384">
        <v>2</v>
      </c>
      <c r="H384">
        <v>0.65200000000000002</v>
      </c>
      <c r="I384" s="19" t="s">
        <v>249</v>
      </c>
      <c r="J384" s="19" t="s">
        <v>22</v>
      </c>
      <c r="K384">
        <v>3</v>
      </c>
      <c r="L384">
        <v>2</v>
      </c>
      <c r="M384">
        <v>-0.56000000000000005</v>
      </c>
      <c r="N384" s="19" t="s">
        <v>22</v>
      </c>
      <c r="O384" s="19" t="s">
        <v>287</v>
      </c>
      <c r="P384" s="19" t="s">
        <v>291</v>
      </c>
      <c r="Q384" s="19" t="s">
        <v>285</v>
      </c>
      <c r="R384" s="19" t="s">
        <v>249</v>
      </c>
      <c r="S384" s="19" t="s">
        <v>248</v>
      </c>
      <c r="T384" s="19" t="s">
        <v>286</v>
      </c>
    </row>
    <row r="385" spans="1:20" x14ac:dyDescent="0.2">
      <c r="A385" s="1">
        <v>46045</v>
      </c>
      <c r="B385" s="2">
        <v>0.875</v>
      </c>
      <c r="C385" s="19" t="s">
        <v>12</v>
      </c>
      <c r="D385" s="19" t="s">
        <v>27</v>
      </c>
      <c r="E385" s="19" t="s">
        <v>12</v>
      </c>
      <c r="F385">
        <v>5</v>
      </c>
      <c r="G385">
        <v>1</v>
      </c>
      <c r="H385">
        <v>0.92430000000000001</v>
      </c>
      <c r="I385" s="19" t="s">
        <v>249</v>
      </c>
      <c r="J385" s="19" t="s">
        <v>12</v>
      </c>
      <c r="K385">
        <v>3</v>
      </c>
      <c r="L385">
        <v>2</v>
      </c>
      <c r="M385">
        <v>1.84</v>
      </c>
      <c r="N385" s="19" t="s">
        <v>27</v>
      </c>
      <c r="O385" s="19" t="s">
        <v>291</v>
      </c>
      <c r="P385" s="19" t="s">
        <v>292</v>
      </c>
      <c r="Q385" s="19" t="s">
        <v>285</v>
      </c>
      <c r="R385" s="19" t="s">
        <v>249</v>
      </c>
      <c r="S385" s="19" t="s">
        <v>249</v>
      </c>
      <c r="T385" s="19" t="s">
        <v>286</v>
      </c>
    </row>
    <row r="386" spans="1:20" x14ac:dyDescent="0.2">
      <c r="A386" s="1">
        <v>46046</v>
      </c>
      <c r="B386" s="2">
        <v>0.91666666666666663</v>
      </c>
      <c r="C386" s="19" t="s">
        <v>17</v>
      </c>
      <c r="D386" s="19" t="s">
        <v>22</v>
      </c>
      <c r="E386" s="19" t="s">
        <v>17</v>
      </c>
      <c r="F386">
        <v>5</v>
      </c>
      <c r="G386">
        <v>4</v>
      </c>
      <c r="H386">
        <v>0.63849999999999996</v>
      </c>
      <c r="I386" s="19" t="s">
        <v>249</v>
      </c>
      <c r="J386" s="19" t="s">
        <v>22</v>
      </c>
      <c r="K386">
        <v>3</v>
      </c>
      <c r="L386">
        <v>2</v>
      </c>
      <c r="M386">
        <v>-0.04</v>
      </c>
      <c r="N386" s="19" t="s">
        <v>17</v>
      </c>
      <c r="O386" s="19" t="s">
        <v>288</v>
      </c>
      <c r="P386" s="19" t="s">
        <v>283</v>
      </c>
      <c r="Q386" s="19" t="s">
        <v>287</v>
      </c>
      <c r="R386" s="19" t="s">
        <v>248</v>
      </c>
      <c r="S386" s="19" t="s">
        <v>249</v>
      </c>
      <c r="T386" s="19" t="s">
        <v>286</v>
      </c>
    </row>
    <row r="387" spans="1:20" x14ac:dyDescent="0.2">
      <c r="A387" s="1">
        <v>46046</v>
      </c>
      <c r="B387" s="2">
        <v>0.79166666666666663</v>
      </c>
      <c r="C387" s="19" t="s">
        <v>36</v>
      </c>
      <c r="D387" s="19" t="s">
        <v>25</v>
      </c>
      <c r="E387" s="19" t="s">
        <v>25</v>
      </c>
      <c r="F387">
        <v>3</v>
      </c>
      <c r="G387">
        <v>4</v>
      </c>
      <c r="H387">
        <v>0.77159999999999995</v>
      </c>
      <c r="I387" s="19" t="s">
        <v>249</v>
      </c>
      <c r="J387" s="19" t="s">
        <v>25</v>
      </c>
      <c r="K387">
        <v>3</v>
      </c>
      <c r="L387">
        <v>2</v>
      </c>
      <c r="M387">
        <v>-0.5</v>
      </c>
      <c r="N387" s="19" t="s">
        <v>25</v>
      </c>
      <c r="O387" s="19" t="s">
        <v>287</v>
      </c>
      <c r="P387" s="19" t="s">
        <v>289</v>
      </c>
      <c r="Q387" s="19" t="s">
        <v>285</v>
      </c>
      <c r="R387" s="19" t="s">
        <v>248</v>
      </c>
      <c r="S387" s="19" t="s">
        <v>248</v>
      </c>
      <c r="T387" s="19" t="s">
        <v>286</v>
      </c>
    </row>
    <row r="388" spans="1:20" x14ac:dyDescent="0.2">
      <c r="A388" s="1">
        <v>46046</v>
      </c>
      <c r="B388" s="2">
        <v>0.64583333333333337</v>
      </c>
      <c r="C388" s="19" t="s">
        <v>29</v>
      </c>
      <c r="D388" s="19" t="s">
        <v>55</v>
      </c>
      <c r="E388" s="19" t="s">
        <v>29</v>
      </c>
      <c r="F388">
        <v>4</v>
      </c>
      <c r="G388">
        <v>3</v>
      </c>
      <c r="H388">
        <v>0.76770000000000005</v>
      </c>
      <c r="I388" s="19" t="s">
        <v>249</v>
      </c>
      <c r="J388" s="19" t="s">
        <v>55</v>
      </c>
      <c r="K388">
        <v>3</v>
      </c>
      <c r="L388">
        <v>2</v>
      </c>
      <c r="M388">
        <v>-0.67</v>
      </c>
      <c r="N388" s="19" t="s">
        <v>55</v>
      </c>
      <c r="O388" s="19" t="s">
        <v>284</v>
      </c>
      <c r="P388" s="19" t="s">
        <v>283</v>
      </c>
      <c r="Q388" s="19" t="s">
        <v>285</v>
      </c>
      <c r="R388" s="19" t="s">
        <v>249</v>
      </c>
      <c r="S388" s="19" t="s">
        <v>248</v>
      </c>
      <c r="T388" s="19" t="s">
        <v>286</v>
      </c>
    </row>
    <row r="389" spans="1:20" x14ac:dyDescent="0.2">
      <c r="A389" s="1">
        <v>46046</v>
      </c>
      <c r="B389" s="2">
        <v>0.79166666666666663</v>
      </c>
      <c r="C389" s="19" t="s">
        <v>21</v>
      </c>
      <c r="D389" s="19" t="s">
        <v>18</v>
      </c>
      <c r="E389" s="19" t="s">
        <v>18</v>
      </c>
      <c r="F389">
        <v>3</v>
      </c>
      <c r="G389">
        <v>4</v>
      </c>
      <c r="H389">
        <v>0.68920000000000003</v>
      </c>
      <c r="I389" s="19" t="s">
        <v>249</v>
      </c>
      <c r="J389" s="19" t="s">
        <v>21</v>
      </c>
      <c r="K389">
        <v>3</v>
      </c>
      <c r="L389">
        <v>2</v>
      </c>
      <c r="M389">
        <v>0.28999999999999998</v>
      </c>
      <c r="N389" s="19" t="s">
        <v>21</v>
      </c>
      <c r="O389" s="19" t="s">
        <v>289</v>
      </c>
      <c r="P389" s="19" t="s">
        <v>291</v>
      </c>
      <c r="Q389" s="19" t="s">
        <v>285</v>
      </c>
      <c r="R389" s="19" t="s">
        <v>249</v>
      </c>
      <c r="S389" s="19" t="s">
        <v>248</v>
      </c>
      <c r="T389" s="19" t="s">
        <v>286</v>
      </c>
    </row>
    <row r="390" spans="1:20" x14ac:dyDescent="0.2">
      <c r="A390" s="1">
        <v>46046</v>
      </c>
      <c r="B390" s="2">
        <v>0.54166666666666663</v>
      </c>
      <c r="C390" s="19" t="s">
        <v>30</v>
      </c>
      <c r="D390" s="19" t="s">
        <v>23</v>
      </c>
      <c r="E390" s="19" t="s">
        <v>30</v>
      </c>
      <c r="F390">
        <v>4</v>
      </c>
      <c r="G390">
        <v>3</v>
      </c>
      <c r="H390">
        <v>0.65369999999999995</v>
      </c>
      <c r="I390" s="19" t="s">
        <v>249</v>
      </c>
      <c r="J390" s="19" t="s">
        <v>30</v>
      </c>
      <c r="K390">
        <v>3</v>
      </c>
      <c r="L390">
        <v>2</v>
      </c>
      <c r="M390">
        <v>0.05</v>
      </c>
      <c r="N390" s="19" t="s">
        <v>23</v>
      </c>
      <c r="O390" s="19" t="s">
        <v>285</v>
      </c>
      <c r="P390" s="19" t="s">
        <v>283</v>
      </c>
      <c r="Q390" s="19" t="s">
        <v>285</v>
      </c>
      <c r="R390" s="19" t="s">
        <v>249</v>
      </c>
      <c r="S390" s="19" t="s">
        <v>249</v>
      </c>
      <c r="T390" s="19" t="s">
        <v>286</v>
      </c>
    </row>
    <row r="391" spans="1:20" x14ac:dyDescent="0.2">
      <c r="A391" s="1">
        <v>46046</v>
      </c>
      <c r="B391" s="2">
        <v>0.875</v>
      </c>
      <c r="C391" s="19" t="s">
        <v>34</v>
      </c>
      <c r="D391" s="19" t="s">
        <v>11</v>
      </c>
      <c r="E391" s="19" t="s">
        <v>11</v>
      </c>
      <c r="F391">
        <v>3</v>
      </c>
      <c r="G391">
        <v>4</v>
      </c>
      <c r="H391">
        <v>0.61229999999999996</v>
      </c>
      <c r="I391" s="19" t="s">
        <v>249</v>
      </c>
      <c r="J391" s="19" t="s">
        <v>34</v>
      </c>
      <c r="K391">
        <v>3</v>
      </c>
      <c r="L391">
        <v>2</v>
      </c>
      <c r="M391">
        <v>0.61</v>
      </c>
      <c r="N391" s="19" t="s">
        <v>11</v>
      </c>
      <c r="O391" s="19" t="s">
        <v>291</v>
      </c>
      <c r="P391" s="19" t="s">
        <v>289</v>
      </c>
      <c r="Q391" s="19" t="s">
        <v>287</v>
      </c>
      <c r="R391" s="19" t="s">
        <v>248</v>
      </c>
      <c r="S391" s="19" t="s">
        <v>249</v>
      </c>
      <c r="T391" s="19" t="s">
        <v>286</v>
      </c>
    </row>
    <row r="392" spans="1:20" x14ac:dyDescent="0.2">
      <c r="A392" s="1">
        <v>46046</v>
      </c>
      <c r="B392" s="2">
        <v>0.79166666666666663</v>
      </c>
      <c r="C392" s="19" t="s">
        <v>40</v>
      </c>
      <c r="D392" s="19" t="s">
        <v>26</v>
      </c>
      <c r="E392" s="19" t="s">
        <v>26</v>
      </c>
      <c r="F392">
        <v>3</v>
      </c>
      <c r="G392">
        <v>4</v>
      </c>
      <c r="H392">
        <v>0.84389999999999998</v>
      </c>
      <c r="I392" s="19" t="s">
        <v>249</v>
      </c>
      <c r="J392" s="19" t="s">
        <v>26</v>
      </c>
      <c r="K392">
        <v>3</v>
      </c>
      <c r="L392">
        <v>2</v>
      </c>
      <c r="M392">
        <v>-0.05</v>
      </c>
      <c r="N392" s="19" t="s">
        <v>26</v>
      </c>
      <c r="O392" s="19" t="s">
        <v>287</v>
      </c>
      <c r="P392" s="19" t="s">
        <v>283</v>
      </c>
      <c r="Q392" s="19" t="s">
        <v>285</v>
      </c>
      <c r="R392" s="19" t="s">
        <v>248</v>
      </c>
      <c r="S392" s="19" t="s">
        <v>248</v>
      </c>
      <c r="T392" s="19" t="s">
        <v>286</v>
      </c>
    </row>
    <row r="393" spans="1:20" x14ac:dyDescent="0.2">
      <c r="A393" s="1">
        <v>46046</v>
      </c>
      <c r="B393" s="2">
        <v>0.79166666666666663</v>
      </c>
      <c r="C393" s="19" t="s">
        <v>28</v>
      </c>
      <c r="D393" s="19" t="s">
        <v>37</v>
      </c>
      <c r="E393" s="19" t="s">
        <v>37</v>
      </c>
      <c r="F393">
        <v>2</v>
      </c>
      <c r="G393">
        <v>4</v>
      </c>
      <c r="H393">
        <v>0.86760000000000004</v>
      </c>
      <c r="I393" s="19" t="s">
        <v>249</v>
      </c>
      <c r="J393" s="19" t="s">
        <v>37</v>
      </c>
      <c r="K393">
        <v>3</v>
      </c>
      <c r="L393">
        <v>2</v>
      </c>
      <c r="M393">
        <v>-1.1299999999999999</v>
      </c>
      <c r="N393" s="19" t="s">
        <v>28</v>
      </c>
      <c r="O393" s="19" t="s">
        <v>1525</v>
      </c>
      <c r="P393" s="19" t="s">
        <v>283</v>
      </c>
      <c r="Q393" s="19" t="s">
        <v>285</v>
      </c>
      <c r="R393" s="19" t="s">
        <v>249</v>
      </c>
      <c r="S393" s="19" t="s">
        <v>249</v>
      </c>
      <c r="T393" s="19" t="s">
        <v>286</v>
      </c>
    </row>
    <row r="394" spans="1:20" x14ac:dyDescent="0.2">
      <c r="A394" s="1">
        <v>46046</v>
      </c>
      <c r="B394" s="2">
        <v>0.83333333333333337</v>
      </c>
      <c r="C394" s="19" t="s">
        <v>35</v>
      </c>
      <c r="D394" s="19" t="s">
        <v>13</v>
      </c>
      <c r="E394" s="19" t="s">
        <v>13</v>
      </c>
      <c r="F394">
        <v>2</v>
      </c>
      <c r="G394">
        <v>3</v>
      </c>
      <c r="H394">
        <v>0.71340000000000003</v>
      </c>
      <c r="I394" s="19" t="s">
        <v>248</v>
      </c>
      <c r="J394" s="19" t="s">
        <v>13</v>
      </c>
      <c r="K394">
        <v>3</v>
      </c>
      <c r="L394">
        <v>2</v>
      </c>
      <c r="M394">
        <v>-0.72</v>
      </c>
      <c r="N394" s="19" t="s">
        <v>13</v>
      </c>
      <c r="O394" s="19" t="s">
        <v>289</v>
      </c>
      <c r="P394" s="19" t="s">
        <v>283</v>
      </c>
      <c r="Q394" s="19" t="s">
        <v>287</v>
      </c>
      <c r="R394" s="19" t="s">
        <v>248</v>
      </c>
      <c r="S394" s="19" t="s">
        <v>248</v>
      </c>
      <c r="T394" s="19" t="s">
        <v>286</v>
      </c>
    </row>
    <row r="395" spans="1:20" x14ac:dyDescent="0.2">
      <c r="A395" s="1">
        <v>46047</v>
      </c>
      <c r="B395" s="2">
        <v>0.75</v>
      </c>
      <c r="C395" s="19" t="s">
        <v>38</v>
      </c>
      <c r="D395" s="19" t="s">
        <v>14</v>
      </c>
      <c r="E395" s="19" t="s">
        <v>14</v>
      </c>
      <c r="F395">
        <v>1</v>
      </c>
      <c r="G395">
        <v>4</v>
      </c>
      <c r="H395">
        <v>0.71379999999999999</v>
      </c>
      <c r="I395" s="19" t="s">
        <v>249</v>
      </c>
      <c r="J395" s="19" t="s">
        <v>14</v>
      </c>
      <c r="K395">
        <v>3</v>
      </c>
      <c r="L395">
        <v>2</v>
      </c>
      <c r="M395">
        <v>-1.1599999999999999</v>
      </c>
      <c r="N395" s="19" t="s">
        <v>14</v>
      </c>
      <c r="O395" s="19" t="s">
        <v>284</v>
      </c>
      <c r="P395" s="19" t="s">
        <v>291</v>
      </c>
      <c r="Q395" s="19" t="s">
        <v>285</v>
      </c>
      <c r="R395" s="19" t="s">
        <v>248</v>
      </c>
      <c r="S395" s="19" t="s">
        <v>248</v>
      </c>
      <c r="T395" s="19" t="s">
        <v>286</v>
      </c>
    </row>
    <row r="396" spans="1:20" x14ac:dyDescent="0.2">
      <c r="A396" s="1">
        <v>46047</v>
      </c>
      <c r="B396" s="2">
        <v>0.66666666666666663</v>
      </c>
      <c r="C396" s="19" t="s">
        <v>32</v>
      </c>
      <c r="D396" s="19" t="s">
        <v>24</v>
      </c>
      <c r="E396" s="19" t="s">
        <v>24</v>
      </c>
      <c r="F396">
        <v>3</v>
      </c>
      <c r="G396">
        <v>4</v>
      </c>
      <c r="H396">
        <v>0.5827</v>
      </c>
      <c r="I396" s="19" t="s">
        <v>249</v>
      </c>
      <c r="J396" s="19" t="s">
        <v>32</v>
      </c>
      <c r="K396">
        <v>3</v>
      </c>
      <c r="L396">
        <v>2</v>
      </c>
      <c r="M396">
        <v>0.05</v>
      </c>
      <c r="N396" s="19" t="s">
        <v>32</v>
      </c>
      <c r="O396" s="19" t="s">
        <v>289</v>
      </c>
      <c r="P396" s="19" t="s">
        <v>284</v>
      </c>
      <c r="Q396" s="19" t="s">
        <v>285</v>
      </c>
      <c r="R396" s="19" t="s">
        <v>249</v>
      </c>
      <c r="S396" s="19" t="s">
        <v>248</v>
      </c>
      <c r="T396" s="19" t="s">
        <v>286</v>
      </c>
    </row>
    <row r="397" spans="1:20" x14ac:dyDescent="0.2">
      <c r="A397" s="1">
        <v>46047</v>
      </c>
      <c r="B397" s="2">
        <v>0.70833333333333337</v>
      </c>
      <c r="C397" s="19" t="s">
        <v>36</v>
      </c>
      <c r="D397" s="19" t="s">
        <v>20</v>
      </c>
      <c r="E397" s="19" t="s">
        <v>20</v>
      </c>
      <c r="F397">
        <v>2</v>
      </c>
      <c r="G397">
        <v>3</v>
      </c>
      <c r="H397">
        <v>0.66369999999999996</v>
      </c>
      <c r="I397" s="19" t="s">
        <v>248</v>
      </c>
      <c r="J397" s="19" t="s">
        <v>20</v>
      </c>
      <c r="K397">
        <v>3</v>
      </c>
      <c r="L397">
        <v>2</v>
      </c>
      <c r="M397">
        <v>-0.3</v>
      </c>
      <c r="N397" s="19" t="s">
        <v>36</v>
      </c>
      <c r="O397" s="19" t="s">
        <v>292</v>
      </c>
      <c r="P397" s="19" t="s">
        <v>287</v>
      </c>
      <c r="Q397" s="19" t="s">
        <v>285</v>
      </c>
      <c r="R397" s="19" t="s">
        <v>249</v>
      </c>
      <c r="S397" s="19" t="s">
        <v>249</v>
      </c>
      <c r="T397" s="19" t="s">
        <v>286</v>
      </c>
    </row>
    <row r="398" spans="1:20" x14ac:dyDescent="0.2">
      <c r="A398" s="1">
        <v>46047</v>
      </c>
      <c r="B398" s="2">
        <v>0.5625</v>
      </c>
      <c r="C398" s="19" t="s">
        <v>19</v>
      </c>
      <c r="D398" s="19" t="s">
        <v>12</v>
      </c>
      <c r="E398" s="19" t="s">
        <v>12</v>
      </c>
      <c r="F398">
        <v>3</v>
      </c>
      <c r="G398">
        <v>4</v>
      </c>
      <c r="H398">
        <v>0.5665</v>
      </c>
      <c r="I398" s="19" t="s">
        <v>249</v>
      </c>
      <c r="J398" s="19" t="s">
        <v>12</v>
      </c>
      <c r="K398">
        <v>3</v>
      </c>
      <c r="L398">
        <v>2</v>
      </c>
      <c r="M398">
        <v>-1.4</v>
      </c>
      <c r="N398" s="19" t="s">
        <v>12</v>
      </c>
      <c r="O398" s="19" t="s">
        <v>287</v>
      </c>
      <c r="P398" s="19" t="s">
        <v>289</v>
      </c>
      <c r="Q398" s="19" t="s">
        <v>285</v>
      </c>
      <c r="R398" s="19" t="s">
        <v>248</v>
      </c>
      <c r="S398" s="19" t="s">
        <v>248</v>
      </c>
      <c r="T398" s="19" t="s">
        <v>286</v>
      </c>
    </row>
    <row r="399" spans="1:20" x14ac:dyDescent="0.2">
      <c r="A399" s="1">
        <v>46047</v>
      </c>
      <c r="B399" s="2">
        <v>0.83333333333333337</v>
      </c>
      <c r="C399" s="19" t="s">
        <v>16</v>
      </c>
      <c r="D399" s="19" t="s">
        <v>31</v>
      </c>
      <c r="E399" s="19" t="s">
        <v>16</v>
      </c>
      <c r="F399">
        <v>3</v>
      </c>
      <c r="G399">
        <v>2</v>
      </c>
      <c r="H399">
        <v>0.68459999999999999</v>
      </c>
      <c r="I399" s="19" t="s">
        <v>249</v>
      </c>
      <c r="J399" s="19" t="s">
        <v>31</v>
      </c>
      <c r="K399">
        <v>3</v>
      </c>
      <c r="L399">
        <v>2</v>
      </c>
      <c r="M399">
        <v>-0.31</v>
      </c>
      <c r="N399" s="19" t="s">
        <v>31</v>
      </c>
      <c r="O399" s="19" t="s">
        <v>291</v>
      </c>
      <c r="P399" s="19" t="s">
        <v>289</v>
      </c>
      <c r="Q399" s="19" t="s">
        <v>287</v>
      </c>
      <c r="R399" s="19" t="s">
        <v>249</v>
      </c>
      <c r="S399" s="19" t="s">
        <v>248</v>
      </c>
      <c r="T399" s="19" t="s">
        <v>286</v>
      </c>
    </row>
    <row r="400" spans="1:20" x14ac:dyDescent="0.2">
      <c r="A400" s="1">
        <v>46047</v>
      </c>
      <c r="B400" s="2">
        <v>0.79166666666666663</v>
      </c>
      <c r="C400" s="19" t="s">
        <v>10</v>
      </c>
      <c r="D400" s="19" t="s">
        <v>11</v>
      </c>
      <c r="E400" s="19" t="s">
        <v>11</v>
      </c>
      <c r="F400">
        <v>3</v>
      </c>
      <c r="G400">
        <v>4</v>
      </c>
      <c r="H400">
        <v>0.81389999999999996</v>
      </c>
      <c r="I400" s="19" t="s">
        <v>249</v>
      </c>
      <c r="J400" s="19" t="s">
        <v>11</v>
      </c>
      <c r="K400">
        <v>3</v>
      </c>
      <c r="L400">
        <v>2</v>
      </c>
      <c r="M400">
        <v>-0.18</v>
      </c>
      <c r="N400" s="19" t="s">
        <v>11</v>
      </c>
      <c r="O400" s="19" t="s">
        <v>287</v>
      </c>
      <c r="P400" s="19" t="s">
        <v>283</v>
      </c>
      <c r="Q400" s="19" t="s">
        <v>285</v>
      </c>
      <c r="R400" s="19" t="s">
        <v>248</v>
      </c>
      <c r="S400" s="19" t="s">
        <v>248</v>
      </c>
      <c r="T400" s="19" t="s">
        <v>286</v>
      </c>
    </row>
    <row r="401" spans="1:20" x14ac:dyDescent="0.2">
      <c r="A401" s="1">
        <v>46048</v>
      </c>
      <c r="B401" s="2">
        <v>0.79166666666666663</v>
      </c>
      <c r="C401" s="19" t="s">
        <v>37</v>
      </c>
      <c r="D401" s="19" t="s">
        <v>55</v>
      </c>
      <c r="E401" s="19" t="s">
        <v>37</v>
      </c>
      <c r="F401">
        <v>4</v>
      </c>
      <c r="G401">
        <v>3</v>
      </c>
      <c r="H401">
        <v>0.54020000000000001</v>
      </c>
      <c r="I401" s="19" t="s">
        <v>249</v>
      </c>
      <c r="J401" s="19" t="s">
        <v>37</v>
      </c>
      <c r="K401">
        <v>3</v>
      </c>
      <c r="L401">
        <v>2</v>
      </c>
      <c r="M401">
        <v>0.63</v>
      </c>
      <c r="N401" s="19" t="s">
        <v>37</v>
      </c>
      <c r="O401" s="19" t="s">
        <v>284</v>
      </c>
      <c r="P401" s="19" t="s">
        <v>285</v>
      </c>
      <c r="Q401" s="19" t="s">
        <v>285</v>
      </c>
      <c r="R401" s="19" t="s">
        <v>248</v>
      </c>
      <c r="S401" s="19" t="s">
        <v>248</v>
      </c>
      <c r="T401" s="19" t="s">
        <v>286</v>
      </c>
    </row>
    <row r="402" spans="1:20" x14ac:dyDescent="0.2">
      <c r="A402" s="1">
        <v>46048</v>
      </c>
      <c r="B402" s="2">
        <v>0.85416666666666663</v>
      </c>
      <c r="C402" s="19" t="s">
        <v>17</v>
      </c>
      <c r="D402" s="19" t="s">
        <v>31</v>
      </c>
      <c r="E402" s="19" t="s">
        <v>31</v>
      </c>
      <c r="F402">
        <v>4</v>
      </c>
      <c r="G402">
        <v>5</v>
      </c>
      <c r="H402">
        <v>0.55489999999999995</v>
      </c>
      <c r="I402" s="19" t="s">
        <v>249</v>
      </c>
      <c r="J402" s="19" t="s">
        <v>17</v>
      </c>
      <c r="K402">
        <v>3</v>
      </c>
      <c r="L402">
        <v>2</v>
      </c>
      <c r="M402">
        <v>0.27</v>
      </c>
      <c r="N402" s="19" t="s">
        <v>17</v>
      </c>
      <c r="O402" s="19" t="s">
        <v>292</v>
      </c>
      <c r="P402" s="19" t="s">
        <v>289</v>
      </c>
      <c r="Q402" s="19" t="s">
        <v>285</v>
      </c>
      <c r="R402" s="19" t="s">
        <v>249</v>
      </c>
      <c r="S402" s="19" t="s">
        <v>248</v>
      </c>
      <c r="T402" s="19" t="s">
        <v>286</v>
      </c>
    </row>
    <row r="403" spans="1:20" x14ac:dyDescent="0.2">
      <c r="A403" s="1">
        <v>46048</v>
      </c>
      <c r="B403" s="2">
        <v>0.79166666666666663</v>
      </c>
      <c r="C403" s="19" t="s">
        <v>28</v>
      </c>
      <c r="D403" s="19" t="s">
        <v>13</v>
      </c>
      <c r="E403" s="19" t="s">
        <v>28</v>
      </c>
      <c r="F403">
        <v>4</v>
      </c>
      <c r="G403">
        <v>3</v>
      </c>
      <c r="H403">
        <v>0.52700000000000002</v>
      </c>
      <c r="I403" s="19" t="s">
        <v>249</v>
      </c>
      <c r="J403" s="19" t="s">
        <v>28</v>
      </c>
      <c r="K403">
        <v>3</v>
      </c>
      <c r="L403">
        <v>2</v>
      </c>
      <c r="M403">
        <v>0.11</v>
      </c>
      <c r="N403" s="19" t="s">
        <v>60</v>
      </c>
      <c r="O403" s="19" t="s">
        <v>60</v>
      </c>
      <c r="P403" s="19" t="s">
        <v>60</v>
      </c>
      <c r="Q403" s="19" t="s">
        <v>60</v>
      </c>
      <c r="R403" s="19" t="s">
        <v>60</v>
      </c>
      <c r="S403" s="19" t="s">
        <v>60</v>
      </c>
      <c r="T403" s="19" t="s">
        <v>281</v>
      </c>
    </row>
    <row r="404" spans="1:20" x14ac:dyDescent="0.2">
      <c r="A404" s="1">
        <v>46048</v>
      </c>
      <c r="B404" s="2">
        <v>0.79166666666666663</v>
      </c>
      <c r="C404" s="19" t="s">
        <v>27</v>
      </c>
      <c r="D404" s="19" t="s">
        <v>30</v>
      </c>
      <c r="E404" s="19" t="s">
        <v>27</v>
      </c>
      <c r="F404">
        <v>4</v>
      </c>
      <c r="G404">
        <v>3</v>
      </c>
      <c r="H404">
        <v>0.76300000000000001</v>
      </c>
      <c r="I404" s="19" t="s">
        <v>248</v>
      </c>
      <c r="J404" s="19" t="s">
        <v>30</v>
      </c>
      <c r="K404">
        <v>3</v>
      </c>
      <c r="L404">
        <v>2</v>
      </c>
      <c r="M404">
        <v>-0.01</v>
      </c>
      <c r="N404" s="19" t="s">
        <v>30</v>
      </c>
      <c r="O404" s="19" t="s">
        <v>285</v>
      </c>
      <c r="P404" s="19" t="s">
        <v>289</v>
      </c>
      <c r="Q404" s="19" t="s">
        <v>285</v>
      </c>
      <c r="R404" s="19" t="s">
        <v>249</v>
      </c>
      <c r="S404" s="19" t="s">
        <v>248</v>
      </c>
      <c r="T404" s="19" t="s">
        <v>286</v>
      </c>
    </row>
    <row r="405" spans="1:20" x14ac:dyDescent="0.2">
      <c r="A405" s="1">
        <v>46048</v>
      </c>
      <c r="B405" s="2">
        <v>0.79166666666666663</v>
      </c>
      <c r="C405" s="19" t="s">
        <v>15</v>
      </c>
      <c r="D405" s="19" t="s">
        <v>21</v>
      </c>
      <c r="E405" s="19" t="s">
        <v>21</v>
      </c>
      <c r="F405">
        <v>2</v>
      </c>
      <c r="G405">
        <v>3</v>
      </c>
      <c r="H405">
        <v>0.90429999999999999</v>
      </c>
      <c r="I405" s="19" t="s">
        <v>249</v>
      </c>
      <c r="J405" s="19" t="s">
        <v>21</v>
      </c>
      <c r="K405">
        <v>3</v>
      </c>
      <c r="L405">
        <v>2</v>
      </c>
      <c r="M405">
        <v>-0.49</v>
      </c>
      <c r="N405" s="19" t="s">
        <v>15</v>
      </c>
      <c r="O405" s="19" t="s">
        <v>289</v>
      </c>
      <c r="P405" s="19" t="s">
        <v>291</v>
      </c>
      <c r="Q405" s="19" t="s">
        <v>287</v>
      </c>
      <c r="R405" s="19" t="s">
        <v>249</v>
      </c>
      <c r="S405" s="19" t="s">
        <v>249</v>
      </c>
      <c r="T405" s="19" t="s">
        <v>286</v>
      </c>
    </row>
    <row r="406" spans="1:20" x14ac:dyDescent="0.2">
      <c r="A406" s="1">
        <v>46049</v>
      </c>
      <c r="B406" s="2">
        <v>0.91666666666666663</v>
      </c>
      <c r="C406" s="19" t="s">
        <v>38</v>
      </c>
      <c r="D406" s="19" t="s">
        <v>33</v>
      </c>
      <c r="E406" s="19" t="s">
        <v>33</v>
      </c>
      <c r="F406">
        <v>3</v>
      </c>
      <c r="G406">
        <v>5</v>
      </c>
      <c r="H406">
        <v>0.87190000000000001</v>
      </c>
      <c r="I406" s="19" t="s">
        <v>249</v>
      </c>
      <c r="J406" s="19" t="s">
        <v>33</v>
      </c>
      <c r="K406">
        <v>3</v>
      </c>
      <c r="L406">
        <v>2</v>
      </c>
      <c r="M406">
        <v>-0.61</v>
      </c>
      <c r="N406" s="19" t="s">
        <v>33</v>
      </c>
      <c r="O406" s="19" t="s">
        <v>284</v>
      </c>
      <c r="P406" s="19" t="s">
        <v>283</v>
      </c>
      <c r="Q406" s="19" t="s">
        <v>285</v>
      </c>
      <c r="R406" s="19" t="s">
        <v>248</v>
      </c>
      <c r="S406" s="19" t="s">
        <v>248</v>
      </c>
      <c r="T406" s="19" t="s">
        <v>286</v>
      </c>
    </row>
    <row r="407" spans="1:20" x14ac:dyDescent="0.2">
      <c r="A407" s="1">
        <v>46049</v>
      </c>
      <c r="B407" s="2">
        <v>0.79166666666666663</v>
      </c>
      <c r="C407" s="19" t="s">
        <v>24</v>
      </c>
      <c r="D407" s="19" t="s">
        <v>40</v>
      </c>
      <c r="E407" s="19" t="s">
        <v>24</v>
      </c>
      <c r="F407">
        <v>4</v>
      </c>
      <c r="G407">
        <v>3</v>
      </c>
      <c r="H407">
        <v>0.51039999999999996</v>
      </c>
      <c r="I407" s="19" t="s">
        <v>249</v>
      </c>
      <c r="J407" s="19" t="s">
        <v>24</v>
      </c>
      <c r="K407">
        <v>3</v>
      </c>
      <c r="L407">
        <v>2</v>
      </c>
      <c r="M407">
        <v>0.01</v>
      </c>
      <c r="N407" s="19" t="s">
        <v>40</v>
      </c>
      <c r="O407" s="19" t="s">
        <v>291</v>
      </c>
      <c r="P407" s="19" t="s">
        <v>289</v>
      </c>
      <c r="Q407" s="19" t="s">
        <v>285</v>
      </c>
      <c r="R407" s="19" t="s">
        <v>249</v>
      </c>
      <c r="S407" s="19" t="s">
        <v>249</v>
      </c>
      <c r="T407" s="19" t="s">
        <v>286</v>
      </c>
    </row>
    <row r="408" spans="1:20" x14ac:dyDescent="0.2">
      <c r="A408" s="1">
        <v>46049</v>
      </c>
      <c r="B408" s="2">
        <v>0.79166666666666663</v>
      </c>
      <c r="C408" s="19" t="s">
        <v>18</v>
      </c>
      <c r="D408" s="19" t="s">
        <v>20</v>
      </c>
      <c r="E408" s="19" t="s">
        <v>18</v>
      </c>
      <c r="F408">
        <v>4</v>
      </c>
      <c r="G408">
        <v>3</v>
      </c>
      <c r="H408">
        <v>0.56420000000000003</v>
      </c>
      <c r="I408" s="19" t="s">
        <v>249</v>
      </c>
      <c r="J408" s="19" t="s">
        <v>20</v>
      </c>
      <c r="K408">
        <v>3</v>
      </c>
      <c r="L408">
        <v>2</v>
      </c>
      <c r="M408">
        <v>-0.01</v>
      </c>
      <c r="N408" s="19" t="s">
        <v>18</v>
      </c>
      <c r="O408" s="19" t="s">
        <v>291</v>
      </c>
      <c r="P408" s="19" t="s">
        <v>284</v>
      </c>
      <c r="Q408" s="19" t="s">
        <v>287</v>
      </c>
      <c r="R408" s="19" t="s">
        <v>248</v>
      </c>
      <c r="S408" s="19" t="s">
        <v>249</v>
      </c>
      <c r="T408" s="19" t="s">
        <v>286</v>
      </c>
    </row>
    <row r="409" spans="1:20" x14ac:dyDescent="0.2">
      <c r="A409" s="1">
        <v>46049</v>
      </c>
      <c r="B409" s="2">
        <v>0.83333333333333337</v>
      </c>
      <c r="C409" s="19" t="s">
        <v>34</v>
      </c>
      <c r="D409" s="19" t="s">
        <v>10</v>
      </c>
      <c r="E409" s="19" t="s">
        <v>34</v>
      </c>
      <c r="F409">
        <v>4</v>
      </c>
      <c r="G409">
        <v>3</v>
      </c>
      <c r="H409">
        <v>0.5554</v>
      </c>
      <c r="I409" s="19" t="s">
        <v>248</v>
      </c>
      <c r="J409" s="19" t="s">
        <v>34</v>
      </c>
      <c r="K409">
        <v>3</v>
      </c>
      <c r="L409">
        <v>2</v>
      </c>
      <c r="M409">
        <v>0.89</v>
      </c>
      <c r="N409" s="19" t="s">
        <v>34</v>
      </c>
      <c r="O409" s="19" t="s">
        <v>289</v>
      </c>
      <c r="P409" s="19" t="s">
        <v>291</v>
      </c>
      <c r="Q409" s="19" t="s">
        <v>287</v>
      </c>
      <c r="R409" s="19" t="s">
        <v>248</v>
      </c>
      <c r="S409" s="19" t="s">
        <v>248</v>
      </c>
      <c r="T409" s="19" t="s">
        <v>286</v>
      </c>
    </row>
    <row r="410" spans="1:20" x14ac:dyDescent="0.2">
      <c r="A410" s="1">
        <v>46049</v>
      </c>
      <c r="B410" s="2">
        <v>0.91666666666666663</v>
      </c>
      <c r="C410" s="19" t="s">
        <v>32</v>
      </c>
      <c r="D410" s="19" t="s">
        <v>22</v>
      </c>
      <c r="E410" s="19" t="s">
        <v>22</v>
      </c>
      <c r="F410">
        <v>3</v>
      </c>
      <c r="G410">
        <v>4</v>
      </c>
      <c r="H410">
        <v>0.54390000000000005</v>
      </c>
      <c r="I410" s="19" t="s">
        <v>249</v>
      </c>
      <c r="J410" s="19" t="s">
        <v>22</v>
      </c>
      <c r="K410">
        <v>3</v>
      </c>
      <c r="L410">
        <v>2</v>
      </c>
      <c r="M410">
        <v>-0.36</v>
      </c>
      <c r="N410" s="19" t="s">
        <v>32</v>
      </c>
      <c r="O410" s="19" t="s">
        <v>283</v>
      </c>
      <c r="P410" s="19" t="s">
        <v>287</v>
      </c>
      <c r="Q410" s="19" t="s">
        <v>285</v>
      </c>
      <c r="R410" s="19" t="s">
        <v>249</v>
      </c>
      <c r="S410" s="19" t="s">
        <v>249</v>
      </c>
      <c r="T410" s="19" t="s">
        <v>286</v>
      </c>
    </row>
    <row r="411" spans="1:20" x14ac:dyDescent="0.2">
      <c r="A411" s="1">
        <v>46049</v>
      </c>
      <c r="B411" s="2">
        <v>0.79166666666666663</v>
      </c>
      <c r="C411" s="19" t="s">
        <v>26</v>
      </c>
      <c r="D411" s="19" t="s">
        <v>13</v>
      </c>
      <c r="E411" s="19" t="s">
        <v>26</v>
      </c>
      <c r="F411">
        <v>4</v>
      </c>
      <c r="G411">
        <v>3</v>
      </c>
      <c r="H411">
        <v>0.60440000000000005</v>
      </c>
      <c r="I411" s="19" t="s">
        <v>249</v>
      </c>
      <c r="J411" s="19" t="s">
        <v>26</v>
      </c>
      <c r="K411">
        <v>3</v>
      </c>
      <c r="L411">
        <v>2</v>
      </c>
      <c r="M411">
        <v>0.37</v>
      </c>
      <c r="N411" s="19" t="s">
        <v>13</v>
      </c>
      <c r="O411" s="19" t="s">
        <v>287</v>
      </c>
      <c r="P411" s="19" t="s">
        <v>291</v>
      </c>
      <c r="Q411" s="19" t="s">
        <v>285</v>
      </c>
      <c r="R411" s="19" t="s">
        <v>249</v>
      </c>
      <c r="S411" s="19" t="s">
        <v>249</v>
      </c>
      <c r="T411" s="19" t="s">
        <v>286</v>
      </c>
    </row>
    <row r="412" spans="1:20" x14ac:dyDescent="0.2">
      <c r="A412" s="1">
        <v>46049</v>
      </c>
      <c r="B412" s="2">
        <v>0.79166666666666663</v>
      </c>
      <c r="C412" s="19" t="s">
        <v>21</v>
      </c>
      <c r="D412" s="19" t="s">
        <v>29</v>
      </c>
      <c r="E412" s="19" t="s">
        <v>21</v>
      </c>
      <c r="F412">
        <v>4</v>
      </c>
      <c r="G412">
        <v>3</v>
      </c>
      <c r="H412">
        <v>0.78100000000000003</v>
      </c>
      <c r="I412" s="19" t="s">
        <v>249</v>
      </c>
      <c r="J412" s="19" t="s">
        <v>21</v>
      </c>
      <c r="K412">
        <v>3</v>
      </c>
      <c r="L412">
        <v>2</v>
      </c>
      <c r="M412">
        <v>0.78</v>
      </c>
      <c r="N412" s="19" t="s">
        <v>21</v>
      </c>
      <c r="O412" s="19" t="s">
        <v>291</v>
      </c>
      <c r="P412" s="19" t="s">
        <v>284</v>
      </c>
      <c r="Q412" s="19" t="s">
        <v>287</v>
      </c>
      <c r="R412" s="19" t="s">
        <v>248</v>
      </c>
      <c r="S412" s="19" t="s">
        <v>248</v>
      </c>
      <c r="T412" s="19" t="s">
        <v>286</v>
      </c>
    </row>
    <row r="413" spans="1:20" x14ac:dyDescent="0.2">
      <c r="A413" s="1">
        <v>46049</v>
      </c>
      <c r="B413" s="2">
        <v>0.79166666666666663</v>
      </c>
      <c r="C413" s="19" t="s">
        <v>19</v>
      </c>
      <c r="D413" s="19" t="s">
        <v>23</v>
      </c>
      <c r="E413" s="19" t="s">
        <v>19</v>
      </c>
      <c r="F413">
        <v>4</v>
      </c>
      <c r="G413">
        <v>3</v>
      </c>
      <c r="H413">
        <v>0.65949999999999998</v>
      </c>
      <c r="I413" s="19" t="s">
        <v>248</v>
      </c>
      <c r="J413" s="19" t="s">
        <v>23</v>
      </c>
      <c r="K413">
        <v>3</v>
      </c>
      <c r="L413">
        <v>2</v>
      </c>
      <c r="M413">
        <v>-0.3</v>
      </c>
      <c r="N413" s="19" t="s">
        <v>23</v>
      </c>
      <c r="O413" s="19" t="s">
        <v>289</v>
      </c>
      <c r="P413" s="19" t="s">
        <v>292</v>
      </c>
      <c r="Q413" s="19" t="s">
        <v>285</v>
      </c>
      <c r="R413" s="19" t="s">
        <v>249</v>
      </c>
      <c r="S413" s="19" t="s">
        <v>248</v>
      </c>
      <c r="T413" s="19" t="s">
        <v>286</v>
      </c>
    </row>
    <row r="414" spans="1:20" x14ac:dyDescent="0.2">
      <c r="A414" s="1">
        <v>46049</v>
      </c>
      <c r="B414" s="2">
        <v>0.83333333333333337</v>
      </c>
      <c r="C414" s="19" t="s">
        <v>35</v>
      </c>
      <c r="D414" s="19" t="s">
        <v>39</v>
      </c>
      <c r="E414" s="19" t="s">
        <v>39</v>
      </c>
      <c r="F414">
        <v>2</v>
      </c>
      <c r="G414">
        <v>3</v>
      </c>
      <c r="H414">
        <v>0.69899999999999995</v>
      </c>
      <c r="I414" s="19" t="s">
        <v>249</v>
      </c>
      <c r="J414" s="19" t="s">
        <v>39</v>
      </c>
      <c r="K414">
        <v>3</v>
      </c>
      <c r="L414">
        <v>2</v>
      </c>
      <c r="M414">
        <v>-1.39</v>
      </c>
      <c r="N414" s="19" t="s">
        <v>39</v>
      </c>
      <c r="O414" s="19" t="s">
        <v>291</v>
      </c>
      <c r="P414" s="19" t="s">
        <v>289</v>
      </c>
      <c r="Q414" s="19" t="s">
        <v>285</v>
      </c>
      <c r="R414" s="19" t="s">
        <v>248</v>
      </c>
      <c r="S414" s="19" t="s">
        <v>248</v>
      </c>
      <c r="T414" s="19" t="s">
        <v>286</v>
      </c>
    </row>
    <row r="415" spans="1:20" x14ac:dyDescent="0.2">
      <c r="A415" s="1">
        <v>46049</v>
      </c>
      <c r="B415" s="2">
        <v>0.79166666666666663</v>
      </c>
      <c r="C415" s="19" t="s">
        <v>11</v>
      </c>
      <c r="D415" s="19" t="s">
        <v>55</v>
      </c>
      <c r="E415" s="19" t="s">
        <v>11</v>
      </c>
      <c r="F415">
        <v>4</v>
      </c>
      <c r="G415">
        <v>3</v>
      </c>
      <c r="H415">
        <v>0.53049999999999997</v>
      </c>
      <c r="I415" s="19" t="s">
        <v>249</v>
      </c>
      <c r="J415" s="19" t="s">
        <v>55</v>
      </c>
      <c r="K415">
        <v>3</v>
      </c>
      <c r="L415">
        <v>2</v>
      </c>
      <c r="M415">
        <v>-0.35</v>
      </c>
      <c r="N415" s="19" t="s">
        <v>55</v>
      </c>
      <c r="O415" s="19" t="s">
        <v>291</v>
      </c>
      <c r="P415" s="19" t="s">
        <v>289</v>
      </c>
      <c r="Q415" s="19" t="s">
        <v>285</v>
      </c>
      <c r="R415" s="19" t="s">
        <v>249</v>
      </c>
      <c r="S415" s="19" t="s">
        <v>248</v>
      </c>
      <c r="T415" s="19" t="s">
        <v>286</v>
      </c>
    </row>
    <row r="416" spans="1:20" x14ac:dyDescent="0.2">
      <c r="A416" s="1">
        <v>46050</v>
      </c>
      <c r="B416" s="2">
        <v>0.8125</v>
      </c>
      <c r="C416" s="19" t="s">
        <v>30</v>
      </c>
      <c r="D416" s="19" t="s">
        <v>15</v>
      </c>
      <c r="E416" s="19" t="s">
        <v>30</v>
      </c>
      <c r="F416">
        <v>3</v>
      </c>
      <c r="G416">
        <v>2</v>
      </c>
      <c r="H416">
        <v>0.66790000000000005</v>
      </c>
      <c r="I416" s="19" t="s">
        <v>249</v>
      </c>
      <c r="J416" s="19" t="s">
        <v>30</v>
      </c>
      <c r="K416">
        <v>3</v>
      </c>
      <c r="L416">
        <v>2</v>
      </c>
      <c r="M416">
        <v>0.56999999999999995</v>
      </c>
      <c r="N416" s="19" t="s">
        <v>30</v>
      </c>
      <c r="O416" s="19" t="s">
        <v>283</v>
      </c>
      <c r="P416" s="19" t="s">
        <v>284</v>
      </c>
      <c r="Q416" s="19" t="s">
        <v>285</v>
      </c>
      <c r="R416" s="19" t="s">
        <v>248</v>
      </c>
      <c r="S416" s="19" t="s">
        <v>248</v>
      </c>
      <c r="T416" s="19" t="s">
        <v>286</v>
      </c>
    </row>
    <row r="417" spans="1:20" x14ac:dyDescent="0.2">
      <c r="A417" s="1">
        <v>46050</v>
      </c>
      <c r="B417" s="2">
        <v>0.79166666666666663</v>
      </c>
      <c r="C417" s="19" t="s">
        <v>28</v>
      </c>
      <c r="D417" s="19" t="s">
        <v>27</v>
      </c>
      <c r="E417" s="19" t="s">
        <v>27</v>
      </c>
      <c r="F417">
        <v>3</v>
      </c>
      <c r="G417">
        <v>4</v>
      </c>
      <c r="H417">
        <v>0.59870000000000001</v>
      </c>
      <c r="I417" s="19" t="s">
        <v>249</v>
      </c>
      <c r="J417" s="19" t="s">
        <v>28</v>
      </c>
      <c r="K417">
        <v>3</v>
      </c>
      <c r="L417">
        <v>2</v>
      </c>
      <c r="M417">
        <v>0.06</v>
      </c>
      <c r="N417" s="19" t="s">
        <v>28</v>
      </c>
      <c r="O417" s="19" t="s">
        <v>283</v>
      </c>
      <c r="P417" s="19" t="s">
        <v>291</v>
      </c>
      <c r="Q417" s="19" t="s">
        <v>285</v>
      </c>
      <c r="R417" s="19" t="s">
        <v>249</v>
      </c>
      <c r="S417" s="19" t="s">
        <v>248</v>
      </c>
      <c r="T417" s="19" t="s">
        <v>286</v>
      </c>
    </row>
    <row r="418" spans="1:20" x14ac:dyDescent="0.2">
      <c r="A418" s="1">
        <v>46050</v>
      </c>
      <c r="B418" s="2">
        <v>0.8125</v>
      </c>
      <c r="C418" s="19" t="s">
        <v>36</v>
      </c>
      <c r="D418" s="19" t="s">
        <v>12</v>
      </c>
      <c r="E418" s="19" t="s">
        <v>12</v>
      </c>
      <c r="F418">
        <v>3</v>
      </c>
      <c r="G418">
        <v>4</v>
      </c>
      <c r="H418">
        <v>0.78369999999999995</v>
      </c>
      <c r="I418" s="19" t="s">
        <v>249</v>
      </c>
      <c r="J418" s="19" t="s">
        <v>12</v>
      </c>
      <c r="K418">
        <v>3</v>
      </c>
      <c r="L418">
        <v>2</v>
      </c>
      <c r="M418">
        <v>-1.4</v>
      </c>
      <c r="N418" s="19" t="s">
        <v>36</v>
      </c>
      <c r="O418" s="19" t="s">
        <v>283</v>
      </c>
      <c r="P418" s="19" t="s">
        <v>284</v>
      </c>
      <c r="Q418" s="19" t="s">
        <v>285</v>
      </c>
      <c r="R418" s="19" t="s">
        <v>249</v>
      </c>
      <c r="S418" s="19" t="s">
        <v>249</v>
      </c>
      <c r="T418" s="19" t="s">
        <v>286</v>
      </c>
    </row>
    <row r="419" spans="1:20" x14ac:dyDescent="0.2">
      <c r="A419" s="1">
        <v>46051</v>
      </c>
      <c r="B419" s="2">
        <v>0.79166666666666663</v>
      </c>
      <c r="C419" s="19" t="s">
        <v>15</v>
      </c>
      <c r="D419" s="19" t="s">
        <v>30</v>
      </c>
      <c r="E419" s="19" t="s">
        <v>30</v>
      </c>
      <c r="F419">
        <v>2</v>
      </c>
      <c r="G419">
        <v>4</v>
      </c>
      <c r="H419">
        <v>0.83120000000000005</v>
      </c>
      <c r="I419" s="19" t="s">
        <v>249</v>
      </c>
      <c r="J419" s="19" t="s">
        <v>30</v>
      </c>
      <c r="K419">
        <v>3</v>
      </c>
      <c r="L419">
        <v>2</v>
      </c>
      <c r="M419">
        <v>-0.45</v>
      </c>
      <c r="N419" s="19" t="s">
        <v>60</v>
      </c>
      <c r="O419" s="19" t="s">
        <v>60</v>
      </c>
      <c r="P419" s="19" t="s">
        <v>60</v>
      </c>
      <c r="Q419" s="19" t="s">
        <v>60</v>
      </c>
      <c r="R419" s="19" t="s">
        <v>60</v>
      </c>
      <c r="S419" s="19" t="s">
        <v>60</v>
      </c>
      <c r="T419" s="19" t="s">
        <v>281</v>
      </c>
    </row>
    <row r="420" spans="1:20" x14ac:dyDescent="0.2">
      <c r="A420" s="1">
        <v>46051</v>
      </c>
      <c r="B420" s="2">
        <v>0.79166666666666663</v>
      </c>
      <c r="C420" s="19" t="s">
        <v>37</v>
      </c>
      <c r="D420" s="19" t="s">
        <v>40</v>
      </c>
      <c r="E420" s="19" t="s">
        <v>37</v>
      </c>
      <c r="F420">
        <v>3</v>
      </c>
      <c r="G420">
        <v>1</v>
      </c>
      <c r="H420">
        <v>0.75980000000000003</v>
      </c>
      <c r="I420" s="19" t="s">
        <v>249</v>
      </c>
      <c r="J420" s="19" t="s">
        <v>37</v>
      </c>
      <c r="K420">
        <v>3</v>
      </c>
      <c r="L420">
        <v>2</v>
      </c>
      <c r="M420">
        <v>1.23</v>
      </c>
      <c r="N420" s="19" t="s">
        <v>60</v>
      </c>
      <c r="O420" s="19" t="s">
        <v>60</v>
      </c>
      <c r="P420" s="19" t="s">
        <v>60</v>
      </c>
      <c r="Q420" s="19" t="s">
        <v>60</v>
      </c>
      <c r="R420" s="19" t="s">
        <v>60</v>
      </c>
      <c r="S420" s="19" t="s">
        <v>60</v>
      </c>
      <c r="T420" s="19" t="s">
        <v>281</v>
      </c>
    </row>
    <row r="421" spans="1:20" x14ac:dyDescent="0.2">
      <c r="A421" s="1">
        <v>46051</v>
      </c>
      <c r="B421" s="2">
        <v>0.83333333333333337</v>
      </c>
      <c r="C421" s="19" t="s">
        <v>35</v>
      </c>
      <c r="D421" s="19" t="s">
        <v>11</v>
      </c>
      <c r="E421" s="19" t="s">
        <v>11</v>
      </c>
      <c r="F421">
        <v>3</v>
      </c>
      <c r="G421">
        <v>4</v>
      </c>
      <c r="H421">
        <v>0.72970000000000002</v>
      </c>
      <c r="I421" s="19" t="s">
        <v>249</v>
      </c>
      <c r="J421" s="19" t="s">
        <v>11</v>
      </c>
      <c r="K421">
        <v>3</v>
      </c>
      <c r="L421">
        <v>2</v>
      </c>
      <c r="M421">
        <v>-0.78</v>
      </c>
      <c r="N421" s="19" t="s">
        <v>60</v>
      </c>
      <c r="O421" s="19" t="s">
        <v>60</v>
      </c>
      <c r="P421" s="19" t="s">
        <v>60</v>
      </c>
      <c r="Q421" s="19" t="s">
        <v>60</v>
      </c>
      <c r="R421" s="19" t="s">
        <v>60</v>
      </c>
      <c r="S421" s="19" t="s">
        <v>60</v>
      </c>
      <c r="T421" s="19" t="s">
        <v>281</v>
      </c>
    </row>
    <row r="422" spans="1:20" x14ac:dyDescent="0.2">
      <c r="A422" s="1">
        <v>46051</v>
      </c>
      <c r="B422" s="2">
        <v>0.91666666666666663</v>
      </c>
      <c r="C422" s="19" t="s">
        <v>32</v>
      </c>
      <c r="D422" s="19" t="s">
        <v>19</v>
      </c>
      <c r="E422" s="19" t="s">
        <v>19</v>
      </c>
      <c r="F422">
        <v>3</v>
      </c>
      <c r="G422">
        <v>4</v>
      </c>
      <c r="H422">
        <v>0.56710000000000005</v>
      </c>
      <c r="I422" s="19" t="s">
        <v>249</v>
      </c>
      <c r="J422" s="19" t="s">
        <v>32</v>
      </c>
      <c r="K422">
        <v>3</v>
      </c>
      <c r="L422">
        <v>2</v>
      </c>
      <c r="M422">
        <v>0.06</v>
      </c>
      <c r="N422" s="19" t="s">
        <v>60</v>
      </c>
      <c r="O422" s="19" t="s">
        <v>60</v>
      </c>
      <c r="P422" s="19" t="s">
        <v>60</v>
      </c>
      <c r="Q422" s="19" t="s">
        <v>60</v>
      </c>
      <c r="R422" s="19" t="s">
        <v>60</v>
      </c>
      <c r="S422" s="19" t="s">
        <v>60</v>
      </c>
      <c r="T422" s="19" t="s">
        <v>281</v>
      </c>
    </row>
    <row r="423" spans="1:20" x14ac:dyDescent="0.2">
      <c r="A423" s="1">
        <v>46051</v>
      </c>
      <c r="B423" s="2">
        <v>0.79166666666666663</v>
      </c>
      <c r="C423" s="19" t="s">
        <v>14</v>
      </c>
      <c r="D423" s="19" t="s">
        <v>10</v>
      </c>
      <c r="E423" s="19" t="s">
        <v>14</v>
      </c>
      <c r="F423">
        <v>4</v>
      </c>
      <c r="G423">
        <v>3</v>
      </c>
      <c r="H423">
        <v>0.74890000000000001</v>
      </c>
      <c r="I423" s="19" t="s">
        <v>249</v>
      </c>
      <c r="J423" s="19" t="s">
        <v>14</v>
      </c>
      <c r="K423">
        <v>3</v>
      </c>
      <c r="L423">
        <v>2</v>
      </c>
      <c r="M423">
        <v>0.86</v>
      </c>
      <c r="N423" s="19" t="s">
        <v>60</v>
      </c>
      <c r="O423" s="19" t="s">
        <v>60</v>
      </c>
      <c r="P423" s="19" t="s">
        <v>60</v>
      </c>
      <c r="Q423" s="19" t="s">
        <v>60</v>
      </c>
      <c r="R423" s="19" t="s">
        <v>60</v>
      </c>
      <c r="S423" s="19" t="s">
        <v>60</v>
      </c>
      <c r="T423" s="19" t="s">
        <v>281</v>
      </c>
    </row>
    <row r="424" spans="1:20" x14ac:dyDescent="0.2">
      <c r="A424" s="1">
        <v>46051</v>
      </c>
      <c r="B424" s="2">
        <v>0.79166666666666663</v>
      </c>
      <c r="C424" s="19" t="s">
        <v>24</v>
      </c>
      <c r="D424" s="19" t="s">
        <v>29</v>
      </c>
      <c r="E424" s="19" t="s">
        <v>29</v>
      </c>
      <c r="F424">
        <v>3</v>
      </c>
      <c r="G424">
        <v>4</v>
      </c>
      <c r="H424">
        <v>0.66669999999999996</v>
      </c>
      <c r="I424" s="19" t="s">
        <v>249</v>
      </c>
      <c r="J424" s="19" t="s">
        <v>24</v>
      </c>
      <c r="K424">
        <v>3</v>
      </c>
      <c r="L424">
        <v>2</v>
      </c>
      <c r="M424">
        <v>0.28000000000000003</v>
      </c>
      <c r="N424" s="19" t="s">
        <v>60</v>
      </c>
      <c r="O424" s="19" t="s">
        <v>60</v>
      </c>
      <c r="P424" s="19" t="s">
        <v>60</v>
      </c>
      <c r="Q424" s="19" t="s">
        <v>60</v>
      </c>
      <c r="R424" s="19" t="s">
        <v>60</v>
      </c>
      <c r="S424" s="19" t="s">
        <v>60</v>
      </c>
      <c r="T424" s="19" t="s">
        <v>281</v>
      </c>
    </row>
    <row r="425" spans="1:20" x14ac:dyDescent="0.2">
      <c r="A425" s="1">
        <v>46051</v>
      </c>
      <c r="B425" s="2">
        <v>0.91666666666666663</v>
      </c>
      <c r="C425" s="19" t="s">
        <v>38</v>
      </c>
      <c r="D425" s="19" t="s">
        <v>31</v>
      </c>
      <c r="E425" s="19" t="s">
        <v>31</v>
      </c>
      <c r="F425">
        <v>3</v>
      </c>
      <c r="G425">
        <v>5</v>
      </c>
      <c r="H425">
        <v>0.82079999999999997</v>
      </c>
      <c r="I425" s="19" t="s">
        <v>249</v>
      </c>
      <c r="J425" s="19" t="s">
        <v>31</v>
      </c>
      <c r="K425">
        <v>3</v>
      </c>
      <c r="L425">
        <v>2</v>
      </c>
      <c r="M425">
        <v>-0.77</v>
      </c>
      <c r="N425" s="19" t="s">
        <v>60</v>
      </c>
      <c r="O425" s="19" t="s">
        <v>60</v>
      </c>
      <c r="P425" s="19" t="s">
        <v>60</v>
      </c>
      <c r="Q425" s="19" t="s">
        <v>60</v>
      </c>
      <c r="R425" s="19" t="s">
        <v>60</v>
      </c>
      <c r="S425" s="19" t="s">
        <v>60</v>
      </c>
      <c r="T425" s="19" t="s">
        <v>281</v>
      </c>
    </row>
    <row r="426" spans="1:20" x14ac:dyDescent="0.2">
      <c r="A426" s="1">
        <v>46051</v>
      </c>
      <c r="B426" s="2">
        <v>0.83333333333333337</v>
      </c>
      <c r="C426" s="19" t="s">
        <v>34</v>
      </c>
      <c r="D426" s="19" t="s">
        <v>16</v>
      </c>
      <c r="E426" s="19" t="s">
        <v>34</v>
      </c>
      <c r="F426">
        <v>3</v>
      </c>
      <c r="G426">
        <v>2</v>
      </c>
      <c r="H426">
        <v>0.75570000000000004</v>
      </c>
      <c r="I426" s="19" t="s">
        <v>249</v>
      </c>
      <c r="J426" s="19" t="s">
        <v>34</v>
      </c>
      <c r="K426">
        <v>3</v>
      </c>
      <c r="L426">
        <v>2</v>
      </c>
      <c r="M426">
        <v>0.93</v>
      </c>
      <c r="N426" s="19" t="s">
        <v>60</v>
      </c>
      <c r="O426" s="19" t="s">
        <v>60</v>
      </c>
      <c r="P426" s="19" t="s">
        <v>60</v>
      </c>
      <c r="Q426" s="19" t="s">
        <v>60</v>
      </c>
      <c r="R426" s="19" t="s">
        <v>60</v>
      </c>
      <c r="S426" s="19" t="s">
        <v>60</v>
      </c>
      <c r="T426" s="19" t="s">
        <v>281</v>
      </c>
    </row>
    <row r="427" spans="1:20" x14ac:dyDescent="0.2">
      <c r="A427" s="1">
        <v>46051</v>
      </c>
      <c r="B427" s="2">
        <v>0.875</v>
      </c>
      <c r="C427" s="19" t="s">
        <v>17</v>
      </c>
      <c r="D427" s="19" t="s">
        <v>33</v>
      </c>
      <c r="E427" s="19" t="s">
        <v>33</v>
      </c>
      <c r="F427">
        <v>4</v>
      </c>
      <c r="G427">
        <v>5</v>
      </c>
      <c r="H427">
        <v>0.62839999999999996</v>
      </c>
      <c r="I427" s="19" t="s">
        <v>249</v>
      </c>
      <c r="J427" s="19" t="s">
        <v>17</v>
      </c>
      <c r="K427">
        <v>3</v>
      </c>
      <c r="L427">
        <v>2</v>
      </c>
      <c r="M427">
        <v>0.46</v>
      </c>
      <c r="N427" s="19" t="s">
        <v>60</v>
      </c>
      <c r="O427" s="19" t="s">
        <v>60</v>
      </c>
      <c r="P427" s="19" t="s">
        <v>60</v>
      </c>
      <c r="Q427" s="19" t="s">
        <v>60</v>
      </c>
      <c r="R427" s="19" t="s">
        <v>60</v>
      </c>
      <c r="S427" s="19" t="s">
        <v>60</v>
      </c>
      <c r="T427" s="19" t="s">
        <v>281</v>
      </c>
    </row>
    <row r="428" spans="1:20" x14ac:dyDescent="0.2">
      <c r="A428" s="1">
        <v>46051</v>
      </c>
      <c r="B428" s="2">
        <v>0.8125</v>
      </c>
      <c r="C428" s="19" t="s">
        <v>26</v>
      </c>
      <c r="D428" s="19" t="s">
        <v>22</v>
      </c>
      <c r="E428" s="19" t="s">
        <v>26</v>
      </c>
      <c r="F428">
        <v>4</v>
      </c>
      <c r="G428">
        <v>3</v>
      </c>
      <c r="H428">
        <v>0.78110000000000002</v>
      </c>
      <c r="I428" s="19" t="s">
        <v>248</v>
      </c>
      <c r="J428" s="19" t="s">
        <v>26</v>
      </c>
      <c r="K428">
        <v>3</v>
      </c>
      <c r="L428">
        <v>2</v>
      </c>
      <c r="M428">
        <v>0.05</v>
      </c>
      <c r="N428" s="19" t="s">
        <v>60</v>
      </c>
      <c r="O428" s="19" t="s">
        <v>60</v>
      </c>
      <c r="P428" s="19" t="s">
        <v>60</v>
      </c>
      <c r="Q428" s="19" t="s">
        <v>60</v>
      </c>
      <c r="R428" s="19" t="s">
        <v>60</v>
      </c>
      <c r="S428" s="19" t="s">
        <v>60</v>
      </c>
      <c r="T428" s="19" t="s">
        <v>281</v>
      </c>
    </row>
    <row r="429" spans="1:20" x14ac:dyDescent="0.2">
      <c r="A429" s="1">
        <v>46051</v>
      </c>
      <c r="B429" s="2">
        <v>0.79166666666666663</v>
      </c>
      <c r="C429" s="19" t="s">
        <v>25</v>
      </c>
      <c r="D429" s="19" t="s">
        <v>55</v>
      </c>
      <c r="E429" s="19" t="s">
        <v>55</v>
      </c>
      <c r="F429">
        <v>3</v>
      </c>
      <c r="G429">
        <v>4</v>
      </c>
      <c r="H429">
        <v>0.51739999999999997</v>
      </c>
      <c r="I429" s="19" t="s">
        <v>249</v>
      </c>
      <c r="J429" s="19" t="s">
        <v>25</v>
      </c>
      <c r="K429">
        <v>3</v>
      </c>
      <c r="L429">
        <v>2</v>
      </c>
      <c r="M429">
        <v>0.28000000000000003</v>
      </c>
      <c r="N429" s="19" t="s">
        <v>60</v>
      </c>
      <c r="O429" s="19" t="s">
        <v>60</v>
      </c>
      <c r="P429" s="19" t="s">
        <v>60</v>
      </c>
      <c r="Q429" s="19" t="s">
        <v>60</v>
      </c>
      <c r="R429" s="19" t="s">
        <v>60</v>
      </c>
      <c r="S429" s="19" t="s">
        <v>60</v>
      </c>
      <c r="T429" s="19" t="s">
        <v>281</v>
      </c>
    </row>
    <row r="430" spans="1:20" x14ac:dyDescent="0.2">
      <c r="A430" s="1">
        <v>46051</v>
      </c>
      <c r="B430" s="2">
        <v>0.79166666666666663</v>
      </c>
      <c r="C430" s="19" t="s">
        <v>23</v>
      </c>
      <c r="D430" s="19" t="s">
        <v>13</v>
      </c>
      <c r="E430" s="19" t="s">
        <v>13</v>
      </c>
      <c r="F430">
        <v>3</v>
      </c>
      <c r="G430">
        <v>4</v>
      </c>
      <c r="H430">
        <v>0.57179999999999997</v>
      </c>
      <c r="I430" s="19" t="s">
        <v>249</v>
      </c>
      <c r="J430" s="19" t="s">
        <v>23</v>
      </c>
      <c r="K430">
        <v>3</v>
      </c>
      <c r="L430">
        <v>2</v>
      </c>
      <c r="M430">
        <v>0.6</v>
      </c>
      <c r="N430" s="19" t="s">
        <v>60</v>
      </c>
      <c r="O430" s="19" t="s">
        <v>60</v>
      </c>
      <c r="P430" s="19" t="s">
        <v>60</v>
      </c>
      <c r="Q430" s="19" t="s">
        <v>60</v>
      </c>
      <c r="R430" s="19" t="s">
        <v>60</v>
      </c>
      <c r="S430" s="19" t="s">
        <v>60</v>
      </c>
      <c r="T430" s="19" t="s">
        <v>281</v>
      </c>
    </row>
    <row r="431" spans="1:20" x14ac:dyDescent="0.2">
      <c r="A431" s="1">
        <v>46051</v>
      </c>
      <c r="B431" s="2">
        <v>0.79166666666666663</v>
      </c>
      <c r="C431" s="19" t="s">
        <v>21</v>
      </c>
      <c r="D431" s="19" t="s">
        <v>27</v>
      </c>
      <c r="E431" s="19" t="s">
        <v>21</v>
      </c>
      <c r="F431">
        <v>4</v>
      </c>
      <c r="G431">
        <v>3</v>
      </c>
      <c r="H431">
        <v>0.65529999999999999</v>
      </c>
      <c r="I431" s="19" t="s">
        <v>249</v>
      </c>
      <c r="J431" s="19" t="s">
        <v>21</v>
      </c>
      <c r="K431">
        <v>3</v>
      </c>
      <c r="L431">
        <v>2</v>
      </c>
      <c r="M431">
        <v>0.48</v>
      </c>
      <c r="N431" s="19" t="s">
        <v>60</v>
      </c>
      <c r="O431" s="19" t="s">
        <v>60</v>
      </c>
      <c r="P431" s="19" t="s">
        <v>60</v>
      </c>
      <c r="Q431" s="19" t="s">
        <v>60</v>
      </c>
      <c r="R431" s="19" t="s">
        <v>60</v>
      </c>
      <c r="S431" s="19" t="s">
        <v>60</v>
      </c>
      <c r="T431" s="19" t="s">
        <v>281</v>
      </c>
    </row>
    <row r="432" spans="1:20" x14ac:dyDescent="0.2">
      <c r="A432" s="1">
        <v>46051</v>
      </c>
      <c r="B432" s="2">
        <v>0.79166666666666663</v>
      </c>
      <c r="C432" s="19" t="s">
        <v>18</v>
      </c>
      <c r="D432" s="19" t="s">
        <v>12</v>
      </c>
      <c r="E432" s="19" t="s">
        <v>12</v>
      </c>
      <c r="F432">
        <v>3</v>
      </c>
      <c r="G432">
        <v>4</v>
      </c>
      <c r="H432">
        <v>0.70699999999999996</v>
      </c>
      <c r="I432" s="19" t="s">
        <v>249</v>
      </c>
      <c r="J432" s="19" t="s">
        <v>12</v>
      </c>
      <c r="K432">
        <v>3</v>
      </c>
      <c r="L432">
        <v>2</v>
      </c>
      <c r="M432">
        <v>-1.23</v>
      </c>
      <c r="N432" s="19" t="s">
        <v>60</v>
      </c>
      <c r="O432" s="19" t="s">
        <v>60</v>
      </c>
      <c r="P432" s="19" t="s">
        <v>60</v>
      </c>
      <c r="Q432" s="19" t="s">
        <v>60</v>
      </c>
      <c r="R432" s="19" t="s">
        <v>60</v>
      </c>
      <c r="S432" s="19" t="s">
        <v>60</v>
      </c>
      <c r="T432" s="19" t="s">
        <v>281</v>
      </c>
    </row>
    <row r="433" spans="1:20" x14ac:dyDescent="0.2">
      <c r="A433" s="1">
        <v>46051</v>
      </c>
      <c r="B433" s="2">
        <v>0.91666666666666663</v>
      </c>
      <c r="C433" s="19" t="s">
        <v>20</v>
      </c>
      <c r="D433" s="19" t="s">
        <v>39</v>
      </c>
      <c r="E433" s="19" t="s">
        <v>39</v>
      </c>
      <c r="F433">
        <v>3</v>
      </c>
      <c r="G433">
        <v>4</v>
      </c>
      <c r="H433">
        <v>0.70030000000000003</v>
      </c>
      <c r="I433" s="19" t="s">
        <v>249</v>
      </c>
      <c r="J433" s="19" t="s">
        <v>39</v>
      </c>
      <c r="K433">
        <v>3</v>
      </c>
      <c r="L433">
        <v>2</v>
      </c>
      <c r="M433">
        <v>-0.25</v>
      </c>
      <c r="N433" s="19" t="s">
        <v>60</v>
      </c>
      <c r="O433" s="19" t="s">
        <v>60</v>
      </c>
      <c r="P433" s="19" t="s">
        <v>60</v>
      </c>
      <c r="Q433" s="19" t="s">
        <v>60</v>
      </c>
      <c r="R433" s="19" t="s">
        <v>60</v>
      </c>
      <c r="S433" s="19" t="s">
        <v>60</v>
      </c>
      <c r="T433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009"/>
  <sheetViews>
    <sheetView zoomScale="87" workbookViewId="0">
      <selection activeCell="H19" sqref="H1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326</v>
      </c>
      <c r="C2">
        <v>29</v>
      </c>
      <c r="D2" s="19" t="s">
        <v>327</v>
      </c>
      <c r="E2" s="19" t="s">
        <v>322</v>
      </c>
      <c r="F2">
        <v>54</v>
      </c>
      <c r="G2">
        <v>33</v>
      </c>
      <c r="H2">
        <v>59</v>
      </c>
      <c r="I2">
        <v>92</v>
      </c>
      <c r="J2">
        <v>13</v>
      </c>
      <c r="K2">
        <v>20</v>
      </c>
      <c r="L2">
        <v>22</v>
      </c>
      <c r="M2">
        <v>10</v>
      </c>
      <c r="N2">
        <v>1</v>
      </c>
      <c r="O2">
        <v>2</v>
      </c>
      <c r="P2">
        <v>30</v>
      </c>
      <c r="Q2">
        <v>28</v>
      </c>
      <c r="R2">
        <v>1</v>
      </c>
      <c r="S2">
        <v>203</v>
      </c>
      <c r="T2">
        <v>16.3</v>
      </c>
      <c r="U2">
        <v>346</v>
      </c>
      <c r="V2" s="19" t="s">
        <v>2380</v>
      </c>
      <c r="W2" s="19" t="s">
        <v>2034</v>
      </c>
      <c r="X2">
        <v>291</v>
      </c>
      <c r="Y2">
        <v>328</v>
      </c>
      <c r="Z2">
        <v>47</v>
      </c>
      <c r="AA2">
        <v>20</v>
      </c>
      <c r="AB2">
        <v>22</v>
      </c>
      <c r="AC2">
        <v>19</v>
      </c>
      <c r="AD2">
        <v>85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51</v>
      </c>
      <c r="G3">
        <v>38</v>
      </c>
      <c r="H3">
        <v>50</v>
      </c>
      <c r="I3">
        <v>88</v>
      </c>
      <c r="J3">
        <v>46</v>
      </c>
      <c r="K3">
        <v>18</v>
      </c>
      <c r="L3">
        <v>30</v>
      </c>
      <c r="M3">
        <v>8</v>
      </c>
      <c r="N3">
        <v>0</v>
      </c>
      <c r="O3">
        <v>5</v>
      </c>
      <c r="P3">
        <v>36</v>
      </c>
      <c r="Q3">
        <v>14</v>
      </c>
      <c r="R3">
        <v>0</v>
      </c>
      <c r="S3">
        <v>229</v>
      </c>
      <c r="T3">
        <v>16.600000000000001</v>
      </c>
      <c r="U3">
        <v>387</v>
      </c>
      <c r="V3" s="19" t="s">
        <v>2841</v>
      </c>
      <c r="W3" s="19" t="s">
        <v>715</v>
      </c>
      <c r="X3">
        <v>486</v>
      </c>
      <c r="Y3">
        <v>466</v>
      </c>
      <c r="Z3">
        <v>51.1</v>
      </c>
      <c r="AA3">
        <v>27</v>
      </c>
      <c r="AB3">
        <v>44</v>
      </c>
      <c r="AC3">
        <v>14</v>
      </c>
      <c r="AD3">
        <v>103</v>
      </c>
      <c r="AE3" s="19" t="s">
        <v>60</v>
      </c>
    </row>
    <row r="4" spans="1:31" x14ac:dyDescent="0.2">
      <c r="A4">
        <v>3</v>
      </c>
      <c r="B4" s="19" t="s">
        <v>350</v>
      </c>
      <c r="C4">
        <v>32</v>
      </c>
      <c r="D4" s="19" t="s">
        <v>351</v>
      </c>
      <c r="E4" s="19" t="s">
        <v>334</v>
      </c>
      <c r="F4">
        <v>47</v>
      </c>
      <c r="G4">
        <v>26</v>
      </c>
      <c r="H4">
        <v>54</v>
      </c>
      <c r="I4">
        <v>80</v>
      </c>
      <c r="J4">
        <v>25</v>
      </c>
      <c r="K4">
        <v>22</v>
      </c>
      <c r="L4">
        <v>20</v>
      </c>
      <c r="M4">
        <v>6</v>
      </c>
      <c r="N4">
        <v>0</v>
      </c>
      <c r="O4">
        <v>4</v>
      </c>
      <c r="P4">
        <v>35</v>
      </c>
      <c r="Q4">
        <v>19</v>
      </c>
      <c r="R4">
        <v>0</v>
      </c>
      <c r="S4">
        <v>136</v>
      </c>
      <c r="T4">
        <v>19.100000000000001</v>
      </c>
      <c r="U4">
        <v>329</v>
      </c>
      <c r="V4" s="19" t="s">
        <v>2381</v>
      </c>
      <c r="W4" s="19" t="s">
        <v>1927</v>
      </c>
      <c r="X4">
        <v>0</v>
      </c>
      <c r="Y4">
        <v>2</v>
      </c>
      <c r="Z4">
        <v>0</v>
      </c>
      <c r="AA4">
        <v>19</v>
      </c>
      <c r="AB4">
        <v>16</v>
      </c>
      <c r="AC4">
        <v>12</v>
      </c>
      <c r="AD4">
        <v>77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51</v>
      </c>
      <c r="G5">
        <v>27</v>
      </c>
      <c r="H5">
        <v>51</v>
      </c>
      <c r="I5">
        <v>78</v>
      </c>
      <c r="J5">
        <v>14</v>
      </c>
      <c r="K5">
        <v>30</v>
      </c>
      <c r="L5">
        <v>22</v>
      </c>
      <c r="M5">
        <v>5</v>
      </c>
      <c r="N5">
        <v>0</v>
      </c>
      <c r="O5">
        <v>4</v>
      </c>
      <c r="P5">
        <v>32</v>
      </c>
      <c r="Q5">
        <v>19</v>
      </c>
      <c r="R5">
        <v>0</v>
      </c>
      <c r="S5">
        <v>177</v>
      </c>
      <c r="T5">
        <v>15.3</v>
      </c>
      <c r="U5">
        <v>339</v>
      </c>
      <c r="V5" s="19" t="s">
        <v>2382</v>
      </c>
      <c r="W5" s="19" t="s">
        <v>1508</v>
      </c>
      <c r="X5">
        <v>393</v>
      </c>
      <c r="Y5">
        <v>399</v>
      </c>
      <c r="Z5">
        <v>49.6</v>
      </c>
      <c r="AA5">
        <v>32</v>
      </c>
      <c r="AB5">
        <v>27</v>
      </c>
      <c r="AC5">
        <v>31</v>
      </c>
      <c r="AD5">
        <v>79</v>
      </c>
      <c r="AE5" s="19" t="s">
        <v>60</v>
      </c>
    </row>
    <row r="6" spans="1:31" x14ac:dyDescent="0.2">
      <c r="A6">
        <v>5</v>
      </c>
      <c r="B6" s="19" t="s">
        <v>341</v>
      </c>
      <c r="C6">
        <v>30</v>
      </c>
      <c r="D6" s="19" t="s">
        <v>327</v>
      </c>
      <c r="E6" s="19" t="s">
        <v>322</v>
      </c>
      <c r="F6">
        <v>51</v>
      </c>
      <c r="G6">
        <v>25</v>
      </c>
      <c r="H6">
        <v>49</v>
      </c>
      <c r="I6">
        <v>74</v>
      </c>
      <c r="J6">
        <v>11</v>
      </c>
      <c r="K6">
        <v>24</v>
      </c>
      <c r="L6">
        <v>13</v>
      </c>
      <c r="M6">
        <v>11</v>
      </c>
      <c r="N6">
        <v>1</v>
      </c>
      <c r="O6">
        <v>2</v>
      </c>
      <c r="P6">
        <v>28</v>
      </c>
      <c r="Q6">
        <v>21</v>
      </c>
      <c r="R6">
        <v>0</v>
      </c>
      <c r="S6">
        <v>145</v>
      </c>
      <c r="T6">
        <v>17.2</v>
      </c>
      <c r="U6">
        <v>291</v>
      </c>
      <c r="V6" s="19" t="s">
        <v>2383</v>
      </c>
      <c r="W6" s="19" t="s">
        <v>1956</v>
      </c>
      <c r="X6">
        <v>476</v>
      </c>
      <c r="Y6">
        <v>378</v>
      </c>
      <c r="Z6">
        <v>55.7</v>
      </c>
      <c r="AA6">
        <v>13</v>
      </c>
      <c r="AB6">
        <v>23</v>
      </c>
      <c r="AC6">
        <v>21</v>
      </c>
      <c r="AD6">
        <v>87</v>
      </c>
      <c r="AE6" s="19" t="s">
        <v>60</v>
      </c>
    </row>
    <row r="7" spans="1:31" x14ac:dyDescent="0.2">
      <c r="A7">
        <v>6</v>
      </c>
      <c r="B7" s="19" t="s">
        <v>387</v>
      </c>
      <c r="C7">
        <v>29</v>
      </c>
      <c r="D7" s="19" t="s">
        <v>354</v>
      </c>
      <c r="E7" s="19" t="s">
        <v>334</v>
      </c>
      <c r="F7">
        <v>49</v>
      </c>
      <c r="G7">
        <v>22</v>
      </c>
      <c r="H7">
        <v>47</v>
      </c>
      <c r="I7">
        <v>69</v>
      </c>
      <c r="J7">
        <v>-1</v>
      </c>
      <c r="K7">
        <v>38</v>
      </c>
      <c r="L7">
        <v>13</v>
      </c>
      <c r="M7">
        <v>9</v>
      </c>
      <c r="N7">
        <v>0</v>
      </c>
      <c r="O7">
        <v>4</v>
      </c>
      <c r="P7">
        <v>31</v>
      </c>
      <c r="Q7">
        <v>16</v>
      </c>
      <c r="R7">
        <v>0</v>
      </c>
      <c r="S7">
        <v>175</v>
      </c>
      <c r="T7">
        <v>12.6</v>
      </c>
      <c r="U7">
        <v>379</v>
      </c>
      <c r="V7" s="19" t="s">
        <v>2384</v>
      </c>
      <c r="W7" s="19" t="s">
        <v>2020</v>
      </c>
      <c r="X7">
        <v>1</v>
      </c>
      <c r="Y7">
        <v>3</v>
      </c>
      <c r="Z7">
        <v>25</v>
      </c>
      <c r="AA7">
        <v>19</v>
      </c>
      <c r="AB7">
        <v>58</v>
      </c>
      <c r="AC7">
        <v>18</v>
      </c>
      <c r="AD7">
        <v>83</v>
      </c>
      <c r="AE7" s="19" t="s">
        <v>60</v>
      </c>
    </row>
    <row r="8" spans="1:31" x14ac:dyDescent="0.2">
      <c r="A8">
        <v>7</v>
      </c>
      <c r="B8" s="19" t="s">
        <v>355</v>
      </c>
      <c r="C8">
        <v>28</v>
      </c>
      <c r="D8" s="19" t="s">
        <v>356</v>
      </c>
      <c r="E8" s="19" t="s">
        <v>339</v>
      </c>
      <c r="F8">
        <v>54</v>
      </c>
      <c r="G8">
        <v>28</v>
      </c>
      <c r="H8">
        <v>36</v>
      </c>
      <c r="I8">
        <v>64</v>
      </c>
      <c r="J8">
        <v>7</v>
      </c>
      <c r="K8">
        <v>18</v>
      </c>
      <c r="L8">
        <v>17</v>
      </c>
      <c r="M8">
        <v>11</v>
      </c>
      <c r="N8">
        <v>0</v>
      </c>
      <c r="O8">
        <v>3</v>
      </c>
      <c r="P8">
        <v>25</v>
      </c>
      <c r="Q8">
        <v>11</v>
      </c>
      <c r="R8">
        <v>0</v>
      </c>
      <c r="S8">
        <v>190</v>
      </c>
      <c r="T8">
        <v>14.7</v>
      </c>
      <c r="U8">
        <v>365</v>
      </c>
      <c r="V8" s="19" t="s">
        <v>2385</v>
      </c>
      <c r="W8" s="19" t="s">
        <v>1913</v>
      </c>
      <c r="X8">
        <v>0</v>
      </c>
      <c r="Y8">
        <v>2</v>
      </c>
      <c r="Z8">
        <v>0</v>
      </c>
      <c r="AA8">
        <v>19</v>
      </c>
      <c r="AB8">
        <v>33</v>
      </c>
      <c r="AC8">
        <v>16</v>
      </c>
      <c r="AD8">
        <v>78</v>
      </c>
      <c r="AE8" s="19" t="s">
        <v>60</v>
      </c>
    </row>
    <row r="9" spans="1:31" x14ac:dyDescent="0.2">
      <c r="A9">
        <v>8</v>
      </c>
      <c r="B9" s="19" t="s">
        <v>332</v>
      </c>
      <c r="C9">
        <v>29</v>
      </c>
      <c r="D9" s="19" t="s">
        <v>333</v>
      </c>
      <c r="E9" s="19" t="s">
        <v>334</v>
      </c>
      <c r="F9">
        <v>50</v>
      </c>
      <c r="G9">
        <v>19</v>
      </c>
      <c r="H9">
        <v>45</v>
      </c>
      <c r="I9">
        <v>64</v>
      </c>
      <c r="J9">
        <v>3</v>
      </c>
      <c r="K9">
        <v>79</v>
      </c>
      <c r="L9">
        <v>14</v>
      </c>
      <c r="M9">
        <v>5</v>
      </c>
      <c r="N9">
        <v>0</v>
      </c>
      <c r="O9">
        <v>1</v>
      </c>
      <c r="P9">
        <v>22</v>
      </c>
      <c r="Q9">
        <v>23</v>
      </c>
      <c r="R9">
        <v>0</v>
      </c>
      <c r="S9">
        <v>119</v>
      </c>
      <c r="T9">
        <v>16</v>
      </c>
      <c r="U9">
        <v>235</v>
      </c>
      <c r="V9" s="19" t="s">
        <v>2386</v>
      </c>
      <c r="W9" s="19" t="s">
        <v>2017</v>
      </c>
      <c r="X9">
        <v>29</v>
      </c>
      <c r="Y9">
        <v>29</v>
      </c>
      <c r="Z9">
        <v>50</v>
      </c>
      <c r="AA9">
        <v>26</v>
      </c>
      <c r="AB9">
        <v>38</v>
      </c>
      <c r="AC9">
        <v>16</v>
      </c>
      <c r="AD9">
        <v>62</v>
      </c>
      <c r="AE9" s="19" t="s">
        <v>60</v>
      </c>
    </row>
    <row r="10" spans="1:31" x14ac:dyDescent="0.2">
      <c r="A10">
        <v>9</v>
      </c>
      <c r="B10" s="19" t="s">
        <v>344</v>
      </c>
      <c r="C10">
        <v>32</v>
      </c>
      <c r="D10" s="19" t="s">
        <v>345</v>
      </c>
      <c r="E10" s="19" t="s">
        <v>322</v>
      </c>
      <c r="F10">
        <v>52</v>
      </c>
      <c r="G10">
        <v>26</v>
      </c>
      <c r="H10">
        <v>37</v>
      </c>
      <c r="I10">
        <v>63</v>
      </c>
      <c r="J10">
        <v>4</v>
      </c>
      <c r="K10">
        <v>22</v>
      </c>
      <c r="L10">
        <v>19</v>
      </c>
      <c r="M10">
        <v>7</v>
      </c>
      <c r="N10">
        <v>0</v>
      </c>
      <c r="O10">
        <v>3</v>
      </c>
      <c r="P10">
        <v>29</v>
      </c>
      <c r="Q10">
        <v>7</v>
      </c>
      <c r="R10">
        <v>1</v>
      </c>
      <c r="S10">
        <v>110</v>
      </c>
      <c r="T10">
        <v>23.6</v>
      </c>
      <c r="U10">
        <v>210</v>
      </c>
      <c r="V10" s="19" t="s">
        <v>2387</v>
      </c>
      <c r="W10" s="19" t="s">
        <v>1010</v>
      </c>
      <c r="X10">
        <v>367</v>
      </c>
      <c r="Y10">
        <v>432</v>
      </c>
      <c r="Z10">
        <v>45.9</v>
      </c>
      <c r="AA10">
        <v>27</v>
      </c>
      <c r="AB10">
        <v>21</v>
      </c>
      <c r="AC10">
        <v>16</v>
      </c>
      <c r="AD10">
        <v>70</v>
      </c>
      <c r="AE10" s="19" t="s">
        <v>60</v>
      </c>
    </row>
    <row r="11" spans="1:31" x14ac:dyDescent="0.2">
      <c r="A11">
        <v>10</v>
      </c>
      <c r="B11" s="19" t="s">
        <v>330</v>
      </c>
      <c r="C11">
        <v>27</v>
      </c>
      <c r="D11" s="19" t="s">
        <v>321</v>
      </c>
      <c r="E11" s="19" t="s">
        <v>322</v>
      </c>
      <c r="F11">
        <v>51</v>
      </c>
      <c r="G11">
        <v>22</v>
      </c>
      <c r="H11">
        <v>40</v>
      </c>
      <c r="I11">
        <v>62</v>
      </c>
      <c r="J11">
        <v>38</v>
      </c>
      <c r="K11">
        <v>26</v>
      </c>
      <c r="L11">
        <v>18</v>
      </c>
      <c r="M11">
        <v>4</v>
      </c>
      <c r="N11">
        <v>0</v>
      </c>
      <c r="O11">
        <v>0</v>
      </c>
      <c r="P11">
        <v>33</v>
      </c>
      <c r="Q11">
        <v>7</v>
      </c>
      <c r="R11">
        <v>0</v>
      </c>
      <c r="S11">
        <v>121</v>
      </c>
      <c r="T11">
        <v>18.2</v>
      </c>
      <c r="U11">
        <v>255</v>
      </c>
      <c r="V11" s="19" t="s">
        <v>2842</v>
      </c>
      <c r="W11" s="19" t="s">
        <v>1789</v>
      </c>
      <c r="X11">
        <v>9</v>
      </c>
      <c r="Y11">
        <v>11</v>
      </c>
      <c r="Z11">
        <v>45</v>
      </c>
      <c r="AA11">
        <v>19</v>
      </c>
      <c r="AB11">
        <v>57</v>
      </c>
      <c r="AC11">
        <v>15</v>
      </c>
      <c r="AD11">
        <v>85</v>
      </c>
      <c r="AE11" s="19" t="s">
        <v>60</v>
      </c>
    </row>
    <row r="12" spans="1:31" x14ac:dyDescent="0.2">
      <c r="A12">
        <v>11</v>
      </c>
      <c r="B12" s="19" t="s">
        <v>338</v>
      </c>
      <c r="C12">
        <v>26</v>
      </c>
      <c r="D12" s="19" t="s">
        <v>333</v>
      </c>
      <c r="E12" s="19" t="s">
        <v>339</v>
      </c>
      <c r="F12">
        <v>53</v>
      </c>
      <c r="G12">
        <v>30</v>
      </c>
      <c r="H12">
        <v>32</v>
      </c>
      <c r="I12">
        <v>62</v>
      </c>
      <c r="J12">
        <v>20</v>
      </c>
      <c r="K12">
        <v>18</v>
      </c>
      <c r="L12">
        <v>20</v>
      </c>
      <c r="M12">
        <v>10</v>
      </c>
      <c r="N12">
        <v>0</v>
      </c>
      <c r="O12">
        <v>5</v>
      </c>
      <c r="P12">
        <v>16</v>
      </c>
      <c r="Q12">
        <v>16</v>
      </c>
      <c r="R12">
        <v>0</v>
      </c>
      <c r="S12">
        <v>192</v>
      </c>
      <c r="T12">
        <v>15.6</v>
      </c>
      <c r="U12">
        <v>352</v>
      </c>
      <c r="V12" s="19" t="s">
        <v>2142</v>
      </c>
      <c r="W12" s="19" t="s">
        <v>337</v>
      </c>
      <c r="X12">
        <v>0</v>
      </c>
      <c r="Y12">
        <v>2</v>
      </c>
      <c r="Z12">
        <v>0</v>
      </c>
      <c r="AA12">
        <v>21</v>
      </c>
      <c r="AB12">
        <v>31</v>
      </c>
      <c r="AC12">
        <v>16</v>
      </c>
      <c r="AD12">
        <v>73</v>
      </c>
      <c r="AE12" s="19" t="s">
        <v>60</v>
      </c>
    </row>
    <row r="13" spans="1:31" x14ac:dyDescent="0.2">
      <c r="A13">
        <v>12</v>
      </c>
      <c r="B13" s="19" t="s">
        <v>342</v>
      </c>
      <c r="C13">
        <v>29</v>
      </c>
      <c r="D13" s="19" t="s">
        <v>343</v>
      </c>
      <c r="E13" s="19" t="s">
        <v>322</v>
      </c>
      <c r="F13">
        <v>45</v>
      </c>
      <c r="G13">
        <v>19</v>
      </c>
      <c r="H13">
        <v>42</v>
      </c>
      <c r="I13">
        <v>61</v>
      </c>
      <c r="J13">
        <v>12</v>
      </c>
      <c r="K13">
        <v>8</v>
      </c>
      <c r="L13">
        <v>19</v>
      </c>
      <c r="M13">
        <v>0</v>
      </c>
      <c r="N13">
        <v>0</v>
      </c>
      <c r="O13">
        <v>5</v>
      </c>
      <c r="P13">
        <v>20</v>
      </c>
      <c r="Q13">
        <v>22</v>
      </c>
      <c r="R13">
        <v>0</v>
      </c>
      <c r="S13">
        <v>169</v>
      </c>
      <c r="T13">
        <v>11.2</v>
      </c>
      <c r="U13">
        <v>290</v>
      </c>
      <c r="V13" s="19" t="s">
        <v>2388</v>
      </c>
      <c r="W13" s="19" t="s">
        <v>1242</v>
      </c>
      <c r="X13">
        <v>339</v>
      </c>
      <c r="Y13">
        <v>382</v>
      </c>
      <c r="Z13">
        <v>47</v>
      </c>
      <c r="AA13">
        <v>26</v>
      </c>
      <c r="AB13">
        <v>25</v>
      </c>
      <c r="AC13">
        <v>21</v>
      </c>
      <c r="AD13">
        <v>79</v>
      </c>
      <c r="AE13" s="19" t="s">
        <v>60</v>
      </c>
    </row>
    <row r="14" spans="1:31" x14ac:dyDescent="0.2">
      <c r="A14">
        <v>13</v>
      </c>
      <c r="B14" s="19" t="s">
        <v>346</v>
      </c>
      <c r="C14">
        <v>29</v>
      </c>
      <c r="D14" s="19" t="s">
        <v>345</v>
      </c>
      <c r="E14" s="19" t="s">
        <v>339</v>
      </c>
      <c r="F14">
        <v>52</v>
      </c>
      <c r="G14">
        <v>23</v>
      </c>
      <c r="H14">
        <v>37</v>
      </c>
      <c r="I14">
        <v>60</v>
      </c>
      <c r="J14">
        <v>1</v>
      </c>
      <c r="K14">
        <v>12</v>
      </c>
      <c r="L14">
        <v>19</v>
      </c>
      <c r="M14">
        <v>2</v>
      </c>
      <c r="N14">
        <v>2</v>
      </c>
      <c r="O14">
        <v>1</v>
      </c>
      <c r="P14">
        <v>25</v>
      </c>
      <c r="Q14">
        <v>11</v>
      </c>
      <c r="R14">
        <v>1</v>
      </c>
      <c r="S14">
        <v>168</v>
      </c>
      <c r="T14">
        <v>13.7</v>
      </c>
      <c r="U14">
        <v>297</v>
      </c>
      <c r="V14" s="19" t="s">
        <v>2389</v>
      </c>
      <c r="W14" s="19" t="s">
        <v>1948</v>
      </c>
      <c r="X14">
        <v>0</v>
      </c>
      <c r="Y14">
        <v>0</v>
      </c>
      <c r="AA14">
        <v>9</v>
      </c>
      <c r="AB14">
        <v>11</v>
      </c>
      <c r="AC14">
        <v>10</v>
      </c>
      <c r="AD14">
        <v>40</v>
      </c>
      <c r="AE14" s="19" t="s">
        <v>60</v>
      </c>
    </row>
    <row r="15" spans="1:31" x14ac:dyDescent="0.2">
      <c r="A15">
        <v>14</v>
      </c>
      <c r="B15" s="19" t="s">
        <v>361</v>
      </c>
      <c r="C15">
        <v>26</v>
      </c>
      <c r="D15" s="19" t="s">
        <v>362</v>
      </c>
      <c r="E15" s="19" t="s">
        <v>322</v>
      </c>
      <c r="F15">
        <v>53</v>
      </c>
      <c r="G15">
        <v>16</v>
      </c>
      <c r="H15">
        <v>43</v>
      </c>
      <c r="I15">
        <v>59</v>
      </c>
      <c r="J15">
        <v>21</v>
      </c>
      <c r="K15">
        <v>10</v>
      </c>
      <c r="L15">
        <v>7</v>
      </c>
      <c r="M15">
        <v>9</v>
      </c>
      <c r="N15">
        <v>0</v>
      </c>
      <c r="O15">
        <v>1</v>
      </c>
      <c r="P15">
        <v>23</v>
      </c>
      <c r="Q15">
        <v>20</v>
      </c>
      <c r="R15">
        <v>0</v>
      </c>
      <c r="S15">
        <v>112</v>
      </c>
      <c r="T15">
        <v>14.3</v>
      </c>
      <c r="U15">
        <v>243</v>
      </c>
      <c r="V15" s="19" t="s">
        <v>2390</v>
      </c>
      <c r="W15" s="19" t="s">
        <v>1010</v>
      </c>
      <c r="X15">
        <v>463</v>
      </c>
      <c r="Y15">
        <v>477</v>
      </c>
      <c r="Z15">
        <v>49.3</v>
      </c>
      <c r="AA15">
        <v>44</v>
      </c>
      <c r="AB15">
        <v>42</v>
      </c>
      <c r="AC15">
        <v>16</v>
      </c>
      <c r="AD15">
        <v>47</v>
      </c>
      <c r="AE15" s="19" t="s">
        <v>60</v>
      </c>
    </row>
    <row r="16" spans="1:31" x14ac:dyDescent="0.2">
      <c r="A16">
        <v>15</v>
      </c>
      <c r="B16" s="19" t="s">
        <v>373</v>
      </c>
      <c r="C16">
        <v>23</v>
      </c>
      <c r="D16" s="19" t="s">
        <v>370</v>
      </c>
      <c r="E16" s="19" t="s">
        <v>339</v>
      </c>
      <c r="F16">
        <v>52</v>
      </c>
      <c r="G16">
        <v>18</v>
      </c>
      <c r="H16">
        <v>40</v>
      </c>
      <c r="I16">
        <v>58</v>
      </c>
      <c r="J16">
        <v>9</v>
      </c>
      <c r="K16">
        <v>12</v>
      </c>
      <c r="L16">
        <v>13</v>
      </c>
      <c r="M16">
        <v>5</v>
      </c>
      <c r="N16">
        <v>0</v>
      </c>
      <c r="O16">
        <v>5</v>
      </c>
      <c r="P16">
        <v>23</v>
      </c>
      <c r="Q16">
        <v>17</v>
      </c>
      <c r="R16">
        <v>0</v>
      </c>
      <c r="S16">
        <v>109</v>
      </c>
      <c r="T16">
        <v>16.5</v>
      </c>
      <c r="U16">
        <v>228</v>
      </c>
      <c r="V16" s="19" t="s">
        <v>2391</v>
      </c>
      <c r="W16" s="19" t="s">
        <v>2000</v>
      </c>
      <c r="X16">
        <v>1</v>
      </c>
      <c r="Y16">
        <v>0</v>
      </c>
      <c r="Z16">
        <v>100</v>
      </c>
      <c r="AA16">
        <v>24</v>
      </c>
      <c r="AB16">
        <v>27</v>
      </c>
      <c r="AC16">
        <v>22</v>
      </c>
      <c r="AD16">
        <v>54</v>
      </c>
      <c r="AE16" s="19" t="s">
        <v>60</v>
      </c>
    </row>
    <row r="17" spans="1:31" x14ac:dyDescent="0.2">
      <c r="A17">
        <v>16</v>
      </c>
      <c r="B17" s="19" t="s">
        <v>374</v>
      </c>
      <c r="C17">
        <v>38</v>
      </c>
      <c r="D17" s="19" t="s">
        <v>375</v>
      </c>
      <c r="E17" s="19" t="s">
        <v>322</v>
      </c>
      <c r="F17">
        <v>51</v>
      </c>
      <c r="G17">
        <v>27</v>
      </c>
      <c r="H17">
        <v>30</v>
      </c>
      <c r="I17">
        <v>57</v>
      </c>
      <c r="J17">
        <v>3</v>
      </c>
      <c r="K17">
        <v>34</v>
      </c>
      <c r="L17">
        <v>17</v>
      </c>
      <c r="M17">
        <v>10</v>
      </c>
      <c r="N17">
        <v>0</v>
      </c>
      <c r="O17">
        <v>4</v>
      </c>
      <c r="P17">
        <v>21</v>
      </c>
      <c r="Q17">
        <v>9</v>
      </c>
      <c r="R17">
        <v>0</v>
      </c>
      <c r="S17">
        <v>118</v>
      </c>
      <c r="T17">
        <v>22.9</v>
      </c>
      <c r="U17">
        <v>215</v>
      </c>
      <c r="V17" s="19" t="s">
        <v>2319</v>
      </c>
      <c r="W17" s="19" t="s">
        <v>2215</v>
      </c>
      <c r="X17">
        <v>592</v>
      </c>
      <c r="Y17">
        <v>459</v>
      </c>
      <c r="Z17">
        <v>56.3</v>
      </c>
      <c r="AA17">
        <v>22</v>
      </c>
      <c r="AB17">
        <v>44</v>
      </c>
      <c r="AC17">
        <v>17</v>
      </c>
      <c r="AD17">
        <v>56</v>
      </c>
      <c r="AE17" s="19" t="s">
        <v>60</v>
      </c>
    </row>
    <row r="18" spans="1:31" x14ac:dyDescent="0.2">
      <c r="A18">
        <v>17</v>
      </c>
      <c r="B18" s="19" t="s">
        <v>349</v>
      </c>
      <c r="C18">
        <v>22</v>
      </c>
      <c r="D18" s="19" t="s">
        <v>333</v>
      </c>
      <c r="E18" s="19" t="s">
        <v>322</v>
      </c>
      <c r="F18">
        <v>53</v>
      </c>
      <c r="G18">
        <v>27</v>
      </c>
      <c r="H18">
        <v>30</v>
      </c>
      <c r="I18">
        <v>57</v>
      </c>
      <c r="J18">
        <v>-2</v>
      </c>
      <c r="K18">
        <v>14</v>
      </c>
      <c r="L18">
        <v>10</v>
      </c>
      <c r="M18">
        <v>17</v>
      </c>
      <c r="N18">
        <v>0</v>
      </c>
      <c r="O18">
        <v>3</v>
      </c>
      <c r="P18">
        <v>19</v>
      </c>
      <c r="Q18">
        <v>11</v>
      </c>
      <c r="R18">
        <v>0</v>
      </c>
      <c r="S18">
        <v>135</v>
      </c>
      <c r="T18">
        <v>20</v>
      </c>
      <c r="U18">
        <v>257</v>
      </c>
      <c r="V18" s="19" t="s">
        <v>2392</v>
      </c>
      <c r="W18" s="19" t="s">
        <v>411</v>
      </c>
      <c r="X18">
        <v>247</v>
      </c>
      <c r="Y18">
        <v>273</v>
      </c>
      <c r="Z18">
        <v>47.5</v>
      </c>
      <c r="AA18">
        <v>39</v>
      </c>
      <c r="AB18">
        <v>17</v>
      </c>
      <c r="AC18">
        <v>14</v>
      </c>
      <c r="AD18">
        <v>33</v>
      </c>
      <c r="AE18" s="19" t="s">
        <v>60</v>
      </c>
    </row>
    <row r="19" spans="1:31" x14ac:dyDescent="0.2">
      <c r="A19">
        <v>18</v>
      </c>
      <c r="B19" s="19" t="s">
        <v>359</v>
      </c>
      <c r="C19">
        <v>34</v>
      </c>
      <c r="D19" s="19" t="s">
        <v>360</v>
      </c>
      <c r="E19" s="19" t="s">
        <v>339</v>
      </c>
      <c r="F19">
        <v>52</v>
      </c>
      <c r="G19">
        <v>19</v>
      </c>
      <c r="H19">
        <v>38</v>
      </c>
      <c r="I19">
        <v>57</v>
      </c>
      <c r="J19">
        <v>-16</v>
      </c>
      <c r="K19">
        <v>14</v>
      </c>
      <c r="L19">
        <v>17</v>
      </c>
      <c r="M19">
        <v>2</v>
      </c>
      <c r="N19">
        <v>0</v>
      </c>
      <c r="O19">
        <v>3</v>
      </c>
      <c r="P19">
        <v>23</v>
      </c>
      <c r="Q19">
        <v>15</v>
      </c>
      <c r="R19">
        <v>0</v>
      </c>
      <c r="S19">
        <v>158</v>
      </c>
      <c r="T19">
        <v>12</v>
      </c>
      <c r="U19">
        <v>362</v>
      </c>
      <c r="V19" s="19" t="s">
        <v>2393</v>
      </c>
      <c r="W19" s="19" t="s">
        <v>1675</v>
      </c>
      <c r="X19">
        <v>1</v>
      </c>
      <c r="Y19">
        <v>0</v>
      </c>
      <c r="Z19">
        <v>100</v>
      </c>
      <c r="AA19">
        <v>11</v>
      </c>
      <c r="AB19">
        <v>8</v>
      </c>
      <c r="AC19">
        <v>15</v>
      </c>
      <c r="AD19">
        <v>69</v>
      </c>
      <c r="AE19" s="19" t="s">
        <v>60</v>
      </c>
    </row>
    <row r="20" spans="1:31" x14ac:dyDescent="0.2">
      <c r="A20">
        <v>19</v>
      </c>
      <c r="B20" s="19" t="s">
        <v>379</v>
      </c>
      <c r="C20">
        <v>28</v>
      </c>
      <c r="D20" s="19" t="s">
        <v>380</v>
      </c>
      <c r="E20" s="19" t="s">
        <v>348</v>
      </c>
      <c r="F20">
        <v>48</v>
      </c>
      <c r="G20">
        <v>19</v>
      </c>
      <c r="H20">
        <v>38</v>
      </c>
      <c r="I20">
        <v>57</v>
      </c>
      <c r="J20">
        <v>4</v>
      </c>
      <c r="K20">
        <v>10</v>
      </c>
      <c r="L20">
        <v>16</v>
      </c>
      <c r="M20">
        <v>3</v>
      </c>
      <c r="N20">
        <v>0</v>
      </c>
      <c r="O20">
        <v>1</v>
      </c>
      <c r="P20">
        <v>26</v>
      </c>
      <c r="Q20">
        <v>11</v>
      </c>
      <c r="R20">
        <v>1</v>
      </c>
      <c r="S20">
        <v>172</v>
      </c>
      <c r="T20">
        <v>11</v>
      </c>
      <c r="U20">
        <v>364</v>
      </c>
      <c r="V20" s="19" t="s">
        <v>2843</v>
      </c>
      <c r="W20" s="19" t="s">
        <v>2844</v>
      </c>
      <c r="X20">
        <v>0</v>
      </c>
      <c r="Y20">
        <v>0</v>
      </c>
      <c r="AA20">
        <v>62</v>
      </c>
      <c r="AB20">
        <v>21</v>
      </c>
      <c r="AC20">
        <v>22</v>
      </c>
      <c r="AD20">
        <v>76</v>
      </c>
      <c r="AE20" s="19" t="s">
        <v>60</v>
      </c>
    </row>
    <row r="21" spans="1:31" x14ac:dyDescent="0.2">
      <c r="A21">
        <v>20</v>
      </c>
      <c r="B21" s="19" t="s">
        <v>392</v>
      </c>
      <c r="C21">
        <v>26</v>
      </c>
      <c r="D21" s="19" t="s">
        <v>327</v>
      </c>
      <c r="E21" s="19" t="s">
        <v>348</v>
      </c>
      <c r="F21">
        <v>54</v>
      </c>
      <c r="G21">
        <v>14</v>
      </c>
      <c r="H21">
        <v>42</v>
      </c>
      <c r="I21">
        <v>56</v>
      </c>
      <c r="J21">
        <v>11</v>
      </c>
      <c r="K21">
        <v>20</v>
      </c>
      <c r="L21">
        <v>8</v>
      </c>
      <c r="M21">
        <v>6</v>
      </c>
      <c r="N21">
        <v>0</v>
      </c>
      <c r="O21">
        <v>3</v>
      </c>
      <c r="P21">
        <v>27</v>
      </c>
      <c r="Q21">
        <v>14</v>
      </c>
      <c r="R21">
        <v>1</v>
      </c>
      <c r="S21">
        <v>143</v>
      </c>
      <c r="T21">
        <v>9.8000000000000007</v>
      </c>
      <c r="U21">
        <v>297</v>
      </c>
      <c r="V21" s="19" t="s">
        <v>2394</v>
      </c>
      <c r="W21" s="19" t="s">
        <v>2395</v>
      </c>
      <c r="X21">
        <v>0</v>
      </c>
      <c r="Y21">
        <v>0</v>
      </c>
      <c r="AA21">
        <v>75</v>
      </c>
      <c r="AB21">
        <v>20</v>
      </c>
      <c r="AC21">
        <v>25</v>
      </c>
      <c r="AD21">
        <v>82</v>
      </c>
      <c r="AE21" s="19" t="s">
        <v>60</v>
      </c>
    </row>
    <row r="22" spans="1:31" x14ac:dyDescent="0.2">
      <c r="A22">
        <v>21</v>
      </c>
      <c r="B22" s="19" t="s">
        <v>347</v>
      </c>
      <c r="C22">
        <v>27</v>
      </c>
      <c r="D22" s="19" t="s">
        <v>321</v>
      </c>
      <c r="E22" s="19" t="s">
        <v>348</v>
      </c>
      <c r="F22">
        <v>51</v>
      </c>
      <c r="G22">
        <v>15</v>
      </c>
      <c r="H22">
        <v>41</v>
      </c>
      <c r="I22">
        <v>56</v>
      </c>
      <c r="J22">
        <v>28</v>
      </c>
      <c r="K22">
        <v>20</v>
      </c>
      <c r="L22">
        <v>13</v>
      </c>
      <c r="M22">
        <v>2</v>
      </c>
      <c r="N22">
        <v>0</v>
      </c>
      <c r="O22">
        <v>4</v>
      </c>
      <c r="P22">
        <v>24</v>
      </c>
      <c r="Q22">
        <v>17</v>
      </c>
      <c r="R22">
        <v>0</v>
      </c>
      <c r="S22">
        <v>142</v>
      </c>
      <c r="T22">
        <v>10.6</v>
      </c>
      <c r="U22">
        <v>382</v>
      </c>
      <c r="V22" s="19" t="s">
        <v>2845</v>
      </c>
      <c r="W22" s="19" t="s">
        <v>2846</v>
      </c>
      <c r="X22">
        <v>0</v>
      </c>
      <c r="Y22">
        <v>0</v>
      </c>
      <c r="AA22">
        <v>88</v>
      </c>
      <c r="AB22">
        <v>25</v>
      </c>
      <c r="AC22">
        <v>29</v>
      </c>
      <c r="AD22">
        <v>55</v>
      </c>
      <c r="AE22" s="19" t="s">
        <v>60</v>
      </c>
    </row>
    <row r="23" spans="1:31" x14ac:dyDescent="0.2">
      <c r="A23">
        <v>22</v>
      </c>
      <c r="B23" s="19" t="s">
        <v>389</v>
      </c>
      <c r="C23">
        <v>31</v>
      </c>
      <c r="D23" s="19" t="s">
        <v>351</v>
      </c>
      <c r="E23" s="19" t="s">
        <v>322</v>
      </c>
      <c r="F23">
        <v>51</v>
      </c>
      <c r="G23">
        <v>24</v>
      </c>
      <c r="H23">
        <v>31</v>
      </c>
      <c r="I23">
        <v>55</v>
      </c>
      <c r="J23">
        <v>10</v>
      </c>
      <c r="K23">
        <v>21</v>
      </c>
      <c r="L23">
        <v>17</v>
      </c>
      <c r="M23">
        <v>5</v>
      </c>
      <c r="N23">
        <v>2</v>
      </c>
      <c r="O23">
        <v>4</v>
      </c>
      <c r="P23">
        <v>17</v>
      </c>
      <c r="Q23">
        <v>14</v>
      </c>
      <c r="R23">
        <v>0</v>
      </c>
      <c r="S23">
        <v>136</v>
      </c>
      <c r="T23">
        <v>17.600000000000001</v>
      </c>
      <c r="U23">
        <v>240</v>
      </c>
      <c r="V23" s="19" t="s">
        <v>2396</v>
      </c>
      <c r="W23" s="19" t="s">
        <v>426</v>
      </c>
      <c r="X23">
        <v>98</v>
      </c>
      <c r="Y23">
        <v>110</v>
      </c>
      <c r="Z23">
        <v>47.1</v>
      </c>
      <c r="AA23">
        <v>30</v>
      </c>
      <c r="AB23">
        <v>20</v>
      </c>
      <c r="AC23">
        <v>17</v>
      </c>
      <c r="AD23">
        <v>46</v>
      </c>
      <c r="AE23" s="19" t="s">
        <v>60</v>
      </c>
    </row>
    <row r="24" spans="1:31" x14ac:dyDescent="0.2">
      <c r="A24">
        <v>23</v>
      </c>
      <c r="B24" s="19" t="s">
        <v>425</v>
      </c>
      <c r="C24">
        <v>24</v>
      </c>
      <c r="D24" s="19" t="s">
        <v>416</v>
      </c>
      <c r="E24" s="19" t="s">
        <v>339</v>
      </c>
      <c r="F24">
        <v>53</v>
      </c>
      <c r="G24">
        <v>24</v>
      </c>
      <c r="H24">
        <v>31</v>
      </c>
      <c r="I24">
        <v>55</v>
      </c>
      <c r="J24">
        <v>5</v>
      </c>
      <c r="K24">
        <v>31</v>
      </c>
      <c r="L24">
        <v>17</v>
      </c>
      <c r="M24">
        <v>6</v>
      </c>
      <c r="N24">
        <v>1</v>
      </c>
      <c r="O24">
        <v>4</v>
      </c>
      <c r="P24">
        <v>20</v>
      </c>
      <c r="Q24">
        <v>11</v>
      </c>
      <c r="R24">
        <v>0</v>
      </c>
      <c r="S24">
        <v>132</v>
      </c>
      <c r="T24">
        <v>18.2</v>
      </c>
      <c r="U24">
        <v>239</v>
      </c>
      <c r="V24" s="19" t="s">
        <v>2847</v>
      </c>
      <c r="W24" s="19" t="s">
        <v>2063</v>
      </c>
      <c r="X24">
        <v>255</v>
      </c>
      <c r="Y24">
        <v>215</v>
      </c>
      <c r="Z24">
        <v>54.3</v>
      </c>
      <c r="AA24">
        <v>35</v>
      </c>
      <c r="AB24">
        <v>86</v>
      </c>
      <c r="AC24">
        <v>24</v>
      </c>
      <c r="AD24">
        <v>73</v>
      </c>
      <c r="AE24" s="19" t="s">
        <v>60</v>
      </c>
    </row>
    <row r="25" spans="1:31" x14ac:dyDescent="0.2">
      <c r="A25">
        <v>24</v>
      </c>
      <c r="B25" s="19" t="s">
        <v>455</v>
      </c>
      <c r="C25">
        <v>28</v>
      </c>
      <c r="D25" s="19" t="s">
        <v>428</v>
      </c>
      <c r="E25" s="19" t="s">
        <v>322</v>
      </c>
      <c r="F25">
        <v>52</v>
      </c>
      <c r="G25">
        <v>28</v>
      </c>
      <c r="H25">
        <v>27</v>
      </c>
      <c r="I25">
        <v>55</v>
      </c>
      <c r="J25">
        <v>-8</v>
      </c>
      <c r="K25">
        <v>25</v>
      </c>
      <c r="L25">
        <v>24</v>
      </c>
      <c r="M25">
        <v>4</v>
      </c>
      <c r="N25">
        <v>0</v>
      </c>
      <c r="O25">
        <v>3</v>
      </c>
      <c r="P25">
        <v>16</v>
      </c>
      <c r="Q25">
        <v>11</v>
      </c>
      <c r="R25">
        <v>0</v>
      </c>
      <c r="S25">
        <v>178</v>
      </c>
      <c r="T25">
        <v>15.7</v>
      </c>
      <c r="U25">
        <v>347</v>
      </c>
      <c r="V25" s="19" t="s">
        <v>2397</v>
      </c>
      <c r="W25" s="19" t="s">
        <v>508</v>
      </c>
      <c r="X25">
        <v>260</v>
      </c>
      <c r="Y25">
        <v>303</v>
      </c>
      <c r="Z25">
        <v>46.2</v>
      </c>
      <c r="AA25">
        <v>35</v>
      </c>
      <c r="AB25">
        <v>51</v>
      </c>
      <c r="AC25">
        <v>21</v>
      </c>
      <c r="AD25">
        <v>45</v>
      </c>
      <c r="AE25" s="19" t="s">
        <v>60</v>
      </c>
    </row>
    <row r="26" spans="1:31" x14ac:dyDescent="0.2">
      <c r="A26">
        <v>25</v>
      </c>
      <c r="B26" s="19" t="s">
        <v>366</v>
      </c>
      <c r="C26">
        <v>24</v>
      </c>
      <c r="D26" s="19" t="s">
        <v>356</v>
      </c>
      <c r="E26" s="19" t="s">
        <v>339</v>
      </c>
      <c r="F26">
        <v>50</v>
      </c>
      <c r="G26">
        <v>28</v>
      </c>
      <c r="H26">
        <v>26</v>
      </c>
      <c r="I26">
        <v>54</v>
      </c>
      <c r="J26">
        <v>14</v>
      </c>
      <c r="K26">
        <v>26</v>
      </c>
      <c r="L26">
        <v>18</v>
      </c>
      <c r="M26">
        <v>7</v>
      </c>
      <c r="N26">
        <v>3</v>
      </c>
      <c r="O26">
        <v>3</v>
      </c>
      <c r="P26">
        <v>17</v>
      </c>
      <c r="Q26">
        <v>9</v>
      </c>
      <c r="R26">
        <v>0</v>
      </c>
      <c r="S26">
        <v>161</v>
      </c>
      <c r="T26">
        <v>17.399999999999999</v>
      </c>
      <c r="U26">
        <v>337</v>
      </c>
      <c r="V26" s="19" t="s">
        <v>2398</v>
      </c>
      <c r="W26" s="19" t="s">
        <v>331</v>
      </c>
      <c r="X26">
        <v>41</v>
      </c>
      <c r="Y26">
        <v>47</v>
      </c>
      <c r="Z26">
        <v>46.6</v>
      </c>
      <c r="AA26">
        <v>33</v>
      </c>
      <c r="AB26">
        <v>34</v>
      </c>
      <c r="AC26">
        <v>22</v>
      </c>
      <c r="AD26">
        <v>59</v>
      </c>
      <c r="AE26" s="19" t="s">
        <v>60</v>
      </c>
    </row>
    <row r="27" spans="1:31" x14ac:dyDescent="0.2">
      <c r="A27">
        <v>26</v>
      </c>
      <c r="B27" s="19" t="s">
        <v>367</v>
      </c>
      <c r="C27">
        <v>25</v>
      </c>
      <c r="D27" s="19" t="s">
        <v>362</v>
      </c>
      <c r="E27" s="19" t="s">
        <v>334</v>
      </c>
      <c r="F27">
        <v>53</v>
      </c>
      <c r="G27">
        <v>30</v>
      </c>
      <c r="H27">
        <v>24</v>
      </c>
      <c r="I27">
        <v>54</v>
      </c>
      <c r="J27">
        <v>17</v>
      </c>
      <c r="K27">
        <v>12</v>
      </c>
      <c r="L27">
        <v>23</v>
      </c>
      <c r="M27">
        <v>7</v>
      </c>
      <c r="N27">
        <v>0</v>
      </c>
      <c r="O27">
        <v>7</v>
      </c>
      <c r="P27">
        <v>12</v>
      </c>
      <c r="Q27">
        <v>12</v>
      </c>
      <c r="R27">
        <v>0</v>
      </c>
      <c r="S27">
        <v>160</v>
      </c>
      <c r="T27">
        <v>18.8</v>
      </c>
      <c r="U27">
        <v>299</v>
      </c>
      <c r="V27" s="19" t="s">
        <v>2399</v>
      </c>
      <c r="W27" s="19" t="s">
        <v>2119</v>
      </c>
      <c r="X27">
        <v>6</v>
      </c>
      <c r="Y27">
        <v>10</v>
      </c>
      <c r="Z27">
        <v>37.5</v>
      </c>
      <c r="AA27">
        <v>13</v>
      </c>
      <c r="AB27">
        <v>35</v>
      </c>
      <c r="AC27">
        <v>19</v>
      </c>
      <c r="AD27">
        <v>35</v>
      </c>
      <c r="AE27" s="19" t="s">
        <v>60</v>
      </c>
    </row>
    <row r="28" spans="1:31" x14ac:dyDescent="0.2">
      <c r="A28">
        <v>27</v>
      </c>
      <c r="B28" s="19" t="s">
        <v>377</v>
      </c>
      <c r="C28">
        <v>28</v>
      </c>
      <c r="D28" s="19" t="s">
        <v>370</v>
      </c>
      <c r="E28" s="19" t="s">
        <v>334</v>
      </c>
      <c r="F28">
        <v>54</v>
      </c>
      <c r="G28">
        <v>28</v>
      </c>
      <c r="H28">
        <v>26</v>
      </c>
      <c r="I28">
        <v>54</v>
      </c>
      <c r="J28">
        <v>2</v>
      </c>
      <c r="K28">
        <v>10</v>
      </c>
      <c r="L28">
        <v>17</v>
      </c>
      <c r="M28">
        <v>11</v>
      </c>
      <c r="N28">
        <v>0</v>
      </c>
      <c r="O28">
        <v>5</v>
      </c>
      <c r="P28">
        <v>20</v>
      </c>
      <c r="Q28">
        <v>6</v>
      </c>
      <c r="R28">
        <v>0</v>
      </c>
      <c r="S28">
        <v>194</v>
      </c>
      <c r="T28">
        <v>14.4</v>
      </c>
      <c r="U28">
        <v>381</v>
      </c>
      <c r="V28" s="19" t="s">
        <v>2400</v>
      </c>
      <c r="W28" s="19" t="s">
        <v>2012</v>
      </c>
      <c r="X28">
        <v>14</v>
      </c>
      <c r="Y28">
        <v>24</v>
      </c>
      <c r="Z28">
        <v>36.799999999999997</v>
      </c>
      <c r="AA28">
        <v>24</v>
      </c>
      <c r="AB28">
        <v>26</v>
      </c>
      <c r="AC28">
        <v>24</v>
      </c>
      <c r="AD28">
        <v>53</v>
      </c>
      <c r="AE28" s="19" t="s">
        <v>60</v>
      </c>
    </row>
    <row r="29" spans="1:31" x14ac:dyDescent="0.2">
      <c r="A29">
        <v>28</v>
      </c>
      <c r="B29" s="19" t="s">
        <v>448</v>
      </c>
      <c r="C29">
        <v>21</v>
      </c>
      <c r="D29" s="19" t="s">
        <v>362</v>
      </c>
      <c r="E29" s="19" t="s">
        <v>348</v>
      </c>
      <c r="F29">
        <v>53</v>
      </c>
      <c r="G29">
        <v>9</v>
      </c>
      <c r="H29">
        <v>44</v>
      </c>
      <c r="I29">
        <v>53</v>
      </c>
      <c r="J29">
        <v>14</v>
      </c>
      <c r="K29">
        <v>18</v>
      </c>
      <c r="L29">
        <v>8</v>
      </c>
      <c r="M29">
        <v>1</v>
      </c>
      <c r="N29">
        <v>0</v>
      </c>
      <c r="O29">
        <v>3</v>
      </c>
      <c r="P29">
        <v>30</v>
      </c>
      <c r="Q29">
        <v>14</v>
      </c>
      <c r="R29">
        <v>0</v>
      </c>
      <c r="S29">
        <v>88</v>
      </c>
      <c r="T29">
        <v>10.199999999999999</v>
      </c>
      <c r="U29">
        <v>204</v>
      </c>
      <c r="V29" s="19" t="s">
        <v>2401</v>
      </c>
      <c r="W29" s="19" t="s">
        <v>1888</v>
      </c>
      <c r="X29">
        <v>0</v>
      </c>
      <c r="Y29">
        <v>0</v>
      </c>
      <c r="AA29">
        <v>85</v>
      </c>
      <c r="AB29">
        <v>23</v>
      </c>
      <c r="AC29">
        <v>22</v>
      </c>
      <c r="AD29">
        <v>57</v>
      </c>
      <c r="AE29" s="19" t="s">
        <v>60</v>
      </c>
    </row>
    <row r="30" spans="1:31" x14ac:dyDescent="0.2">
      <c r="A30">
        <v>29</v>
      </c>
      <c r="B30" s="19" t="s">
        <v>395</v>
      </c>
      <c r="C30">
        <v>28</v>
      </c>
      <c r="D30" s="19" t="s">
        <v>396</v>
      </c>
      <c r="E30" s="19" t="s">
        <v>325</v>
      </c>
      <c r="F30">
        <v>52</v>
      </c>
      <c r="G30">
        <v>17</v>
      </c>
      <c r="H30">
        <v>35</v>
      </c>
      <c r="I30">
        <v>52</v>
      </c>
      <c r="J30">
        <v>6</v>
      </c>
      <c r="K30">
        <v>30</v>
      </c>
      <c r="L30">
        <v>12</v>
      </c>
      <c r="M30">
        <v>4</v>
      </c>
      <c r="N30">
        <v>1</v>
      </c>
      <c r="O30">
        <v>2</v>
      </c>
      <c r="P30">
        <v>21</v>
      </c>
      <c r="Q30">
        <v>12</v>
      </c>
      <c r="R30">
        <v>2</v>
      </c>
      <c r="S30">
        <v>116</v>
      </c>
      <c r="T30">
        <v>14.7</v>
      </c>
      <c r="U30">
        <v>256</v>
      </c>
      <c r="V30" s="19" t="s">
        <v>2261</v>
      </c>
      <c r="W30" s="19" t="s">
        <v>1703</v>
      </c>
      <c r="X30">
        <v>394</v>
      </c>
      <c r="Y30">
        <v>397</v>
      </c>
      <c r="Z30">
        <v>49.8</v>
      </c>
      <c r="AA30">
        <v>16</v>
      </c>
      <c r="AB30">
        <v>46</v>
      </c>
      <c r="AC30">
        <v>22</v>
      </c>
      <c r="AD30">
        <v>73</v>
      </c>
      <c r="AE30" s="19" t="s">
        <v>60</v>
      </c>
    </row>
    <row r="31" spans="1:31" x14ac:dyDescent="0.2">
      <c r="A31">
        <v>30</v>
      </c>
      <c r="B31" s="19" t="s">
        <v>393</v>
      </c>
      <c r="C31">
        <v>28</v>
      </c>
      <c r="D31" s="19" t="s">
        <v>343</v>
      </c>
      <c r="E31" s="19" t="s">
        <v>334</v>
      </c>
      <c r="F31">
        <v>52</v>
      </c>
      <c r="G31">
        <v>12</v>
      </c>
      <c r="H31">
        <v>40</v>
      </c>
      <c r="I31">
        <v>52</v>
      </c>
      <c r="J31">
        <v>12</v>
      </c>
      <c r="K31">
        <v>14</v>
      </c>
      <c r="L31">
        <v>9</v>
      </c>
      <c r="M31">
        <v>3</v>
      </c>
      <c r="N31">
        <v>0</v>
      </c>
      <c r="O31">
        <v>0</v>
      </c>
      <c r="P31">
        <v>27</v>
      </c>
      <c r="Q31">
        <v>13</v>
      </c>
      <c r="R31">
        <v>0</v>
      </c>
      <c r="S31">
        <v>102</v>
      </c>
      <c r="T31">
        <v>11.8</v>
      </c>
      <c r="U31">
        <v>230</v>
      </c>
      <c r="V31" s="19" t="s">
        <v>2402</v>
      </c>
      <c r="W31" s="19" t="s">
        <v>627</v>
      </c>
      <c r="X31">
        <v>64</v>
      </c>
      <c r="Y31">
        <v>108</v>
      </c>
      <c r="Z31">
        <v>37.200000000000003</v>
      </c>
      <c r="AA31">
        <v>34</v>
      </c>
      <c r="AB31">
        <v>18</v>
      </c>
      <c r="AC31">
        <v>25</v>
      </c>
      <c r="AD31">
        <v>70</v>
      </c>
      <c r="AE31" s="19" t="s">
        <v>60</v>
      </c>
    </row>
    <row r="32" spans="1:31" x14ac:dyDescent="0.2">
      <c r="A32">
        <v>31</v>
      </c>
      <c r="B32" s="19" t="s">
        <v>475</v>
      </c>
      <c r="C32">
        <v>33</v>
      </c>
      <c r="D32" s="19" t="s">
        <v>343</v>
      </c>
      <c r="E32" s="19" t="s">
        <v>334</v>
      </c>
      <c r="F32">
        <v>36</v>
      </c>
      <c r="G32">
        <v>20</v>
      </c>
      <c r="H32">
        <v>32</v>
      </c>
      <c r="I32">
        <v>52</v>
      </c>
      <c r="J32">
        <v>13</v>
      </c>
      <c r="K32">
        <v>7</v>
      </c>
      <c r="L32">
        <v>13</v>
      </c>
      <c r="M32">
        <v>7</v>
      </c>
      <c r="N32">
        <v>0</v>
      </c>
      <c r="O32">
        <v>3</v>
      </c>
      <c r="P32">
        <v>17</v>
      </c>
      <c r="Q32">
        <v>14</v>
      </c>
      <c r="R32">
        <v>1</v>
      </c>
      <c r="S32">
        <v>87</v>
      </c>
      <c r="T32">
        <v>23</v>
      </c>
      <c r="U32">
        <v>149</v>
      </c>
      <c r="V32" s="19" t="s">
        <v>2403</v>
      </c>
      <c r="W32" s="19" t="s">
        <v>2215</v>
      </c>
      <c r="X32">
        <v>2</v>
      </c>
      <c r="Y32">
        <v>6</v>
      </c>
      <c r="Z32">
        <v>25</v>
      </c>
      <c r="AA32">
        <v>29</v>
      </c>
      <c r="AB32">
        <v>16</v>
      </c>
      <c r="AC32">
        <v>17</v>
      </c>
      <c r="AD32">
        <v>41</v>
      </c>
      <c r="AE32" s="19" t="s">
        <v>60</v>
      </c>
    </row>
    <row r="33" spans="1:31" x14ac:dyDescent="0.2">
      <c r="A33">
        <v>32</v>
      </c>
      <c r="B33" s="19" t="s">
        <v>459</v>
      </c>
      <c r="C33">
        <v>34</v>
      </c>
      <c r="D33" s="19" t="s">
        <v>460</v>
      </c>
      <c r="E33" s="19" t="s">
        <v>322</v>
      </c>
      <c r="F33">
        <v>52</v>
      </c>
      <c r="G33">
        <v>18</v>
      </c>
      <c r="H33">
        <v>33</v>
      </c>
      <c r="I33">
        <v>51</v>
      </c>
      <c r="J33">
        <v>4</v>
      </c>
      <c r="K33">
        <v>10</v>
      </c>
      <c r="L33">
        <v>14</v>
      </c>
      <c r="M33">
        <v>2</v>
      </c>
      <c r="N33">
        <v>2</v>
      </c>
      <c r="O33">
        <v>5</v>
      </c>
      <c r="P33">
        <v>22</v>
      </c>
      <c r="Q33">
        <v>11</v>
      </c>
      <c r="R33">
        <v>0</v>
      </c>
      <c r="S33">
        <v>95</v>
      </c>
      <c r="T33">
        <v>18.899999999999999</v>
      </c>
      <c r="U33">
        <v>162</v>
      </c>
      <c r="V33" s="19" t="s">
        <v>2404</v>
      </c>
      <c r="W33" s="19" t="s">
        <v>729</v>
      </c>
      <c r="X33">
        <v>493</v>
      </c>
      <c r="Y33">
        <v>402</v>
      </c>
      <c r="Z33">
        <v>55.1</v>
      </c>
      <c r="AA33">
        <v>39</v>
      </c>
      <c r="AB33">
        <v>10</v>
      </c>
      <c r="AC33">
        <v>36</v>
      </c>
      <c r="AD33">
        <v>35</v>
      </c>
      <c r="AE33" s="19" t="s">
        <v>60</v>
      </c>
    </row>
    <row r="34" spans="1:31" x14ac:dyDescent="0.2">
      <c r="A34">
        <v>33</v>
      </c>
      <c r="B34" s="19" t="s">
        <v>403</v>
      </c>
      <c r="C34">
        <v>27</v>
      </c>
      <c r="D34" s="19" t="s">
        <v>404</v>
      </c>
      <c r="E34" s="19" t="s">
        <v>322</v>
      </c>
      <c r="F34">
        <v>53</v>
      </c>
      <c r="G34">
        <v>16</v>
      </c>
      <c r="H34">
        <v>34</v>
      </c>
      <c r="I34">
        <v>50</v>
      </c>
      <c r="J34">
        <v>19</v>
      </c>
      <c r="K34">
        <v>16</v>
      </c>
      <c r="L34">
        <v>15</v>
      </c>
      <c r="M34">
        <v>1</v>
      </c>
      <c r="N34">
        <v>0</v>
      </c>
      <c r="O34">
        <v>4</v>
      </c>
      <c r="P34">
        <v>21</v>
      </c>
      <c r="Q34">
        <v>13</v>
      </c>
      <c r="R34">
        <v>0</v>
      </c>
      <c r="S34">
        <v>144</v>
      </c>
      <c r="T34">
        <v>11.1</v>
      </c>
      <c r="U34">
        <v>264</v>
      </c>
      <c r="V34" s="19" t="s">
        <v>2405</v>
      </c>
      <c r="W34" s="19" t="s">
        <v>376</v>
      </c>
      <c r="X34">
        <v>12</v>
      </c>
      <c r="Y34">
        <v>15</v>
      </c>
      <c r="Z34">
        <v>44.4</v>
      </c>
      <c r="AA34">
        <v>21</v>
      </c>
      <c r="AB34">
        <v>8</v>
      </c>
      <c r="AC34">
        <v>16</v>
      </c>
      <c r="AD34">
        <v>63</v>
      </c>
      <c r="AE34" s="19" t="s">
        <v>60</v>
      </c>
    </row>
    <row r="35" spans="1:31" x14ac:dyDescent="0.2">
      <c r="A35">
        <v>34</v>
      </c>
      <c r="B35" s="19" t="s">
        <v>371</v>
      </c>
      <c r="C35">
        <v>37</v>
      </c>
      <c r="D35" s="19" t="s">
        <v>372</v>
      </c>
      <c r="E35" s="19" t="s">
        <v>339</v>
      </c>
      <c r="F35">
        <v>44</v>
      </c>
      <c r="G35">
        <v>25</v>
      </c>
      <c r="H35">
        <v>25</v>
      </c>
      <c r="I35">
        <v>50</v>
      </c>
      <c r="J35">
        <v>-11</v>
      </c>
      <c r="K35">
        <v>34</v>
      </c>
      <c r="L35">
        <v>19</v>
      </c>
      <c r="M35">
        <v>6</v>
      </c>
      <c r="N35">
        <v>0</v>
      </c>
      <c r="O35">
        <v>3</v>
      </c>
      <c r="P35">
        <v>13</v>
      </c>
      <c r="Q35">
        <v>12</v>
      </c>
      <c r="R35">
        <v>0</v>
      </c>
      <c r="S35">
        <v>124</v>
      </c>
      <c r="T35">
        <v>20.2</v>
      </c>
      <c r="U35">
        <v>247</v>
      </c>
      <c r="V35" s="19" t="s">
        <v>2406</v>
      </c>
      <c r="W35" s="19" t="s">
        <v>2093</v>
      </c>
      <c r="X35">
        <v>1</v>
      </c>
      <c r="Y35">
        <v>7</v>
      </c>
      <c r="Z35">
        <v>12.5</v>
      </c>
      <c r="AA35">
        <v>16</v>
      </c>
      <c r="AB35">
        <v>34</v>
      </c>
      <c r="AC35">
        <v>13</v>
      </c>
      <c r="AD35">
        <v>50</v>
      </c>
      <c r="AE35" s="19" t="s">
        <v>60</v>
      </c>
    </row>
    <row r="36" spans="1:31" x14ac:dyDescent="0.2">
      <c r="A36">
        <v>35</v>
      </c>
      <c r="B36" s="19" t="s">
        <v>394</v>
      </c>
      <c r="C36">
        <v>30</v>
      </c>
      <c r="D36" s="19" t="s">
        <v>372</v>
      </c>
      <c r="E36" s="19" t="s">
        <v>322</v>
      </c>
      <c r="F36">
        <v>52</v>
      </c>
      <c r="G36">
        <v>26</v>
      </c>
      <c r="H36">
        <v>24</v>
      </c>
      <c r="I36">
        <v>50</v>
      </c>
      <c r="J36">
        <v>-11</v>
      </c>
      <c r="K36">
        <v>8</v>
      </c>
      <c r="L36">
        <v>14</v>
      </c>
      <c r="M36">
        <v>9</v>
      </c>
      <c r="N36">
        <v>3</v>
      </c>
      <c r="O36">
        <v>5</v>
      </c>
      <c r="P36">
        <v>14</v>
      </c>
      <c r="Q36">
        <v>10</v>
      </c>
      <c r="R36">
        <v>0</v>
      </c>
      <c r="S36">
        <v>134</v>
      </c>
      <c r="T36">
        <v>19.399999999999999</v>
      </c>
      <c r="U36">
        <v>300</v>
      </c>
      <c r="V36" s="19" t="s">
        <v>2407</v>
      </c>
      <c r="W36" s="19" t="s">
        <v>1830</v>
      </c>
      <c r="X36">
        <v>48</v>
      </c>
      <c r="Y36">
        <v>80</v>
      </c>
      <c r="Z36">
        <v>37.5</v>
      </c>
      <c r="AA36">
        <v>32</v>
      </c>
      <c r="AB36">
        <v>50</v>
      </c>
      <c r="AC36">
        <v>14</v>
      </c>
      <c r="AD36">
        <v>39</v>
      </c>
      <c r="AE36" s="19" t="s">
        <v>60</v>
      </c>
    </row>
    <row r="37" spans="1:31" x14ac:dyDescent="0.2">
      <c r="A37">
        <v>36</v>
      </c>
      <c r="B37" s="19" t="s">
        <v>429</v>
      </c>
      <c r="C37">
        <v>32</v>
      </c>
      <c r="D37" s="19" t="s">
        <v>360</v>
      </c>
      <c r="E37" s="19" t="s">
        <v>322</v>
      </c>
      <c r="F37">
        <v>53</v>
      </c>
      <c r="G37">
        <v>22</v>
      </c>
      <c r="H37">
        <v>28</v>
      </c>
      <c r="I37">
        <v>50</v>
      </c>
      <c r="J37">
        <v>-18</v>
      </c>
      <c r="K37">
        <v>10</v>
      </c>
      <c r="L37">
        <v>10</v>
      </c>
      <c r="M37">
        <v>10</v>
      </c>
      <c r="N37">
        <v>2</v>
      </c>
      <c r="O37">
        <v>3</v>
      </c>
      <c r="P37">
        <v>18</v>
      </c>
      <c r="Q37">
        <v>10</v>
      </c>
      <c r="R37">
        <v>0</v>
      </c>
      <c r="S37">
        <v>145</v>
      </c>
      <c r="T37">
        <v>15.2</v>
      </c>
      <c r="U37">
        <v>279</v>
      </c>
      <c r="V37" s="19" t="s">
        <v>2848</v>
      </c>
      <c r="W37" s="19" t="s">
        <v>1010</v>
      </c>
      <c r="X37">
        <v>376</v>
      </c>
      <c r="Y37">
        <v>348</v>
      </c>
      <c r="Z37">
        <v>51.9</v>
      </c>
      <c r="AA37">
        <v>34</v>
      </c>
      <c r="AB37">
        <v>75</v>
      </c>
      <c r="AC37">
        <v>22</v>
      </c>
      <c r="AD37">
        <v>71</v>
      </c>
      <c r="AE37" s="19" t="s">
        <v>60</v>
      </c>
    </row>
    <row r="38" spans="1:31" x14ac:dyDescent="0.2">
      <c r="A38">
        <v>37</v>
      </c>
      <c r="B38" s="19" t="s">
        <v>328</v>
      </c>
      <c r="C38">
        <v>20</v>
      </c>
      <c r="D38" s="19" t="s">
        <v>329</v>
      </c>
      <c r="E38" s="19" t="s">
        <v>322</v>
      </c>
      <c r="F38">
        <v>40</v>
      </c>
      <c r="G38">
        <v>20</v>
      </c>
      <c r="H38">
        <v>29</v>
      </c>
      <c r="I38">
        <v>49</v>
      </c>
      <c r="J38">
        <v>1</v>
      </c>
      <c r="K38">
        <v>30</v>
      </c>
      <c r="L38">
        <v>15</v>
      </c>
      <c r="M38">
        <v>5</v>
      </c>
      <c r="N38">
        <v>0</v>
      </c>
      <c r="O38">
        <v>3</v>
      </c>
      <c r="P38">
        <v>20</v>
      </c>
      <c r="Q38">
        <v>9</v>
      </c>
      <c r="R38">
        <v>0</v>
      </c>
      <c r="S38">
        <v>136</v>
      </c>
      <c r="T38">
        <v>14.7</v>
      </c>
      <c r="U38">
        <v>243</v>
      </c>
      <c r="V38" s="19" t="s">
        <v>2408</v>
      </c>
      <c r="W38" s="19" t="s">
        <v>1675</v>
      </c>
      <c r="X38">
        <v>148</v>
      </c>
      <c r="Y38">
        <v>167</v>
      </c>
      <c r="Z38">
        <v>47</v>
      </c>
      <c r="AA38">
        <v>16</v>
      </c>
      <c r="AB38">
        <v>13</v>
      </c>
      <c r="AC38">
        <v>17</v>
      </c>
      <c r="AD38">
        <v>52</v>
      </c>
      <c r="AE38" s="19" t="s">
        <v>60</v>
      </c>
    </row>
    <row r="39" spans="1:31" x14ac:dyDescent="0.2">
      <c r="A39">
        <v>38</v>
      </c>
      <c r="B39" s="19" t="s">
        <v>353</v>
      </c>
      <c r="C39">
        <v>27</v>
      </c>
      <c r="D39" s="19" t="s">
        <v>354</v>
      </c>
      <c r="E39" s="19" t="s">
        <v>322</v>
      </c>
      <c r="F39">
        <v>53</v>
      </c>
      <c r="G39">
        <v>30</v>
      </c>
      <c r="H39">
        <v>19</v>
      </c>
      <c r="I39">
        <v>49</v>
      </c>
      <c r="J39">
        <v>-3</v>
      </c>
      <c r="K39">
        <v>16</v>
      </c>
      <c r="L39">
        <v>20</v>
      </c>
      <c r="M39">
        <v>10</v>
      </c>
      <c r="N39">
        <v>0</v>
      </c>
      <c r="O39">
        <v>5</v>
      </c>
      <c r="P39">
        <v>11</v>
      </c>
      <c r="Q39">
        <v>8</v>
      </c>
      <c r="R39">
        <v>0</v>
      </c>
      <c r="S39">
        <v>124</v>
      </c>
      <c r="T39">
        <v>24.2</v>
      </c>
      <c r="U39">
        <v>237</v>
      </c>
      <c r="V39" s="19" t="s">
        <v>2409</v>
      </c>
      <c r="W39" s="19" t="s">
        <v>1771</v>
      </c>
      <c r="X39">
        <v>58</v>
      </c>
      <c r="Y39">
        <v>70</v>
      </c>
      <c r="Z39">
        <v>45.3</v>
      </c>
      <c r="AA39">
        <v>19</v>
      </c>
      <c r="AB39">
        <v>85</v>
      </c>
      <c r="AC39">
        <v>15</v>
      </c>
      <c r="AD39">
        <v>46</v>
      </c>
      <c r="AE39" s="19" t="s">
        <v>60</v>
      </c>
    </row>
    <row r="40" spans="1:31" x14ac:dyDescent="0.2">
      <c r="A40">
        <v>39</v>
      </c>
      <c r="B40" s="19" t="s">
        <v>381</v>
      </c>
      <c r="C40">
        <v>27</v>
      </c>
      <c r="D40" s="19" t="s">
        <v>351</v>
      </c>
      <c r="E40" s="19" t="s">
        <v>339</v>
      </c>
      <c r="F40">
        <v>46</v>
      </c>
      <c r="G40">
        <v>25</v>
      </c>
      <c r="H40">
        <v>24</v>
      </c>
      <c r="I40">
        <v>49</v>
      </c>
      <c r="J40">
        <v>27</v>
      </c>
      <c r="K40">
        <v>30</v>
      </c>
      <c r="L40">
        <v>21</v>
      </c>
      <c r="M40">
        <v>3</v>
      </c>
      <c r="N40">
        <v>1</v>
      </c>
      <c r="O40">
        <v>6</v>
      </c>
      <c r="P40">
        <v>20</v>
      </c>
      <c r="Q40">
        <v>4</v>
      </c>
      <c r="R40">
        <v>0</v>
      </c>
      <c r="S40">
        <v>136</v>
      </c>
      <c r="T40">
        <v>18.399999999999999</v>
      </c>
      <c r="U40">
        <v>308</v>
      </c>
      <c r="V40" s="19" t="s">
        <v>2410</v>
      </c>
      <c r="W40" s="19" t="s">
        <v>2174</v>
      </c>
      <c r="X40">
        <v>20</v>
      </c>
      <c r="Y40">
        <v>25</v>
      </c>
      <c r="Z40">
        <v>44.4</v>
      </c>
      <c r="AA40">
        <v>25</v>
      </c>
      <c r="AB40">
        <v>35</v>
      </c>
      <c r="AC40">
        <v>19</v>
      </c>
      <c r="AD40">
        <v>45</v>
      </c>
      <c r="AE40" s="19" t="s">
        <v>60</v>
      </c>
    </row>
    <row r="41" spans="1:31" x14ac:dyDescent="0.2">
      <c r="A41">
        <v>40</v>
      </c>
      <c r="B41" s="19" t="s">
        <v>446</v>
      </c>
      <c r="C41">
        <v>26</v>
      </c>
      <c r="D41" s="19" t="s">
        <v>948</v>
      </c>
      <c r="E41" s="19" t="s">
        <v>348</v>
      </c>
      <c r="F41">
        <v>48</v>
      </c>
      <c r="G41">
        <v>4</v>
      </c>
      <c r="H41">
        <v>45</v>
      </c>
      <c r="I41">
        <v>49</v>
      </c>
      <c r="J41">
        <v>-4</v>
      </c>
      <c r="K41">
        <v>20</v>
      </c>
      <c r="L41">
        <v>2</v>
      </c>
      <c r="M41">
        <v>2</v>
      </c>
      <c r="N41">
        <v>0</v>
      </c>
      <c r="O41">
        <v>0</v>
      </c>
      <c r="P41">
        <v>26</v>
      </c>
      <c r="Q41">
        <v>19</v>
      </c>
      <c r="R41">
        <v>0</v>
      </c>
      <c r="S41">
        <v>129</v>
      </c>
      <c r="T41">
        <v>3.1</v>
      </c>
      <c r="U41">
        <v>321</v>
      </c>
      <c r="V41" s="19" t="s">
        <v>2411</v>
      </c>
      <c r="W41" s="19" t="s">
        <v>2262</v>
      </c>
      <c r="X41">
        <v>0</v>
      </c>
      <c r="Y41">
        <v>0</v>
      </c>
      <c r="AA41">
        <v>57</v>
      </c>
      <c r="AB41">
        <v>5</v>
      </c>
      <c r="AC41">
        <v>20</v>
      </c>
      <c r="AD41">
        <v>72</v>
      </c>
      <c r="AE41" s="19" t="s">
        <v>60</v>
      </c>
    </row>
    <row r="42" spans="1:31" x14ac:dyDescent="0.2">
      <c r="A42">
        <v>40</v>
      </c>
      <c r="B42" s="19" t="s">
        <v>446</v>
      </c>
      <c r="C42">
        <v>26</v>
      </c>
      <c r="D42" s="19" t="s">
        <v>447</v>
      </c>
      <c r="E42" s="19" t="s">
        <v>348</v>
      </c>
      <c r="F42">
        <v>26</v>
      </c>
      <c r="G42">
        <v>2</v>
      </c>
      <c r="H42">
        <v>21</v>
      </c>
      <c r="I42">
        <v>23</v>
      </c>
      <c r="J42">
        <v>-10</v>
      </c>
      <c r="K42">
        <v>12</v>
      </c>
      <c r="L42">
        <v>0</v>
      </c>
      <c r="M42">
        <v>2</v>
      </c>
      <c r="N42">
        <v>0</v>
      </c>
      <c r="O42">
        <v>0</v>
      </c>
      <c r="P42">
        <v>11</v>
      </c>
      <c r="Q42">
        <v>10</v>
      </c>
      <c r="R42">
        <v>0</v>
      </c>
      <c r="S42">
        <v>74</v>
      </c>
      <c r="T42">
        <v>2.7</v>
      </c>
      <c r="U42">
        <v>190</v>
      </c>
      <c r="V42" s="19" t="s">
        <v>1529</v>
      </c>
      <c r="W42" s="19" t="s">
        <v>1530</v>
      </c>
      <c r="X42">
        <v>0</v>
      </c>
      <c r="Y42">
        <v>0</v>
      </c>
      <c r="AA42">
        <v>32</v>
      </c>
      <c r="AB42">
        <v>1</v>
      </c>
      <c r="AC42">
        <v>10</v>
      </c>
      <c r="AD42">
        <v>41</v>
      </c>
      <c r="AE42" s="19" t="s">
        <v>60</v>
      </c>
    </row>
    <row r="43" spans="1:31" x14ac:dyDescent="0.2">
      <c r="A43">
        <v>40</v>
      </c>
      <c r="B43" s="19" t="s">
        <v>446</v>
      </c>
      <c r="C43">
        <v>26</v>
      </c>
      <c r="D43" s="19" t="s">
        <v>356</v>
      </c>
      <c r="E43" s="19" t="s">
        <v>348</v>
      </c>
      <c r="F43">
        <v>22</v>
      </c>
      <c r="G43">
        <v>2</v>
      </c>
      <c r="H43">
        <v>24</v>
      </c>
      <c r="I43">
        <v>26</v>
      </c>
      <c r="J43">
        <v>6</v>
      </c>
      <c r="K43">
        <v>8</v>
      </c>
      <c r="L43">
        <v>2</v>
      </c>
      <c r="M43">
        <v>0</v>
      </c>
      <c r="N43">
        <v>0</v>
      </c>
      <c r="O43">
        <v>0</v>
      </c>
      <c r="P43">
        <v>15</v>
      </c>
      <c r="Q43">
        <v>9</v>
      </c>
      <c r="R43">
        <v>0</v>
      </c>
      <c r="S43">
        <v>55</v>
      </c>
      <c r="T43">
        <v>3.6</v>
      </c>
      <c r="U43">
        <v>131</v>
      </c>
      <c r="V43" s="19" t="s">
        <v>2412</v>
      </c>
      <c r="W43" s="19" t="s">
        <v>2413</v>
      </c>
      <c r="X43">
        <v>0</v>
      </c>
      <c r="Y43">
        <v>0</v>
      </c>
      <c r="AA43">
        <v>25</v>
      </c>
      <c r="AB43">
        <v>4</v>
      </c>
      <c r="AC43">
        <v>10</v>
      </c>
      <c r="AD43">
        <v>31</v>
      </c>
      <c r="AE43" s="19" t="s">
        <v>60</v>
      </c>
    </row>
    <row r="44" spans="1:31" x14ac:dyDescent="0.2">
      <c r="A44">
        <v>41</v>
      </c>
      <c r="B44" s="19" t="s">
        <v>437</v>
      </c>
      <c r="C44">
        <v>28</v>
      </c>
      <c r="D44" s="19" t="s">
        <v>406</v>
      </c>
      <c r="E44" s="19" t="s">
        <v>334</v>
      </c>
      <c r="F44">
        <v>51</v>
      </c>
      <c r="G44">
        <v>20</v>
      </c>
      <c r="H44">
        <v>28</v>
      </c>
      <c r="I44">
        <v>48</v>
      </c>
      <c r="J44">
        <v>9</v>
      </c>
      <c r="K44">
        <v>45</v>
      </c>
      <c r="L44">
        <v>18</v>
      </c>
      <c r="M44">
        <v>1</v>
      </c>
      <c r="N44">
        <v>1</v>
      </c>
      <c r="O44">
        <v>2</v>
      </c>
      <c r="P44">
        <v>20</v>
      </c>
      <c r="Q44">
        <v>7</v>
      </c>
      <c r="R44">
        <v>1</v>
      </c>
      <c r="S44">
        <v>114</v>
      </c>
      <c r="T44">
        <v>17.5</v>
      </c>
      <c r="U44">
        <v>211</v>
      </c>
      <c r="V44" s="19" t="s">
        <v>2849</v>
      </c>
      <c r="W44" s="19" t="s">
        <v>2083</v>
      </c>
      <c r="X44">
        <v>10</v>
      </c>
      <c r="Y44">
        <v>29</v>
      </c>
      <c r="Z44">
        <v>25.6</v>
      </c>
      <c r="AA44">
        <v>26</v>
      </c>
      <c r="AB44">
        <v>65</v>
      </c>
      <c r="AC44">
        <v>13</v>
      </c>
      <c r="AD44">
        <v>74</v>
      </c>
      <c r="AE44" s="19" t="s">
        <v>60</v>
      </c>
    </row>
    <row r="45" spans="1:31" x14ac:dyDescent="0.2">
      <c r="A45">
        <v>42</v>
      </c>
      <c r="B45" s="19" t="s">
        <v>357</v>
      </c>
      <c r="C45">
        <v>29</v>
      </c>
      <c r="D45" s="19" t="s">
        <v>358</v>
      </c>
      <c r="E45" s="19" t="s">
        <v>322</v>
      </c>
      <c r="F45">
        <v>37</v>
      </c>
      <c r="G45">
        <v>17</v>
      </c>
      <c r="H45">
        <v>31</v>
      </c>
      <c r="I45">
        <v>48</v>
      </c>
      <c r="J45">
        <v>1</v>
      </c>
      <c r="K45">
        <v>14</v>
      </c>
      <c r="L45">
        <v>14</v>
      </c>
      <c r="M45">
        <v>3</v>
      </c>
      <c r="N45">
        <v>0</v>
      </c>
      <c r="O45">
        <v>3</v>
      </c>
      <c r="P45">
        <v>25</v>
      </c>
      <c r="Q45">
        <v>6</v>
      </c>
      <c r="R45">
        <v>0</v>
      </c>
      <c r="S45">
        <v>75</v>
      </c>
      <c r="T45">
        <v>22.7</v>
      </c>
      <c r="U45">
        <v>163</v>
      </c>
      <c r="V45" s="19" t="s">
        <v>2021</v>
      </c>
      <c r="W45" s="19" t="s">
        <v>1818</v>
      </c>
      <c r="X45">
        <v>19</v>
      </c>
      <c r="Y45">
        <v>33</v>
      </c>
      <c r="Z45">
        <v>36.5</v>
      </c>
      <c r="AA45">
        <v>13</v>
      </c>
      <c r="AB45">
        <v>4</v>
      </c>
      <c r="AC45">
        <v>16</v>
      </c>
      <c r="AD45">
        <v>38</v>
      </c>
      <c r="AE45" s="19" t="s">
        <v>60</v>
      </c>
    </row>
    <row r="46" spans="1:31" x14ac:dyDescent="0.2">
      <c r="A46">
        <v>43</v>
      </c>
      <c r="B46" s="19" t="s">
        <v>352</v>
      </c>
      <c r="C46">
        <v>22</v>
      </c>
      <c r="D46" s="19" t="s">
        <v>336</v>
      </c>
      <c r="E46" s="19" t="s">
        <v>339</v>
      </c>
      <c r="F46">
        <v>52</v>
      </c>
      <c r="G46">
        <v>23</v>
      </c>
      <c r="H46">
        <v>24</v>
      </c>
      <c r="I46">
        <v>47</v>
      </c>
      <c r="J46">
        <v>3</v>
      </c>
      <c r="K46">
        <v>18</v>
      </c>
      <c r="L46">
        <v>18</v>
      </c>
      <c r="M46">
        <v>5</v>
      </c>
      <c r="N46">
        <v>0</v>
      </c>
      <c r="O46">
        <v>4</v>
      </c>
      <c r="P46">
        <v>18</v>
      </c>
      <c r="Q46">
        <v>6</v>
      </c>
      <c r="R46">
        <v>0</v>
      </c>
      <c r="S46">
        <v>199</v>
      </c>
      <c r="T46">
        <v>11.6</v>
      </c>
      <c r="U46">
        <v>376</v>
      </c>
      <c r="V46" s="19" t="s">
        <v>2414</v>
      </c>
      <c r="W46" s="19" t="s">
        <v>487</v>
      </c>
      <c r="X46">
        <v>37</v>
      </c>
      <c r="Y46">
        <v>48</v>
      </c>
      <c r="Z46">
        <v>43.5</v>
      </c>
      <c r="AA46">
        <v>16</v>
      </c>
      <c r="AB46">
        <v>42</v>
      </c>
      <c r="AC46">
        <v>13</v>
      </c>
      <c r="AD46">
        <v>52</v>
      </c>
      <c r="AE46" s="19" t="s">
        <v>60</v>
      </c>
    </row>
    <row r="47" spans="1:31" x14ac:dyDescent="0.2">
      <c r="A47">
        <v>44</v>
      </c>
      <c r="B47" s="19" t="s">
        <v>369</v>
      </c>
      <c r="C47">
        <v>29</v>
      </c>
      <c r="D47" s="19" t="s">
        <v>370</v>
      </c>
      <c r="E47" s="19" t="s">
        <v>322</v>
      </c>
      <c r="F47">
        <v>54</v>
      </c>
      <c r="G47">
        <v>25</v>
      </c>
      <c r="H47">
        <v>22</v>
      </c>
      <c r="I47">
        <v>47</v>
      </c>
      <c r="J47">
        <v>8</v>
      </c>
      <c r="K47">
        <v>34</v>
      </c>
      <c r="L47">
        <v>17</v>
      </c>
      <c r="M47">
        <v>8</v>
      </c>
      <c r="N47">
        <v>0</v>
      </c>
      <c r="O47">
        <v>7</v>
      </c>
      <c r="P47">
        <v>15</v>
      </c>
      <c r="Q47">
        <v>7</v>
      </c>
      <c r="R47">
        <v>0</v>
      </c>
      <c r="S47">
        <v>161</v>
      </c>
      <c r="T47">
        <v>15.5</v>
      </c>
      <c r="U47">
        <v>332</v>
      </c>
      <c r="V47" s="19" t="s">
        <v>2415</v>
      </c>
      <c r="W47" s="19" t="s">
        <v>2072</v>
      </c>
      <c r="X47">
        <v>584</v>
      </c>
      <c r="Y47">
        <v>517</v>
      </c>
      <c r="Z47">
        <v>53</v>
      </c>
      <c r="AA47">
        <v>28</v>
      </c>
      <c r="AB47">
        <v>27</v>
      </c>
      <c r="AC47">
        <v>13</v>
      </c>
      <c r="AD47">
        <v>49</v>
      </c>
      <c r="AE47" s="19" t="s">
        <v>60</v>
      </c>
    </row>
    <row r="48" spans="1:31" x14ac:dyDescent="0.2">
      <c r="A48">
        <v>45</v>
      </c>
      <c r="B48" s="19" t="s">
        <v>412</v>
      </c>
      <c r="C48">
        <v>29</v>
      </c>
      <c r="D48" s="19" t="s">
        <v>404</v>
      </c>
      <c r="E48" s="19" t="s">
        <v>322</v>
      </c>
      <c r="F48">
        <v>53</v>
      </c>
      <c r="G48">
        <v>19</v>
      </c>
      <c r="H48">
        <v>28</v>
      </c>
      <c r="I48">
        <v>47</v>
      </c>
      <c r="J48">
        <v>17</v>
      </c>
      <c r="K48">
        <v>18</v>
      </c>
      <c r="L48">
        <v>14</v>
      </c>
      <c r="M48">
        <v>4</v>
      </c>
      <c r="N48">
        <v>1</v>
      </c>
      <c r="O48">
        <v>4</v>
      </c>
      <c r="P48">
        <v>22</v>
      </c>
      <c r="Q48">
        <v>6</v>
      </c>
      <c r="R48">
        <v>0</v>
      </c>
      <c r="S48">
        <v>127</v>
      </c>
      <c r="T48">
        <v>15</v>
      </c>
      <c r="U48">
        <v>251</v>
      </c>
      <c r="V48" s="19" t="s">
        <v>2416</v>
      </c>
      <c r="W48" s="19" t="s">
        <v>1810</v>
      </c>
      <c r="X48">
        <v>271</v>
      </c>
      <c r="Y48">
        <v>301</v>
      </c>
      <c r="Z48">
        <v>47.4</v>
      </c>
      <c r="AA48">
        <v>32</v>
      </c>
      <c r="AB48">
        <v>15</v>
      </c>
      <c r="AC48">
        <v>30</v>
      </c>
      <c r="AD48">
        <v>57</v>
      </c>
      <c r="AE48" s="19" t="s">
        <v>60</v>
      </c>
    </row>
    <row r="49" spans="1:31" x14ac:dyDescent="0.2">
      <c r="A49">
        <v>46</v>
      </c>
      <c r="B49" s="19" t="s">
        <v>489</v>
      </c>
      <c r="C49">
        <v>34</v>
      </c>
      <c r="D49" s="19" t="s">
        <v>321</v>
      </c>
      <c r="E49" s="19" t="s">
        <v>322</v>
      </c>
      <c r="F49">
        <v>51</v>
      </c>
      <c r="G49">
        <v>27</v>
      </c>
      <c r="H49">
        <v>19</v>
      </c>
      <c r="I49">
        <v>46</v>
      </c>
      <c r="J49">
        <v>8</v>
      </c>
      <c r="K49">
        <v>18</v>
      </c>
      <c r="L49">
        <v>19</v>
      </c>
      <c r="M49">
        <v>8</v>
      </c>
      <c r="N49">
        <v>0</v>
      </c>
      <c r="O49">
        <v>6</v>
      </c>
      <c r="P49">
        <v>16</v>
      </c>
      <c r="Q49">
        <v>3</v>
      </c>
      <c r="R49">
        <v>0</v>
      </c>
      <c r="S49">
        <v>116</v>
      </c>
      <c r="T49">
        <v>23.3</v>
      </c>
      <c r="U49">
        <v>196</v>
      </c>
      <c r="V49" s="19" t="s">
        <v>2322</v>
      </c>
      <c r="W49" s="19" t="s">
        <v>2082</v>
      </c>
      <c r="X49">
        <v>456</v>
      </c>
      <c r="Y49">
        <v>465</v>
      </c>
      <c r="Z49">
        <v>49.5</v>
      </c>
      <c r="AA49">
        <v>41</v>
      </c>
      <c r="AB49">
        <v>24</v>
      </c>
      <c r="AC49">
        <v>13</v>
      </c>
      <c r="AD49">
        <v>38</v>
      </c>
      <c r="AE49" s="19" t="s">
        <v>60</v>
      </c>
    </row>
    <row r="50" spans="1:31" x14ac:dyDescent="0.2">
      <c r="A50">
        <v>47</v>
      </c>
      <c r="B50" s="19" t="s">
        <v>413</v>
      </c>
      <c r="C50">
        <v>26</v>
      </c>
      <c r="D50" s="19" t="s">
        <v>345</v>
      </c>
      <c r="E50" s="19" t="s">
        <v>322</v>
      </c>
      <c r="F50">
        <v>52</v>
      </c>
      <c r="G50">
        <v>20</v>
      </c>
      <c r="H50">
        <v>26</v>
      </c>
      <c r="I50">
        <v>46</v>
      </c>
      <c r="J50">
        <v>-2</v>
      </c>
      <c r="K50">
        <v>14</v>
      </c>
      <c r="L50">
        <v>13</v>
      </c>
      <c r="M50">
        <v>7</v>
      </c>
      <c r="N50">
        <v>0</v>
      </c>
      <c r="O50">
        <v>2</v>
      </c>
      <c r="P50">
        <v>19</v>
      </c>
      <c r="Q50">
        <v>7</v>
      </c>
      <c r="R50">
        <v>0</v>
      </c>
      <c r="S50">
        <v>104</v>
      </c>
      <c r="T50">
        <v>19.2</v>
      </c>
      <c r="U50">
        <v>200</v>
      </c>
      <c r="V50" s="19" t="s">
        <v>2040</v>
      </c>
      <c r="W50" s="19" t="s">
        <v>1720</v>
      </c>
      <c r="X50">
        <v>34</v>
      </c>
      <c r="Y50">
        <v>39</v>
      </c>
      <c r="Z50">
        <v>46.6</v>
      </c>
      <c r="AA50">
        <v>21</v>
      </c>
      <c r="AB50">
        <v>13</v>
      </c>
      <c r="AC50">
        <v>9</v>
      </c>
      <c r="AD50">
        <v>42</v>
      </c>
      <c r="AE50" s="19" t="s">
        <v>60</v>
      </c>
    </row>
    <row r="51" spans="1:31" x14ac:dyDescent="0.2">
      <c r="A51">
        <v>48</v>
      </c>
      <c r="B51" s="19" t="s">
        <v>364</v>
      </c>
      <c r="C51">
        <v>31</v>
      </c>
      <c r="D51" s="19" t="s">
        <v>365</v>
      </c>
      <c r="E51" s="19" t="s">
        <v>334</v>
      </c>
      <c r="F51">
        <v>45</v>
      </c>
      <c r="G51">
        <v>22</v>
      </c>
      <c r="H51">
        <v>24</v>
      </c>
      <c r="I51">
        <v>46</v>
      </c>
      <c r="J51">
        <v>20</v>
      </c>
      <c r="K51">
        <v>71</v>
      </c>
      <c r="L51">
        <v>15</v>
      </c>
      <c r="M51">
        <v>7</v>
      </c>
      <c r="N51">
        <v>0</v>
      </c>
      <c r="O51">
        <v>2</v>
      </c>
      <c r="P51">
        <v>20</v>
      </c>
      <c r="Q51">
        <v>4</v>
      </c>
      <c r="R51">
        <v>0</v>
      </c>
      <c r="S51">
        <v>101</v>
      </c>
      <c r="T51">
        <v>21.8</v>
      </c>
      <c r="U51">
        <v>192</v>
      </c>
      <c r="V51" s="19" t="s">
        <v>2417</v>
      </c>
      <c r="W51" s="19" t="s">
        <v>893</v>
      </c>
      <c r="X51">
        <v>13</v>
      </c>
      <c r="Y51">
        <v>13</v>
      </c>
      <c r="Z51">
        <v>50</v>
      </c>
      <c r="AA51">
        <v>26</v>
      </c>
      <c r="AB51">
        <v>116</v>
      </c>
      <c r="AC51">
        <v>11</v>
      </c>
      <c r="AD51">
        <v>52</v>
      </c>
      <c r="AE51" s="19" t="s">
        <v>60</v>
      </c>
    </row>
    <row r="52" spans="1:31" x14ac:dyDescent="0.2">
      <c r="A52">
        <v>49</v>
      </c>
      <c r="B52" s="19" t="s">
        <v>405</v>
      </c>
      <c r="C52">
        <v>24</v>
      </c>
      <c r="D52" s="19" t="s">
        <v>406</v>
      </c>
      <c r="E52" s="19" t="s">
        <v>322</v>
      </c>
      <c r="F52">
        <v>52</v>
      </c>
      <c r="G52">
        <v>19</v>
      </c>
      <c r="H52">
        <v>27</v>
      </c>
      <c r="I52">
        <v>46</v>
      </c>
      <c r="J52">
        <v>-3</v>
      </c>
      <c r="K52">
        <v>34</v>
      </c>
      <c r="L52">
        <v>12</v>
      </c>
      <c r="M52">
        <v>7</v>
      </c>
      <c r="N52">
        <v>0</v>
      </c>
      <c r="O52">
        <v>2</v>
      </c>
      <c r="P52">
        <v>18</v>
      </c>
      <c r="Q52">
        <v>9</v>
      </c>
      <c r="R52">
        <v>0</v>
      </c>
      <c r="S52">
        <v>117</v>
      </c>
      <c r="T52">
        <v>16.2</v>
      </c>
      <c r="U52">
        <v>244</v>
      </c>
      <c r="V52" s="19" t="s">
        <v>2850</v>
      </c>
      <c r="W52" s="19" t="s">
        <v>1663</v>
      </c>
      <c r="X52">
        <v>59</v>
      </c>
      <c r="Y52">
        <v>106</v>
      </c>
      <c r="Z52">
        <v>35.799999999999997</v>
      </c>
      <c r="AA52">
        <v>14</v>
      </c>
      <c r="AB52">
        <v>21</v>
      </c>
      <c r="AC52">
        <v>15</v>
      </c>
      <c r="AD52">
        <v>47</v>
      </c>
      <c r="AE52" s="19" t="s">
        <v>60</v>
      </c>
    </row>
    <row r="53" spans="1:31" x14ac:dyDescent="0.2">
      <c r="A53">
        <v>50</v>
      </c>
      <c r="B53" s="19" t="s">
        <v>415</v>
      </c>
      <c r="C53">
        <v>27</v>
      </c>
      <c r="D53" s="19" t="s">
        <v>416</v>
      </c>
      <c r="E53" s="19" t="s">
        <v>322</v>
      </c>
      <c r="F53">
        <v>50</v>
      </c>
      <c r="G53">
        <v>19</v>
      </c>
      <c r="H53">
        <v>26</v>
      </c>
      <c r="I53">
        <v>45</v>
      </c>
      <c r="J53">
        <v>-4</v>
      </c>
      <c r="K53">
        <v>21</v>
      </c>
      <c r="L53">
        <v>12</v>
      </c>
      <c r="M53">
        <v>7</v>
      </c>
      <c r="N53">
        <v>0</v>
      </c>
      <c r="O53">
        <v>3</v>
      </c>
      <c r="P53">
        <v>17</v>
      </c>
      <c r="Q53">
        <v>9</v>
      </c>
      <c r="R53">
        <v>0</v>
      </c>
      <c r="S53">
        <v>106</v>
      </c>
      <c r="T53">
        <v>17.899999999999999</v>
      </c>
      <c r="U53">
        <v>216</v>
      </c>
      <c r="V53" s="19" t="s">
        <v>2851</v>
      </c>
      <c r="W53" s="19" t="s">
        <v>1526</v>
      </c>
      <c r="X53">
        <v>9</v>
      </c>
      <c r="Y53">
        <v>10</v>
      </c>
      <c r="Z53">
        <v>47.4</v>
      </c>
      <c r="AA53">
        <v>16</v>
      </c>
      <c r="AB53">
        <v>72</v>
      </c>
      <c r="AC53">
        <v>18</v>
      </c>
      <c r="AD53">
        <v>38</v>
      </c>
      <c r="AE53" s="19" t="s">
        <v>60</v>
      </c>
    </row>
    <row r="54" spans="1:31" x14ac:dyDescent="0.2">
      <c r="A54">
        <v>51</v>
      </c>
      <c r="B54" s="19" t="s">
        <v>444</v>
      </c>
      <c r="C54">
        <v>22</v>
      </c>
      <c r="D54" s="19" t="s">
        <v>404</v>
      </c>
      <c r="E54" s="19" t="s">
        <v>334</v>
      </c>
      <c r="F54">
        <v>52</v>
      </c>
      <c r="G54">
        <v>23</v>
      </c>
      <c r="H54">
        <v>22</v>
      </c>
      <c r="I54">
        <v>45</v>
      </c>
      <c r="J54">
        <v>8</v>
      </c>
      <c r="K54">
        <v>22</v>
      </c>
      <c r="L54">
        <v>19</v>
      </c>
      <c r="M54">
        <v>4</v>
      </c>
      <c r="N54">
        <v>0</v>
      </c>
      <c r="O54">
        <v>6</v>
      </c>
      <c r="P54">
        <v>14</v>
      </c>
      <c r="Q54">
        <v>8</v>
      </c>
      <c r="R54">
        <v>0</v>
      </c>
      <c r="S54">
        <v>170</v>
      </c>
      <c r="T54">
        <v>13.5</v>
      </c>
      <c r="U54">
        <v>341</v>
      </c>
      <c r="V54" s="19" t="s">
        <v>2418</v>
      </c>
      <c r="W54" s="19" t="s">
        <v>1461</v>
      </c>
      <c r="X54">
        <v>21</v>
      </c>
      <c r="Y54">
        <v>29</v>
      </c>
      <c r="Z54">
        <v>42</v>
      </c>
      <c r="AA54">
        <v>19</v>
      </c>
      <c r="AB54">
        <v>43</v>
      </c>
      <c r="AC54">
        <v>11</v>
      </c>
      <c r="AD54">
        <v>40</v>
      </c>
      <c r="AE54" s="19" t="s">
        <v>60</v>
      </c>
    </row>
    <row r="55" spans="1:31" x14ac:dyDescent="0.2">
      <c r="A55">
        <v>52</v>
      </c>
      <c r="B55" s="19" t="s">
        <v>445</v>
      </c>
      <c r="C55">
        <v>32</v>
      </c>
      <c r="D55" s="19" t="s">
        <v>343</v>
      </c>
      <c r="E55" s="19" t="s">
        <v>322</v>
      </c>
      <c r="F55">
        <v>52</v>
      </c>
      <c r="G55">
        <v>21</v>
      </c>
      <c r="H55">
        <v>24</v>
      </c>
      <c r="I55">
        <v>45</v>
      </c>
      <c r="J55">
        <v>-5</v>
      </c>
      <c r="K55">
        <v>33</v>
      </c>
      <c r="L55">
        <v>10</v>
      </c>
      <c r="M55">
        <v>11</v>
      </c>
      <c r="N55">
        <v>0</v>
      </c>
      <c r="O55">
        <v>3</v>
      </c>
      <c r="P55">
        <v>16</v>
      </c>
      <c r="Q55">
        <v>8</v>
      </c>
      <c r="R55">
        <v>0</v>
      </c>
      <c r="S55">
        <v>142</v>
      </c>
      <c r="T55">
        <v>14.8</v>
      </c>
      <c r="U55">
        <v>273</v>
      </c>
      <c r="V55" s="19" t="s">
        <v>2419</v>
      </c>
      <c r="W55" s="19" t="s">
        <v>1821</v>
      </c>
      <c r="X55">
        <v>473</v>
      </c>
      <c r="Y55">
        <v>354</v>
      </c>
      <c r="Z55">
        <v>57.2</v>
      </c>
      <c r="AA55">
        <v>27</v>
      </c>
      <c r="AB55">
        <v>67</v>
      </c>
      <c r="AC55">
        <v>12</v>
      </c>
      <c r="AD55">
        <v>35</v>
      </c>
      <c r="AE55" s="19" t="s">
        <v>60</v>
      </c>
    </row>
    <row r="56" spans="1:31" x14ac:dyDescent="0.2">
      <c r="A56">
        <v>53</v>
      </c>
      <c r="B56" s="19" t="s">
        <v>488</v>
      </c>
      <c r="C56">
        <v>28</v>
      </c>
      <c r="D56" s="19" t="s">
        <v>358</v>
      </c>
      <c r="E56" s="19" t="s">
        <v>322</v>
      </c>
      <c r="F56">
        <v>47</v>
      </c>
      <c r="G56">
        <v>26</v>
      </c>
      <c r="H56">
        <v>19</v>
      </c>
      <c r="I56">
        <v>45</v>
      </c>
      <c r="J56">
        <v>2</v>
      </c>
      <c r="K56">
        <v>16</v>
      </c>
      <c r="L56">
        <v>22</v>
      </c>
      <c r="M56">
        <v>4</v>
      </c>
      <c r="N56">
        <v>0</v>
      </c>
      <c r="O56">
        <v>3</v>
      </c>
      <c r="P56">
        <v>14</v>
      </c>
      <c r="Q56">
        <v>5</v>
      </c>
      <c r="R56">
        <v>0</v>
      </c>
      <c r="S56">
        <v>180</v>
      </c>
      <c r="T56">
        <v>14.4</v>
      </c>
      <c r="U56">
        <v>325</v>
      </c>
      <c r="V56" s="19" t="s">
        <v>2263</v>
      </c>
      <c r="W56" s="19" t="s">
        <v>2129</v>
      </c>
      <c r="X56">
        <v>465</v>
      </c>
      <c r="Y56">
        <v>321</v>
      </c>
      <c r="Z56">
        <v>59.2</v>
      </c>
      <c r="AA56">
        <v>66</v>
      </c>
      <c r="AB56">
        <v>29</v>
      </c>
      <c r="AC56">
        <v>23</v>
      </c>
      <c r="AD56">
        <v>42</v>
      </c>
      <c r="AE56" s="19" t="s">
        <v>60</v>
      </c>
    </row>
    <row r="57" spans="1:31" x14ac:dyDescent="0.2">
      <c r="A57">
        <v>54</v>
      </c>
      <c r="B57" s="19" t="s">
        <v>386</v>
      </c>
      <c r="C57">
        <v>40</v>
      </c>
      <c r="D57" s="19" t="s">
        <v>365</v>
      </c>
      <c r="E57" s="19" t="s">
        <v>339</v>
      </c>
      <c r="F57">
        <v>54</v>
      </c>
      <c r="G57">
        <v>22</v>
      </c>
      <c r="H57">
        <v>23</v>
      </c>
      <c r="I57">
        <v>45</v>
      </c>
      <c r="J57">
        <v>1</v>
      </c>
      <c r="K57">
        <v>16</v>
      </c>
      <c r="L57">
        <v>18</v>
      </c>
      <c r="M57">
        <v>4</v>
      </c>
      <c r="N57">
        <v>0</v>
      </c>
      <c r="O57">
        <v>4</v>
      </c>
      <c r="P57">
        <v>13</v>
      </c>
      <c r="Q57">
        <v>10</v>
      </c>
      <c r="R57">
        <v>0</v>
      </c>
      <c r="S57">
        <v>149</v>
      </c>
      <c r="T57">
        <v>14.8</v>
      </c>
      <c r="U57">
        <v>350</v>
      </c>
      <c r="V57" s="19" t="s">
        <v>2420</v>
      </c>
      <c r="W57" s="19" t="s">
        <v>441</v>
      </c>
      <c r="X57">
        <v>2</v>
      </c>
      <c r="Y57">
        <v>1</v>
      </c>
      <c r="Z57">
        <v>66.7</v>
      </c>
      <c r="AA57">
        <v>10</v>
      </c>
      <c r="AB57">
        <v>90</v>
      </c>
      <c r="AC57">
        <v>6</v>
      </c>
      <c r="AD57">
        <v>50</v>
      </c>
      <c r="AE57" s="19" t="s">
        <v>60</v>
      </c>
    </row>
    <row r="58" spans="1:31" x14ac:dyDescent="0.2">
      <c r="A58">
        <v>55</v>
      </c>
      <c r="B58" s="19" t="s">
        <v>388</v>
      </c>
      <c r="C58">
        <v>35</v>
      </c>
      <c r="D58" s="19" t="s">
        <v>358</v>
      </c>
      <c r="E58" s="19" t="s">
        <v>322</v>
      </c>
      <c r="F58">
        <v>53</v>
      </c>
      <c r="G58">
        <v>19</v>
      </c>
      <c r="H58">
        <v>26</v>
      </c>
      <c r="I58">
        <v>45</v>
      </c>
      <c r="J58">
        <v>-13</v>
      </c>
      <c r="K58">
        <v>20</v>
      </c>
      <c r="L58">
        <v>15</v>
      </c>
      <c r="M58">
        <v>4</v>
      </c>
      <c r="N58">
        <v>0</v>
      </c>
      <c r="O58">
        <v>1</v>
      </c>
      <c r="P58">
        <v>23</v>
      </c>
      <c r="Q58">
        <v>3</v>
      </c>
      <c r="R58">
        <v>0</v>
      </c>
      <c r="S58">
        <v>130</v>
      </c>
      <c r="T58">
        <v>14.6</v>
      </c>
      <c r="U58">
        <v>252</v>
      </c>
      <c r="V58" s="19" t="s">
        <v>2421</v>
      </c>
      <c r="W58" s="19" t="s">
        <v>1711</v>
      </c>
      <c r="X58">
        <v>498</v>
      </c>
      <c r="Y58">
        <v>342</v>
      </c>
      <c r="Z58">
        <v>59.3</v>
      </c>
      <c r="AA58">
        <v>13</v>
      </c>
      <c r="AB58">
        <v>49</v>
      </c>
      <c r="AC58">
        <v>20</v>
      </c>
      <c r="AD58">
        <v>49</v>
      </c>
      <c r="AE58" s="19" t="s">
        <v>60</v>
      </c>
    </row>
    <row r="59" spans="1:31" x14ac:dyDescent="0.2">
      <c r="A59">
        <v>56</v>
      </c>
      <c r="B59" s="19" t="s">
        <v>442</v>
      </c>
      <c r="C59">
        <v>28</v>
      </c>
      <c r="D59" s="19" t="s">
        <v>383</v>
      </c>
      <c r="E59" s="19" t="s">
        <v>322</v>
      </c>
      <c r="F59">
        <v>52</v>
      </c>
      <c r="G59">
        <v>13</v>
      </c>
      <c r="H59">
        <v>31</v>
      </c>
      <c r="I59">
        <v>44</v>
      </c>
      <c r="J59">
        <v>8</v>
      </c>
      <c r="K59">
        <v>41</v>
      </c>
      <c r="L59">
        <v>11</v>
      </c>
      <c r="M59">
        <v>2</v>
      </c>
      <c r="N59">
        <v>0</v>
      </c>
      <c r="O59">
        <v>3</v>
      </c>
      <c r="P59">
        <v>19</v>
      </c>
      <c r="Q59">
        <v>12</v>
      </c>
      <c r="R59">
        <v>0</v>
      </c>
      <c r="S59">
        <v>114</v>
      </c>
      <c r="T59">
        <v>11.4</v>
      </c>
      <c r="U59">
        <v>226</v>
      </c>
      <c r="V59" s="19" t="s">
        <v>2852</v>
      </c>
      <c r="W59" s="19" t="s">
        <v>1961</v>
      </c>
      <c r="X59">
        <v>193</v>
      </c>
      <c r="Y59">
        <v>292</v>
      </c>
      <c r="Z59">
        <v>39.799999999999997</v>
      </c>
      <c r="AA59">
        <v>35</v>
      </c>
      <c r="AB59">
        <v>17</v>
      </c>
      <c r="AC59">
        <v>27</v>
      </c>
      <c r="AD59">
        <v>59</v>
      </c>
      <c r="AE59" s="19" t="s">
        <v>60</v>
      </c>
    </row>
    <row r="60" spans="1:31" x14ac:dyDescent="0.2">
      <c r="A60">
        <v>57</v>
      </c>
      <c r="B60" s="19" t="s">
        <v>335</v>
      </c>
      <c r="C60">
        <v>21</v>
      </c>
      <c r="D60" s="19" t="s">
        <v>336</v>
      </c>
      <c r="E60" s="19" t="s">
        <v>322</v>
      </c>
      <c r="F60">
        <v>44</v>
      </c>
      <c r="G60">
        <v>18</v>
      </c>
      <c r="H60">
        <v>26</v>
      </c>
      <c r="I60">
        <v>44</v>
      </c>
      <c r="J60">
        <v>3</v>
      </c>
      <c r="K60">
        <v>29</v>
      </c>
      <c r="L60">
        <v>13</v>
      </c>
      <c r="M60">
        <v>3</v>
      </c>
      <c r="N60">
        <v>2</v>
      </c>
      <c r="O60">
        <v>3</v>
      </c>
      <c r="P60">
        <v>16</v>
      </c>
      <c r="Q60">
        <v>9</v>
      </c>
      <c r="R60">
        <v>1</v>
      </c>
      <c r="S60">
        <v>107</v>
      </c>
      <c r="T60">
        <v>16.8</v>
      </c>
      <c r="U60">
        <v>218</v>
      </c>
      <c r="V60" s="19" t="s">
        <v>1779</v>
      </c>
      <c r="W60" s="19" t="s">
        <v>1816</v>
      </c>
      <c r="X60">
        <v>315</v>
      </c>
      <c r="Y60">
        <v>378</v>
      </c>
      <c r="Z60">
        <v>45.5</v>
      </c>
      <c r="AA60">
        <v>15</v>
      </c>
      <c r="AB60">
        <v>8</v>
      </c>
      <c r="AC60">
        <v>19</v>
      </c>
      <c r="AD60">
        <v>52</v>
      </c>
      <c r="AE60" s="19" t="s">
        <v>60</v>
      </c>
    </row>
    <row r="61" spans="1:31" x14ac:dyDescent="0.2">
      <c r="A61">
        <v>58</v>
      </c>
      <c r="B61" s="19" t="s">
        <v>390</v>
      </c>
      <c r="C61">
        <v>23</v>
      </c>
      <c r="D61" s="19" t="s">
        <v>358</v>
      </c>
      <c r="E61" s="19" t="s">
        <v>339</v>
      </c>
      <c r="F61">
        <v>50</v>
      </c>
      <c r="G61">
        <v>13</v>
      </c>
      <c r="H61">
        <v>31</v>
      </c>
      <c r="I61">
        <v>44</v>
      </c>
      <c r="J61">
        <v>-8</v>
      </c>
      <c r="K61">
        <v>19</v>
      </c>
      <c r="L61">
        <v>9</v>
      </c>
      <c r="M61">
        <v>4</v>
      </c>
      <c r="N61">
        <v>0</v>
      </c>
      <c r="O61">
        <v>2</v>
      </c>
      <c r="P61">
        <v>29</v>
      </c>
      <c r="Q61">
        <v>2</v>
      </c>
      <c r="R61">
        <v>0</v>
      </c>
      <c r="S61">
        <v>96</v>
      </c>
      <c r="T61">
        <v>13.5</v>
      </c>
      <c r="U61">
        <v>164</v>
      </c>
      <c r="V61" s="19" t="s">
        <v>2422</v>
      </c>
      <c r="W61" s="19" t="s">
        <v>1928</v>
      </c>
      <c r="X61">
        <v>0</v>
      </c>
      <c r="Y61">
        <v>2</v>
      </c>
      <c r="Z61">
        <v>0</v>
      </c>
      <c r="AA61">
        <v>23</v>
      </c>
      <c r="AB61">
        <v>109</v>
      </c>
      <c r="AC61">
        <v>15</v>
      </c>
      <c r="AD61">
        <v>44</v>
      </c>
      <c r="AE61" s="19" t="s">
        <v>60</v>
      </c>
    </row>
    <row r="62" spans="1:31" x14ac:dyDescent="0.2">
      <c r="A62">
        <v>59</v>
      </c>
      <c r="B62" s="19" t="s">
        <v>420</v>
      </c>
      <c r="C62">
        <v>25</v>
      </c>
      <c r="D62" s="19" t="s">
        <v>380</v>
      </c>
      <c r="E62" s="19" t="s">
        <v>334</v>
      </c>
      <c r="F62">
        <v>48</v>
      </c>
      <c r="G62">
        <v>19</v>
      </c>
      <c r="H62">
        <v>25</v>
      </c>
      <c r="I62">
        <v>44</v>
      </c>
      <c r="J62">
        <v>5</v>
      </c>
      <c r="K62">
        <v>20</v>
      </c>
      <c r="L62">
        <v>15</v>
      </c>
      <c r="M62">
        <v>3</v>
      </c>
      <c r="N62">
        <v>1</v>
      </c>
      <c r="O62">
        <v>4</v>
      </c>
      <c r="P62">
        <v>13</v>
      </c>
      <c r="Q62">
        <v>12</v>
      </c>
      <c r="R62">
        <v>0</v>
      </c>
      <c r="S62">
        <v>149</v>
      </c>
      <c r="T62">
        <v>12.8</v>
      </c>
      <c r="U62">
        <v>299</v>
      </c>
      <c r="V62" s="19" t="s">
        <v>2853</v>
      </c>
      <c r="W62" s="19" t="s">
        <v>1952</v>
      </c>
      <c r="X62">
        <v>1</v>
      </c>
      <c r="Y62">
        <v>3</v>
      </c>
      <c r="Z62">
        <v>25</v>
      </c>
      <c r="AA62">
        <v>30</v>
      </c>
      <c r="AB62">
        <v>38</v>
      </c>
      <c r="AC62">
        <v>29</v>
      </c>
      <c r="AD62">
        <v>62</v>
      </c>
      <c r="AE62" s="19" t="s">
        <v>60</v>
      </c>
    </row>
    <row r="63" spans="1:31" x14ac:dyDescent="0.2">
      <c r="A63">
        <v>60</v>
      </c>
      <c r="B63" s="19" t="s">
        <v>509</v>
      </c>
      <c r="C63">
        <v>29</v>
      </c>
      <c r="D63" s="19" t="s">
        <v>351</v>
      </c>
      <c r="E63" s="19" t="s">
        <v>348</v>
      </c>
      <c r="F63">
        <v>45</v>
      </c>
      <c r="G63">
        <v>14</v>
      </c>
      <c r="H63">
        <v>30</v>
      </c>
      <c r="I63">
        <v>44</v>
      </c>
      <c r="J63">
        <v>15</v>
      </c>
      <c r="K63">
        <v>23</v>
      </c>
      <c r="L63">
        <v>6</v>
      </c>
      <c r="M63">
        <v>8</v>
      </c>
      <c r="N63">
        <v>0</v>
      </c>
      <c r="O63">
        <v>4</v>
      </c>
      <c r="P63">
        <v>21</v>
      </c>
      <c r="Q63">
        <v>9</v>
      </c>
      <c r="R63">
        <v>0</v>
      </c>
      <c r="S63">
        <v>112</v>
      </c>
      <c r="T63">
        <v>12.5</v>
      </c>
      <c r="U63">
        <v>259</v>
      </c>
      <c r="V63" s="19" t="s">
        <v>2168</v>
      </c>
      <c r="W63" s="19" t="s">
        <v>1883</v>
      </c>
      <c r="X63">
        <v>0</v>
      </c>
      <c r="Y63">
        <v>0</v>
      </c>
      <c r="AA63">
        <v>45</v>
      </c>
      <c r="AB63">
        <v>46</v>
      </c>
      <c r="AC63">
        <v>9</v>
      </c>
      <c r="AD63">
        <v>49</v>
      </c>
      <c r="AE63" s="19" t="s">
        <v>60</v>
      </c>
    </row>
    <row r="64" spans="1:31" x14ac:dyDescent="0.2">
      <c r="A64">
        <v>61</v>
      </c>
      <c r="B64" s="19" t="s">
        <v>431</v>
      </c>
      <c r="C64">
        <v>36</v>
      </c>
      <c r="D64" s="19" t="s">
        <v>365</v>
      </c>
      <c r="E64" s="19" t="s">
        <v>348</v>
      </c>
      <c r="F64">
        <v>50</v>
      </c>
      <c r="G64">
        <v>9</v>
      </c>
      <c r="H64">
        <v>34</v>
      </c>
      <c r="I64">
        <v>43</v>
      </c>
      <c r="J64">
        <v>10</v>
      </c>
      <c r="K64">
        <v>24</v>
      </c>
      <c r="L64">
        <v>9</v>
      </c>
      <c r="M64">
        <v>0</v>
      </c>
      <c r="N64">
        <v>0</v>
      </c>
      <c r="O64">
        <v>0</v>
      </c>
      <c r="P64">
        <v>26</v>
      </c>
      <c r="Q64">
        <v>8</v>
      </c>
      <c r="R64">
        <v>0</v>
      </c>
      <c r="S64">
        <v>103</v>
      </c>
      <c r="T64">
        <v>8.6999999999999993</v>
      </c>
      <c r="U64">
        <v>241</v>
      </c>
      <c r="V64" s="19" t="s">
        <v>2423</v>
      </c>
      <c r="W64" s="19" t="s">
        <v>2143</v>
      </c>
      <c r="X64">
        <v>0</v>
      </c>
      <c r="Y64">
        <v>1</v>
      </c>
      <c r="Z64">
        <v>0</v>
      </c>
      <c r="AA64">
        <v>71</v>
      </c>
      <c r="AB64">
        <v>19</v>
      </c>
      <c r="AC64">
        <v>33</v>
      </c>
      <c r="AD64">
        <v>79</v>
      </c>
      <c r="AE64" s="19" t="s">
        <v>60</v>
      </c>
    </row>
    <row r="65" spans="1:31" x14ac:dyDescent="0.2">
      <c r="A65">
        <v>62</v>
      </c>
      <c r="B65" s="19" t="s">
        <v>443</v>
      </c>
      <c r="C65">
        <v>20</v>
      </c>
      <c r="D65" s="19" t="s">
        <v>362</v>
      </c>
      <c r="E65" s="19" t="s">
        <v>334</v>
      </c>
      <c r="F65">
        <v>53</v>
      </c>
      <c r="G65">
        <v>11</v>
      </c>
      <c r="H65">
        <v>32</v>
      </c>
      <c r="I65">
        <v>43</v>
      </c>
      <c r="J65">
        <v>7</v>
      </c>
      <c r="K65">
        <v>24</v>
      </c>
      <c r="L65">
        <v>8</v>
      </c>
      <c r="M65">
        <v>3</v>
      </c>
      <c r="N65">
        <v>0</v>
      </c>
      <c r="O65">
        <v>2</v>
      </c>
      <c r="P65">
        <v>24</v>
      </c>
      <c r="Q65">
        <v>8</v>
      </c>
      <c r="R65">
        <v>0</v>
      </c>
      <c r="S65">
        <v>75</v>
      </c>
      <c r="T65">
        <v>14.7</v>
      </c>
      <c r="U65">
        <v>172</v>
      </c>
      <c r="V65" s="19" t="s">
        <v>2424</v>
      </c>
      <c r="W65" s="19" t="s">
        <v>1556</v>
      </c>
      <c r="X65">
        <v>0</v>
      </c>
      <c r="Y65">
        <v>0</v>
      </c>
      <c r="AA65">
        <v>19</v>
      </c>
      <c r="AB65">
        <v>23</v>
      </c>
      <c r="AC65">
        <v>16</v>
      </c>
      <c r="AD65">
        <v>49</v>
      </c>
      <c r="AE65" s="19" t="s">
        <v>60</v>
      </c>
    </row>
    <row r="66" spans="1:31" x14ac:dyDescent="0.2">
      <c r="A66">
        <v>63</v>
      </c>
      <c r="B66" s="19" t="s">
        <v>423</v>
      </c>
      <c r="C66">
        <v>20</v>
      </c>
      <c r="D66" s="19" t="s">
        <v>336</v>
      </c>
      <c r="E66" s="19" t="s">
        <v>325</v>
      </c>
      <c r="F66">
        <v>53</v>
      </c>
      <c r="G66">
        <v>18</v>
      </c>
      <c r="H66">
        <v>25</v>
      </c>
      <c r="I66">
        <v>43</v>
      </c>
      <c r="J66">
        <v>-3</v>
      </c>
      <c r="K66">
        <v>36</v>
      </c>
      <c r="L66">
        <v>16</v>
      </c>
      <c r="M66">
        <v>1</v>
      </c>
      <c r="N66">
        <v>1</v>
      </c>
      <c r="O66">
        <v>2</v>
      </c>
      <c r="P66">
        <v>19</v>
      </c>
      <c r="Q66">
        <v>6</v>
      </c>
      <c r="R66">
        <v>0</v>
      </c>
      <c r="S66">
        <v>120</v>
      </c>
      <c r="T66">
        <v>15</v>
      </c>
      <c r="U66">
        <v>229</v>
      </c>
      <c r="V66" s="19" t="s">
        <v>2425</v>
      </c>
      <c r="W66" s="19" t="s">
        <v>1279</v>
      </c>
      <c r="X66">
        <v>2</v>
      </c>
      <c r="Y66">
        <v>2</v>
      </c>
      <c r="Z66">
        <v>50</v>
      </c>
      <c r="AA66">
        <v>16</v>
      </c>
      <c r="AB66">
        <v>57</v>
      </c>
      <c r="AC66">
        <v>13</v>
      </c>
      <c r="AD66">
        <v>60</v>
      </c>
      <c r="AE66" s="19" t="s">
        <v>60</v>
      </c>
    </row>
    <row r="67" spans="1:31" x14ac:dyDescent="0.2">
      <c r="A67">
        <v>64</v>
      </c>
      <c r="B67" s="19" t="s">
        <v>575</v>
      </c>
      <c r="C67">
        <v>25</v>
      </c>
      <c r="D67" s="19" t="s">
        <v>396</v>
      </c>
      <c r="E67" s="19" t="s">
        <v>334</v>
      </c>
      <c r="F67">
        <v>52</v>
      </c>
      <c r="G67">
        <v>18</v>
      </c>
      <c r="H67">
        <v>25</v>
      </c>
      <c r="I67">
        <v>43</v>
      </c>
      <c r="J67">
        <v>1</v>
      </c>
      <c r="K67">
        <v>38</v>
      </c>
      <c r="L67">
        <v>12</v>
      </c>
      <c r="M67">
        <v>6</v>
      </c>
      <c r="N67">
        <v>0</v>
      </c>
      <c r="O67">
        <v>2</v>
      </c>
      <c r="P67">
        <v>16</v>
      </c>
      <c r="Q67">
        <v>9</v>
      </c>
      <c r="R67">
        <v>0</v>
      </c>
      <c r="S67">
        <v>141</v>
      </c>
      <c r="T67">
        <v>12.8</v>
      </c>
      <c r="U67">
        <v>297</v>
      </c>
      <c r="V67" s="19" t="s">
        <v>2264</v>
      </c>
      <c r="W67" s="19" t="s">
        <v>1642</v>
      </c>
      <c r="X67">
        <v>9</v>
      </c>
      <c r="Y67">
        <v>8</v>
      </c>
      <c r="Z67">
        <v>52.9</v>
      </c>
      <c r="AA67">
        <v>10</v>
      </c>
      <c r="AB67">
        <v>90</v>
      </c>
      <c r="AC67">
        <v>18</v>
      </c>
      <c r="AD67">
        <v>60</v>
      </c>
      <c r="AE67" s="19" t="s">
        <v>60</v>
      </c>
    </row>
    <row r="68" spans="1:31" x14ac:dyDescent="0.2">
      <c r="A68">
        <v>65</v>
      </c>
      <c r="B68" s="19" t="s">
        <v>427</v>
      </c>
      <c r="C68">
        <v>29</v>
      </c>
      <c r="D68" s="19" t="s">
        <v>428</v>
      </c>
      <c r="E68" s="19" t="s">
        <v>334</v>
      </c>
      <c r="F68">
        <v>51</v>
      </c>
      <c r="G68">
        <v>19</v>
      </c>
      <c r="H68">
        <v>24</v>
      </c>
      <c r="I68">
        <v>43</v>
      </c>
      <c r="J68">
        <v>13</v>
      </c>
      <c r="K68">
        <v>43</v>
      </c>
      <c r="L68">
        <v>15</v>
      </c>
      <c r="M68">
        <v>3</v>
      </c>
      <c r="N68">
        <v>1</v>
      </c>
      <c r="O68">
        <v>2</v>
      </c>
      <c r="P68">
        <v>21</v>
      </c>
      <c r="Q68">
        <v>1</v>
      </c>
      <c r="R68">
        <v>2</v>
      </c>
      <c r="S68">
        <v>120</v>
      </c>
      <c r="T68">
        <v>15.8</v>
      </c>
      <c r="U68">
        <v>238</v>
      </c>
      <c r="V68" s="19" t="s">
        <v>2426</v>
      </c>
      <c r="W68" s="19" t="s">
        <v>1818</v>
      </c>
      <c r="X68">
        <v>25</v>
      </c>
      <c r="Y68">
        <v>29</v>
      </c>
      <c r="Z68">
        <v>46.3</v>
      </c>
      <c r="AA68">
        <v>60</v>
      </c>
      <c r="AB68">
        <v>56</v>
      </c>
      <c r="AC68">
        <v>24</v>
      </c>
      <c r="AD68">
        <v>42</v>
      </c>
      <c r="AE68" s="19" t="s">
        <v>60</v>
      </c>
    </row>
    <row r="69" spans="1:31" x14ac:dyDescent="0.2">
      <c r="A69">
        <v>66</v>
      </c>
      <c r="B69" s="19" t="s">
        <v>494</v>
      </c>
      <c r="C69">
        <v>25</v>
      </c>
      <c r="D69" s="19" t="s">
        <v>428</v>
      </c>
      <c r="E69" s="19" t="s">
        <v>348</v>
      </c>
      <c r="F69">
        <v>48</v>
      </c>
      <c r="G69">
        <v>11</v>
      </c>
      <c r="H69">
        <v>31</v>
      </c>
      <c r="I69">
        <v>42</v>
      </c>
      <c r="J69">
        <v>-7</v>
      </c>
      <c r="K69">
        <v>47</v>
      </c>
      <c r="L69">
        <v>7</v>
      </c>
      <c r="M69">
        <v>4</v>
      </c>
      <c r="N69">
        <v>0</v>
      </c>
      <c r="O69">
        <v>0</v>
      </c>
      <c r="P69">
        <v>20</v>
      </c>
      <c r="Q69">
        <v>11</v>
      </c>
      <c r="R69">
        <v>0</v>
      </c>
      <c r="S69">
        <v>128</v>
      </c>
      <c r="T69">
        <v>8.6</v>
      </c>
      <c r="U69">
        <v>282</v>
      </c>
      <c r="V69" s="19" t="s">
        <v>2427</v>
      </c>
      <c r="W69" s="19" t="s">
        <v>2137</v>
      </c>
      <c r="X69">
        <v>0</v>
      </c>
      <c r="Y69">
        <v>0</v>
      </c>
      <c r="AA69">
        <v>63</v>
      </c>
      <c r="AB69">
        <v>46</v>
      </c>
      <c r="AC69">
        <v>19</v>
      </c>
      <c r="AD69">
        <v>76</v>
      </c>
      <c r="AE69" s="19" t="s">
        <v>60</v>
      </c>
    </row>
    <row r="70" spans="1:31" x14ac:dyDescent="0.2">
      <c r="A70">
        <v>67</v>
      </c>
      <c r="B70" s="19" t="s">
        <v>422</v>
      </c>
      <c r="C70">
        <v>30</v>
      </c>
      <c r="D70" s="19" t="s">
        <v>345</v>
      </c>
      <c r="E70" s="19" t="s">
        <v>348</v>
      </c>
      <c r="F70">
        <v>52</v>
      </c>
      <c r="G70">
        <v>10</v>
      </c>
      <c r="H70">
        <v>32</v>
      </c>
      <c r="I70">
        <v>42</v>
      </c>
      <c r="J70">
        <v>12</v>
      </c>
      <c r="K70">
        <v>22</v>
      </c>
      <c r="L70">
        <v>8</v>
      </c>
      <c r="M70">
        <v>2</v>
      </c>
      <c r="N70">
        <v>0</v>
      </c>
      <c r="O70">
        <v>1</v>
      </c>
      <c r="P70">
        <v>22</v>
      </c>
      <c r="Q70">
        <v>10</v>
      </c>
      <c r="R70">
        <v>0</v>
      </c>
      <c r="S70">
        <v>95</v>
      </c>
      <c r="T70">
        <v>10.5</v>
      </c>
      <c r="U70">
        <v>217</v>
      </c>
      <c r="V70" s="19" t="s">
        <v>2428</v>
      </c>
      <c r="W70" s="19" t="s">
        <v>1931</v>
      </c>
      <c r="X70">
        <v>0</v>
      </c>
      <c r="Y70">
        <v>0</v>
      </c>
      <c r="AA70">
        <v>91</v>
      </c>
      <c r="AB70">
        <v>24</v>
      </c>
      <c r="AC70">
        <v>12</v>
      </c>
      <c r="AD70">
        <v>65</v>
      </c>
      <c r="AE70" s="19" t="s">
        <v>60</v>
      </c>
    </row>
    <row r="71" spans="1:31" x14ac:dyDescent="0.2">
      <c r="A71">
        <v>68</v>
      </c>
      <c r="B71" s="19" t="s">
        <v>451</v>
      </c>
      <c r="C71">
        <v>32</v>
      </c>
      <c r="D71" s="19" t="s">
        <v>327</v>
      </c>
      <c r="E71" s="19" t="s">
        <v>322</v>
      </c>
      <c r="F71">
        <v>45</v>
      </c>
      <c r="G71">
        <v>12</v>
      </c>
      <c r="H71">
        <v>30</v>
      </c>
      <c r="I71">
        <v>42</v>
      </c>
      <c r="J71">
        <v>-5</v>
      </c>
      <c r="K71">
        <v>17</v>
      </c>
      <c r="L71">
        <v>5</v>
      </c>
      <c r="M71">
        <v>7</v>
      </c>
      <c r="N71">
        <v>0</v>
      </c>
      <c r="O71">
        <v>2</v>
      </c>
      <c r="P71">
        <v>13</v>
      </c>
      <c r="Q71">
        <v>16</v>
      </c>
      <c r="R71">
        <v>1</v>
      </c>
      <c r="S71">
        <v>75</v>
      </c>
      <c r="T71">
        <v>16</v>
      </c>
      <c r="U71">
        <v>158</v>
      </c>
      <c r="V71" s="19" t="s">
        <v>1872</v>
      </c>
      <c r="W71" s="19" t="s">
        <v>376</v>
      </c>
      <c r="X71">
        <v>95</v>
      </c>
      <c r="Y71">
        <v>103</v>
      </c>
      <c r="Z71">
        <v>48</v>
      </c>
      <c r="AA71">
        <v>19</v>
      </c>
      <c r="AB71">
        <v>16</v>
      </c>
      <c r="AC71">
        <v>7</v>
      </c>
      <c r="AD71">
        <v>25</v>
      </c>
      <c r="AE71" s="19" t="s">
        <v>60</v>
      </c>
    </row>
    <row r="72" spans="1:31" x14ac:dyDescent="0.2">
      <c r="A72">
        <v>69</v>
      </c>
      <c r="B72" s="19" t="s">
        <v>439</v>
      </c>
      <c r="C72">
        <v>23</v>
      </c>
      <c r="D72" s="19" t="s">
        <v>416</v>
      </c>
      <c r="E72" s="19" t="s">
        <v>348</v>
      </c>
      <c r="F72">
        <v>53</v>
      </c>
      <c r="G72">
        <v>10</v>
      </c>
      <c r="H72">
        <v>32</v>
      </c>
      <c r="I72">
        <v>42</v>
      </c>
      <c r="J72">
        <v>7</v>
      </c>
      <c r="K72">
        <v>8</v>
      </c>
      <c r="L72">
        <v>8</v>
      </c>
      <c r="M72">
        <v>2</v>
      </c>
      <c r="N72">
        <v>0</v>
      </c>
      <c r="O72">
        <v>2</v>
      </c>
      <c r="P72">
        <v>20</v>
      </c>
      <c r="Q72">
        <v>12</v>
      </c>
      <c r="R72">
        <v>0</v>
      </c>
      <c r="S72">
        <v>112</v>
      </c>
      <c r="T72">
        <v>8.9</v>
      </c>
      <c r="U72">
        <v>293</v>
      </c>
      <c r="V72" s="19" t="s">
        <v>2854</v>
      </c>
      <c r="W72" s="19" t="s">
        <v>2320</v>
      </c>
      <c r="X72">
        <v>0</v>
      </c>
      <c r="Y72">
        <v>0</v>
      </c>
      <c r="AA72">
        <v>105</v>
      </c>
      <c r="AB72">
        <v>27</v>
      </c>
      <c r="AC72">
        <v>25</v>
      </c>
      <c r="AD72">
        <v>60</v>
      </c>
      <c r="AE72" s="19" t="s">
        <v>60</v>
      </c>
    </row>
    <row r="73" spans="1:31" x14ac:dyDescent="0.2">
      <c r="A73">
        <v>70</v>
      </c>
      <c r="B73" s="19" t="s">
        <v>440</v>
      </c>
      <c r="C73">
        <v>28</v>
      </c>
      <c r="D73" s="19" t="s">
        <v>365</v>
      </c>
      <c r="E73" s="19" t="s">
        <v>322</v>
      </c>
      <c r="F73">
        <v>52</v>
      </c>
      <c r="G73">
        <v>14</v>
      </c>
      <c r="H73">
        <v>28</v>
      </c>
      <c r="I73">
        <v>42</v>
      </c>
      <c r="J73">
        <v>5</v>
      </c>
      <c r="K73">
        <v>24</v>
      </c>
      <c r="L73">
        <v>9</v>
      </c>
      <c r="M73">
        <v>5</v>
      </c>
      <c r="N73">
        <v>0</v>
      </c>
      <c r="O73">
        <v>1</v>
      </c>
      <c r="P73">
        <v>18</v>
      </c>
      <c r="Q73">
        <v>10</v>
      </c>
      <c r="R73">
        <v>0</v>
      </c>
      <c r="S73">
        <v>103</v>
      </c>
      <c r="T73">
        <v>13.6</v>
      </c>
      <c r="U73">
        <v>177</v>
      </c>
      <c r="V73" s="19" t="s">
        <v>2429</v>
      </c>
      <c r="W73" s="19" t="s">
        <v>368</v>
      </c>
      <c r="X73">
        <v>542</v>
      </c>
      <c r="Y73">
        <v>379</v>
      </c>
      <c r="Z73">
        <v>58.8</v>
      </c>
      <c r="AA73">
        <v>33</v>
      </c>
      <c r="AB73">
        <v>10</v>
      </c>
      <c r="AC73">
        <v>11</v>
      </c>
      <c r="AD73">
        <v>46</v>
      </c>
      <c r="AE73" s="19" t="s">
        <v>60</v>
      </c>
    </row>
    <row r="74" spans="1:31" x14ac:dyDescent="0.2">
      <c r="A74">
        <v>71</v>
      </c>
      <c r="B74" s="19" t="s">
        <v>378</v>
      </c>
      <c r="C74">
        <v>28</v>
      </c>
      <c r="D74" s="19" t="s">
        <v>336</v>
      </c>
      <c r="E74" s="19" t="s">
        <v>322</v>
      </c>
      <c r="F74">
        <v>43</v>
      </c>
      <c r="G74">
        <v>13</v>
      </c>
      <c r="H74">
        <v>29</v>
      </c>
      <c r="I74">
        <v>42</v>
      </c>
      <c r="J74">
        <v>6</v>
      </c>
      <c r="K74">
        <v>12</v>
      </c>
      <c r="L74">
        <v>11</v>
      </c>
      <c r="M74">
        <v>0</v>
      </c>
      <c r="N74">
        <v>2</v>
      </c>
      <c r="O74">
        <v>1</v>
      </c>
      <c r="P74">
        <v>18</v>
      </c>
      <c r="Q74">
        <v>9</v>
      </c>
      <c r="R74">
        <v>2</v>
      </c>
      <c r="S74">
        <v>103</v>
      </c>
      <c r="T74">
        <v>12.6</v>
      </c>
      <c r="U74">
        <v>212</v>
      </c>
      <c r="V74" s="19" t="s">
        <v>1817</v>
      </c>
      <c r="W74" s="19" t="s">
        <v>368</v>
      </c>
      <c r="X74">
        <v>4</v>
      </c>
      <c r="Y74">
        <v>4</v>
      </c>
      <c r="Z74">
        <v>50</v>
      </c>
      <c r="AA74">
        <v>13</v>
      </c>
      <c r="AB74">
        <v>0</v>
      </c>
      <c r="AC74">
        <v>16</v>
      </c>
      <c r="AD74">
        <v>35</v>
      </c>
      <c r="AE74" s="19" t="s">
        <v>60</v>
      </c>
    </row>
    <row r="75" spans="1:31" x14ac:dyDescent="0.2">
      <c r="A75">
        <v>72</v>
      </c>
      <c r="B75" s="19" t="s">
        <v>515</v>
      </c>
      <c r="C75">
        <v>29</v>
      </c>
      <c r="D75" s="19" t="s">
        <v>372</v>
      </c>
      <c r="E75" s="19" t="s">
        <v>322</v>
      </c>
      <c r="F75">
        <v>52</v>
      </c>
      <c r="G75">
        <v>19</v>
      </c>
      <c r="H75">
        <v>22</v>
      </c>
      <c r="I75">
        <v>41</v>
      </c>
      <c r="J75">
        <v>-7</v>
      </c>
      <c r="K75">
        <v>56</v>
      </c>
      <c r="L75">
        <v>17</v>
      </c>
      <c r="M75">
        <v>2</v>
      </c>
      <c r="N75">
        <v>0</v>
      </c>
      <c r="O75">
        <v>4</v>
      </c>
      <c r="P75">
        <v>15</v>
      </c>
      <c r="Q75">
        <v>7</v>
      </c>
      <c r="R75">
        <v>0</v>
      </c>
      <c r="S75">
        <v>140</v>
      </c>
      <c r="T75">
        <v>13.6</v>
      </c>
      <c r="U75">
        <v>296</v>
      </c>
      <c r="V75" s="19" t="s">
        <v>2430</v>
      </c>
      <c r="W75" s="19" t="s">
        <v>1493</v>
      </c>
      <c r="X75">
        <v>352</v>
      </c>
      <c r="Y75">
        <v>398</v>
      </c>
      <c r="Z75">
        <v>46.9</v>
      </c>
      <c r="AA75">
        <v>22</v>
      </c>
      <c r="AB75">
        <v>100</v>
      </c>
      <c r="AC75">
        <v>18</v>
      </c>
      <c r="AD75">
        <v>47</v>
      </c>
      <c r="AE75" s="19" t="s">
        <v>60</v>
      </c>
    </row>
    <row r="76" spans="1:31" x14ac:dyDescent="0.2">
      <c r="A76">
        <v>73</v>
      </c>
      <c r="B76" s="19" t="s">
        <v>401</v>
      </c>
      <c r="C76">
        <v>26</v>
      </c>
      <c r="D76" s="19" t="s">
        <v>333</v>
      </c>
      <c r="E76" s="19" t="s">
        <v>348</v>
      </c>
      <c r="F76">
        <v>51</v>
      </c>
      <c r="G76">
        <v>7</v>
      </c>
      <c r="H76">
        <v>34</v>
      </c>
      <c r="I76">
        <v>41</v>
      </c>
      <c r="J76">
        <v>9</v>
      </c>
      <c r="K76">
        <v>14</v>
      </c>
      <c r="L76">
        <v>5</v>
      </c>
      <c r="M76">
        <v>1</v>
      </c>
      <c r="N76">
        <v>1</v>
      </c>
      <c r="O76">
        <v>2</v>
      </c>
      <c r="P76">
        <v>18</v>
      </c>
      <c r="Q76">
        <v>16</v>
      </c>
      <c r="R76">
        <v>0</v>
      </c>
      <c r="S76">
        <v>101</v>
      </c>
      <c r="T76">
        <v>6.9</v>
      </c>
      <c r="U76">
        <v>226</v>
      </c>
      <c r="V76" s="19" t="s">
        <v>2431</v>
      </c>
      <c r="W76" s="19" t="s">
        <v>2432</v>
      </c>
      <c r="X76">
        <v>0</v>
      </c>
      <c r="Y76">
        <v>0</v>
      </c>
      <c r="AA76">
        <v>93</v>
      </c>
      <c r="AB76">
        <v>14</v>
      </c>
      <c r="AC76">
        <v>32</v>
      </c>
      <c r="AD76">
        <v>60</v>
      </c>
      <c r="AE76" s="19" t="s">
        <v>60</v>
      </c>
    </row>
    <row r="77" spans="1:31" x14ac:dyDescent="0.2">
      <c r="A77">
        <v>74</v>
      </c>
      <c r="B77" s="19" t="s">
        <v>409</v>
      </c>
      <c r="C77">
        <v>29</v>
      </c>
      <c r="D77" s="19" t="s">
        <v>333</v>
      </c>
      <c r="E77" s="19" t="s">
        <v>339</v>
      </c>
      <c r="F77">
        <v>48</v>
      </c>
      <c r="G77">
        <v>15</v>
      </c>
      <c r="H77">
        <v>26</v>
      </c>
      <c r="I77">
        <v>41</v>
      </c>
      <c r="J77">
        <v>17</v>
      </c>
      <c r="K77">
        <v>14</v>
      </c>
      <c r="L77">
        <v>9</v>
      </c>
      <c r="M77">
        <v>6</v>
      </c>
      <c r="N77">
        <v>0</v>
      </c>
      <c r="O77">
        <v>1</v>
      </c>
      <c r="P77">
        <v>14</v>
      </c>
      <c r="Q77">
        <v>12</v>
      </c>
      <c r="R77">
        <v>0</v>
      </c>
      <c r="S77">
        <v>115</v>
      </c>
      <c r="T77">
        <v>13</v>
      </c>
      <c r="U77">
        <v>190</v>
      </c>
      <c r="V77" s="19" t="s">
        <v>2433</v>
      </c>
      <c r="W77" s="19" t="s">
        <v>1616</v>
      </c>
      <c r="X77">
        <v>399</v>
      </c>
      <c r="Y77">
        <v>281</v>
      </c>
      <c r="Z77">
        <v>58.7</v>
      </c>
      <c r="AA77">
        <v>13</v>
      </c>
      <c r="AB77">
        <v>53</v>
      </c>
      <c r="AC77">
        <v>4</v>
      </c>
      <c r="AD77">
        <v>38</v>
      </c>
      <c r="AE77" s="19" t="s">
        <v>60</v>
      </c>
    </row>
    <row r="78" spans="1:31" x14ac:dyDescent="0.2">
      <c r="A78">
        <v>75</v>
      </c>
      <c r="B78" s="19" t="s">
        <v>555</v>
      </c>
      <c r="C78">
        <v>21</v>
      </c>
      <c r="D78" s="19" t="s">
        <v>362</v>
      </c>
      <c r="E78" s="19" t="s">
        <v>339</v>
      </c>
      <c r="F78">
        <v>53</v>
      </c>
      <c r="G78">
        <v>19</v>
      </c>
      <c r="H78">
        <v>22</v>
      </c>
      <c r="I78">
        <v>41</v>
      </c>
      <c r="J78">
        <v>5</v>
      </c>
      <c r="K78">
        <v>42</v>
      </c>
      <c r="L78">
        <v>10</v>
      </c>
      <c r="M78">
        <v>9</v>
      </c>
      <c r="N78">
        <v>0</v>
      </c>
      <c r="O78">
        <v>2</v>
      </c>
      <c r="P78">
        <v>15</v>
      </c>
      <c r="Q78">
        <v>7</v>
      </c>
      <c r="R78">
        <v>0</v>
      </c>
      <c r="S78">
        <v>103</v>
      </c>
      <c r="T78">
        <v>18.399999999999999</v>
      </c>
      <c r="U78">
        <v>230</v>
      </c>
      <c r="V78" s="19" t="s">
        <v>2434</v>
      </c>
      <c r="W78" s="19" t="s">
        <v>2170</v>
      </c>
      <c r="X78">
        <v>12</v>
      </c>
      <c r="Y78">
        <v>30</v>
      </c>
      <c r="Z78">
        <v>28.6</v>
      </c>
      <c r="AA78">
        <v>49</v>
      </c>
      <c r="AB78">
        <v>80</v>
      </c>
      <c r="AC78">
        <v>7</v>
      </c>
      <c r="AD78">
        <v>40</v>
      </c>
      <c r="AE78" s="19" t="s">
        <v>60</v>
      </c>
    </row>
    <row r="79" spans="1:31" x14ac:dyDescent="0.2">
      <c r="A79">
        <v>76</v>
      </c>
      <c r="B79" s="19" t="s">
        <v>464</v>
      </c>
      <c r="C79">
        <v>30</v>
      </c>
      <c r="D79" s="19" t="s">
        <v>372</v>
      </c>
      <c r="E79" s="19" t="s">
        <v>322</v>
      </c>
      <c r="F79">
        <v>51</v>
      </c>
      <c r="G79">
        <v>16</v>
      </c>
      <c r="H79">
        <v>25</v>
      </c>
      <c r="I79">
        <v>41</v>
      </c>
      <c r="J79">
        <v>0</v>
      </c>
      <c r="K79">
        <v>18</v>
      </c>
      <c r="L79">
        <v>13</v>
      </c>
      <c r="M79">
        <v>3</v>
      </c>
      <c r="N79">
        <v>0</v>
      </c>
      <c r="O79">
        <v>2</v>
      </c>
      <c r="P79">
        <v>21</v>
      </c>
      <c r="Q79">
        <v>4</v>
      </c>
      <c r="R79">
        <v>0</v>
      </c>
      <c r="S79">
        <v>115</v>
      </c>
      <c r="T79">
        <v>13.9</v>
      </c>
      <c r="U79">
        <v>245</v>
      </c>
      <c r="V79" s="19" t="s">
        <v>2435</v>
      </c>
      <c r="W79" s="19" t="s">
        <v>1540</v>
      </c>
      <c r="X79">
        <v>23</v>
      </c>
      <c r="Y79">
        <v>35</v>
      </c>
      <c r="Z79">
        <v>39.700000000000003</v>
      </c>
      <c r="AA79">
        <v>16</v>
      </c>
      <c r="AB79">
        <v>48</v>
      </c>
      <c r="AC79">
        <v>20</v>
      </c>
      <c r="AD79">
        <v>41</v>
      </c>
      <c r="AE79" s="19" t="s">
        <v>60</v>
      </c>
    </row>
    <row r="80" spans="1:31" x14ac:dyDescent="0.2">
      <c r="A80">
        <v>77</v>
      </c>
      <c r="B80" s="19" t="s">
        <v>519</v>
      </c>
      <c r="C80">
        <v>24</v>
      </c>
      <c r="D80" s="19" t="s">
        <v>416</v>
      </c>
      <c r="E80" s="19" t="s">
        <v>322</v>
      </c>
      <c r="F80">
        <v>53</v>
      </c>
      <c r="G80">
        <v>17</v>
      </c>
      <c r="H80">
        <v>23</v>
      </c>
      <c r="I80">
        <v>40</v>
      </c>
      <c r="J80">
        <v>-11</v>
      </c>
      <c r="K80">
        <v>36</v>
      </c>
      <c r="L80">
        <v>8</v>
      </c>
      <c r="M80">
        <v>9</v>
      </c>
      <c r="N80">
        <v>0</v>
      </c>
      <c r="O80">
        <v>1</v>
      </c>
      <c r="P80">
        <v>11</v>
      </c>
      <c r="Q80">
        <v>12</v>
      </c>
      <c r="R80">
        <v>0</v>
      </c>
      <c r="S80">
        <v>125</v>
      </c>
      <c r="T80">
        <v>13.6</v>
      </c>
      <c r="U80">
        <v>232</v>
      </c>
      <c r="V80" s="19" t="s">
        <v>2855</v>
      </c>
      <c r="W80" s="19" t="s">
        <v>1012</v>
      </c>
      <c r="X80">
        <v>319</v>
      </c>
      <c r="Y80">
        <v>275</v>
      </c>
      <c r="Z80">
        <v>53.7</v>
      </c>
      <c r="AA80">
        <v>17</v>
      </c>
      <c r="AB80">
        <v>142</v>
      </c>
      <c r="AC80">
        <v>11</v>
      </c>
      <c r="AD80">
        <v>36</v>
      </c>
      <c r="AE80" s="19" t="s">
        <v>60</v>
      </c>
    </row>
    <row r="81" spans="1:31" x14ac:dyDescent="0.2">
      <c r="A81">
        <v>78</v>
      </c>
      <c r="B81" s="19" t="s">
        <v>496</v>
      </c>
      <c r="C81">
        <v>25</v>
      </c>
      <c r="D81" s="19" t="s">
        <v>343</v>
      </c>
      <c r="E81" s="19" t="s">
        <v>339</v>
      </c>
      <c r="F81">
        <v>52</v>
      </c>
      <c r="G81">
        <v>24</v>
      </c>
      <c r="H81">
        <v>16</v>
      </c>
      <c r="I81">
        <v>40</v>
      </c>
      <c r="J81">
        <v>-6</v>
      </c>
      <c r="K81">
        <v>16</v>
      </c>
      <c r="L81">
        <v>11</v>
      </c>
      <c r="M81">
        <v>13</v>
      </c>
      <c r="N81">
        <v>0</v>
      </c>
      <c r="O81">
        <v>2</v>
      </c>
      <c r="P81">
        <v>8</v>
      </c>
      <c r="Q81">
        <v>8</v>
      </c>
      <c r="R81">
        <v>0</v>
      </c>
      <c r="S81">
        <v>145</v>
      </c>
      <c r="T81">
        <v>16.600000000000001</v>
      </c>
      <c r="U81">
        <v>301</v>
      </c>
      <c r="V81" s="19" t="s">
        <v>2436</v>
      </c>
      <c r="W81" s="19" t="s">
        <v>1945</v>
      </c>
      <c r="X81">
        <v>0</v>
      </c>
      <c r="Y81">
        <v>1</v>
      </c>
      <c r="Z81">
        <v>0</v>
      </c>
      <c r="AA81">
        <v>22</v>
      </c>
      <c r="AB81">
        <v>21</v>
      </c>
      <c r="AC81">
        <v>9</v>
      </c>
      <c r="AD81">
        <v>38</v>
      </c>
      <c r="AE81" s="19" t="s">
        <v>60</v>
      </c>
    </row>
    <row r="82" spans="1:31" x14ac:dyDescent="0.2">
      <c r="A82">
        <v>79</v>
      </c>
      <c r="B82" s="19" t="s">
        <v>482</v>
      </c>
      <c r="C82">
        <v>29</v>
      </c>
      <c r="D82" s="19" t="s">
        <v>396</v>
      </c>
      <c r="E82" s="19" t="s">
        <v>339</v>
      </c>
      <c r="F82">
        <v>52</v>
      </c>
      <c r="G82">
        <v>14</v>
      </c>
      <c r="H82">
        <v>26</v>
      </c>
      <c r="I82">
        <v>40</v>
      </c>
      <c r="J82">
        <v>1</v>
      </c>
      <c r="K82">
        <v>10</v>
      </c>
      <c r="L82">
        <v>9</v>
      </c>
      <c r="M82">
        <v>5</v>
      </c>
      <c r="N82">
        <v>0</v>
      </c>
      <c r="O82">
        <v>3</v>
      </c>
      <c r="P82">
        <v>15</v>
      </c>
      <c r="Q82">
        <v>11</v>
      </c>
      <c r="R82">
        <v>0</v>
      </c>
      <c r="S82">
        <v>129</v>
      </c>
      <c r="T82">
        <v>10.9</v>
      </c>
      <c r="U82">
        <v>279</v>
      </c>
      <c r="V82" s="19" t="s">
        <v>2265</v>
      </c>
      <c r="W82" s="19" t="s">
        <v>424</v>
      </c>
      <c r="X82">
        <v>11</v>
      </c>
      <c r="Y82">
        <v>19</v>
      </c>
      <c r="Z82">
        <v>36.700000000000003</v>
      </c>
      <c r="AA82">
        <v>15</v>
      </c>
      <c r="AB82">
        <v>7</v>
      </c>
      <c r="AC82">
        <v>18</v>
      </c>
      <c r="AD82">
        <v>57</v>
      </c>
      <c r="AE82" s="19" t="s">
        <v>60</v>
      </c>
    </row>
    <row r="83" spans="1:31" x14ac:dyDescent="0.2">
      <c r="A83">
        <v>80</v>
      </c>
      <c r="B83" s="19" t="s">
        <v>485</v>
      </c>
      <c r="C83">
        <v>31</v>
      </c>
      <c r="D83" s="19" t="s">
        <v>460</v>
      </c>
      <c r="E83" s="19" t="s">
        <v>322</v>
      </c>
      <c r="F83">
        <v>52</v>
      </c>
      <c r="G83">
        <v>19</v>
      </c>
      <c r="H83">
        <v>21</v>
      </c>
      <c r="I83">
        <v>40</v>
      </c>
      <c r="J83">
        <v>-6</v>
      </c>
      <c r="K83">
        <v>26</v>
      </c>
      <c r="L83">
        <v>16</v>
      </c>
      <c r="M83">
        <v>3</v>
      </c>
      <c r="N83">
        <v>0</v>
      </c>
      <c r="O83">
        <v>1</v>
      </c>
      <c r="P83">
        <v>12</v>
      </c>
      <c r="Q83">
        <v>9</v>
      </c>
      <c r="R83">
        <v>0</v>
      </c>
      <c r="S83">
        <v>156</v>
      </c>
      <c r="T83">
        <v>12.2</v>
      </c>
      <c r="U83">
        <v>334</v>
      </c>
      <c r="V83" s="19" t="s">
        <v>2437</v>
      </c>
      <c r="W83" s="19" t="s">
        <v>1717</v>
      </c>
      <c r="X83">
        <v>10</v>
      </c>
      <c r="Y83">
        <v>17</v>
      </c>
      <c r="Z83">
        <v>37</v>
      </c>
      <c r="AA83">
        <v>17</v>
      </c>
      <c r="AB83">
        <v>99</v>
      </c>
      <c r="AC83">
        <v>35</v>
      </c>
      <c r="AD83">
        <v>71</v>
      </c>
      <c r="AE83" s="19" t="s">
        <v>60</v>
      </c>
    </row>
    <row r="84" spans="1:31" x14ac:dyDescent="0.2">
      <c r="A84">
        <v>81</v>
      </c>
      <c r="B84" s="19" t="s">
        <v>402</v>
      </c>
      <c r="C84">
        <v>27</v>
      </c>
      <c r="D84" s="19" t="s">
        <v>398</v>
      </c>
      <c r="E84" s="19" t="s">
        <v>322</v>
      </c>
      <c r="F84">
        <v>53</v>
      </c>
      <c r="G84">
        <v>17</v>
      </c>
      <c r="H84">
        <v>23</v>
      </c>
      <c r="I84">
        <v>40</v>
      </c>
      <c r="J84">
        <v>-7</v>
      </c>
      <c r="K84">
        <v>21</v>
      </c>
      <c r="L84">
        <v>11</v>
      </c>
      <c r="M84">
        <v>6</v>
      </c>
      <c r="N84">
        <v>0</v>
      </c>
      <c r="O84">
        <v>2</v>
      </c>
      <c r="P84">
        <v>15</v>
      </c>
      <c r="Q84">
        <v>8</v>
      </c>
      <c r="R84">
        <v>0</v>
      </c>
      <c r="S84">
        <v>134</v>
      </c>
      <c r="T84">
        <v>12.7</v>
      </c>
      <c r="U84">
        <v>259</v>
      </c>
      <c r="V84" s="19" t="s">
        <v>2438</v>
      </c>
      <c r="W84" s="19" t="s">
        <v>1961</v>
      </c>
      <c r="X84">
        <v>623</v>
      </c>
      <c r="Y84">
        <v>507</v>
      </c>
      <c r="Z84">
        <v>55.1</v>
      </c>
      <c r="AA84">
        <v>45</v>
      </c>
      <c r="AB84">
        <v>40</v>
      </c>
      <c r="AC84">
        <v>21</v>
      </c>
      <c r="AD84">
        <v>45</v>
      </c>
      <c r="AE84" s="19" t="s">
        <v>60</v>
      </c>
    </row>
    <row r="85" spans="1:31" x14ac:dyDescent="0.2">
      <c r="A85">
        <v>82</v>
      </c>
      <c r="B85" s="19" t="s">
        <v>418</v>
      </c>
      <c r="C85">
        <v>29</v>
      </c>
      <c r="D85" s="19" t="s">
        <v>419</v>
      </c>
      <c r="E85" s="19" t="s">
        <v>339</v>
      </c>
      <c r="F85">
        <v>51</v>
      </c>
      <c r="G85">
        <v>17</v>
      </c>
      <c r="H85">
        <v>23</v>
      </c>
      <c r="I85">
        <v>40</v>
      </c>
      <c r="J85">
        <v>8</v>
      </c>
      <c r="K85">
        <v>46</v>
      </c>
      <c r="L85">
        <v>15</v>
      </c>
      <c r="M85">
        <v>2</v>
      </c>
      <c r="N85">
        <v>0</v>
      </c>
      <c r="O85">
        <v>5</v>
      </c>
      <c r="P85">
        <v>15</v>
      </c>
      <c r="Q85">
        <v>6</v>
      </c>
      <c r="R85">
        <v>2</v>
      </c>
      <c r="S85">
        <v>140</v>
      </c>
      <c r="T85">
        <v>12.1</v>
      </c>
      <c r="U85">
        <v>337</v>
      </c>
      <c r="V85" s="19" t="s">
        <v>2193</v>
      </c>
      <c r="W85" s="19" t="s">
        <v>1107</v>
      </c>
      <c r="X85">
        <v>39</v>
      </c>
      <c r="Y85">
        <v>57</v>
      </c>
      <c r="Z85">
        <v>40.6</v>
      </c>
      <c r="AA85">
        <v>32</v>
      </c>
      <c r="AB85">
        <v>91</v>
      </c>
      <c r="AC85">
        <v>13</v>
      </c>
      <c r="AD85">
        <v>41</v>
      </c>
      <c r="AE85" s="19" t="s">
        <v>60</v>
      </c>
    </row>
    <row r="86" spans="1:31" x14ac:dyDescent="0.2">
      <c r="A86">
        <v>83</v>
      </c>
      <c r="B86" s="19" t="s">
        <v>384</v>
      </c>
      <c r="C86">
        <v>39</v>
      </c>
      <c r="D86" s="19" t="s">
        <v>375</v>
      </c>
      <c r="E86" s="19" t="s">
        <v>322</v>
      </c>
      <c r="F86">
        <v>36</v>
      </c>
      <c r="G86">
        <v>13</v>
      </c>
      <c r="H86">
        <v>27</v>
      </c>
      <c r="I86">
        <v>40</v>
      </c>
      <c r="J86">
        <v>16</v>
      </c>
      <c r="K86">
        <v>26</v>
      </c>
      <c r="L86">
        <v>10</v>
      </c>
      <c r="M86">
        <v>3</v>
      </c>
      <c r="N86">
        <v>0</v>
      </c>
      <c r="O86">
        <v>1</v>
      </c>
      <c r="P86">
        <v>15</v>
      </c>
      <c r="Q86">
        <v>12</v>
      </c>
      <c r="R86">
        <v>0</v>
      </c>
      <c r="S86">
        <v>93</v>
      </c>
      <c r="T86">
        <v>14</v>
      </c>
      <c r="U86">
        <v>155</v>
      </c>
      <c r="V86" s="19" t="s">
        <v>2098</v>
      </c>
      <c r="W86" s="19" t="s">
        <v>1747</v>
      </c>
      <c r="X86">
        <v>96</v>
      </c>
      <c r="Y86">
        <v>116</v>
      </c>
      <c r="Z86">
        <v>45.3</v>
      </c>
      <c r="AA86">
        <v>14</v>
      </c>
      <c r="AB86">
        <v>12</v>
      </c>
      <c r="AC86">
        <v>16</v>
      </c>
      <c r="AD86">
        <v>55</v>
      </c>
      <c r="AE86" s="19" t="s">
        <v>60</v>
      </c>
    </row>
    <row r="87" spans="1:31" x14ac:dyDescent="0.2">
      <c r="A87">
        <v>84</v>
      </c>
      <c r="B87" s="19" t="s">
        <v>407</v>
      </c>
      <c r="C87">
        <v>30</v>
      </c>
      <c r="D87" s="19" t="s">
        <v>329</v>
      </c>
      <c r="E87" s="19" t="s">
        <v>339</v>
      </c>
      <c r="F87">
        <v>50</v>
      </c>
      <c r="G87">
        <v>25</v>
      </c>
      <c r="H87">
        <v>14</v>
      </c>
      <c r="I87">
        <v>39</v>
      </c>
      <c r="J87">
        <v>-12</v>
      </c>
      <c r="K87">
        <v>34</v>
      </c>
      <c r="L87">
        <v>16</v>
      </c>
      <c r="M87">
        <v>9</v>
      </c>
      <c r="N87">
        <v>0</v>
      </c>
      <c r="O87">
        <v>3</v>
      </c>
      <c r="P87">
        <v>7</v>
      </c>
      <c r="Q87">
        <v>7</v>
      </c>
      <c r="R87">
        <v>0</v>
      </c>
      <c r="S87">
        <v>116</v>
      </c>
      <c r="T87">
        <v>21.6</v>
      </c>
      <c r="U87">
        <v>206</v>
      </c>
      <c r="V87" s="19" t="s">
        <v>2439</v>
      </c>
      <c r="W87" s="19" t="s">
        <v>2031</v>
      </c>
      <c r="X87">
        <v>42</v>
      </c>
      <c r="Y87">
        <v>44</v>
      </c>
      <c r="Z87">
        <v>48.8</v>
      </c>
      <c r="AA87">
        <v>16</v>
      </c>
      <c r="AB87">
        <v>38</v>
      </c>
      <c r="AC87">
        <v>11</v>
      </c>
      <c r="AD87">
        <v>44</v>
      </c>
      <c r="AE87" s="19" t="s">
        <v>60</v>
      </c>
    </row>
    <row r="88" spans="1:31" x14ac:dyDescent="0.2">
      <c r="A88">
        <v>85</v>
      </c>
      <c r="B88" s="19" t="s">
        <v>397</v>
      </c>
      <c r="C88">
        <v>27</v>
      </c>
      <c r="D88" s="19" t="s">
        <v>398</v>
      </c>
      <c r="E88" s="19" t="s">
        <v>58</v>
      </c>
      <c r="F88">
        <v>53</v>
      </c>
      <c r="G88">
        <v>12</v>
      </c>
      <c r="H88">
        <v>27</v>
      </c>
      <c r="I88">
        <v>39</v>
      </c>
      <c r="J88">
        <v>-15</v>
      </c>
      <c r="K88">
        <v>10</v>
      </c>
      <c r="L88">
        <v>7</v>
      </c>
      <c r="M88">
        <v>4</v>
      </c>
      <c r="N88">
        <v>1</v>
      </c>
      <c r="O88">
        <v>3</v>
      </c>
      <c r="P88">
        <v>18</v>
      </c>
      <c r="Q88">
        <v>9</v>
      </c>
      <c r="R88">
        <v>0</v>
      </c>
      <c r="S88">
        <v>117</v>
      </c>
      <c r="T88">
        <v>10.3</v>
      </c>
      <c r="U88">
        <v>238</v>
      </c>
      <c r="V88" s="19" t="s">
        <v>2205</v>
      </c>
      <c r="W88" s="19" t="s">
        <v>1994</v>
      </c>
      <c r="X88">
        <v>3</v>
      </c>
      <c r="Y88">
        <v>5</v>
      </c>
      <c r="Z88">
        <v>37.5</v>
      </c>
      <c r="AA88">
        <v>19</v>
      </c>
      <c r="AB88">
        <v>48</v>
      </c>
      <c r="AC88">
        <v>18</v>
      </c>
      <c r="AD88">
        <v>50</v>
      </c>
      <c r="AE88" s="19" t="s">
        <v>60</v>
      </c>
    </row>
    <row r="89" spans="1:31" x14ac:dyDescent="0.2">
      <c r="A89">
        <v>86</v>
      </c>
      <c r="B89" s="19" t="s">
        <v>417</v>
      </c>
      <c r="C89">
        <v>23</v>
      </c>
      <c r="D89" s="19" t="s">
        <v>396</v>
      </c>
      <c r="E89" s="19" t="s">
        <v>322</v>
      </c>
      <c r="F89">
        <v>44</v>
      </c>
      <c r="G89">
        <v>23</v>
      </c>
      <c r="H89">
        <v>16</v>
      </c>
      <c r="I89">
        <v>39</v>
      </c>
      <c r="J89">
        <v>5</v>
      </c>
      <c r="K89">
        <v>6</v>
      </c>
      <c r="L89">
        <v>17</v>
      </c>
      <c r="M89">
        <v>3</v>
      </c>
      <c r="N89">
        <v>3</v>
      </c>
      <c r="O89">
        <v>6</v>
      </c>
      <c r="P89">
        <v>10</v>
      </c>
      <c r="Q89">
        <v>6</v>
      </c>
      <c r="R89">
        <v>0</v>
      </c>
      <c r="S89">
        <v>141</v>
      </c>
      <c r="T89">
        <v>16.3</v>
      </c>
      <c r="U89">
        <v>217</v>
      </c>
      <c r="V89" s="19" t="s">
        <v>2266</v>
      </c>
      <c r="W89" s="19" t="s">
        <v>2107</v>
      </c>
      <c r="X89">
        <v>23</v>
      </c>
      <c r="Y89">
        <v>37</v>
      </c>
      <c r="Z89">
        <v>38.299999999999997</v>
      </c>
      <c r="AA89">
        <v>18</v>
      </c>
      <c r="AB89">
        <v>64</v>
      </c>
      <c r="AC89">
        <v>25</v>
      </c>
      <c r="AD89">
        <v>41</v>
      </c>
      <c r="AE89" s="19" t="s">
        <v>60</v>
      </c>
    </row>
    <row r="90" spans="1:31" x14ac:dyDescent="0.2">
      <c r="A90">
        <v>87</v>
      </c>
      <c r="B90" s="19" t="s">
        <v>462</v>
      </c>
      <c r="C90">
        <v>33</v>
      </c>
      <c r="D90" s="19" t="s">
        <v>375</v>
      </c>
      <c r="E90" s="19" t="s">
        <v>334</v>
      </c>
      <c r="F90">
        <v>47</v>
      </c>
      <c r="G90">
        <v>18</v>
      </c>
      <c r="H90">
        <v>21</v>
      </c>
      <c r="I90">
        <v>39</v>
      </c>
      <c r="J90">
        <v>0</v>
      </c>
      <c r="K90">
        <v>18</v>
      </c>
      <c r="L90">
        <v>14</v>
      </c>
      <c r="M90">
        <v>4</v>
      </c>
      <c r="N90">
        <v>0</v>
      </c>
      <c r="O90">
        <v>4</v>
      </c>
      <c r="P90">
        <v>8</v>
      </c>
      <c r="Q90">
        <v>13</v>
      </c>
      <c r="R90">
        <v>0</v>
      </c>
      <c r="S90">
        <v>125</v>
      </c>
      <c r="T90">
        <v>14.4</v>
      </c>
      <c r="U90">
        <v>239</v>
      </c>
      <c r="V90" s="19" t="s">
        <v>2321</v>
      </c>
      <c r="W90" s="19" t="s">
        <v>729</v>
      </c>
      <c r="X90">
        <v>0</v>
      </c>
      <c r="Y90">
        <v>4</v>
      </c>
      <c r="Z90">
        <v>0</v>
      </c>
      <c r="AA90">
        <v>52</v>
      </c>
      <c r="AB90">
        <v>17</v>
      </c>
      <c r="AC90">
        <v>7</v>
      </c>
      <c r="AD90">
        <v>43</v>
      </c>
      <c r="AE90" s="19" t="s">
        <v>60</v>
      </c>
    </row>
    <row r="91" spans="1:31" x14ac:dyDescent="0.2">
      <c r="A91">
        <v>88</v>
      </c>
      <c r="B91" s="19" t="s">
        <v>408</v>
      </c>
      <c r="C91">
        <v>27</v>
      </c>
      <c r="D91" s="19" t="s">
        <v>365</v>
      </c>
      <c r="E91" s="19" t="s">
        <v>348</v>
      </c>
      <c r="F91">
        <v>52</v>
      </c>
      <c r="G91">
        <v>18</v>
      </c>
      <c r="H91">
        <v>20</v>
      </c>
      <c r="I91">
        <v>38</v>
      </c>
      <c r="J91">
        <v>20</v>
      </c>
      <c r="K91">
        <v>47</v>
      </c>
      <c r="L91">
        <v>13</v>
      </c>
      <c r="M91">
        <v>5</v>
      </c>
      <c r="N91">
        <v>0</v>
      </c>
      <c r="O91">
        <v>4</v>
      </c>
      <c r="P91">
        <v>13</v>
      </c>
      <c r="Q91">
        <v>7</v>
      </c>
      <c r="R91">
        <v>0</v>
      </c>
      <c r="S91">
        <v>166</v>
      </c>
      <c r="T91">
        <v>10.8</v>
      </c>
      <c r="U91">
        <v>381</v>
      </c>
      <c r="V91" s="19" t="s">
        <v>2440</v>
      </c>
      <c r="W91" s="19" t="s">
        <v>1854</v>
      </c>
      <c r="X91">
        <v>0</v>
      </c>
      <c r="Y91">
        <v>0</v>
      </c>
      <c r="AA91">
        <v>73</v>
      </c>
      <c r="AB91">
        <v>45</v>
      </c>
      <c r="AC91">
        <v>24</v>
      </c>
      <c r="AD91">
        <v>70</v>
      </c>
      <c r="AE91" s="19" t="s">
        <v>60</v>
      </c>
    </row>
    <row r="92" spans="1:31" x14ac:dyDescent="0.2">
      <c r="A92">
        <v>89</v>
      </c>
      <c r="B92" s="19" t="s">
        <v>483</v>
      </c>
      <c r="C92">
        <v>23</v>
      </c>
      <c r="D92" s="19" t="s">
        <v>460</v>
      </c>
      <c r="E92" s="19" t="s">
        <v>334</v>
      </c>
      <c r="F92">
        <v>51</v>
      </c>
      <c r="G92">
        <v>7</v>
      </c>
      <c r="H92">
        <v>31</v>
      </c>
      <c r="I92">
        <v>38</v>
      </c>
      <c r="J92">
        <v>9</v>
      </c>
      <c r="K92">
        <v>12</v>
      </c>
      <c r="L92">
        <v>6</v>
      </c>
      <c r="M92">
        <v>1</v>
      </c>
      <c r="N92">
        <v>0</v>
      </c>
      <c r="O92">
        <v>0</v>
      </c>
      <c r="P92">
        <v>20</v>
      </c>
      <c r="Q92">
        <v>11</v>
      </c>
      <c r="R92">
        <v>0</v>
      </c>
      <c r="S92">
        <v>111</v>
      </c>
      <c r="T92">
        <v>6.3</v>
      </c>
      <c r="U92">
        <v>205</v>
      </c>
      <c r="V92" s="19" t="s">
        <v>2441</v>
      </c>
      <c r="W92" s="19" t="s">
        <v>424</v>
      </c>
      <c r="X92">
        <v>0</v>
      </c>
      <c r="Y92">
        <v>1</v>
      </c>
      <c r="Z92">
        <v>0</v>
      </c>
      <c r="AA92">
        <v>14</v>
      </c>
      <c r="AB92">
        <v>9</v>
      </c>
      <c r="AC92">
        <v>15</v>
      </c>
      <c r="AD92">
        <v>42</v>
      </c>
      <c r="AE92" s="19" t="s">
        <v>60</v>
      </c>
    </row>
    <row r="93" spans="1:31" x14ac:dyDescent="0.2">
      <c r="A93">
        <v>90</v>
      </c>
      <c r="B93" s="19" t="s">
        <v>410</v>
      </c>
      <c r="C93">
        <v>30</v>
      </c>
      <c r="D93" s="19" t="s">
        <v>321</v>
      </c>
      <c r="E93" s="19" t="s">
        <v>339</v>
      </c>
      <c r="F93">
        <v>51</v>
      </c>
      <c r="G93">
        <v>17</v>
      </c>
      <c r="H93">
        <v>21</v>
      </c>
      <c r="I93">
        <v>38</v>
      </c>
      <c r="J93">
        <v>33</v>
      </c>
      <c r="K93">
        <v>12</v>
      </c>
      <c r="L93">
        <v>16</v>
      </c>
      <c r="M93">
        <v>1</v>
      </c>
      <c r="N93">
        <v>0</v>
      </c>
      <c r="O93">
        <v>0</v>
      </c>
      <c r="P93">
        <v>20</v>
      </c>
      <c r="Q93">
        <v>1</v>
      </c>
      <c r="R93">
        <v>0</v>
      </c>
      <c r="S93">
        <v>122</v>
      </c>
      <c r="T93">
        <v>13.9</v>
      </c>
      <c r="U93">
        <v>227</v>
      </c>
      <c r="V93" s="19" t="s">
        <v>2856</v>
      </c>
      <c r="W93" s="19" t="s">
        <v>1953</v>
      </c>
      <c r="X93">
        <v>3</v>
      </c>
      <c r="Y93">
        <v>11</v>
      </c>
      <c r="Z93">
        <v>21.4</v>
      </c>
      <c r="AA93">
        <v>26</v>
      </c>
      <c r="AB93">
        <v>37</v>
      </c>
      <c r="AC93">
        <v>11</v>
      </c>
      <c r="AD93">
        <v>35</v>
      </c>
      <c r="AE93" s="19" t="s">
        <v>60</v>
      </c>
    </row>
    <row r="94" spans="1:31" x14ac:dyDescent="0.2">
      <c r="A94">
        <v>91</v>
      </c>
      <c r="B94" s="19" t="s">
        <v>690</v>
      </c>
      <c r="C94">
        <v>35</v>
      </c>
      <c r="D94" s="19" t="s">
        <v>460</v>
      </c>
      <c r="E94" s="19" t="s">
        <v>322</v>
      </c>
      <c r="F94">
        <v>52</v>
      </c>
      <c r="G94">
        <v>25</v>
      </c>
      <c r="H94">
        <v>13</v>
      </c>
      <c r="I94">
        <v>38</v>
      </c>
      <c r="J94">
        <v>-15</v>
      </c>
      <c r="K94">
        <v>28</v>
      </c>
      <c r="L94">
        <v>17</v>
      </c>
      <c r="M94">
        <v>8</v>
      </c>
      <c r="N94">
        <v>0</v>
      </c>
      <c r="O94">
        <v>8</v>
      </c>
      <c r="P94">
        <v>8</v>
      </c>
      <c r="Q94">
        <v>5</v>
      </c>
      <c r="R94">
        <v>0</v>
      </c>
      <c r="S94">
        <v>124</v>
      </c>
      <c r="T94">
        <v>20.2</v>
      </c>
      <c r="U94">
        <v>245</v>
      </c>
      <c r="V94" s="19" t="s">
        <v>2442</v>
      </c>
      <c r="W94" s="19" t="s">
        <v>1713</v>
      </c>
      <c r="X94">
        <v>176</v>
      </c>
      <c r="Y94">
        <v>139</v>
      </c>
      <c r="Z94">
        <v>55.9</v>
      </c>
      <c r="AA94">
        <v>20</v>
      </c>
      <c r="AB94">
        <v>56</v>
      </c>
      <c r="AC94">
        <v>20</v>
      </c>
      <c r="AD94">
        <v>46</v>
      </c>
      <c r="AE94" s="19" t="s">
        <v>60</v>
      </c>
    </row>
    <row r="95" spans="1:31" x14ac:dyDescent="0.2">
      <c r="A95">
        <v>92</v>
      </c>
      <c r="B95" s="19" t="s">
        <v>484</v>
      </c>
      <c r="C95">
        <v>29</v>
      </c>
      <c r="D95" s="19" t="s">
        <v>419</v>
      </c>
      <c r="E95" s="19" t="s">
        <v>339</v>
      </c>
      <c r="F95">
        <v>51</v>
      </c>
      <c r="G95">
        <v>18</v>
      </c>
      <c r="H95">
        <v>19</v>
      </c>
      <c r="I95">
        <v>37</v>
      </c>
      <c r="J95">
        <v>-9</v>
      </c>
      <c r="K95">
        <v>32</v>
      </c>
      <c r="L95">
        <v>14</v>
      </c>
      <c r="M95">
        <v>4</v>
      </c>
      <c r="N95">
        <v>0</v>
      </c>
      <c r="O95">
        <v>2</v>
      </c>
      <c r="P95">
        <v>9</v>
      </c>
      <c r="Q95">
        <v>10</v>
      </c>
      <c r="R95">
        <v>0</v>
      </c>
      <c r="S95">
        <v>140</v>
      </c>
      <c r="T95">
        <v>12.9</v>
      </c>
      <c r="U95">
        <v>299</v>
      </c>
      <c r="V95" s="19" t="s">
        <v>1995</v>
      </c>
      <c r="W95" s="19" t="s">
        <v>376</v>
      </c>
      <c r="X95">
        <v>5</v>
      </c>
      <c r="Y95">
        <v>14</v>
      </c>
      <c r="Z95">
        <v>26.3</v>
      </c>
      <c r="AA95">
        <v>21</v>
      </c>
      <c r="AB95">
        <v>33</v>
      </c>
      <c r="AC95">
        <v>18</v>
      </c>
      <c r="AD95">
        <v>71</v>
      </c>
      <c r="AE95" s="19" t="s">
        <v>60</v>
      </c>
    </row>
    <row r="96" spans="1:31" x14ac:dyDescent="0.2">
      <c r="A96">
        <v>93</v>
      </c>
      <c r="B96" s="19" t="s">
        <v>521</v>
      </c>
      <c r="C96">
        <v>38</v>
      </c>
      <c r="D96" s="19" t="s">
        <v>416</v>
      </c>
      <c r="E96" s="19" t="s">
        <v>322</v>
      </c>
      <c r="F96">
        <v>53</v>
      </c>
      <c r="G96">
        <v>10</v>
      </c>
      <c r="H96">
        <v>27</v>
      </c>
      <c r="I96">
        <v>37</v>
      </c>
      <c r="J96">
        <v>13</v>
      </c>
      <c r="K96">
        <v>18</v>
      </c>
      <c r="L96">
        <v>9</v>
      </c>
      <c r="M96">
        <v>1</v>
      </c>
      <c r="N96">
        <v>0</v>
      </c>
      <c r="O96">
        <v>2</v>
      </c>
      <c r="P96">
        <v>18</v>
      </c>
      <c r="Q96">
        <v>9</v>
      </c>
      <c r="R96">
        <v>0</v>
      </c>
      <c r="S96">
        <v>90</v>
      </c>
      <c r="T96">
        <v>11.1</v>
      </c>
      <c r="U96">
        <v>168</v>
      </c>
      <c r="V96" s="19" t="s">
        <v>2857</v>
      </c>
      <c r="W96" s="19" t="s">
        <v>1279</v>
      </c>
      <c r="X96">
        <v>330</v>
      </c>
      <c r="Y96">
        <v>180</v>
      </c>
      <c r="Z96">
        <v>64.7</v>
      </c>
      <c r="AA96">
        <v>21</v>
      </c>
      <c r="AB96">
        <v>49</v>
      </c>
      <c r="AC96">
        <v>11</v>
      </c>
      <c r="AD96">
        <v>37</v>
      </c>
      <c r="AE96" s="19" t="s">
        <v>60</v>
      </c>
    </row>
    <row r="97" spans="1:31" x14ac:dyDescent="0.2">
      <c r="A97">
        <v>94</v>
      </c>
      <c r="B97" s="19" t="s">
        <v>525</v>
      </c>
      <c r="C97">
        <v>31</v>
      </c>
      <c r="D97" s="19" t="s">
        <v>354</v>
      </c>
      <c r="E97" s="19" t="s">
        <v>322</v>
      </c>
      <c r="F97">
        <v>44</v>
      </c>
      <c r="G97">
        <v>11</v>
      </c>
      <c r="H97">
        <v>26</v>
      </c>
      <c r="I97">
        <v>37</v>
      </c>
      <c r="J97">
        <v>0</v>
      </c>
      <c r="K97">
        <v>34</v>
      </c>
      <c r="L97">
        <v>5</v>
      </c>
      <c r="M97">
        <v>6</v>
      </c>
      <c r="N97">
        <v>0</v>
      </c>
      <c r="O97">
        <v>2</v>
      </c>
      <c r="P97">
        <v>15</v>
      </c>
      <c r="Q97">
        <v>11</v>
      </c>
      <c r="R97">
        <v>0</v>
      </c>
      <c r="S97">
        <v>70</v>
      </c>
      <c r="T97">
        <v>15.7</v>
      </c>
      <c r="U97">
        <v>159</v>
      </c>
      <c r="V97" s="19" t="s">
        <v>2443</v>
      </c>
      <c r="W97" s="19" t="s">
        <v>1782</v>
      </c>
      <c r="X97">
        <v>396</v>
      </c>
      <c r="Y97">
        <v>333</v>
      </c>
      <c r="Z97">
        <v>54.3</v>
      </c>
      <c r="AA97">
        <v>42</v>
      </c>
      <c r="AB97">
        <v>30</v>
      </c>
      <c r="AC97">
        <v>11</v>
      </c>
      <c r="AD97">
        <v>32</v>
      </c>
      <c r="AE97" s="19" t="s">
        <v>60</v>
      </c>
    </row>
    <row r="98" spans="1:31" x14ac:dyDescent="0.2">
      <c r="A98">
        <v>95</v>
      </c>
      <c r="B98" s="19" t="s">
        <v>530</v>
      </c>
      <c r="C98">
        <v>23</v>
      </c>
      <c r="D98" s="19" t="s">
        <v>531</v>
      </c>
      <c r="E98" s="19" t="s">
        <v>322</v>
      </c>
      <c r="F98">
        <v>52</v>
      </c>
      <c r="G98">
        <v>13</v>
      </c>
      <c r="H98">
        <v>23</v>
      </c>
      <c r="I98">
        <v>36</v>
      </c>
      <c r="J98">
        <v>-1</v>
      </c>
      <c r="K98">
        <v>16</v>
      </c>
      <c r="L98">
        <v>8</v>
      </c>
      <c r="M98">
        <v>5</v>
      </c>
      <c r="N98">
        <v>0</v>
      </c>
      <c r="O98">
        <v>1</v>
      </c>
      <c r="P98">
        <v>18</v>
      </c>
      <c r="Q98">
        <v>5</v>
      </c>
      <c r="R98">
        <v>0</v>
      </c>
      <c r="S98">
        <v>99</v>
      </c>
      <c r="T98">
        <v>13.1</v>
      </c>
      <c r="U98">
        <v>212</v>
      </c>
      <c r="V98" s="19" t="s">
        <v>2444</v>
      </c>
      <c r="W98" s="19" t="s">
        <v>2030</v>
      </c>
      <c r="X98">
        <v>331</v>
      </c>
      <c r="Y98">
        <v>351</v>
      </c>
      <c r="Z98">
        <v>48.5</v>
      </c>
      <c r="AA98">
        <v>44</v>
      </c>
      <c r="AB98">
        <v>22</v>
      </c>
      <c r="AC98">
        <v>11</v>
      </c>
      <c r="AD98">
        <v>53</v>
      </c>
      <c r="AE98" s="19" t="s">
        <v>60</v>
      </c>
    </row>
    <row r="99" spans="1:31" x14ac:dyDescent="0.2">
      <c r="A99">
        <v>96</v>
      </c>
      <c r="B99" s="19" t="s">
        <v>480</v>
      </c>
      <c r="C99">
        <v>23</v>
      </c>
      <c r="D99" s="19" t="s">
        <v>428</v>
      </c>
      <c r="E99" s="19" t="s">
        <v>334</v>
      </c>
      <c r="F99">
        <v>52</v>
      </c>
      <c r="G99">
        <v>16</v>
      </c>
      <c r="H99">
        <v>20</v>
      </c>
      <c r="I99">
        <v>36</v>
      </c>
      <c r="J99">
        <v>-2</v>
      </c>
      <c r="K99">
        <v>23</v>
      </c>
      <c r="L99">
        <v>10</v>
      </c>
      <c r="M99">
        <v>6</v>
      </c>
      <c r="N99">
        <v>0</v>
      </c>
      <c r="O99">
        <v>1</v>
      </c>
      <c r="P99">
        <v>14</v>
      </c>
      <c r="Q99">
        <v>6</v>
      </c>
      <c r="R99">
        <v>0</v>
      </c>
      <c r="S99">
        <v>114</v>
      </c>
      <c r="T99">
        <v>14</v>
      </c>
      <c r="U99">
        <v>202</v>
      </c>
      <c r="V99" s="19" t="s">
        <v>2445</v>
      </c>
      <c r="W99" s="19" t="s">
        <v>1612</v>
      </c>
      <c r="X99">
        <v>4</v>
      </c>
      <c r="Y99">
        <v>9</v>
      </c>
      <c r="Z99">
        <v>30.8</v>
      </c>
      <c r="AA99">
        <v>21</v>
      </c>
      <c r="AB99">
        <v>45</v>
      </c>
      <c r="AC99">
        <v>35</v>
      </c>
      <c r="AD99">
        <v>42</v>
      </c>
      <c r="AE99" s="19" t="s">
        <v>60</v>
      </c>
    </row>
    <row r="100" spans="1:31" x14ac:dyDescent="0.2">
      <c r="A100">
        <v>97</v>
      </c>
      <c r="B100" s="19" t="s">
        <v>536</v>
      </c>
      <c r="C100">
        <v>35</v>
      </c>
      <c r="D100" s="19" t="s">
        <v>531</v>
      </c>
      <c r="E100" s="19" t="s">
        <v>334</v>
      </c>
      <c r="F100">
        <v>50</v>
      </c>
      <c r="G100">
        <v>19</v>
      </c>
      <c r="H100">
        <v>17</v>
      </c>
      <c r="I100">
        <v>36</v>
      </c>
      <c r="J100">
        <v>8</v>
      </c>
      <c r="K100">
        <v>16</v>
      </c>
      <c r="L100">
        <v>15</v>
      </c>
      <c r="M100">
        <v>4</v>
      </c>
      <c r="N100">
        <v>0</v>
      </c>
      <c r="O100">
        <v>3</v>
      </c>
      <c r="P100">
        <v>7</v>
      </c>
      <c r="Q100">
        <v>10</v>
      </c>
      <c r="R100">
        <v>0</v>
      </c>
      <c r="S100">
        <v>113</v>
      </c>
      <c r="T100">
        <v>16.8</v>
      </c>
      <c r="U100">
        <v>211</v>
      </c>
      <c r="V100" s="19" t="s">
        <v>1966</v>
      </c>
      <c r="W100" s="19" t="s">
        <v>1994</v>
      </c>
      <c r="X100">
        <v>9</v>
      </c>
      <c r="Y100">
        <v>15</v>
      </c>
      <c r="Z100">
        <v>37.5</v>
      </c>
      <c r="AA100">
        <v>26</v>
      </c>
      <c r="AB100">
        <v>37</v>
      </c>
      <c r="AC100">
        <v>12</v>
      </c>
      <c r="AD100">
        <v>39</v>
      </c>
      <c r="AE100" s="19" t="s">
        <v>60</v>
      </c>
    </row>
    <row r="101" spans="1:31" x14ac:dyDescent="0.2">
      <c r="A101">
        <v>98</v>
      </c>
      <c r="B101" s="19" t="s">
        <v>469</v>
      </c>
      <c r="C101">
        <v>24</v>
      </c>
      <c r="D101" s="19" t="s">
        <v>398</v>
      </c>
      <c r="E101" s="19" t="s">
        <v>322</v>
      </c>
      <c r="F101">
        <v>35</v>
      </c>
      <c r="G101">
        <v>12</v>
      </c>
      <c r="H101">
        <v>24</v>
      </c>
      <c r="I101">
        <v>36</v>
      </c>
      <c r="J101">
        <v>-6</v>
      </c>
      <c r="K101">
        <v>0</v>
      </c>
      <c r="L101">
        <v>10</v>
      </c>
      <c r="M101">
        <v>2</v>
      </c>
      <c r="N101">
        <v>0</v>
      </c>
      <c r="O101">
        <v>2</v>
      </c>
      <c r="P101">
        <v>13</v>
      </c>
      <c r="Q101">
        <v>11</v>
      </c>
      <c r="R101">
        <v>0</v>
      </c>
      <c r="S101">
        <v>128</v>
      </c>
      <c r="T101">
        <v>9.4</v>
      </c>
      <c r="U101">
        <v>242</v>
      </c>
      <c r="V101" s="19" t="s">
        <v>2446</v>
      </c>
      <c r="W101" s="19" t="s">
        <v>1998</v>
      </c>
      <c r="X101">
        <v>55</v>
      </c>
      <c r="Y101">
        <v>107</v>
      </c>
      <c r="Z101">
        <v>34</v>
      </c>
      <c r="AA101">
        <v>17</v>
      </c>
      <c r="AB101">
        <v>3</v>
      </c>
      <c r="AC101">
        <v>26</v>
      </c>
      <c r="AD101">
        <v>64</v>
      </c>
      <c r="AE101" s="19" t="s">
        <v>60</v>
      </c>
    </row>
    <row r="102" spans="1:31" x14ac:dyDescent="0.2">
      <c r="A102">
        <v>99</v>
      </c>
      <c r="B102" s="19" t="s">
        <v>449</v>
      </c>
      <c r="C102">
        <v>24</v>
      </c>
      <c r="D102" s="19" t="s">
        <v>372</v>
      </c>
      <c r="E102" s="19" t="s">
        <v>322</v>
      </c>
      <c r="F102">
        <v>52</v>
      </c>
      <c r="G102">
        <v>15</v>
      </c>
      <c r="H102">
        <v>21</v>
      </c>
      <c r="I102">
        <v>36</v>
      </c>
      <c r="J102">
        <v>-9</v>
      </c>
      <c r="K102">
        <v>28</v>
      </c>
      <c r="L102">
        <v>11</v>
      </c>
      <c r="M102">
        <v>3</v>
      </c>
      <c r="N102">
        <v>1</v>
      </c>
      <c r="O102">
        <v>3</v>
      </c>
      <c r="P102">
        <v>12</v>
      </c>
      <c r="Q102">
        <v>7</v>
      </c>
      <c r="R102">
        <v>2</v>
      </c>
      <c r="S102">
        <v>119</v>
      </c>
      <c r="T102">
        <v>12.6</v>
      </c>
      <c r="U102">
        <v>236</v>
      </c>
      <c r="V102" s="19" t="s">
        <v>2447</v>
      </c>
      <c r="W102" s="19" t="s">
        <v>1953</v>
      </c>
      <c r="X102">
        <v>489</v>
      </c>
      <c r="Y102">
        <v>443</v>
      </c>
      <c r="Z102">
        <v>52.5</v>
      </c>
      <c r="AA102">
        <v>31</v>
      </c>
      <c r="AB102">
        <v>63</v>
      </c>
      <c r="AC102">
        <v>9</v>
      </c>
      <c r="AD102">
        <v>55</v>
      </c>
      <c r="AE102" s="19" t="s">
        <v>60</v>
      </c>
    </row>
    <row r="103" spans="1:31" x14ac:dyDescent="0.2">
      <c r="A103">
        <v>100</v>
      </c>
      <c r="B103" s="19" t="s">
        <v>454</v>
      </c>
      <c r="C103">
        <v>24</v>
      </c>
      <c r="D103" s="19" t="s">
        <v>370</v>
      </c>
      <c r="E103" s="19" t="s">
        <v>348</v>
      </c>
      <c r="F103">
        <v>54</v>
      </c>
      <c r="G103">
        <v>7</v>
      </c>
      <c r="H103">
        <v>29</v>
      </c>
      <c r="I103">
        <v>36</v>
      </c>
      <c r="J103">
        <v>12</v>
      </c>
      <c r="K103">
        <v>43</v>
      </c>
      <c r="L103">
        <v>6</v>
      </c>
      <c r="M103">
        <v>1</v>
      </c>
      <c r="N103">
        <v>0</v>
      </c>
      <c r="O103">
        <v>1</v>
      </c>
      <c r="P103">
        <v>13</v>
      </c>
      <c r="Q103">
        <v>16</v>
      </c>
      <c r="R103">
        <v>0</v>
      </c>
      <c r="S103">
        <v>116</v>
      </c>
      <c r="T103">
        <v>6</v>
      </c>
      <c r="U103">
        <v>257</v>
      </c>
      <c r="V103" s="19" t="s">
        <v>2448</v>
      </c>
      <c r="W103" s="19" t="s">
        <v>2449</v>
      </c>
      <c r="X103">
        <v>0</v>
      </c>
      <c r="Y103">
        <v>0</v>
      </c>
      <c r="AA103">
        <v>122</v>
      </c>
      <c r="AB103">
        <v>79</v>
      </c>
      <c r="AC103">
        <v>19</v>
      </c>
      <c r="AD103">
        <v>64</v>
      </c>
      <c r="AE103" s="19" t="s">
        <v>60</v>
      </c>
    </row>
    <row r="104" spans="1:31" x14ac:dyDescent="0.2">
      <c r="A104">
        <v>101</v>
      </c>
      <c r="B104" s="19" t="s">
        <v>490</v>
      </c>
      <c r="C104">
        <v>27</v>
      </c>
      <c r="D104" s="19" t="s">
        <v>404</v>
      </c>
      <c r="E104" s="19" t="s">
        <v>348</v>
      </c>
      <c r="F104">
        <v>53</v>
      </c>
      <c r="G104">
        <v>8</v>
      </c>
      <c r="H104">
        <v>28</v>
      </c>
      <c r="I104">
        <v>36</v>
      </c>
      <c r="J104">
        <v>-3</v>
      </c>
      <c r="K104">
        <v>32</v>
      </c>
      <c r="L104">
        <v>5</v>
      </c>
      <c r="M104">
        <v>3</v>
      </c>
      <c r="N104">
        <v>0</v>
      </c>
      <c r="O104">
        <v>0</v>
      </c>
      <c r="P104">
        <v>17</v>
      </c>
      <c r="Q104">
        <v>10</v>
      </c>
      <c r="R104">
        <v>1</v>
      </c>
      <c r="S104">
        <v>108</v>
      </c>
      <c r="T104">
        <v>7.4</v>
      </c>
      <c r="U104">
        <v>246</v>
      </c>
      <c r="V104" s="19" t="s">
        <v>2450</v>
      </c>
      <c r="W104" s="19" t="s">
        <v>2451</v>
      </c>
      <c r="X104">
        <v>0</v>
      </c>
      <c r="Y104">
        <v>0</v>
      </c>
      <c r="AA104">
        <v>95</v>
      </c>
      <c r="AB104">
        <v>25</v>
      </c>
      <c r="AC104">
        <v>21</v>
      </c>
      <c r="AD104">
        <v>80</v>
      </c>
      <c r="AE104" s="19" t="s">
        <v>60</v>
      </c>
    </row>
    <row r="105" spans="1:31" x14ac:dyDescent="0.2">
      <c r="A105">
        <v>102</v>
      </c>
      <c r="B105" s="19" t="s">
        <v>391</v>
      </c>
      <c r="C105">
        <v>20</v>
      </c>
      <c r="D105" s="19" t="s">
        <v>324</v>
      </c>
      <c r="E105" s="19" t="s">
        <v>322</v>
      </c>
      <c r="F105">
        <v>38</v>
      </c>
      <c r="G105">
        <v>15</v>
      </c>
      <c r="H105">
        <v>21</v>
      </c>
      <c r="I105">
        <v>36</v>
      </c>
      <c r="J105">
        <v>5</v>
      </c>
      <c r="K105">
        <v>14</v>
      </c>
      <c r="L105">
        <v>11</v>
      </c>
      <c r="M105">
        <v>4</v>
      </c>
      <c r="N105">
        <v>0</v>
      </c>
      <c r="O105">
        <v>3</v>
      </c>
      <c r="P105">
        <v>14</v>
      </c>
      <c r="Q105">
        <v>7</v>
      </c>
      <c r="R105">
        <v>0</v>
      </c>
      <c r="S105">
        <v>89</v>
      </c>
      <c r="T105">
        <v>16.899999999999999</v>
      </c>
      <c r="U105">
        <v>184</v>
      </c>
      <c r="V105" s="19" t="s">
        <v>2452</v>
      </c>
      <c r="W105" s="19" t="s">
        <v>556</v>
      </c>
      <c r="X105">
        <v>8</v>
      </c>
      <c r="Y105">
        <v>24</v>
      </c>
      <c r="Z105">
        <v>25</v>
      </c>
      <c r="AA105">
        <v>8</v>
      </c>
      <c r="AB105">
        <v>9</v>
      </c>
      <c r="AC105">
        <v>8</v>
      </c>
      <c r="AD105">
        <v>36</v>
      </c>
      <c r="AE105" s="19" t="s">
        <v>60</v>
      </c>
    </row>
    <row r="106" spans="1:31" x14ac:dyDescent="0.2">
      <c r="A106">
        <v>103</v>
      </c>
      <c r="B106" s="19" t="s">
        <v>465</v>
      </c>
      <c r="C106">
        <v>28</v>
      </c>
      <c r="D106" s="19" t="s">
        <v>354</v>
      </c>
      <c r="E106" s="19" t="s">
        <v>322</v>
      </c>
      <c r="F106">
        <v>53</v>
      </c>
      <c r="G106">
        <v>14</v>
      </c>
      <c r="H106">
        <v>22</v>
      </c>
      <c r="I106">
        <v>36</v>
      </c>
      <c r="J106">
        <v>-6</v>
      </c>
      <c r="K106">
        <v>28</v>
      </c>
      <c r="L106">
        <v>9</v>
      </c>
      <c r="M106">
        <v>5</v>
      </c>
      <c r="N106">
        <v>0</v>
      </c>
      <c r="O106">
        <v>3</v>
      </c>
      <c r="P106">
        <v>12</v>
      </c>
      <c r="Q106">
        <v>10</v>
      </c>
      <c r="R106">
        <v>0</v>
      </c>
      <c r="S106">
        <v>86</v>
      </c>
      <c r="T106">
        <v>16.3</v>
      </c>
      <c r="U106">
        <v>150</v>
      </c>
      <c r="V106" s="19" t="s">
        <v>2453</v>
      </c>
      <c r="W106" s="19" t="s">
        <v>1771</v>
      </c>
      <c r="X106">
        <v>335</v>
      </c>
      <c r="Y106">
        <v>303</v>
      </c>
      <c r="Z106">
        <v>52.5</v>
      </c>
      <c r="AA106">
        <v>21</v>
      </c>
      <c r="AB106">
        <v>42</v>
      </c>
      <c r="AC106">
        <v>13</v>
      </c>
      <c r="AD106">
        <v>38</v>
      </c>
      <c r="AE106" s="19" t="s">
        <v>60</v>
      </c>
    </row>
    <row r="107" spans="1:31" x14ac:dyDescent="0.2">
      <c r="A107">
        <v>104</v>
      </c>
      <c r="B107" s="19" t="s">
        <v>430</v>
      </c>
      <c r="C107">
        <v>30</v>
      </c>
      <c r="D107" s="19" t="s">
        <v>343</v>
      </c>
      <c r="E107" s="19" t="s">
        <v>322</v>
      </c>
      <c r="F107">
        <v>52</v>
      </c>
      <c r="G107">
        <v>12</v>
      </c>
      <c r="H107">
        <v>23</v>
      </c>
      <c r="I107">
        <v>35</v>
      </c>
      <c r="J107">
        <v>9</v>
      </c>
      <c r="K107">
        <v>8</v>
      </c>
      <c r="L107">
        <v>11</v>
      </c>
      <c r="M107">
        <v>1</v>
      </c>
      <c r="N107">
        <v>0</v>
      </c>
      <c r="O107">
        <v>1</v>
      </c>
      <c r="P107">
        <v>22</v>
      </c>
      <c r="Q107">
        <v>1</v>
      </c>
      <c r="R107">
        <v>0</v>
      </c>
      <c r="S107">
        <v>74</v>
      </c>
      <c r="T107">
        <v>16.2</v>
      </c>
      <c r="U107">
        <v>137</v>
      </c>
      <c r="V107" s="19" t="s">
        <v>2454</v>
      </c>
      <c r="W107" s="19" t="s">
        <v>2029</v>
      </c>
      <c r="X107">
        <v>8</v>
      </c>
      <c r="Y107">
        <v>27</v>
      </c>
      <c r="Z107">
        <v>22.9</v>
      </c>
      <c r="AA107">
        <v>27</v>
      </c>
      <c r="AB107">
        <v>82</v>
      </c>
      <c r="AC107">
        <v>13</v>
      </c>
      <c r="AD107">
        <v>55</v>
      </c>
      <c r="AE107" s="19" t="s">
        <v>60</v>
      </c>
    </row>
    <row r="108" spans="1:31" x14ac:dyDescent="0.2">
      <c r="A108">
        <v>105</v>
      </c>
      <c r="B108" s="19" t="s">
        <v>517</v>
      </c>
      <c r="C108">
        <v>28</v>
      </c>
      <c r="D108" s="19" t="s">
        <v>351</v>
      </c>
      <c r="E108" s="19" t="s">
        <v>322</v>
      </c>
      <c r="F108">
        <v>47</v>
      </c>
      <c r="G108">
        <v>15</v>
      </c>
      <c r="H108">
        <v>20</v>
      </c>
      <c r="I108">
        <v>35</v>
      </c>
      <c r="J108">
        <v>29</v>
      </c>
      <c r="K108">
        <v>27</v>
      </c>
      <c r="L108">
        <v>12</v>
      </c>
      <c r="M108">
        <v>3</v>
      </c>
      <c r="N108">
        <v>0</v>
      </c>
      <c r="O108">
        <v>3</v>
      </c>
      <c r="P108">
        <v>17</v>
      </c>
      <c r="Q108">
        <v>1</v>
      </c>
      <c r="R108">
        <v>2</v>
      </c>
      <c r="S108">
        <v>85</v>
      </c>
      <c r="T108">
        <v>17.600000000000001</v>
      </c>
      <c r="U108">
        <v>159</v>
      </c>
      <c r="V108" s="19" t="s">
        <v>2455</v>
      </c>
      <c r="W108" s="19" t="s">
        <v>2032</v>
      </c>
      <c r="X108">
        <v>335</v>
      </c>
      <c r="Y108">
        <v>364</v>
      </c>
      <c r="Z108">
        <v>47.9</v>
      </c>
      <c r="AA108">
        <v>30</v>
      </c>
      <c r="AB108">
        <v>31</v>
      </c>
      <c r="AC108">
        <v>19</v>
      </c>
      <c r="AD108">
        <v>32</v>
      </c>
      <c r="AE108" s="19" t="s">
        <v>60</v>
      </c>
    </row>
    <row r="109" spans="1:31" x14ac:dyDescent="0.2">
      <c r="A109">
        <v>106</v>
      </c>
      <c r="B109" s="19" t="s">
        <v>478</v>
      </c>
      <c r="C109">
        <v>33</v>
      </c>
      <c r="D109" s="19" t="s">
        <v>380</v>
      </c>
      <c r="E109" s="19" t="s">
        <v>322</v>
      </c>
      <c r="F109">
        <v>52</v>
      </c>
      <c r="G109">
        <v>12</v>
      </c>
      <c r="H109">
        <v>23</v>
      </c>
      <c r="I109">
        <v>35</v>
      </c>
      <c r="J109">
        <v>-1</v>
      </c>
      <c r="K109">
        <v>8</v>
      </c>
      <c r="L109">
        <v>9</v>
      </c>
      <c r="M109">
        <v>3</v>
      </c>
      <c r="N109">
        <v>0</v>
      </c>
      <c r="O109">
        <v>1</v>
      </c>
      <c r="P109">
        <v>20</v>
      </c>
      <c r="Q109">
        <v>3</v>
      </c>
      <c r="R109">
        <v>0</v>
      </c>
      <c r="S109">
        <v>85</v>
      </c>
      <c r="T109">
        <v>14.1</v>
      </c>
      <c r="U109">
        <v>155</v>
      </c>
      <c r="V109" s="19" t="s">
        <v>2858</v>
      </c>
      <c r="W109" s="19" t="s">
        <v>1932</v>
      </c>
      <c r="X109">
        <v>383</v>
      </c>
      <c r="Y109">
        <v>384</v>
      </c>
      <c r="Z109">
        <v>49.9</v>
      </c>
      <c r="AA109">
        <v>33</v>
      </c>
      <c r="AB109">
        <v>71</v>
      </c>
      <c r="AC109">
        <v>22</v>
      </c>
      <c r="AD109">
        <v>33</v>
      </c>
      <c r="AE109" s="19" t="s">
        <v>60</v>
      </c>
    </row>
    <row r="110" spans="1:31" x14ac:dyDescent="0.2">
      <c r="A110">
        <v>107</v>
      </c>
      <c r="B110" s="19" t="s">
        <v>537</v>
      </c>
      <c r="C110">
        <v>29</v>
      </c>
      <c r="D110" s="19" t="s">
        <v>356</v>
      </c>
      <c r="E110" s="19" t="s">
        <v>322</v>
      </c>
      <c r="F110">
        <v>48</v>
      </c>
      <c r="G110">
        <v>13</v>
      </c>
      <c r="H110">
        <v>22</v>
      </c>
      <c r="I110">
        <v>35</v>
      </c>
      <c r="J110">
        <v>15</v>
      </c>
      <c r="K110">
        <v>22</v>
      </c>
      <c r="L110">
        <v>9</v>
      </c>
      <c r="M110">
        <v>4</v>
      </c>
      <c r="N110">
        <v>0</v>
      </c>
      <c r="O110">
        <v>2</v>
      </c>
      <c r="P110">
        <v>15</v>
      </c>
      <c r="Q110">
        <v>7</v>
      </c>
      <c r="R110">
        <v>0</v>
      </c>
      <c r="S110">
        <v>141</v>
      </c>
      <c r="T110">
        <v>9.1999999999999993</v>
      </c>
      <c r="U110">
        <v>233</v>
      </c>
      <c r="V110" s="19" t="s">
        <v>2456</v>
      </c>
      <c r="W110" s="19" t="s">
        <v>2069</v>
      </c>
      <c r="X110">
        <v>491</v>
      </c>
      <c r="Y110">
        <v>507</v>
      </c>
      <c r="Z110">
        <v>49.2</v>
      </c>
      <c r="AA110">
        <v>21</v>
      </c>
      <c r="AB110">
        <v>74</v>
      </c>
      <c r="AC110">
        <v>11</v>
      </c>
      <c r="AD110">
        <v>34</v>
      </c>
      <c r="AE110" s="19" t="s">
        <v>60</v>
      </c>
    </row>
    <row r="111" spans="1:31" x14ac:dyDescent="0.2">
      <c r="A111">
        <v>108</v>
      </c>
      <c r="B111" s="19" t="s">
        <v>869</v>
      </c>
      <c r="C111">
        <v>33</v>
      </c>
      <c r="D111" s="19" t="s">
        <v>327</v>
      </c>
      <c r="E111" s="19" t="s">
        <v>339</v>
      </c>
      <c r="F111">
        <v>35</v>
      </c>
      <c r="G111">
        <v>21</v>
      </c>
      <c r="H111">
        <v>14</v>
      </c>
      <c r="I111">
        <v>35</v>
      </c>
      <c r="J111">
        <v>12</v>
      </c>
      <c r="K111">
        <v>12</v>
      </c>
      <c r="L111">
        <v>13</v>
      </c>
      <c r="M111">
        <v>8</v>
      </c>
      <c r="N111">
        <v>0</v>
      </c>
      <c r="O111">
        <v>1</v>
      </c>
      <c r="P111">
        <v>10</v>
      </c>
      <c r="Q111">
        <v>4</v>
      </c>
      <c r="R111">
        <v>0</v>
      </c>
      <c r="S111">
        <v>112</v>
      </c>
      <c r="T111">
        <v>18.8</v>
      </c>
      <c r="U111">
        <v>190</v>
      </c>
      <c r="V111" s="19" t="s">
        <v>2457</v>
      </c>
      <c r="W111" s="19" t="s">
        <v>1736</v>
      </c>
      <c r="X111">
        <v>0</v>
      </c>
      <c r="Y111">
        <v>1</v>
      </c>
      <c r="Z111">
        <v>0</v>
      </c>
      <c r="AA111">
        <v>12</v>
      </c>
      <c r="AB111">
        <v>34</v>
      </c>
      <c r="AC111">
        <v>6</v>
      </c>
      <c r="AD111">
        <v>15</v>
      </c>
      <c r="AE111" s="19" t="s">
        <v>60</v>
      </c>
    </row>
    <row r="112" spans="1:31" x14ac:dyDescent="0.2">
      <c r="A112">
        <v>109</v>
      </c>
      <c r="B112" s="19" t="s">
        <v>470</v>
      </c>
      <c r="C112">
        <v>35</v>
      </c>
      <c r="D112" s="19" t="s">
        <v>356</v>
      </c>
      <c r="E112" s="19" t="s">
        <v>322</v>
      </c>
      <c r="F112">
        <v>49</v>
      </c>
      <c r="G112">
        <v>13</v>
      </c>
      <c r="H112">
        <v>22</v>
      </c>
      <c r="I112">
        <v>35</v>
      </c>
      <c r="J112">
        <v>18</v>
      </c>
      <c r="K112">
        <v>8</v>
      </c>
      <c r="L112">
        <v>10</v>
      </c>
      <c r="M112">
        <v>3</v>
      </c>
      <c r="N112">
        <v>0</v>
      </c>
      <c r="O112">
        <v>4</v>
      </c>
      <c r="P112">
        <v>17</v>
      </c>
      <c r="Q112">
        <v>4</v>
      </c>
      <c r="R112">
        <v>1</v>
      </c>
      <c r="S112">
        <v>73</v>
      </c>
      <c r="T112">
        <v>17.8</v>
      </c>
      <c r="U112">
        <v>138</v>
      </c>
      <c r="V112" s="19" t="s">
        <v>2458</v>
      </c>
      <c r="W112" s="19" t="s">
        <v>2218</v>
      </c>
      <c r="X112">
        <v>6</v>
      </c>
      <c r="Y112">
        <v>7</v>
      </c>
      <c r="Z112">
        <v>46.2</v>
      </c>
      <c r="AA112">
        <v>12</v>
      </c>
      <c r="AB112">
        <v>23</v>
      </c>
      <c r="AC112">
        <v>14</v>
      </c>
      <c r="AD112">
        <v>37</v>
      </c>
      <c r="AE112" s="19" t="s">
        <v>60</v>
      </c>
    </row>
    <row r="113" spans="1:31" x14ac:dyDescent="0.2">
      <c r="A113">
        <v>110</v>
      </c>
      <c r="B113" s="19" t="s">
        <v>435</v>
      </c>
      <c r="C113">
        <v>35</v>
      </c>
      <c r="D113" s="19" t="s">
        <v>436</v>
      </c>
      <c r="E113" s="19" t="s">
        <v>322</v>
      </c>
      <c r="F113">
        <v>52</v>
      </c>
      <c r="G113">
        <v>9</v>
      </c>
      <c r="H113">
        <v>26</v>
      </c>
      <c r="I113">
        <v>35</v>
      </c>
      <c r="J113">
        <v>-23</v>
      </c>
      <c r="K113">
        <v>20</v>
      </c>
      <c r="L113">
        <v>7</v>
      </c>
      <c r="M113">
        <v>2</v>
      </c>
      <c r="N113">
        <v>0</v>
      </c>
      <c r="O113">
        <v>1</v>
      </c>
      <c r="P113">
        <v>15</v>
      </c>
      <c r="Q113">
        <v>11</v>
      </c>
      <c r="R113">
        <v>0</v>
      </c>
      <c r="S113">
        <v>143</v>
      </c>
      <c r="T113">
        <v>6.3</v>
      </c>
      <c r="U113">
        <v>304</v>
      </c>
      <c r="V113" s="19" t="s">
        <v>2323</v>
      </c>
      <c r="W113" s="19" t="s">
        <v>2215</v>
      </c>
      <c r="X113">
        <v>364</v>
      </c>
      <c r="Y113">
        <v>372</v>
      </c>
      <c r="Z113">
        <v>49.5</v>
      </c>
      <c r="AA113">
        <v>18</v>
      </c>
      <c r="AB113">
        <v>33</v>
      </c>
      <c r="AC113">
        <v>15</v>
      </c>
      <c r="AD113">
        <v>57</v>
      </c>
      <c r="AE113" s="19" t="s">
        <v>60</v>
      </c>
    </row>
    <row r="114" spans="1:31" x14ac:dyDescent="0.2">
      <c r="A114">
        <v>111</v>
      </c>
      <c r="B114" s="19" t="s">
        <v>547</v>
      </c>
      <c r="C114">
        <v>31</v>
      </c>
      <c r="D114" s="19" t="s">
        <v>375</v>
      </c>
      <c r="E114" s="19" t="s">
        <v>334</v>
      </c>
      <c r="F114">
        <v>51</v>
      </c>
      <c r="G114">
        <v>16</v>
      </c>
      <c r="H114">
        <v>19</v>
      </c>
      <c r="I114">
        <v>35</v>
      </c>
      <c r="J114">
        <v>9</v>
      </c>
      <c r="K114">
        <v>17</v>
      </c>
      <c r="L114">
        <v>12</v>
      </c>
      <c r="M114">
        <v>4</v>
      </c>
      <c r="N114">
        <v>0</v>
      </c>
      <c r="O114">
        <v>0</v>
      </c>
      <c r="P114">
        <v>14</v>
      </c>
      <c r="Q114">
        <v>5</v>
      </c>
      <c r="R114">
        <v>0</v>
      </c>
      <c r="S114">
        <v>94</v>
      </c>
      <c r="T114">
        <v>17</v>
      </c>
      <c r="U114">
        <v>181</v>
      </c>
      <c r="V114" s="19" t="s">
        <v>2324</v>
      </c>
      <c r="W114" s="19" t="s">
        <v>1328</v>
      </c>
      <c r="X114">
        <v>6</v>
      </c>
      <c r="Y114">
        <v>19</v>
      </c>
      <c r="Z114">
        <v>24</v>
      </c>
      <c r="AA114">
        <v>24</v>
      </c>
      <c r="AB114">
        <v>30</v>
      </c>
      <c r="AC114">
        <v>9</v>
      </c>
      <c r="AD114">
        <v>51</v>
      </c>
      <c r="AE114" s="19" t="s">
        <v>60</v>
      </c>
    </row>
    <row r="115" spans="1:31" x14ac:dyDescent="0.2">
      <c r="A115">
        <v>112</v>
      </c>
      <c r="B115" s="19" t="s">
        <v>595</v>
      </c>
      <c r="C115">
        <v>28</v>
      </c>
      <c r="D115" s="19" t="s">
        <v>354</v>
      </c>
      <c r="E115" s="19" t="s">
        <v>348</v>
      </c>
      <c r="F115">
        <v>42</v>
      </c>
      <c r="G115">
        <v>4</v>
      </c>
      <c r="H115">
        <v>31</v>
      </c>
      <c r="I115">
        <v>35</v>
      </c>
      <c r="J115">
        <v>4</v>
      </c>
      <c r="K115">
        <v>40</v>
      </c>
      <c r="L115">
        <v>3</v>
      </c>
      <c r="M115">
        <v>1</v>
      </c>
      <c r="N115">
        <v>0</v>
      </c>
      <c r="O115">
        <v>0</v>
      </c>
      <c r="P115">
        <v>17</v>
      </c>
      <c r="Q115">
        <v>14</v>
      </c>
      <c r="R115">
        <v>0</v>
      </c>
      <c r="S115">
        <v>63</v>
      </c>
      <c r="T115">
        <v>6.3</v>
      </c>
      <c r="U115">
        <v>164</v>
      </c>
      <c r="V115" s="19" t="s">
        <v>2459</v>
      </c>
      <c r="W115" s="19" t="s">
        <v>1935</v>
      </c>
      <c r="X115">
        <v>0</v>
      </c>
      <c r="Y115">
        <v>0</v>
      </c>
      <c r="AA115">
        <v>79</v>
      </c>
      <c r="AB115">
        <v>53</v>
      </c>
      <c r="AC115">
        <v>22</v>
      </c>
      <c r="AD115">
        <v>50</v>
      </c>
      <c r="AE115" s="19" t="s">
        <v>60</v>
      </c>
    </row>
    <row r="116" spans="1:31" x14ac:dyDescent="0.2">
      <c r="A116">
        <v>113</v>
      </c>
      <c r="B116" s="19" t="s">
        <v>596</v>
      </c>
      <c r="C116">
        <v>26</v>
      </c>
      <c r="D116" s="19" t="s">
        <v>428</v>
      </c>
      <c r="E116" s="19" t="s">
        <v>322</v>
      </c>
      <c r="F116">
        <v>52</v>
      </c>
      <c r="G116">
        <v>11</v>
      </c>
      <c r="H116">
        <v>24</v>
      </c>
      <c r="I116">
        <v>35</v>
      </c>
      <c r="J116">
        <v>16</v>
      </c>
      <c r="K116">
        <v>4</v>
      </c>
      <c r="L116">
        <v>7</v>
      </c>
      <c r="M116">
        <v>0</v>
      </c>
      <c r="N116">
        <v>4</v>
      </c>
      <c r="O116">
        <v>1</v>
      </c>
      <c r="P116">
        <v>19</v>
      </c>
      <c r="Q116">
        <v>4</v>
      </c>
      <c r="R116">
        <v>1</v>
      </c>
      <c r="S116">
        <v>61</v>
      </c>
      <c r="T116">
        <v>18</v>
      </c>
      <c r="U116">
        <v>125</v>
      </c>
      <c r="V116" s="19" t="s">
        <v>2460</v>
      </c>
      <c r="W116" s="19" t="s">
        <v>2032</v>
      </c>
      <c r="X116">
        <v>383</v>
      </c>
      <c r="Y116">
        <v>445</v>
      </c>
      <c r="Z116">
        <v>46.3</v>
      </c>
      <c r="AA116">
        <v>19</v>
      </c>
      <c r="AB116">
        <v>14</v>
      </c>
      <c r="AC116">
        <v>23</v>
      </c>
      <c r="AD116">
        <v>53</v>
      </c>
      <c r="AE116" s="19" t="s">
        <v>60</v>
      </c>
    </row>
    <row r="117" spans="1:31" x14ac:dyDescent="0.2">
      <c r="A117">
        <v>114</v>
      </c>
      <c r="B117" s="19" t="s">
        <v>463</v>
      </c>
      <c r="C117">
        <v>18</v>
      </c>
      <c r="D117" s="19" t="s">
        <v>383</v>
      </c>
      <c r="E117" s="19" t="s">
        <v>348</v>
      </c>
      <c r="F117">
        <v>53</v>
      </c>
      <c r="G117">
        <v>13</v>
      </c>
      <c r="H117">
        <v>22</v>
      </c>
      <c r="I117">
        <v>35</v>
      </c>
      <c r="J117">
        <v>7</v>
      </c>
      <c r="K117">
        <v>26</v>
      </c>
      <c r="L117">
        <v>7</v>
      </c>
      <c r="M117">
        <v>6</v>
      </c>
      <c r="N117">
        <v>0</v>
      </c>
      <c r="O117">
        <v>3</v>
      </c>
      <c r="P117">
        <v>14</v>
      </c>
      <c r="Q117">
        <v>8</v>
      </c>
      <c r="R117">
        <v>0</v>
      </c>
      <c r="S117">
        <v>129</v>
      </c>
      <c r="T117">
        <v>10.1</v>
      </c>
      <c r="U117">
        <v>303</v>
      </c>
      <c r="V117" s="19" t="s">
        <v>2859</v>
      </c>
      <c r="W117" s="19" t="s">
        <v>2136</v>
      </c>
      <c r="X117">
        <v>0</v>
      </c>
      <c r="Y117">
        <v>0</v>
      </c>
      <c r="AA117">
        <v>71</v>
      </c>
      <c r="AB117">
        <v>26</v>
      </c>
      <c r="AC117">
        <v>26</v>
      </c>
      <c r="AD117">
        <v>66</v>
      </c>
      <c r="AE117" s="19" t="s">
        <v>60</v>
      </c>
    </row>
    <row r="118" spans="1:31" x14ac:dyDescent="0.2">
      <c r="A118">
        <v>115</v>
      </c>
      <c r="B118" s="19" t="s">
        <v>514</v>
      </c>
      <c r="C118">
        <v>33</v>
      </c>
      <c r="D118" s="19" t="s">
        <v>324</v>
      </c>
      <c r="E118" s="19" t="s">
        <v>322</v>
      </c>
      <c r="F118">
        <v>51</v>
      </c>
      <c r="G118">
        <v>15</v>
      </c>
      <c r="H118">
        <v>20</v>
      </c>
      <c r="I118">
        <v>35</v>
      </c>
      <c r="J118">
        <v>-5</v>
      </c>
      <c r="K118">
        <v>10</v>
      </c>
      <c r="L118">
        <v>10</v>
      </c>
      <c r="M118">
        <v>5</v>
      </c>
      <c r="N118">
        <v>0</v>
      </c>
      <c r="O118">
        <v>2</v>
      </c>
      <c r="P118">
        <v>15</v>
      </c>
      <c r="Q118">
        <v>5</v>
      </c>
      <c r="R118">
        <v>0</v>
      </c>
      <c r="S118">
        <v>120</v>
      </c>
      <c r="T118">
        <v>12.5</v>
      </c>
      <c r="U118">
        <v>245</v>
      </c>
      <c r="V118" s="19" t="s">
        <v>2461</v>
      </c>
      <c r="W118" s="19" t="s">
        <v>696</v>
      </c>
      <c r="X118">
        <v>4</v>
      </c>
      <c r="Y118">
        <v>14</v>
      </c>
      <c r="Z118">
        <v>22.2</v>
      </c>
      <c r="AA118">
        <v>25</v>
      </c>
      <c r="AB118">
        <v>37</v>
      </c>
      <c r="AC118">
        <v>12</v>
      </c>
      <c r="AD118">
        <v>35</v>
      </c>
      <c r="AE118" s="19" t="s">
        <v>60</v>
      </c>
    </row>
    <row r="119" spans="1:31" x14ac:dyDescent="0.2">
      <c r="A119">
        <v>116</v>
      </c>
      <c r="B119" s="19" t="s">
        <v>576</v>
      </c>
      <c r="C119">
        <v>31</v>
      </c>
      <c r="D119" s="19" t="s">
        <v>324</v>
      </c>
      <c r="E119" s="19" t="s">
        <v>322</v>
      </c>
      <c r="F119">
        <v>51</v>
      </c>
      <c r="G119">
        <v>10</v>
      </c>
      <c r="H119">
        <v>25</v>
      </c>
      <c r="I119">
        <v>35</v>
      </c>
      <c r="J119">
        <v>-13</v>
      </c>
      <c r="K119">
        <v>10</v>
      </c>
      <c r="L119">
        <v>5</v>
      </c>
      <c r="M119">
        <v>5</v>
      </c>
      <c r="N119">
        <v>0</v>
      </c>
      <c r="O119">
        <v>2</v>
      </c>
      <c r="P119">
        <v>21</v>
      </c>
      <c r="Q119">
        <v>4</v>
      </c>
      <c r="R119">
        <v>0</v>
      </c>
      <c r="S119">
        <v>60</v>
      </c>
      <c r="T119">
        <v>16.7</v>
      </c>
      <c r="U119">
        <v>111</v>
      </c>
      <c r="V119" s="19" t="s">
        <v>2462</v>
      </c>
      <c r="W119" s="19" t="s">
        <v>1712</v>
      </c>
      <c r="X119">
        <v>401</v>
      </c>
      <c r="Y119">
        <v>484</v>
      </c>
      <c r="Z119">
        <v>45.3</v>
      </c>
      <c r="AA119">
        <v>64</v>
      </c>
      <c r="AB119">
        <v>16</v>
      </c>
      <c r="AC119">
        <v>22</v>
      </c>
      <c r="AD119">
        <v>41</v>
      </c>
      <c r="AE119" s="19" t="s">
        <v>60</v>
      </c>
    </row>
    <row r="120" spans="1:31" x14ac:dyDescent="0.2">
      <c r="A120">
        <v>117</v>
      </c>
      <c r="B120" s="19" t="s">
        <v>468</v>
      </c>
      <c r="C120">
        <v>21</v>
      </c>
      <c r="D120" s="19" t="s">
        <v>380</v>
      </c>
      <c r="E120" s="19" t="s">
        <v>322</v>
      </c>
      <c r="F120">
        <v>52</v>
      </c>
      <c r="G120">
        <v>13</v>
      </c>
      <c r="H120">
        <v>21</v>
      </c>
      <c r="I120">
        <v>34</v>
      </c>
      <c r="J120">
        <v>-11</v>
      </c>
      <c r="K120">
        <v>19</v>
      </c>
      <c r="L120">
        <v>10</v>
      </c>
      <c r="M120">
        <v>3</v>
      </c>
      <c r="N120">
        <v>0</v>
      </c>
      <c r="O120">
        <v>2</v>
      </c>
      <c r="P120">
        <v>16</v>
      </c>
      <c r="Q120">
        <v>5</v>
      </c>
      <c r="R120">
        <v>0</v>
      </c>
      <c r="S120">
        <v>144</v>
      </c>
      <c r="T120">
        <v>9</v>
      </c>
      <c r="U120">
        <v>302</v>
      </c>
      <c r="V120" s="19" t="s">
        <v>2860</v>
      </c>
      <c r="W120" s="19" t="s">
        <v>1705</v>
      </c>
      <c r="X120">
        <v>343</v>
      </c>
      <c r="Y120">
        <v>333</v>
      </c>
      <c r="Z120">
        <v>50.7</v>
      </c>
      <c r="AA120">
        <v>35</v>
      </c>
      <c r="AB120">
        <v>73</v>
      </c>
      <c r="AC120">
        <v>18</v>
      </c>
      <c r="AD120">
        <v>55</v>
      </c>
      <c r="AE120" s="19" t="s">
        <v>60</v>
      </c>
    </row>
    <row r="121" spans="1:31" x14ac:dyDescent="0.2">
      <c r="A121">
        <v>118</v>
      </c>
      <c r="B121" s="19" t="s">
        <v>382</v>
      </c>
      <c r="C121">
        <v>30</v>
      </c>
      <c r="D121" s="19" t="s">
        <v>383</v>
      </c>
      <c r="E121" s="19" t="s">
        <v>322</v>
      </c>
      <c r="F121">
        <v>39</v>
      </c>
      <c r="G121">
        <v>21</v>
      </c>
      <c r="H121">
        <v>13</v>
      </c>
      <c r="I121">
        <v>34</v>
      </c>
      <c r="J121">
        <v>3</v>
      </c>
      <c r="K121">
        <v>36</v>
      </c>
      <c r="L121">
        <v>14</v>
      </c>
      <c r="M121">
        <v>6</v>
      </c>
      <c r="N121">
        <v>1</v>
      </c>
      <c r="O121">
        <v>3</v>
      </c>
      <c r="P121">
        <v>6</v>
      </c>
      <c r="Q121">
        <v>7</v>
      </c>
      <c r="R121">
        <v>0</v>
      </c>
      <c r="S121">
        <v>128</v>
      </c>
      <c r="T121">
        <v>16.399999999999999</v>
      </c>
      <c r="U121">
        <v>226</v>
      </c>
      <c r="V121" s="19" t="s">
        <v>2861</v>
      </c>
      <c r="W121" s="19" t="s">
        <v>2099</v>
      </c>
      <c r="X121">
        <v>407</v>
      </c>
      <c r="Y121">
        <v>297</v>
      </c>
      <c r="Z121">
        <v>57.8</v>
      </c>
      <c r="AA121">
        <v>19</v>
      </c>
      <c r="AB121">
        <v>30</v>
      </c>
      <c r="AC121">
        <v>9</v>
      </c>
      <c r="AD121">
        <v>46</v>
      </c>
      <c r="AE121" s="19" t="s">
        <v>60</v>
      </c>
    </row>
    <row r="122" spans="1:31" x14ac:dyDescent="0.2">
      <c r="A122">
        <v>119</v>
      </c>
      <c r="B122" s="19" t="s">
        <v>545</v>
      </c>
      <c r="C122">
        <v>25</v>
      </c>
      <c r="D122" s="19" t="s">
        <v>336</v>
      </c>
      <c r="E122" s="19" t="s">
        <v>348</v>
      </c>
      <c r="F122">
        <v>53</v>
      </c>
      <c r="G122">
        <v>6</v>
      </c>
      <c r="H122">
        <v>28</v>
      </c>
      <c r="I122">
        <v>34</v>
      </c>
      <c r="J122">
        <v>-4</v>
      </c>
      <c r="K122">
        <v>10</v>
      </c>
      <c r="L122">
        <v>4</v>
      </c>
      <c r="M122">
        <v>1</v>
      </c>
      <c r="N122">
        <v>1</v>
      </c>
      <c r="O122">
        <v>0</v>
      </c>
      <c r="P122">
        <v>18</v>
      </c>
      <c r="Q122">
        <v>9</v>
      </c>
      <c r="R122">
        <v>1</v>
      </c>
      <c r="S122">
        <v>106</v>
      </c>
      <c r="T122">
        <v>5.7</v>
      </c>
      <c r="U122">
        <v>240</v>
      </c>
      <c r="V122" s="19" t="s">
        <v>2463</v>
      </c>
      <c r="W122" s="19" t="s">
        <v>2085</v>
      </c>
      <c r="X122">
        <v>0</v>
      </c>
      <c r="Y122">
        <v>0</v>
      </c>
      <c r="AA122">
        <v>89</v>
      </c>
      <c r="AB122">
        <v>48</v>
      </c>
      <c r="AC122">
        <v>30</v>
      </c>
      <c r="AD122">
        <v>74</v>
      </c>
      <c r="AE122" s="19" t="s">
        <v>60</v>
      </c>
    </row>
    <row r="123" spans="1:31" x14ac:dyDescent="0.2">
      <c r="A123">
        <v>120</v>
      </c>
      <c r="B123" s="19" t="s">
        <v>501</v>
      </c>
      <c r="C123">
        <v>32</v>
      </c>
      <c r="D123" s="19" t="s">
        <v>360</v>
      </c>
      <c r="E123" s="19" t="s">
        <v>322</v>
      </c>
      <c r="F123">
        <v>45</v>
      </c>
      <c r="G123">
        <v>14</v>
      </c>
      <c r="H123">
        <v>20</v>
      </c>
      <c r="I123">
        <v>34</v>
      </c>
      <c r="J123">
        <v>-19</v>
      </c>
      <c r="K123">
        <v>14</v>
      </c>
      <c r="L123">
        <v>10</v>
      </c>
      <c r="M123">
        <v>4</v>
      </c>
      <c r="N123">
        <v>0</v>
      </c>
      <c r="O123">
        <v>3</v>
      </c>
      <c r="P123">
        <v>16</v>
      </c>
      <c r="Q123">
        <v>4</v>
      </c>
      <c r="R123">
        <v>0</v>
      </c>
      <c r="S123">
        <v>101</v>
      </c>
      <c r="T123">
        <v>13.9</v>
      </c>
      <c r="U123">
        <v>193</v>
      </c>
      <c r="V123" s="19" t="s">
        <v>2862</v>
      </c>
      <c r="W123" s="19" t="s">
        <v>2863</v>
      </c>
      <c r="X123">
        <v>354</v>
      </c>
      <c r="Y123">
        <v>233</v>
      </c>
      <c r="Z123">
        <v>60.3</v>
      </c>
      <c r="AA123">
        <v>17</v>
      </c>
      <c r="AB123">
        <v>94</v>
      </c>
      <c r="AC123">
        <v>10</v>
      </c>
      <c r="AD123">
        <v>50</v>
      </c>
      <c r="AE123" s="19" t="s">
        <v>60</v>
      </c>
    </row>
    <row r="124" spans="1:31" x14ac:dyDescent="0.2">
      <c r="A124">
        <v>121</v>
      </c>
      <c r="B124" s="19" t="s">
        <v>452</v>
      </c>
      <c r="C124">
        <v>24</v>
      </c>
      <c r="D124" s="19" t="s">
        <v>404</v>
      </c>
      <c r="E124" s="19" t="s">
        <v>334</v>
      </c>
      <c r="F124">
        <v>53</v>
      </c>
      <c r="G124">
        <v>18</v>
      </c>
      <c r="H124">
        <v>16</v>
      </c>
      <c r="I124">
        <v>34</v>
      </c>
      <c r="J124">
        <v>7</v>
      </c>
      <c r="K124">
        <v>24</v>
      </c>
      <c r="L124">
        <v>16</v>
      </c>
      <c r="M124">
        <v>2</v>
      </c>
      <c r="N124">
        <v>0</v>
      </c>
      <c r="O124">
        <v>2</v>
      </c>
      <c r="P124">
        <v>15</v>
      </c>
      <c r="Q124">
        <v>1</v>
      </c>
      <c r="R124">
        <v>0</v>
      </c>
      <c r="S124">
        <v>107</v>
      </c>
      <c r="T124">
        <v>16.8</v>
      </c>
      <c r="U124">
        <v>210</v>
      </c>
      <c r="V124" s="19" t="s">
        <v>2464</v>
      </c>
      <c r="W124" s="19" t="s">
        <v>738</v>
      </c>
      <c r="X124">
        <v>6</v>
      </c>
      <c r="Y124">
        <v>14</v>
      </c>
      <c r="Z124">
        <v>30</v>
      </c>
      <c r="AA124">
        <v>16</v>
      </c>
      <c r="AB124">
        <v>13</v>
      </c>
      <c r="AC124">
        <v>13</v>
      </c>
      <c r="AD124">
        <v>59</v>
      </c>
      <c r="AE124" s="19" t="s">
        <v>60</v>
      </c>
    </row>
    <row r="125" spans="1:31" x14ac:dyDescent="0.2">
      <c r="A125">
        <v>122</v>
      </c>
      <c r="B125" s="19" t="s">
        <v>474</v>
      </c>
      <c r="C125">
        <v>25</v>
      </c>
      <c r="D125" s="19" t="s">
        <v>365</v>
      </c>
      <c r="E125" s="19" t="s">
        <v>322</v>
      </c>
      <c r="F125">
        <v>51</v>
      </c>
      <c r="G125">
        <v>18</v>
      </c>
      <c r="H125">
        <v>16</v>
      </c>
      <c r="I125">
        <v>34</v>
      </c>
      <c r="J125">
        <v>13</v>
      </c>
      <c r="K125">
        <v>18</v>
      </c>
      <c r="L125">
        <v>18</v>
      </c>
      <c r="M125">
        <v>0</v>
      </c>
      <c r="N125">
        <v>0</v>
      </c>
      <c r="O125">
        <v>4</v>
      </c>
      <c r="P125">
        <v>14</v>
      </c>
      <c r="Q125">
        <v>1</v>
      </c>
      <c r="R125">
        <v>1</v>
      </c>
      <c r="S125">
        <v>113</v>
      </c>
      <c r="T125">
        <v>15.9</v>
      </c>
      <c r="U125">
        <v>222</v>
      </c>
      <c r="V125" s="19" t="s">
        <v>2465</v>
      </c>
      <c r="W125" s="19" t="s">
        <v>1824</v>
      </c>
      <c r="X125">
        <v>13</v>
      </c>
      <c r="Y125">
        <v>22</v>
      </c>
      <c r="Z125">
        <v>37.1</v>
      </c>
      <c r="AA125">
        <v>30</v>
      </c>
      <c r="AB125">
        <v>24</v>
      </c>
      <c r="AC125">
        <v>16</v>
      </c>
      <c r="AD125">
        <v>61</v>
      </c>
      <c r="AE125" s="19" t="s">
        <v>60</v>
      </c>
    </row>
    <row r="126" spans="1:31" x14ac:dyDescent="0.2">
      <c r="A126">
        <v>123</v>
      </c>
      <c r="B126" s="19" t="s">
        <v>520</v>
      </c>
      <c r="C126">
        <v>29</v>
      </c>
      <c r="D126" s="19" t="s">
        <v>406</v>
      </c>
      <c r="E126" s="19" t="s">
        <v>322</v>
      </c>
      <c r="F126">
        <v>51</v>
      </c>
      <c r="G126">
        <v>12</v>
      </c>
      <c r="H126">
        <v>21</v>
      </c>
      <c r="I126">
        <v>33</v>
      </c>
      <c r="J126">
        <v>0</v>
      </c>
      <c r="K126">
        <v>16</v>
      </c>
      <c r="L126">
        <v>11</v>
      </c>
      <c r="M126">
        <v>1</v>
      </c>
      <c r="N126">
        <v>0</v>
      </c>
      <c r="O126">
        <v>1</v>
      </c>
      <c r="P126">
        <v>20</v>
      </c>
      <c r="Q126">
        <v>1</v>
      </c>
      <c r="R126">
        <v>0</v>
      </c>
      <c r="S126">
        <v>106</v>
      </c>
      <c r="T126">
        <v>11.3</v>
      </c>
      <c r="U126">
        <v>172</v>
      </c>
      <c r="V126" s="19" t="s">
        <v>2864</v>
      </c>
      <c r="W126" s="19" t="s">
        <v>1492</v>
      </c>
      <c r="X126">
        <v>360</v>
      </c>
      <c r="Y126">
        <v>309</v>
      </c>
      <c r="Z126">
        <v>53.8</v>
      </c>
      <c r="AA126">
        <v>30</v>
      </c>
      <c r="AB126">
        <v>23</v>
      </c>
      <c r="AC126">
        <v>13</v>
      </c>
      <c r="AD126">
        <v>44</v>
      </c>
      <c r="AE126" s="19" t="s">
        <v>60</v>
      </c>
    </row>
    <row r="127" spans="1:31" x14ac:dyDescent="0.2">
      <c r="A127">
        <v>124</v>
      </c>
      <c r="B127" s="19" t="s">
        <v>498</v>
      </c>
      <c r="C127">
        <v>35</v>
      </c>
      <c r="D127" s="19" t="s">
        <v>375</v>
      </c>
      <c r="E127" s="19" t="s">
        <v>348</v>
      </c>
      <c r="F127">
        <v>46</v>
      </c>
      <c r="G127">
        <v>4</v>
      </c>
      <c r="H127">
        <v>29</v>
      </c>
      <c r="I127">
        <v>33</v>
      </c>
      <c r="J127">
        <v>1</v>
      </c>
      <c r="K127">
        <v>14</v>
      </c>
      <c r="L127">
        <v>2</v>
      </c>
      <c r="M127">
        <v>2</v>
      </c>
      <c r="N127">
        <v>0</v>
      </c>
      <c r="O127">
        <v>0</v>
      </c>
      <c r="P127">
        <v>18</v>
      </c>
      <c r="Q127">
        <v>11</v>
      </c>
      <c r="R127">
        <v>0</v>
      </c>
      <c r="S127">
        <v>95</v>
      </c>
      <c r="T127">
        <v>4.2</v>
      </c>
      <c r="U127">
        <v>269</v>
      </c>
      <c r="V127" s="19" t="s">
        <v>2325</v>
      </c>
      <c r="W127" s="19" t="s">
        <v>2240</v>
      </c>
      <c r="X127">
        <v>0</v>
      </c>
      <c r="Y127">
        <v>0</v>
      </c>
      <c r="AA127">
        <v>41</v>
      </c>
      <c r="AB127">
        <v>10</v>
      </c>
      <c r="AC127">
        <v>21</v>
      </c>
      <c r="AD127">
        <v>61</v>
      </c>
      <c r="AE127" s="19" t="s">
        <v>60</v>
      </c>
    </row>
    <row r="128" spans="1:31" x14ac:dyDescent="0.2">
      <c r="A128">
        <v>125</v>
      </c>
      <c r="B128" s="19" t="s">
        <v>453</v>
      </c>
      <c r="C128">
        <v>27</v>
      </c>
      <c r="D128" s="19" t="s">
        <v>447</v>
      </c>
      <c r="E128" s="19" t="s">
        <v>322</v>
      </c>
      <c r="F128">
        <v>45</v>
      </c>
      <c r="G128">
        <v>13</v>
      </c>
      <c r="H128">
        <v>20</v>
      </c>
      <c r="I128">
        <v>33</v>
      </c>
      <c r="J128">
        <v>-15</v>
      </c>
      <c r="K128">
        <v>14</v>
      </c>
      <c r="L128">
        <v>10</v>
      </c>
      <c r="M128">
        <v>2</v>
      </c>
      <c r="N128">
        <v>1</v>
      </c>
      <c r="O128">
        <v>0</v>
      </c>
      <c r="P128">
        <v>11</v>
      </c>
      <c r="Q128">
        <v>9</v>
      </c>
      <c r="R128">
        <v>0</v>
      </c>
      <c r="S128">
        <v>86</v>
      </c>
      <c r="T128">
        <v>15.1</v>
      </c>
      <c r="U128">
        <v>189</v>
      </c>
      <c r="V128" s="19" t="s">
        <v>2466</v>
      </c>
      <c r="W128" s="19" t="s">
        <v>1810</v>
      </c>
      <c r="X128">
        <v>422</v>
      </c>
      <c r="Y128">
        <v>496</v>
      </c>
      <c r="Z128">
        <v>46</v>
      </c>
      <c r="AA128">
        <v>75</v>
      </c>
      <c r="AB128">
        <v>42</v>
      </c>
      <c r="AC128">
        <v>22</v>
      </c>
      <c r="AD128">
        <v>41</v>
      </c>
      <c r="AE128" s="19" t="s">
        <v>60</v>
      </c>
    </row>
    <row r="129" spans="1:31" x14ac:dyDescent="0.2">
      <c r="A129">
        <v>126</v>
      </c>
      <c r="B129" s="19" t="s">
        <v>512</v>
      </c>
      <c r="C129">
        <v>26</v>
      </c>
      <c r="D129" s="19" t="s">
        <v>513</v>
      </c>
      <c r="E129" s="19" t="s">
        <v>322</v>
      </c>
      <c r="F129">
        <v>42</v>
      </c>
      <c r="G129">
        <v>11</v>
      </c>
      <c r="H129">
        <v>22</v>
      </c>
      <c r="I129">
        <v>33</v>
      </c>
      <c r="J129">
        <v>-3</v>
      </c>
      <c r="K129">
        <v>12</v>
      </c>
      <c r="L129">
        <v>6</v>
      </c>
      <c r="M129">
        <v>3</v>
      </c>
      <c r="N129">
        <v>2</v>
      </c>
      <c r="O129">
        <v>0</v>
      </c>
      <c r="P129">
        <v>16</v>
      </c>
      <c r="Q129">
        <v>6</v>
      </c>
      <c r="R129">
        <v>0</v>
      </c>
      <c r="S129">
        <v>60</v>
      </c>
      <c r="T129">
        <v>18.3</v>
      </c>
      <c r="U129">
        <v>121</v>
      </c>
      <c r="V129" s="19" t="s">
        <v>1884</v>
      </c>
      <c r="W129" s="19" t="s">
        <v>508</v>
      </c>
      <c r="X129">
        <v>379</v>
      </c>
      <c r="Y129">
        <v>346</v>
      </c>
      <c r="Z129">
        <v>52.3</v>
      </c>
      <c r="AA129">
        <v>23</v>
      </c>
      <c r="AB129">
        <v>7</v>
      </c>
      <c r="AC129">
        <v>22</v>
      </c>
      <c r="AD129">
        <v>58</v>
      </c>
      <c r="AE129" s="19" t="s">
        <v>60</v>
      </c>
    </row>
    <row r="130" spans="1:31" x14ac:dyDescent="0.2">
      <c r="A130">
        <v>127</v>
      </c>
      <c r="B130" s="19" t="s">
        <v>491</v>
      </c>
      <c r="C130">
        <v>26</v>
      </c>
      <c r="D130" s="19" t="s">
        <v>406</v>
      </c>
      <c r="E130" s="19" t="s">
        <v>334</v>
      </c>
      <c r="F130">
        <v>52</v>
      </c>
      <c r="G130">
        <v>18</v>
      </c>
      <c r="H130">
        <v>15</v>
      </c>
      <c r="I130">
        <v>33</v>
      </c>
      <c r="J130">
        <v>-4</v>
      </c>
      <c r="K130">
        <v>26</v>
      </c>
      <c r="L130">
        <v>14</v>
      </c>
      <c r="M130">
        <v>2</v>
      </c>
      <c r="N130">
        <v>2</v>
      </c>
      <c r="O130">
        <v>1</v>
      </c>
      <c r="P130">
        <v>13</v>
      </c>
      <c r="Q130">
        <v>2</v>
      </c>
      <c r="R130">
        <v>0</v>
      </c>
      <c r="S130">
        <v>134</v>
      </c>
      <c r="T130">
        <v>13.4</v>
      </c>
      <c r="U130">
        <v>267</v>
      </c>
      <c r="V130" s="19" t="s">
        <v>2865</v>
      </c>
      <c r="W130" s="19" t="s">
        <v>586</v>
      </c>
      <c r="X130">
        <v>4</v>
      </c>
      <c r="Y130">
        <v>10</v>
      </c>
      <c r="Z130">
        <v>28.6</v>
      </c>
      <c r="AA130">
        <v>27</v>
      </c>
      <c r="AB130">
        <v>95</v>
      </c>
      <c r="AC130">
        <v>13</v>
      </c>
      <c r="AD130">
        <v>53</v>
      </c>
      <c r="AE130" s="19" t="s">
        <v>60</v>
      </c>
    </row>
    <row r="131" spans="1:31" x14ac:dyDescent="0.2">
      <c r="A131">
        <v>128</v>
      </c>
      <c r="B131" s="19" t="s">
        <v>842</v>
      </c>
      <c r="C131">
        <v>26</v>
      </c>
      <c r="D131" s="19" t="s">
        <v>416</v>
      </c>
      <c r="E131" s="19" t="s">
        <v>339</v>
      </c>
      <c r="F131">
        <v>33</v>
      </c>
      <c r="G131">
        <v>13</v>
      </c>
      <c r="H131">
        <v>20</v>
      </c>
      <c r="I131">
        <v>33</v>
      </c>
      <c r="J131">
        <v>-3</v>
      </c>
      <c r="K131">
        <v>34</v>
      </c>
      <c r="L131">
        <v>10</v>
      </c>
      <c r="M131">
        <v>2</v>
      </c>
      <c r="N131">
        <v>1</v>
      </c>
      <c r="O131">
        <v>2</v>
      </c>
      <c r="P131">
        <v>12</v>
      </c>
      <c r="Q131">
        <v>8</v>
      </c>
      <c r="R131">
        <v>0</v>
      </c>
      <c r="S131">
        <v>129</v>
      </c>
      <c r="T131">
        <v>10.1</v>
      </c>
      <c r="U131">
        <v>212</v>
      </c>
      <c r="V131" s="19" t="s">
        <v>2866</v>
      </c>
      <c r="W131" s="19" t="s">
        <v>2025</v>
      </c>
      <c r="X131">
        <v>80</v>
      </c>
      <c r="Y131">
        <v>63</v>
      </c>
      <c r="Z131">
        <v>55.9</v>
      </c>
      <c r="AA131">
        <v>8</v>
      </c>
      <c r="AB131">
        <v>92</v>
      </c>
      <c r="AC131">
        <v>9</v>
      </c>
      <c r="AD131">
        <v>21</v>
      </c>
      <c r="AE131" s="19" t="s">
        <v>60</v>
      </c>
    </row>
    <row r="132" spans="1:31" x14ac:dyDescent="0.2">
      <c r="A132">
        <v>129</v>
      </c>
      <c r="B132" s="19" t="s">
        <v>605</v>
      </c>
      <c r="C132">
        <v>32</v>
      </c>
      <c r="D132" s="19" t="s">
        <v>360</v>
      </c>
      <c r="E132" s="19" t="s">
        <v>322</v>
      </c>
      <c r="F132">
        <v>40</v>
      </c>
      <c r="G132">
        <v>11</v>
      </c>
      <c r="H132">
        <v>22</v>
      </c>
      <c r="I132">
        <v>33</v>
      </c>
      <c r="J132">
        <v>-17</v>
      </c>
      <c r="K132">
        <v>26</v>
      </c>
      <c r="L132">
        <v>10</v>
      </c>
      <c r="M132">
        <v>1</v>
      </c>
      <c r="N132">
        <v>0</v>
      </c>
      <c r="O132">
        <v>1</v>
      </c>
      <c r="P132">
        <v>13</v>
      </c>
      <c r="Q132">
        <v>9</v>
      </c>
      <c r="R132">
        <v>0</v>
      </c>
      <c r="S132">
        <v>75</v>
      </c>
      <c r="T132">
        <v>14.7</v>
      </c>
      <c r="U132">
        <v>173</v>
      </c>
      <c r="V132" s="19" t="s">
        <v>2867</v>
      </c>
      <c r="W132" s="19" t="s">
        <v>1606</v>
      </c>
      <c r="X132">
        <v>377</v>
      </c>
      <c r="Y132">
        <v>288</v>
      </c>
      <c r="Z132">
        <v>56.7</v>
      </c>
      <c r="AA132">
        <v>33</v>
      </c>
      <c r="AB132">
        <v>120</v>
      </c>
      <c r="AC132">
        <v>15</v>
      </c>
      <c r="AD132">
        <v>50</v>
      </c>
      <c r="AE132" s="19" t="s">
        <v>60</v>
      </c>
    </row>
    <row r="133" spans="1:31" x14ac:dyDescent="0.2">
      <c r="A133">
        <v>130</v>
      </c>
      <c r="B133" s="19" t="s">
        <v>558</v>
      </c>
      <c r="C133">
        <v>36</v>
      </c>
      <c r="D133" s="19" t="s">
        <v>436</v>
      </c>
      <c r="E133" s="19" t="s">
        <v>322</v>
      </c>
      <c r="F133">
        <v>52</v>
      </c>
      <c r="G133">
        <v>12</v>
      </c>
      <c r="H133">
        <v>20</v>
      </c>
      <c r="I133">
        <v>32</v>
      </c>
      <c r="J133">
        <v>13</v>
      </c>
      <c r="K133">
        <v>10</v>
      </c>
      <c r="L133">
        <v>10</v>
      </c>
      <c r="M133">
        <v>1</v>
      </c>
      <c r="N133">
        <v>1</v>
      </c>
      <c r="O133">
        <v>2</v>
      </c>
      <c r="P133">
        <v>16</v>
      </c>
      <c r="Q133">
        <v>2</v>
      </c>
      <c r="R133">
        <v>2</v>
      </c>
      <c r="S133">
        <v>126</v>
      </c>
      <c r="T133">
        <v>9.5</v>
      </c>
      <c r="U133">
        <v>223</v>
      </c>
      <c r="V133" s="19" t="s">
        <v>2326</v>
      </c>
      <c r="W133" s="19" t="s">
        <v>554</v>
      </c>
      <c r="X133">
        <v>480</v>
      </c>
      <c r="Y133">
        <v>462</v>
      </c>
      <c r="Z133">
        <v>51</v>
      </c>
      <c r="AA133">
        <v>18</v>
      </c>
      <c r="AB133">
        <v>20</v>
      </c>
      <c r="AC133">
        <v>21</v>
      </c>
      <c r="AD133">
        <v>43</v>
      </c>
      <c r="AE133" s="19" t="s">
        <v>60</v>
      </c>
    </row>
    <row r="134" spans="1:31" x14ac:dyDescent="0.2">
      <c r="A134">
        <v>131</v>
      </c>
      <c r="B134" s="19" t="s">
        <v>633</v>
      </c>
      <c r="C134">
        <v>31</v>
      </c>
      <c r="D134" s="19" t="s">
        <v>370</v>
      </c>
      <c r="E134" s="19" t="s">
        <v>322</v>
      </c>
      <c r="F134">
        <v>54</v>
      </c>
      <c r="G134">
        <v>8</v>
      </c>
      <c r="H134">
        <v>24</v>
      </c>
      <c r="I134">
        <v>32</v>
      </c>
      <c r="J134">
        <v>-1</v>
      </c>
      <c r="K134">
        <v>16</v>
      </c>
      <c r="L134">
        <v>7</v>
      </c>
      <c r="M134">
        <v>1</v>
      </c>
      <c r="N134">
        <v>0</v>
      </c>
      <c r="O134">
        <v>1</v>
      </c>
      <c r="P134">
        <v>18</v>
      </c>
      <c r="Q134">
        <v>6</v>
      </c>
      <c r="R134">
        <v>0</v>
      </c>
      <c r="S134">
        <v>81</v>
      </c>
      <c r="T134">
        <v>9.9</v>
      </c>
      <c r="U134">
        <v>143</v>
      </c>
      <c r="V134" s="19" t="s">
        <v>2467</v>
      </c>
      <c r="W134" s="19" t="s">
        <v>2104</v>
      </c>
      <c r="X134">
        <v>339</v>
      </c>
      <c r="Y134">
        <v>282</v>
      </c>
      <c r="Z134">
        <v>54.6</v>
      </c>
      <c r="AA134">
        <v>41</v>
      </c>
      <c r="AB134">
        <v>31</v>
      </c>
      <c r="AC134">
        <v>15</v>
      </c>
      <c r="AD134">
        <v>49</v>
      </c>
      <c r="AE134" s="19" t="s">
        <v>60</v>
      </c>
    </row>
    <row r="135" spans="1:31" x14ac:dyDescent="0.2">
      <c r="A135">
        <v>132</v>
      </c>
      <c r="B135" s="19" t="s">
        <v>495</v>
      </c>
      <c r="C135">
        <v>26</v>
      </c>
      <c r="D135" s="19" t="s">
        <v>362</v>
      </c>
      <c r="E135" s="19" t="s">
        <v>348</v>
      </c>
      <c r="F135">
        <v>53</v>
      </c>
      <c r="G135">
        <v>9</v>
      </c>
      <c r="H135">
        <v>23</v>
      </c>
      <c r="I135">
        <v>32</v>
      </c>
      <c r="J135">
        <v>5</v>
      </c>
      <c r="K135">
        <v>26</v>
      </c>
      <c r="L135">
        <v>8</v>
      </c>
      <c r="M135">
        <v>1</v>
      </c>
      <c r="N135">
        <v>0</v>
      </c>
      <c r="O135">
        <v>1</v>
      </c>
      <c r="P135">
        <v>18</v>
      </c>
      <c r="Q135">
        <v>5</v>
      </c>
      <c r="R135">
        <v>0</v>
      </c>
      <c r="S135">
        <v>101</v>
      </c>
      <c r="T135">
        <v>8.9</v>
      </c>
      <c r="U135">
        <v>233</v>
      </c>
      <c r="V135" s="19" t="s">
        <v>2468</v>
      </c>
      <c r="W135" s="19" t="s">
        <v>1889</v>
      </c>
      <c r="X135">
        <v>0</v>
      </c>
      <c r="Y135">
        <v>0</v>
      </c>
      <c r="AA135">
        <v>131</v>
      </c>
      <c r="AB135">
        <v>30</v>
      </c>
      <c r="AC135">
        <v>22</v>
      </c>
      <c r="AD135">
        <v>65</v>
      </c>
      <c r="AE135" s="19" t="s">
        <v>60</v>
      </c>
    </row>
    <row r="136" spans="1:31" x14ac:dyDescent="0.2">
      <c r="A136">
        <v>133</v>
      </c>
      <c r="B136" s="19" t="s">
        <v>497</v>
      </c>
      <c r="C136">
        <v>23</v>
      </c>
      <c r="D136" s="19" t="s">
        <v>324</v>
      </c>
      <c r="E136" s="19" t="s">
        <v>339</v>
      </c>
      <c r="F136">
        <v>47</v>
      </c>
      <c r="G136">
        <v>11</v>
      </c>
      <c r="H136">
        <v>21</v>
      </c>
      <c r="I136">
        <v>32</v>
      </c>
      <c r="J136">
        <v>-24</v>
      </c>
      <c r="K136">
        <v>26</v>
      </c>
      <c r="L136">
        <v>8</v>
      </c>
      <c r="M136">
        <v>3</v>
      </c>
      <c r="N136">
        <v>0</v>
      </c>
      <c r="O136">
        <v>1</v>
      </c>
      <c r="P136">
        <v>12</v>
      </c>
      <c r="Q136">
        <v>9</v>
      </c>
      <c r="R136">
        <v>0</v>
      </c>
      <c r="S136">
        <v>121</v>
      </c>
      <c r="T136">
        <v>9.1</v>
      </c>
      <c r="U136">
        <v>223</v>
      </c>
      <c r="V136" s="19" t="s">
        <v>2469</v>
      </c>
      <c r="W136" s="19" t="s">
        <v>1929</v>
      </c>
      <c r="X136">
        <v>0</v>
      </c>
      <c r="Y136">
        <v>11</v>
      </c>
      <c r="Z136">
        <v>0</v>
      </c>
      <c r="AA136">
        <v>33</v>
      </c>
      <c r="AB136">
        <v>37</v>
      </c>
      <c r="AC136">
        <v>12</v>
      </c>
      <c r="AD136">
        <v>47</v>
      </c>
      <c r="AE136" s="19" t="s">
        <v>60</v>
      </c>
    </row>
    <row r="137" spans="1:31" x14ac:dyDescent="0.2">
      <c r="A137">
        <v>134</v>
      </c>
      <c r="B137" s="19" t="s">
        <v>467</v>
      </c>
      <c r="C137">
        <v>34</v>
      </c>
      <c r="D137" s="19" t="s">
        <v>358</v>
      </c>
      <c r="E137" s="19" t="s">
        <v>348</v>
      </c>
      <c r="F137">
        <v>53</v>
      </c>
      <c r="G137">
        <v>8</v>
      </c>
      <c r="H137">
        <v>24</v>
      </c>
      <c r="I137">
        <v>32</v>
      </c>
      <c r="J137">
        <v>2</v>
      </c>
      <c r="K137">
        <v>32</v>
      </c>
      <c r="L137">
        <v>8</v>
      </c>
      <c r="M137">
        <v>0</v>
      </c>
      <c r="N137">
        <v>0</v>
      </c>
      <c r="O137">
        <v>0</v>
      </c>
      <c r="P137">
        <v>21</v>
      </c>
      <c r="Q137">
        <v>3</v>
      </c>
      <c r="R137">
        <v>0</v>
      </c>
      <c r="S137">
        <v>76</v>
      </c>
      <c r="T137">
        <v>10.5</v>
      </c>
      <c r="U137">
        <v>181</v>
      </c>
      <c r="V137" s="19" t="s">
        <v>2470</v>
      </c>
      <c r="W137" s="19" t="s">
        <v>363</v>
      </c>
      <c r="X137">
        <v>0</v>
      </c>
      <c r="Y137">
        <v>0</v>
      </c>
      <c r="AA137">
        <v>45</v>
      </c>
      <c r="AB137">
        <v>65</v>
      </c>
      <c r="AC137">
        <v>11</v>
      </c>
      <c r="AD137">
        <v>81</v>
      </c>
      <c r="AE137" s="19" t="s">
        <v>60</v>
      </c>
    </row>
    <row r="138" spans="1:31" x14ac:dyDescent="0.2">
      <c r="A138">
        <v>135</v>
      </c>
      <c r="B138" s="19" t="s">
        <v>561</v>
      </c>
      <c r="C138">
        <v>23</v>
      </c>
      <c r="D138" s="19" t="s">
        <v>356</v>
      </c>
      <c r="E138" s="19" t="s">
        <v>348</v>
      </c>
      <c r="F138">
        <v>54</v>
      </c>
      <c r="G138">
        <v>11</v>
      </c>
      <c r="H138">
        <v>21</v>
      </c>
      <c r="I138">
        <v>32</v>
      </c>
      <c r="J138">
        <v>14</v>
      </c>
      <c r="K138">
        <v>10</v>
      </c>
      <c r="L138">
        <v>10</v>
      </c>
      <c r="M138">
        <v>0</v>
      </c>
      <c r="N138">
        <v>1</v>
      </c>
      <c r="O138">
        <v>1</v>
      </c>
      <c r="P138">
        <v>12</v>
      </c>
      <c r="Q138">
        <v>9</v>
      </c>
      <c r="R138">
        <v>0</v>
      </c>
      <c r="S138">
        <v>116</v>
      </c>
      <c r="T138">
        <v>9.5</v>
      </c>
      <c r="U138">
        <v>246</v>
      </c>
      <c r="V138" s="19" t="s">
        <v>2471</v>
      </c>
      <c r="W138" s="19" t="s">
        <v>2472</v>
      </c>
      <c r="X138">
        <v>0</v>
      </c>
      <c r="Y138">
        <v>0</v>
      </c>
      <c r="AA138">
        <v>112</v>
      </c>
      <c r="AB138">
        <v>18</v>
      </c>
      <c r="AC138">
        <v>30</v>
      </c>
      <c r="AD138">
        <v>68</v>
      </c>
      <c r="AE138" s="19" t="s">
        <v>60</v>
      </c>
    </row>
    <row r="139" spans="1:31" x14ac:dyDescent="0.2">
      <c r="A139">
        <v>136</v>
      </c>
      <c r="B139" s="19" t="s">
        <v>456</v>
      </c>
      <c r="C139">
        <v>32</v>
      </c>
      <c r="D139" s="19" t="s">
        <v>396</v>
      </c>
      <c r="E139" s="19" t="s">
        <v>348</v>
      </c>
      <c r="F139">
        <v>35</v>
      </c>
      <c r="G139">
        <v>6</v>
      </c>
      <c r="H139">
        <v>26</v>
      </c>
      <c r="I139">
        <v>32</v>
      </c>
      <c r="J139">
        <v>10</v>
      </c>
      <c r="K139">
        <v>14</v>
      </c>
      <c r="L139">
        <v>2</v>
      </c>
      <c r="M139">
        <v>4</v>
      </c>
      <c r="N139">
        <v>0</v>
      </c>
      <c r="O139">
        <v>1</v>
      </c>
      <c r="P139">
        <v>20</v>
      </c>
      <c r="Q139">
        <v>6</v>
      </c>
      <c r="R139">
        <v>0</v>
      </c>
      <c r="S139">
        <v>73</v>
      </c>
      <c r="T139">
        <v>8.1999999999999993</v>
      </c>
      <c r="U139">
        <v>178</v>
      </c>
      <c r="V139" s="19" t="s">
        <v>2064</v>
      </c>
      <c r="W139" s="19" t="s">
        <v>994</v>
      </c>
      <c r="X139">
        <v>0</v>
      </c>
      <c r="Y139">
        <v>0</v>
      </c>
      <c r="AA139">
        <v>42</v>
      </c>
      <c r="AB139">
        <v>13</v>
      </c>
      <c r="AC139">
        <v>11</v>
      </c>
      <c r="AD139">
        <v>37</v>
      </c>
      <c r="AE139" s="19" t="s">
        <v>60</v>
      </c>
    </row>
    <row r="140" spans="1:31" x14ac:dyDescent="0.2">
      <c r="A140">
        <v>137</v>
      </c>
      <c r="B140" s="19" t="s">
        <v>466</v>
      </c>
      <c r="C140">
        <v>29</v>
      </c>
      <c r="D140" s="19" t="s">
        <v>948</v>
      </c>
      <c r="E140" s="19" t="s">
        <v>348</v>
      </c>
      <c r="F140">
        <v>51</v>
      </c>
      <c r="G140">
        <v>11</v>
      </c>
      <c r="H140">
        <v>21</v>
      </c>
      <c r="I140">
        <v>32</v>
      </c>
      <c r="J140">
        <v>3</v>
      </c>
      <c r="K140">
        <v>55</v>
      </c>
      <c r="L140">
        <v>7</v>
      </c>
      <c r="M140">
        <v>4</v>
      </c>
      <c r="N140">
        <v>0</v>
      </c>
      <c r="O140">
        <v>0</v>
      </c>
      <c r="P140">
        <v>15</v>
      </c>
      <c r="Q140">
        <v>6</v>
      </c>
      <c r="R140">
        <v>0</v>
      </c>
      <c r="S140">
        <v>121</v>
      </c>
      <c r="T140">
        <v>9.1</v>
      </c>
      <c r="U140">
        <v>272</v>
      </c>
      <c r="V140" s="19" t="s">
        <v>2473</v>
      </c>
      <c r="W140" s="19" t="s">
        <v>2267</v>
      </c>
      <c r="X140">
        <v>0</v>
      </c>
      <c r="Y140">
        <v>0</v>
      </c>
      <c r="AA140">
        <v>98</v>
      </c>
      <c r="AB140">
        <v>30</v>
      </c>
      <c r="AC140">
        <v>19</v>
      </c>
      <c r="AD140">
        <v>69</v>
      </c>
      <c r="AE140" s="19" t="s">
        <v>60</v>
      </c>
    </row>
    <row r="141" spans="1:31" x14ac:dyDescent="0.2">
      <c r="A141">
        <v>137</v>
      </c>
      <c r="B141" s="19" t="s">
        <v>466</v>
      </c>
      <c r="C141">
        <v>29</v>
      </c>
      <c r="D141" s="19" t="s">
        <v>436</v>
      </c>
      <c r="E141" s="19" t="s">
        <v>348</v>
      </c>
      <c r="F141">
        <v>48</v>
      </c>
      <c r="G141">
        <v>10</v>
      </c>
      <c r="H141">
        <v>20</v>
      </c>
      <c r="I141">
        <v>30</v>
      </c>
      <c r="J141">
        <v>3</v>
      </c>
      <c r="K141">
        <v>53</v>
      </c>
      <c r="L141">
        <v>6</v>
      </c>
      <c r="M141">
        <v>4</v>
      </c>
      <c r="N141">
        <v>0</v>
      </c>
      <c r="O141">
        <v>0</v>
      </c>
      <c r="P141">
        <v>14</v>
      </c>
      <c r="Q141">
        <v>6</v>
      </c>
      <c r="R141">
        <v>0</v>
      </c>
      <c r="S141">
        <v>112</v>
      </c>
      <c r="T141">
        <v>8.9</v>
      </c>
      <c r="U141">
        <v>259</v>
      </c>
      <c r="V141" s="19" t="s">
        <v>2087</v>
      </c>
      <c r="W141" s="19" t="s">
        <v>2001</v>
      </c>
      <c r="X141">
        <v>0</v>
      </c>
      <c r="Y141">
        <v>0</v>
      </c>
      <c r="AA141">
        <v>90</v>
      </c>
      <c r="AB141">
        <v>29</v>
      </c>
      <c r="AC141">
        <v>18</v>
      </c>
      <c r="AD141">
        <v>66</v>
      </c>
      <c r="AE141" s="19" t="s">
        <v>60</v>
      </c>
    </row>
    <row r="142" spans="1:31" x14ac:dyDescent="0.2">
      <c r="A142">
        <v>137</v>
      </c>
      <c r="B142" s="19" t="s">
        <v>466</v>
      </c>
      <c r="C142">
        <v>29</v>
      </c>
      <c r="D142" s="19" t="s">
        <v>343</v>
      </c>
      <c r="E142" s="19" t="s">
        <v>348</v>
      </c>
      <c r="F142">
        <v>3</v>
      </c>
      <c r="G142">
        <v>1</v>
      </c>
      <c r="H142">
        <v>1</v>
      </c>
      <c r="I142">
        <v>2</v>
      </c>
      <c r="J142">
        <v>0</v>
      </c>
      <c r="K142">
        <v>2</v>
      </c>
      <c r="L142">
        <v>1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9</v>
      </c>
      <c r="T142">
        <v>11.1</v>
      </c>
      <c r="U142">
        <v>13</v>
      </c>
      <c r="V142" s="19" t="s">
        <v>2474</v>
      </c>
      <c r="W142" s="19" t="s">
        <v>1822</v>
      </c>
      <c r="X142">
        <v>0</v>
      </c>
      <c r="Y142">
        <v>0</v>
      </c>
      <c r="AA142">
        <v>8</v>
      </c>
      <c r="AB142">
        <v>1</v>
      </c>
      <c r="AC142">
        <v>1</v>
      </c>
      <c r="AD142">
        <v>3</v>
      </c>
      <c r="AE142" s="19" t="s">
        <v>60</v>
      </c>
    </row>
    <row r="143" spans="1:31" x14ac:dyDescent="0.2">
      <c r="A143">
        <v>138</v>
      </c>
      <c r="B143" s="19" t="s">
        <v>492</v>
      </c>
      <c r="C143">
        <v>22</v>
      </c>
      <c r="D143" s="19" t="s">
        <v>396</v>
      </c>
      <c r="E143" s="19" t="s">
        <v>334</v>
      </c>
      <c r="F143">
        <v>52</v>
      </c>
      <c r="G143">
        <v>16</v>
      </c>
      <c r="H143">
        <v>15</v>
      </c>
      <c r="I143">
        <v>31</v>
      </c>
      <c r="J143">
        <v>2</v>
      </c>
      <c r="K143">
        <v>30</v>
      </c>
      <c r="L143">
        <v>13</v>
      </c>
      <c r="M143">
        <v>3</v>
      </c>
      <c r="N143">
        <v>0</v>
      </c>
      <c r="O143">
        <v>2</v>
      </c>
      <c r="P143">
        <v>10</v>
      </c>
      <c r="Q143">
        <v>5</v>
      </c>
      <c r="R143">
        <v>0</v>
      </c>
      <c r="S143">
        <v>110</v>
      </c>
      <c r="T143">
        <v>14.5</v>
      </c>
      <c r="U143">
        <v>204</v>
      </c>
      <c r="V143" s="19" t="s">
        <v>2268</v>
      </c>
      <c r="W143" s="19" t="s">
        <v>568</v>
      </c>
      <c r="X143">
        <v>0</v>
      </c>
      <c r="Y143">
        <v>8</v>
      </c>
      <c r="Z143">
        <v>0</v>
      </c>
      <c r="AA143">
        <v>17</v>
      </c>
      <c r="AB143">
        <v>10</v>
      </c>
      <c r="AC143">
        <v>21</v>
      </c>
      <c r="AD143">
        <v>54</v>
      </c>
      <c r="AE143" s="19" t="s">
        <v>60</v>
      </c>
    </row>
    <row r="144" spans="1:31" x14ac:dyDescent="0.2">
      <c r="A144">
        <v>139</v>
      </c>
      <c r="B144" s="19" t="s">
        <v>581</v>
      </c>
      <c r="C144">
        <v>29</v>
      </c>
      <c r="D144" s="19" t="s">
        <v>531</v>
      </c>
      <c r="E144" s="19" t="s">
        <v>348</v>
      </c>
      <c r="F144">
        <v>51</v>
      </c>
      <c r="G144">
        <v>7</v>
      </c>
      <c r="H144">
        <v>24</v>
      </c>
      <c r="I144">
        <v>31</v>
      </c>
      <c r="J144">
        <v>-19</v>
      </c>
      <c r="K144">
        <v>32</v>
      </c>
      <c r="L144">
        <v>6</v>
      </c>
      <c r="M144">
        <v>1</v>
      </c>
      <c r="N144">
        <v>0</v>
      </c>
      <c r="O144">
        <v>2</v>
      </c>
      <c r="P144">
        <v>8</v>
      </c>
      <c r="Q144">
        <v>16</v>
      </c>
      <c r="R144">
        <v>0</v>
      </c>
      <c r="S144">
        <v>110</v>
      </c>
      <c r="T144">
        <v>6.4</v>
      </c>
      <c r="U144">
        <v>240</v>
      </c>
      <c r="V144" s="19" t="s">
        <v>2475</v>
      </c>
      <c r="W144" s="19" t="s">
        <v>2241</v>
      </c>
      <c r="X144">
        <v>0</v>
      </c>
      <c r="Y144">
        <v>0</v>
      </c>
      <c r="AA144">
        <v>57</v>
      </c>
      <c r="AB144">
        <v>16</v>
      </c>
      <c r="AC144">
        <v>16</v>
      </c>
      <c r="AD144">
        <v>64</v>
      </c>
      <c r="AE144" s="19" t="s">
        <v>60</v>
      </c>
    </row>
    <row r="145" spans="1:31" x14ac:dyDescent="0.2">
      <c r="A145">
        <v>140</v>
      </c>
      <c r="B145" s="19" t="s">
        <v>542</v>
      </c>
      <c r="C145">
        <v>28</v>
      </c>
      <c r="D145" s="19" t="s">
        <v>447</v>
      </c>
      <c r="E145" s="19" t="s">
        <v>348</v>
      </c>
      <c r="F145">
        <v>53</v>
      </c>
      <c r="G145">
        <v>5</v>
      </c>
      <c r="H145">
        <v>26</v>
      </c>
      <c r="I145">
        <v>31</v>
      </c>
      <c r="J145">
        <v>1</v>
      </c>
      <c r="K145">
        <v>14</v>
      </c>
      <c r="L145">
        <v>2</v>
      </c>
      <c r="M145">
        <v>3</v>
      </c>
      <c r="N145">
        <v>0</v>
      </c>
      <c r="O145">
        <v>1</v>
      </c>
      <c r="P145">
        <v>18</v>
      </c>
      <c r="Q145">
        <v>7</v>
      </c>
      <c r="R145">
        <v>1</v>
      </c>
      <c r="S145">
        <v>74</v>
      </c>
      <c r="T145">
        <v>6.8</v>
      </c>
      <c r="U145">
        <v>184</v>
      </c>
      <c r="V145" s="19" t="s">
        <v>2476</v>
      </c>
      <c r="W145" s="19" t="s">
        <v>1931</v>
      </c>
      <c r="X145">
        <v>0</v>
      </c>
      <c r="Y145">
        <v>0</v>
      </c>
      <c r="AA145">
        <v>73</v>
      </c>
      <c r="AB145">
        <v>81</v>
      </c>
      <c r="AC145">
        <v>23</v>
      </c>
      <c r="AD145">
        <v>60</v>
      </c>
      <c r="AE145" s="19" t="s">
        <v>60</v>
      </c>
    </row>
    <row r="146" spans="1:31" x14ac:dyDescent="0.2">
      <c r="A146">
        <v>141</v>
      </c>
      <c r="B146" s="19" t="s">
        <v>709</v>
      </c>
      <c r="C146">
        <v>35</v>
      </c>
      <c r="D146" s="19" t="s">
        <v>460</v>
      </c>
      <c r="E146" s="19" t="s">
        <v>348</v>
      </c>
      <c r="F146">
        <v>40</v>
      </c>
      <c r="G146">
        <v>9</v>
      </c>
      <c r="H146">
        <v>22</v>
      </c>
      <c r="I146">
        <v>31</v>
      </c>
      <c r="J146">
        <v>-10</v>
      </c>
      <c r="K146">
        <v>22</v>
      </c>
      <c r="L146">
        <v>5</v>
      </c>
      <c r="M146">
        <v>4</v>
      </c>
      <c r="N146">
        <v>0</v>
      </c>
      <c r="O146">
        <v>2</v>
      </c>
      <c r="P146">
        <v>13</v>
      </c>
      <c r="Q146">
        <v>9</v>
      </c>
      <c r="R146">
        <v>0</v>
      </c>
      <c r="S146">
        <v>107</v>
      </c>
      <c r="T146">
        <v>8.4</v>
      </c>
      <c r="U146">
        <v>241</v>
      </c>
      <c r="V146" s="19" t="s">
        <v>2477</v>
      </c>
      <c r="W146" s="19" t="s">
        <v>1938</v>
      </c>
      <c r="X146">
        <v>0</v>
      </c>
      <c r="Y146">
        <v>0</v>
      </c>
      <c r="AA146">
        <v>61</v>
      </c>
      <c r="AB146">
        <v>12</v>
      </c>
      <c r="AC146">
        <v>18</v>
      </c>
      <c r="AD146">
        <v>47</v>
      </c>
      <c r="AE146" s="19" t="s">
        <v>60</v>
      </c>
    </row>
    <row r="147" spans="1:31" x14ac:dyDescent="0.2">
      <c r="A147">
        <v>142</v>
      </c>
      <c r="B147" s="19" t="s">
        <v>486</v>
      </c>
      <c r="C147">
        <v>37</v>
      </c>
      <c r="D147" s="19" t="s">
        <v>370</v>
      </c>
      <c r="E147" s="19" t="s">
        <v>334</v>
      </c>
      <c r="F147">
        <v>39</v>
      </c>
      <c r="G147">
        <v>8</v>
      </c>
      <c r="H147">
        <v>23</v>
      </c>
      <c r="I147">
        <v>31</v>
      </c>
      <c r="J147">
        <v>1</v>
      </c>
      <c r="K147">
        <v>10</v>
      </c>
      <c r="L147">
        <v>6</v>
      </c>
      <c r="M147">
        <v>2</v>
      </c>
      <c r="N147">
        <v>0</v>
      </c>
      <c r="O147">
        <v>2</v>
      </c>
      <c r="P147">
        <v>14</v>
      </c>
      <c r="Q147">
        <v>9</v>
      </c>
      <c r="R147">
        <v>0</v>
      </c>
      <c r="S147">
        <v>97</v>
      </c>
      <c r="T147">
        <v>8.1999999999999993</v>
      </c>
      <c r="U147">
        <v>180</v>
      </c>
      <c r="V147" s="19" t="s">
        <v>2478</v>
      </c>
      <c r="W147" s="19" t="s">
        <v>1967</v>
      </c>
      <c r="X147">
        <v>0</v>
      </c>
      <c r="Y147">
        <v>1</v>
      </c>
      <c r="Z147">
        <v>0</v>
      </c>
      <c r="AA147">
        <v>17</v>
      </c>
      <c r="AB147">
        <v>9</v>
      </c>
      <c r="AC147">
        <v>3</v>
      </c>
      <c r="AD147">
        <v>39</v>
      </c>
      <c r="AE147" s="19" t="s">
        <v>60</v>
      </c>
    </row>
    <row r="148" spans="1:31" x14ac:dyDescent="0.2">
      <c r="A148">
        <v>143</v>
      </c>
      <c r="B148" s="19" t="s">
        <v>572</v>
      </c>
      <c r="C148">
        <v>24</v>
      </c>
      <c r="D148" s="19" t="s">
        <v>428</v>
      </c>
      <c r="E148" s="19" t="s">
        <v>334</v>
      </c>
      <c r="F148">
        <v>52</v>
      </c>
      <c r="G148">
        <v>12</v>
      </c>
      <c r="H148">
        <v>19</v>
      </c>
      <c r="I148">
        <v>31</v>
      </c>
      <c r="J148">
        <v>2</v>
      </c>
      <c r="K148">
        <v>10</v>
      </c>
      <c r="L148">
        <v>10</v>
      </c>
      <c r="M148">
        <v>2</v>
      </c>
      <c r="N148">
        <v>0</v>
      </c>
      <c r="O148">
        <v>4</v>
      </c>
      <c r="P148">
        <v>19</v>
      </c>
      <c r="Q148">
        <v>0</v>
      </c>
      <c r="R148">
        <v>0</v>
      </c>
      <c r="S148">
        <v>104</v>
      </c>
      <c r="T148">
        <v>11.5</v>
      </c>
      <c r="U148">
        <v>216</v>
      </c>
      <c r="V148" s="19" t="s">
        <v>2479</v>
      </c>
      <c r="W148" s="19" t="s">
        <v>1726</v>
      </c>
      <c r="X148">
        <v>3</v>
      </c>
      <c r="Y148">
        <v>9</v>
      </c>
      <c r="Z148">
        <v>25</v>
      </c>
      <c r="AA148">
        <v>20</v>
      </c>
      <c r="AB148">
        <v>25</v>
      </c>
      <c r="AC148">
        <v>10</v>
      </c>
      <c r="AD148">
        <v>52</v>
      </c>
      <c r="AE148" s="19" t="s">
        <v>60</v>
      </c>
    </row>
    <row r="149" spans="1:31" x14ac:dyDescent="0.2">
      <c r="A149">
        <v>144</v>
      </c>
      <c r="B149" s="19" t="s">
        <v>662</v>
      </c>
      <c r="C149">
        <v>25</v>
      </c>
      <c r="D149" s="19" t="s">
        <v>428</v>
      </c>
      <c r="E149" s="19" t="s">
        <v>348</v>
      </c>
      <c r="F149">
        <v>50</v>
      </c>
      <c r="G149">
        <v>8</v>
      </c>
      <c r="H149">
        <v>23</v>
      </c>
      <c r="I149">
        <v>31</v>
      </c>
      <c r="J149">
        <v>27</v>
      </c>
      <c r="K149">
        <v>16</v>
      </c>
      <c r="L149">
        <v>7</v>
      </c>
      <c r="M149">
        <v>0</v>
      </c>
      <c r="N149">
        <v>1</v>
      </c>
      <c r="O149">
        <v>2</v>
      </c>
      <c r="P149">
        <v>21</v>
      </c>
      <c r="Q149">
        <v>0</v>
      </c>
      <c r="R149">
        <v>2</v>
      </c>
      <c r="S149">
        <v>69</v>
      </c>
      <c r="T149">
        <v>11.6</v>
      </c>
      <c r="U149">
        <v>154</v>
      </c>
      <c r="V149" s="19" t="s">
        <v>2480</v>
      </c>
      <c r="W149" s="19" t="s">
        <v>2143</v>
      </c>
      <c r="X149">
        <v>0</v>
      </c>
      <c r="Y149">
        <v>0</v>
      </c>
      <c r="AA149">
        <v>104</v>
      </c>
      <c r="AB149">
        <v>82</v>
      </c>
      <c r="AC149">
        <v>9</v>
      </c>
      <c r="AD149">
        <v>45</v>
      </c>
      <c r="AE149" s="19" t="s">
        <v>60</v>
      </c>
    </row>
    <row r="150" spans="1:31" x14ac:dyDescent="0.2">
      <c r="A150">
        <v>145</v>
      </c>
      <c r="B150" s="19" t="s">
        <v>626</v>
      </c>
      <c r="C150">
        <v>31</v>
      </c>
      <c r="D150" s="19" t="s">
        <v>531</v>
      </c>
      <c r="E150" s="19" t="s">
        <v>322</v>
      </c>
      <c r="F150">
        <v>50</v>
      </c>
      <c r="G150">
        <v>13</v>
      </c>
      <c r="H150">
        <v>18</v>
      </c>
      <c r="I150">
        <v>31</v>
      </c>
      <c r="J150">
        <v>-14</v>
      </c>
      <c r="K150">
        <v>12</v>
      </c>
      <c r="L150">
        <v>7</v>
      </c>
      <c r="M150">
        <v>6</v>
      </c>
      <c r="N150">
        <v>0</v>
      </c>
      <c r="O150">
        <v>1</v>
      </c>
      <c r="P150">
        <v>11</v>
      </c>
      <c r="Q150">
        <v>6</v>
      </c>
      <c r="R150">
        <v>1</v>
      </c>
      <c r="S150">
        <v>68</v>
      </c>
      <c r="T150">
        <v>19.100000000000001</v>
      </c>
      <c r="U150">
        <v>109</v>
      </c>
      <c r="V150" s="19" t="s">
        <v>2481</v>
      </c>
      <c r="W150" s="19" t="s">
        <v>2019</v>
      </c>
      <c r="X150">
        <v>491</v>
      </c>
      <c r="Y150">
        <v>446</v>
      </c>
      <c r="Z150">
        <v>52.4</v>
      </c>
      <c r="AA150">
        <v>39</v>
      </c>
      <c r="AB150">
        <v>16</v>
      </c>
      <c r="AC150">
        <v>20</v>
      </c>
      <c r="AD150">
        <v>42</v>
      </c>
      <c r="AE150" s="19" t="s">
        <v>60</v>
      </c>
    </row>
    <row r="151" spans="1:31" x14ac:dyDescent="0.2">
      <c r="A151">
        <v>146</v>
      </c>
      <c r="B151" s="19" t="s">
        <v>476</v>
      </c>
      <c r="C151">
        <v>25</v>
      </c>
      <c r="D151" s="19" t="s">
        <v>380</v>
      </c>
      <c r="E151" s="19" t="s">
        <v>339</v>
      </c>
      <c r="F151">
        <v>52</v>
      </c>
      <c r="G151">
        <v>17</v>
      </c>
      <c r="H151">
        <v>14</v>
      </c>
      <c r="I151">
        <v>31</v>
      </c>
      <c r="J151">
        <v>-4</v>
      </c>
      <c r="K151">
        <v>55</v>
      </c>
      <c r="L151">
        <v>10</v>
      </c>
      <c r="M151">
        <v>7</v>
      </c>
      <c r="N151">
        <v>0</v>
      </c>
      <c r="O151">
        <v>1</v>
      </c>
      <c r="P151">
        <v>13</v>
      </c>
      <c r="Q151">
        <v>1</v>
      </c>
      <c r="R151">
        <v>0</v>
      </c>
      <c r="S151">
        <v>101</v>
      </c>
      <c r="T151">
        <v>16.8</v>
      </c>
      <c r="U151">
        <v>173</v>
      </c>
      <c r="V151" s="19" t="s">
        <v>1885</v>
      </c>
      <c r="W151" s="19" t="s">
        <v>1743</v>
      </c>
      <c r="X151">
        <v>5</v>
      </c>
      <c r="Y151">
        <v>17</v>
      </c>
      <c r="Z151">
        <v>22.7</v>
      </c>
      <c r="AA151">
        <v>23</v>
      </c>
      <c r="AB151">
        <v>87</v>
      </c>
      <c r="AC151">
        <v>8</v>
      </c>
      <c r="AD151">
        <v>37</v>
      </c>
      <c r="AE151" s="19" t="s">
        <v>60</v>
      </c>
    </row>
    <row r="152" spans="1:31" x14ac:dyDescent="0.2">
      <c r="A152">
        <v>147</v>
      </c>
      <c r="B152" s="19" t="s">
        <v>493</v>
      </c>
      <c r="C152">
        <v>30</v>
      </c>
      <c r="D152" s="19" t="s">
        <v>329</v>
      </c>
      <c r="E152" s="19" t="s">
        <v>339</v>
      </c>
      <c r="F152">
        <v>47</v>
      </c>
      <c r="G152">
        <v>10</v>
      </c>
      <c r="H152">
        <v>20</v>
      </c>
      <c r="I152">
        <v>30</v>
      </c>
      <c r="J152">
        <v>-18</v>
      </c>
      <c r="K152">
        <v>12</v>
      </c>
      <c r="L152">
        <v>7</v>
      </c>
      <c r="M152">
        <v>3</v>
      </c>
      <c r="N152">
        <v>0</v>
      </c>
      <c r="O152">
        <v>1</v>
      </c>
      <c r="P152">
        <v>13</v>
      </c>
      <c r="Q152">
        <v>7</v>
      </c>
      <c r="R152">
        <v>0</v>
      </c>
      <c r="S152">
        <v>66</v>
      </c>
      <c r="T152">
        <v>15.2</v>
      </c>
      <c r="U152">
        <v>145</v>
      </c>
      <c r="V152" s="19" t="s">
        <v>2482</v>
      </c>
      <c r="W152" s="19" t="s">
        <v>1609</v>
      </c>
      <c r="X152">
        <v>2</v>
      </c>
      <c r="Y152">
        <v>6</v>
      </c>
      <c r="Z152">
        <v>25</v>
      </c>
      <c r="AA152">
        <v>24</v>
      </c>
      <c r="AB152">
        <v>15</v>
      </c>
      <c r="AC152">
        <v>20</v>
      </c>
      <c r="AD152">
        <v>40</v>
      </c>
      <c r="AE152" s="19" t="s">
        <v>60</v>
      </c>
    </row>
    <row r="153" spans="1:31" x14ac:dyDescent="0.2">
      <c r="A153">
        <v>148</v>
      </c>
      <c r="B153" s="19" t="s">
        <v>499</v>
      </c>
      <c r="C153">
        <v>21</v>
      </c>
      <c r="D153" s="19" t="s">
        <v>365</v>
      </c>
      <c r="E153" s="19" t="s">
        <v>334</v>
      </c>
      <c r="F153">
        <v>47</v>
      </c>
      <c r="G153">
        <v>10</v>
      </c>
      <c r="H153">
        <v>20</v>
      </c>
      <c r="I153">
        <v>30</v>
      </c>
      <c r="J153">
        <v>4</v>
      </c>
      <c r="K153">
        <v>26</v>
      </c>
      <c r="L153">
        <v>9</v>
      </c>
      <c r="M153">
        <v>1</v>
      </c>
      <c r="N153">
        <v>0</v>
      </c>
      <c r="O153">
        <v>2</v>
      </c>
      <c r="P153">
        <v>12</v>
      </c>
      <c r="Q153">
        <v>8</v>
      </c>
      <c r="R153">
        <v>0</v>
      </c>
      <c r="S153">
        <v>93</v>
      </c>
      <c r="T153">
        <v>10.8</v>
      </c>
      <c r="U153">
        <v>206</v>
      </c>
      <c r="V153" s="19" t="s">
        <v>2483</v>
      </c>
      <c r="W153" s="19" t="s">
        <v>1784</v>
      </c>
      <c r="X153">
        <v>6</v>
      </c>
      <c r="Y153">
        <v>4</v>
      </c>
      <c r="Z153">
        <v>60</v>
      </c>
      <c r="AA153">
        <v>16</v>
      </c>
      <c r="AB153">
        <v>64</v>
      </c>
      <c r="AC153">
        <v>10</v>
      </c>
      <c r="AD153">
        <v>49</v>
      </c>
      <c r="AE153" s="19" t="s">
        <v>60</v>
      </c>
    </row>
    <row r="154" spans="1:31" x14ac:dyDescent="0.2">
      <c r="A154">
        <v>149</v>
      </c>
      <c r="B154" s="19" t="s">
        <v>567</v>
      </c>
      <c r="C154">
        <v>25</v>
      </c>
      <c r="D154" s="19" t="s">
        <v>365</v>
      </c>
      <c r="E154" s="19" t="s">
        <v>322</v>
      </c>
      <c r="F154">
        <v>54</v>
      </c>
      <c r="G154">
        <v>8</v>
      </c>
      <c r="H154">
        <v>22</v>
      </c>
      <c r="I154">
        <v>30</v>
      </c>
      <c r="J154">
        <v>6</v>
      </c>
      <c r="K154">
        <v>16</v>
      </c>
      <c r="L154">
        <v>7</v>
      </c>
      <c r="M154">
        <v>1</v>
      </c>
      <c r="N154">
        <v>0</v>
      </c>
      <c r="O154">
        <v>3</v>
      </c>
      <c r="P154">
        <v>21</v>
      </c>
      <c r="Q154">
        <v>1</v>
      </c>
      <c r="R154">
        <v>0</v>
      </c>
      <c r="S154">
        <v>105</v>
      </c>
      <c r="T154">
        <v>7.6</v>
      </c>
      <c r="U154">
        <v>180</v>
      </c>
      <c r="V154" s="19" t="s">
        <v>2484</v>
      </c>
      <c r="W154" s="19" t="s">
        <v>2194</v>
      </c>
      <c r="X154">
        <v>210</v>
      </c>
      <c r="Y154">
        <v>278</v>
      </c>
      <c r="Z154">
        <v>43</v>
      </c>
      <c r="AA154">
        <v>30</v>
      </c>
      <c r="AB154">
        <v>28</v>
      </c>
      <c r="AC154">
        <v>20</v>
      </c>
      <c r="AD154">
        <v>40</v>
      </c>
      <c r="AE154" s="19" t="s">
        <v>60</v>
      </c>
    </row>
    <row r="155" spans="1:31" x14ac:dyDescent="0.2">
      <c r="A155">
        <v>150</v>
      </c>
      <c r="B155" s="19" t="s">
        <v>471</v>
      </c>
      <c r="C155">
        <v>23</v>
      </c>
      <c r="D155" s="19" t="s">
        <v>336</v>
      </c>
      <c r="E155" s="19" t="s">
        <v>322</v>
      </c>
      <c r="F155">
        <v>49</v>
      </c>
      <c r="G155">
        <v>13</v>
      </c>
      <c r="H155">
        <v>17</v>
      </c>
      <c r="I155">
        <v>30</v>
      </c>
      <c r="J155">
        <v>-9</v>
      </c>
      <c r="K155">
        <v>36</v>
      </c>
      <c r="L155">
        <v>9</v>
      </c>
      <c r="M155">
        <v>4</v>
      </c>
      <c r="N155">
        <v>0</v>
      </c>
      <c r="O155">
        <v>2</v>
      </c>
      <c r="P155">
        <v>15</v>
      </c>
      <c r="Q155">
        <v>2</v>
      </c>
      <c r="R155">
        <v>0</v>
      </c>
      <c r="S155">
        <v>103</v>
      </c>
      <c r="T155">
        <v>12.6</v>
      </c>
      <c r="U155">
        <v>225</v>
      </c>
      <c r="V155" s="19" t="s">
        <v>2138</v>
      </c>
      <c r="W155" s="19" t="s">
        <v>1620</v>
      </c>
      <c r="X155">
        <v>313</v>
      </c>
      <c r="Y155">
        <v>313</v>
      </c>
      <c r="Z155">
        <v>50</v>
      </c>
      <c r="AA155">
        <v>27</v>
      </c>
      <c r="AB155">
        <v>54</v>
      </c>
      <c r="AC155">
        <v>11</v>
      </c>
      <c r="AD155">
        <v>36</v>
      </c>
      <c r="AE155" s="19" t="s">
        <v>60</v>
      </c>
    </row>
    <row r="156" spans="1:31" x14ac:dyDescent="0.2">
      <c r="A156">
        <v>151</v>
      </c>
      <c r="B156" s="19" t="s">
        <v>683</v>
      </c>
      <c r="C156">
        <v>29</v>
      </c>
      <c r="D156" s="19" t="s">
        <v>351</v>
      </c>
      <c r="E156" s="19" t="s">
        <v>322</v>
      </c>
      <c r="F156">
        <v>37</v>
      </c>
      <c r="G156">
        <v>11</v>
      </c>
      <c r="H156">
        <v>19</v>
      </c>
      <c r="I156">
        <v>30</v>
      </c>
      <c r="J156">
        <v>4</v>
      </c>
      <c r="K156">
        <v>8</v>
      </c>
      <c r="L156">
        <v>8</v>
      </c>
      <c r="M156">
        <v>3</v>
      </c>
      <c r="N156">
        <v>0</v>
      </c>
      <c r="O156">
        <v>0</v>
      </c>
      <c r="P156">
        <v>15</v>
      </c>
      <c r="Q156">
        <v>4</v>
      </c>
      <c r="R156">
        <v>0</v>
      </c>
      <c r="S156">
        <v>82</v>
      </c>
      <c r="T156">
        <v>13.4</v>
      </c>
      <c r="U156">
        <v>143</v>
      </c>
      <c r="V156" s="19" t="s">
        <v>1912</v>
      </c>
      <c r="W156" s="19" t="s">
        <v>441</v>
      </c>
      <c r="X156">
        <v>173</v>
      </c>
      <c r="Y156">
        <v>204</v>
      </c>
      <c r="Z156">
        <v>45.9</v>
      </c>
      <c r="AA156">
        <v>13</v>
      </c>
      <c r="AB156">
        <v>4</v>
      </c>
      <c r="AC156">
        <v>5</v>
      </c>
      <c r="AD156">
        <v>22</v>
      </c>
      <c r="AE156" s="19" t="s">
        <v>60</v>
      </c>
    </row>
    <row r="157" spans="1:31" x14ac:dyDescent="0.2">
      <c r="A157">
        <v>152</v>
      </c>
      <c r="B157" s="19" t="s">
        <v>461</v>
      </c>
      <c r="C157">
        <v>31</v>
      </c>
      <c r="D157" s="19" t="s">
        <v>358</v>
      </c>
      <c r="E157" s="19" t="s">
        <v>348</v>
      </c>
      <c r="F157">
        <v>52</v>
      </c>
      <c r="G157">
        <v>6</v>
      </c>
      <c r="H157">
        <v>24</v>
      </c>
      <c r="I157">
        <v>30</v>
      </c>
      <c r="J157">
        <v>-14</v>
      </c>
      <c r="K157">
        <v>12</v>
      </c>
      <c r="L157">
        <v>6</v>
      </c>
      <c r="M157">
        <v>0</v>
      </c>
      <c r="N157">
        <v>0</v>
      </c>
      <c r="O157">
        <v>2</v>
      </c>
      <c r="P157">
        <v>19</v>
      </c>
      <c r="Q157">
        <v>5</v>
      </c>
      <c r="R157">
        <v>0</v>
      </c>
      <c r="S157">
        <v>103</v>
      </c>
      <c r="T157">
        <v>5.8</v>
      </c>
      <c r="U157">
        <v>240</v>
      </c>
      <c r="V157" s="19" t="s">
        <v>2485</v>
      </c>
      <c r="W157" s="19" t="s">
        <v>2239</v>
      </c>
      <c r="X157">
        <v>0</v>
      </c>
      <c r="Y157">
        <v>0</v>
      </c>
      <c r="AA157">
        <v>71</v>
      </c>
      <c r="AB157">
        <v>21</v>
      </c>
      <c r="AC157">
        <v>16</v>
      </c>
      <c r="AD157">
        <v>66</v>
      </c>
      <c r="AE157" s="19" t="s">
        <v>60</v>
      </c>
    </row>
    <row r="158" spans="1:31" x14ac:dyDescent="0.2">
      <c r="A158">
        <v>153</v>
      </c>
      <c r="B158" s="19" t="s">
        <v>628</v>
      </c>
      <c r="C158">
        <v>26</v>
      </c>
      <c r="D158" s="19" t="s">
        <v>531</v>
      </c>
      <c r="E158" s="19" t="s">
        <v>334</v>
      </c>
      <c r="F158">
        <v>51</v>
      </c>
      <c r="G158">
        <v>10</v>
      </c>
      <c r="H158">
        <v>20</v>
      </c>
      <c r="I158">
        <v>30</v>
      </c>
      <c r="J158">
        <v>-11</v>
      </c>
      <c r="K158">
        <v>18</v>
      </c>
      <c r="L158">
        <v>5</v>
      </c>
      <c r="M158">
        <v>5</v>
      </c>
      <c r="N158">
        <v>0</v>
      </c>
      <c r="O158">
        <v>0</v>
      </c>
      <c r="P158">
        <v>14</v>
      </c>
      <c r="Q158">
        <v>6</v>
      </c>
      <c r="R158">
        <v>0</v>
      </c>
      <c r="S158">
        <v>90</v>
      </c>
      <c r="T158">
        <v>11.1</v>
      </c>
      <c r="U158">
        <v>196</v>
      </c>
      <c r="V158" s="19" t="s">
        <v>2486</v>
      </c>
      <c r="W158" s="19" t="s">
        <v>1949</v>
      </c>
      <c r="X158">
        <v>0</v>
      </c>
      <c r="Y158">
        <v>0</v>
      </c>
      <c r="AA158">
        <v>56</v>
      </c>
      <c r="AB158">
        <v>132</v>
      </c>
      <c r="AC158">
        <v>10</v>
      </c>
      <c r="AD158">
        <v>34</v>
      </c>
      <c r="AE158" s="19" t="s">
        <v>60</v>
      </c>
    </row>
    <row r="159" spans="1:31" x14ac:dyDescent="0.2">
      <c r="A159">
        <v>154</v>
      </c>
      <c r="B159" s="19" t="s">
        <v>669</v>
      </c>
      <c r="C159">
        <v>38</v>
      </c>
      <c r="D159" s="19" t="s">
        <v>356</v>
      </c>
      <c r="E159" s="19" t="s">
        <v>339</v>
      </c>
      <c r="F159">
        <v>34</v>
      </c>
      <c r="G159">
        <v>8</v>
      </c>
      <c r="H159">
        <v>22</v>
      </c>
      <c r="I159">
        <v>30</v>
      </c>
      <c r="J159">
        <v>-6</v>
      </c>
      <c r="K159">
        <v>8</v>
      </c>
      <c r="L159">
        <v>5</v>
      </c>
      <c r="M159">
        <v>3</v>
      </c>
      <c r="N159">
        <v>0</v>
      </c>
      <c r="O159">
        <v>2</v>
      </c>
      <c r="P159">
        <v>14</v>
      </c>
      <c r="Q159">
        <v>8</v>
      </c>
      <c r="R159">
        <v>0</v>
      </c>
      <c r="S159">
        <v>65</v>
      </c>
      <c r="T159">
        <v>12.3</v>
      </c>
      <c r="U159">
        <v>146</v>
      </c>
      <c r="V159" s="19" t="s">
        <v>2487</v>
      </c>
      <c r="W159" s="19" t="s">
        <v>1954</v>
      </c>
      <c r="X159">
        <v>15</v>
      </c>
      <c r="Y159">
        <v>19</v>
      </c>
      <c r="Z159">
        <v>44.1</v>
      </c>
      <c r="AA159">
        <v>16</v>
      </c>
      <c r="AB159">
        <v>11</v>
      </c>
      <c r="AC159">
        <v>8</v>
      </c>
      <c r="AD159">
        <v>33</v>
      </c>
      <c r="AE159" s="19" t="s">
        <v>60</v>
      </c>
    </row>
    <row r="160" spans="1:31" x14ac:dyDescent="0.2">
      <c r="A160">
        <v>155</v>
      </c>
      <c r="B160" s="19" t="s">
        <v>516</v>
      </c>
      <c r="C160">
        <v>30</v>
      </c>
      <c r="D160" s="19" t="s">
        <v>460</v>
      </c>
      <c r="E160" s="19" t="s">
        <v>339</v>
      </c>
      <c r="F160">
        <v>52</v>
      </c>
      <c r="G160">
        <v>12</v>
      </c>
      <c r="H160">
        <v>17</v>
      </c>
      <c r="I160">
        <v>29</v>
      </c>
      <c r="J160">
        <v>-9</v>
      </c>
      <c r="K160">
        <v>14</v>
      </c>
      <c r="L160">
        <v>8</v>
      </c>
      <c r="M160">
        <v>4</v>
      </c>
      <c r="N160">
        <v>0</v>
      </c>
      <c r="O160">
        <v>1</v>
      </c>
      <c r="P160">
        <v>13</v>
      </c>
      <c r="Q160">
        <v>4</v>
      </c>
      <c r="R160">
        <v>0</v>
      </c>
      <c r="S160">
        <v>92</v>
      </c>
      <c r="T160">
        <v>13</v>
      </c>
      <c r="U160">
        <v>209</v>
      </c>
      <c r="V160" s="19" t="s">
        <v>2488</v>
      </c>
      <c r="W160" s="19" t="s">
        <v>1743</v>
      </c>
      <c r="X160">
        <v>6</v>
      </c>
      <c r="Y160">
        <v>17</v>
      </c>
      <c r="Z160">
        <v>26.1</v>
      </c>
      <c r="AA160">
        <v>16</v>
      </c>
      <c r="AB160">
        <v>30</v>
      </c>
      <c r="AC160">
        <v>7</v>
      </c>
      <c r="AD160">
        <v>38</v>
      </c>
      <c r="AE160" s="19" t="s">
        <v>60</v>
      </c>
    </row>
    <row r="161" spans="1:31" x14ac:dyDescent="0.2">
      <c r="A161">
        <v>156</v>
      </c>
      <c r="B161" s="19" t="s">
        <v>638</v>
      </c>
      <c r="C161">
        <v>23</v>
      </c>
      <c r="D161" s="19" t="s">
        <v>324</v>
      </c>
      <c r="E161" s="19" t="s">
        <v>325</v>
      </c>
      <c r="F161">
        <v>50</v>
      </c>
      <c r="G161">
        <v>14</v>
      </c>
      <c r="H161">
        <v>15</v>
      </c>
      <c r="I161">
        <v>29</v>
      </c>
      <c r="J161">
        <v>6</v>
      </c>
      <c r="K161">
        <v>4</v>
      </c>
      <c r="L161">
        <v>13</v>
      </c>
      <c r="M161">
        <v>0</v>
      </c>
      <c r="N161">
        <v>1</v>
      </c>
      <c r="O161">
        <v>1</v>
      </c>
      <c r="P161">
        <v>13</v>
      </c>
      <c r="Q161">
        <v>1</v>
      </c>
      <c r="R161">
        <v>1</v>
      </c>
      <c r="S161">
        <v>58</v>
      </c>
      <c r="T161">
        <v>24.1</v>
      </c>
      <c r="U161">
        <v>118</v>
      </c>
      <c r="V161" s="19" t="s">
        <v>2489</v>
      </c>
      <c r="W161" s="19" t="s">
        <v>1620</v>
      </c>
      <c r="X161">
        <v>3</v>
      </c>
      <c r="Y161">
        <v>11</v>
      </c>
      <c r="Z161">
        <v>21.4</v>
      </c>
      <c r="AA161">
        <v>33</v>
      </c>
      <c r="AB161">
        <v>55</v>
      </c>
      <c r="AC161">
        <v>18</v>
      </c>
      <c r="AD161">
        <v>32</v>
      </c>
      <c r="AE161" s="19" t="s">
        <v>60</v>
      </c>
    </row>
    <row r="162" spans="1:31" x14ac:dyDescent="0.2">
      <c r="A162">
        <v>157</v>
      </c>
      <c r="B162" s="19" t="s">
        <v>524</v>
      </c>
      <c r="C162">
        <v>24</v>
      </c>
      <c r="D162" s="19" t="s">
        <v>360</v>
      </c>
      <c r="E162" s="19" t="s">
        <v>339</v>
      </c>
      <c r="F162">
        <v>54</v>
      </c>
      <c r="G162">
        <v>10</v>
      </c>
      <c r="H162">
        <v>19</v>
      </c>
      <c r="I162">
        <v>29</v>
      </c>
      <c r="J162">
        <v>-15</v>
      </c>
      <c r="K162">
        <v>14</v>
      </c>
      <c r="L162">
        <v>8</v>
      </c>
      <c r="M162">
        <v>2</v>
      </c>
      <c r="N162">
        <v>0</v>
      </c>
      <c r="O162">
        <v>2</v>
      </c>
      <c r="P162">
        <v>16</v>
      </c>
      <c r="Q162">
        <v>3</v>
      </c>
      <c r="R162">
        <v>0</v>
      </c>
      <c r="S162">
        <v>100</v>
      </c>
      <c r="T162">
        <v>10</v>
      </c>
      <c r="U162">
        <v>210</v>
      </c>
      <c r="V162" s="19" t="s">
        <v>2868</v>
      </c>
      <c r="W162" s="19" t="s">
        <v>2194</v>
      </c>
      <c r="X162">
        <v>7</v>
      </c>
      <c r="Y162">
        <v>21</v>
      </c>
      <c r="Z162">
        <v>25</v>
      </c>
      <c r="AA162">
        <v>34</v>
      </c>
      <c r="AB162">
        <v>75</v>
      </c>
      <c r="AC162">
        <v>15</v>
      </c>
      <c r="AD162">
        <v>29</v>
      </c>
      <c r="AE162" s="19" t="s">
        <v>60</v>
      </c>
    </row>
    <row r="163" spans="1:31" x14ac:dyDescent="0.2">
      <c r="A163">
        <v>158</v>
      </c>
      <c r="B163" s="19" t="s">
        <v>546</v>
      </c>
      <c r="C163">
        <v>35</v>
      </c>
      <c r="D163" s="19" t="s">
        <v>383</v>
      </c>
      <c r="E163" s="19" t="s">
        <v>339</v>
      </c>
      <c r="F163">
        <v>53</v>
      </c>
      <c r="G163">
        <v>11</v>
      </c>
      <c r="H163">
        <v>18</v>
      </c>
      <c r="I163">
        <v>29</v>
      </c>
      <c r="J163">
        <v>5</v>
      </c>
      <c r="K163">
        <v>29</v>
      </c>
      <c r="L163">
        <v>8</v>
      </c>
      <c r="M163">
        <v>3</v>
      </c>
      <c r="N163">
        <v>0</v>
      </c>
      <c r="O163">
        <v>3</v>
      </c>
      <c r="P163">
        <v>16</v>
      </c>
      <c r="Q163">
        <v>2</v>
      </c>
      <c r="R163">
        <v>0</v>
      </c>
      <c r="S163">
        <v>133</v>
      </c>
      <c r="T163">
        <v>8.3000000000000007</v>
      </c>
      <c r="U163">
        <v>244</v>
      </c>
      <c r="V163" s="19" t="s">
        <v>2869</v>
      </c>
      <c r="W163" s="19" t="s">
        <v>1617</v>
      </c>
      <c r="X163">
        <v>55</v>
      </c>
      <c r="Y163">
        <v>45</v>
      </c>
      <c r="Z163">
        <v>55</v>
      </c>
      <c r="AA163">
        <v>27</v>
      </c>
      <c r="AB163">
        <v>47</v>
      </c>
      <c r="AC163">
        <v>9</v>
      </c>
      <c r="AD163">
        <v>27</v>
      </c>
      <c r="AE163" s="19" t="s">
        <v>60</v>
      </c>
    </row>
    <row r="164" spans="1:31" x14ac:dyDescent="0.2">
      <c r="A164">
        <v>159</v>
      </c>
      <c r="B164" s="19" t="s">
        <v>597</v>
      </c>
      <c r="C164">
        <v>29</v>
      </c>
      <c r="D164" s="19" t="s">
        <v>358</v>
      </c>
      <c r="E164" s="19" t="s">
        <v>325</v>
      </c>
      <c r="F164">
        <v>52</v>
      </c>
      <c r="G164">
        <v>17</v>
      </c>
      <c r="H164">
        <v>12</v>
      </c>
      <c r="I164">
        <v>29</v>
      </c>
      <c r="J164">
        <v>-1</v>
      </c>
      <c r="K164">
        <v>40</v>
      </c>
      <c r="L164">
        <v>15</v>
      </c>
      <c r="M164">
        <v>2</v>
      </c>
      <c r="N164">
        <v>0</v>
      </c>
      <c r="O164">
        <v>3</v>
      </c>
      <c r="P164">
        <v>10</v>
      </c>
      <c r="Q164">
        <v>2</v>
      </c>
      <c r="R164">
        <v>0</v>
      </c>
      <c r="S164">
        <v>107</v>
      </c>
      <c r="T164">
        <v>15.9</v>
      </c>
      <c r="U164">
        <v>191</v>
      </c>
      <c r="V164" s="19" t="s">
        <v>2490</v>
      </c>
      <c r="W164" s="19" t="s">
        <v>1138</v>
      </c>
      <c r="X164">
        <v>6</v>
      </c>
      <c r="Y164">
        <v>3</v>
      </c>
      <c r="Z164">
        <v>66.7</v>
      </c>
      <c r="AA164">
        <v>22</v>
      </c>
      <c r="AB164">
        <v>116</v>
      </c>
      <c r="AC164">
        <v>11</v>
      </c>
      <c r="AD164">
        <v>23</v>
      </c>
      <c r="AE164" s="19" t="s">
        <v>60</v>
      </c>
    </row>
    <row r="165" spans="1:31" x14ac:dyDescent="0.2">
      <c r="A165">
        <v>160</v>
      </c>
      <c r="B165" s="19" t="s">
        <v>458</v>
      </c>
      <c r="C165">
        <v>24</v>
      </c>
      <c r="D165" s="19" t="s">
        <v>398</v>
      </c>
      <c r="E165" s="19" t="s">
        <v>322</v>
      </c>
      <c r="F165">
        <v>53</v>
      </c>
      <c r="G165">
        <v>13</v>
      </c>
      <c r="H165">
        <v>16</v>
      </c>
      <c r="I165">
        <v>29</v>
      </c>
      <c r="J165">
        <v>1</v>
      </c>
      <c r="K165">
        <v>31</v>
      </c>
      <c r="L165">
        <v>8</v>
      </c>
      <c r="M165">
        <v>3</v>
      </c>
      <c r="N165">
        <v>2</v>
      </c>
      <c r="O165">
        <v>1</v>
      </c>
      <c r="P165">
        <v>13</v>
      </c>
      <c r="Q165">
        <v>3</v>
      </c>
      <c r="R165">
        <v>0</v>
      </c>
      <c r="S165">
        <v>102</v>
      </c>
      <c r="T165">
        <v>12.7</v>
      </c>
      <c r="U165">
        <v>207</v>
      </c>
      <c r="V165" s="19" t="s">
        <v>2491</v>
      </c>
      <c r="W165" s="19" t="s">
        <v>1808</v>
      </c>
      <c r="X165">
        <v>101</v>
      </c>
      <c r="Y165">
        <v>152</v>
      </c>
      <c r="Z165">
        <v>39.9</v>
      </c>
      <c r="AA165">
        <v>34</v>
      </c>
      <c r="AB165">
        <v>23</v>
      </c>
      <c r="AC165">
        <v>19</v>
      </c>
      <c r="AD165">
        <v>45</v>
      </c>
      <c r="AE165" s="19" t="s">
        <v>60</v>
      </c>
    </row>
    <row r="166" spans="1:31" x14ac:dyDescent="0.2">
      <c r="A166">
        <v>161</v>
      </c>
      <c r="B166" s="19" t="s">
        <v>598</v>
      </c>
      <c r="C166">
        <v>30</v>
      </c>
      <c r="D166" s="19" t="s">
        <v>321</v>
      </c>
      <c r="E166" s="19" t="s">
        <v>334</v>
      </c>
      <c r="F166">
        <v>42</v>
      </c>
      <c r="G166">
        <v>12</v>
      </c>
      <c r="H166">
        <v>17</v>
      </c>
      <c r="I166">
        <v>29</v>
      </c>
      <c r="J166">
        <v>3</v>
      </c>
      <c r="K166">
        <v>8</v>
      </c>
      <c r="L166">
        <v>11</v>
      </c>
      <c r="M166">
        <v>1</v>
      </c>
      <c r="N166">
        <v>0</v>
      </c>
      <c r="O166">
        <v>1</v>
      </c>
      <c r="P166">
        <v>15</v>
      </c>
      <c r="Q166">
        <v>2</v>
      </c>
      <c r="R166">
        <v>0</v>
      </c>
      <c r="S166">
        <v>102</v>
      </c>
      <c r="T166">
        <v>11.8</v>
      </c>
      <c r="U166">
        <v>198</v>
      </c>
      <c r="V166" s="19" t="s">
        <v>1887</v>
      </c>
      <c r="W166" s="19" t="s">
        <v>1492</v>
      </c>
      <c r="X166">
        <v>2</v>
      </c>
      <c r="Y166">
        <v>1</v>
      </c>
      <c r="Z166">
        <v>66.7</v>
      </c>
      <c r="AA166">
        <v>14</v>
      </c>
      <c r="AB166">
        <v>35</v>
      </c>
      <c r="AC166">
        <v>14</v>
      </c>
      <c r="AD166">
        <v>34</v>
      </c>
      <c r="AE166" s="19" t="s">
        <v>60</v>
      </c>
    </row>
    <row r="167" spans="1:31" x14ac:dyDescent="0.2">
      <c r="A167">
        <v>162</v>
      </c>
      <c r="B167" s="19" t="s">
        <v>577</v>
      </c>
      <c r="C167">
        <v>30</v>
      </c>
      <c r="D167" s="19" t="s">
        <v>513</v>
      </c>
      <c r="E167" s="19" t="s">
        <v>339</v>
      </c>
      <c r="F167">
        <v>53</v>
      </c>
      <c r="G167">
        <v>9</v>
      </c>
      <c r="H167">
        <v>19</v>
      </c>
      <c r="I167">
        <v>28</v>
      </c>
      <c r="J167">
        <v>-14</v>
      </c>
      <c r="K167">
        <v>18</v>
      </c>
      <c r="L167">
        <v>7</v>
      </c>
      <c r="M167">
        <v>2</v>
      </c>
      <c r="N167">
        <v>0</v>
      </c>
      <c r="O167">
        <v>1</v>
      </c>
      <c r="P167">
        <v>11</v>
      </c>
      <c r="Q167">
        <v>8</v>
      </c>
      <c r="R167">
        <v>0</v>
      </c>
      <c r="S167">
        <v>92</v>
      </c>
      <c r="T167">
        <v>9.8000000000000007</v>
      </c>
      <c r="U167">
        <v>186</v>
      </c>
      <c r="V167" s="19" t="s">
        <v>2492</v>
      </c>
      <c r="W167" s="19" t="s">
        <v>2033</v>
      </c>
      <c r="X167">
        <v>31</v>
      </c>
      <c r="Y167">
        <v>46</v>
      </c>
      <c r="Z167">
        <v>40.299999999999997</v>
      </c>
      <c r="AA167">
        <v>23</v>
      </c>
      <c r="AB167">
        <v>24</v>
      </c>
      <c r="AC167">
        <v>18</v>
      </c>
      <c r="AD167">
        <v>45</v>
      </c>
      <c r="AE167" s="19" t="s">
        <v>60</v>
      </c>
    </row>
    <row r="168" spans="1:31" x14ac:dyDescent="0.2">
      <c r="A168">
        <v>163</v>
      </c>
      <c r="B168" s="19" t="s">
        <v>477</v>
      </c>
      <c r="C168">
        <v>23</v>
      </c>
      <c r="D168" s="19" t="s">
        <v>419</v>
      </c>
      <c r="E168" s="19" t="s">
        <v>322</v>
      </c>
      <c r="F168">
        <v>50</v>
      </c>
      <c r="G168">
        <v>9</v>
      </c>
      <c r="H168">
        <v>19</v>
      </c>
      <c r="I168">
        <v>28</v>
      </c>
      <c r="J168">
        <v>-4</v>
      </c>
      <c r="K168">
        <v>24</v>
      </c>
      <c r="L168">
        <v>6</v>
      </c>
      <c r="M168">
        <v>3</v>
      </c>
      <c r="N168">
        <v>0</v>
      </c>
      <c r="O168">
        <v>2</v>
      </c>
      <c r="P168">
        <v>13</v>
      </c>
      <c r="Q168">
        <v>5</v>
      </c>
      <c r="R168">
        <v>1</v>
      </c>
      <c r="S168">
        <v>106</v>
      </c>
      <c r="T168">
        <v>8.5</v>
      </c>
      <c r="U168">
        <v>218</v>
      </c>
      <c r="V168" s="19" t="s">
        <v>2493</v>
      </c>
      <c r="W168" s="19" t="s">
        <v>994</v>
      </c>
      <c r="X168">
        <v>297</v>
      </c>
      <c r="Y168">
        <v>429</v>
      </c>
      <c r="Z168">
        <v>40.9</v>
      </c>
      <c r="AA168">
        <v>28</v>
      </c>
      <c r="AB168">
        <v>36</v>
      </c>
      <c r="AC168">
        <v>23</v>
      </c>
      <c r="AD168">
        <v>54</v>
      </c>
      <c r="AE168" s="19" t="s">
        <v>60</v>
      </c>
    </row>
    <row r="169" spans="1:31" x14ac:dyDescent="0.2">
      <c r="A169">
        <v>164</v>
      </c>
      <c r="B169" s="19" t="s">
        <v>533</v>
      </c>
      <c r="C169">
        <v>23</v>
      </c>
      <c r="D169" s="19" t="s">
        <v>436</v>
      </c>
      <c r="E169" s="19" t="s">
        <v>334</v>
      </c>
      <c r="F169">
        <v>51</v>
      </c>
      <c r="G169">
        <v>14</v>
      </c>
      <c r="H169">
        <v>14</v>
      </c>
      <c r="I169">
        <v>28</v>
      </c>
      <c r="J169">
        <v>-20</v>
      </c>
      <c r="K169">
        <v>16</v>
      </c>
      <c r="L169">
        <v>8</v>
      </c>
      <c r="M169">
        <v>6</v>
      </c>
      <c r="N169">
        <v>0</v>
      </c>
      <c r="O169">
        <v>3</v>
      </c>
      <c r="P169">
        <v>11</v>
      </c>
      <c r="Q169">
        <v>3</v>
      </c>
      <c r="R169">
        <v>0</v>
      </c>
      <c r="S169">
        <v>119</v>
      </c>
      <c r="T169">
        <v>11.8</v>
      </c>
      <c r="U169">
        <v>244</v>
      </c>
      <c r="V169" s="19" t="s">
        <v>2327</v>
      </c>
      <c r="W169" s="19" t="s">
        <v>568</v>
      </c>
      <c r="X169">
        <v>44</v>
      </c>
      <c r="Y169">
        <v>72</v>
      </c>
      <c r="Z169">
        <v>37.9</v>
      </c>
      <c r="AA169">
        <v>17</v>
      </c>
      <c r="AB169">
        <v>11</v>
      </c>
      <c r="AC169">
        <v>11</v>
      </c>
      <c r="AD169">
        <v>35</v>
      </c>
      <c r="AE169" s="19" t="s">
        <v>60</v>
      </c>
    </row>
    <row r="170" spans="1:31" x14ac:dyDescent="0.2">
      <c r="A170">
        <v>165</v>
      </c>
      <c r="B170" s="19" t="s">
        <v>677</v>
      </c>
      <c r="C170">
        <v>30</v>
      </c>
      <c r="D170" s="19" t="s">
        <v>358</v>
      </c>
      <c r="E170" s="19" t="s">
        <v>339</v>
      </c>
      <c r="F170">
        <v>51</v>
      </c>
      <c r="G170">
        <v>8</v>
      </c>
      <c r="H170">
        <v>20</v>
      </c>
      <c r="I170">
        <v>28</v>
      </c>
      <c r="J170">
        <v>-16</v>
      </c>
      <c r="K170">
        <v>32</v>
      </c>
      <c r="L170">
        <v>7</v>
      </c>
      <c r="M170">
        <v>1</v>
      </c>
      <c r="N170">
        <v>0</v>
      </c>
      <c r="O170">
        <v>3</v>
      </c>
      <c r="P170">
        <v>16</v>
      </c>
      <c r="Q170">
        <v>4</v>
      </c>
      <c r="R170">
        <v>0</v>
      </c>
      <c r="S170">
        <v>82</v>
      </c>
      <c r="T170">
        <v>9.8000000000000007</v>
      </c>
      <c r="U170">
        <v>151</v>
      </c>
      <c r="V170" s="19" t="s">
        <v>2494</v>
      </c>
      <c r="W170" s="19" t="s">
        <v>742</v>
      </c>
      <c r="X170">
        <v>104</v>
      </c>
      <c r="Y170">
        <v>101</v>
      </c>
      <c r="Z170">
        <v>50.7</v>
      </c>
      <c r="AA170">
        <v>22</v>
      </c>
      <c r="AB170">
        <v>26</v>
      </c>
      <c r="AC170">
        <v>12</v>
      </c>
      <c r="AD170">
        <v>63</v>
      </c>
      <c r="AE170" s="19" t="s">
        <v>60</v>
      </c>
    </row>
    <row r="171" spans="1:31" x14ac:dyDescent="0.2">
      <c r="A171">
        <v>166</v>
      </c>
      <c r="B171" s="19" t="s">
        <v>400</v>
      </c>
      <c r="C171">
        <v>27</v>
      </c>
      <c r="D171" s="19" t="s">
        <v>360</v>
      </c>
      <c r="E171" s="19" t="s">
        <v>348</v>
      </c>
      <c r="F171">
        <v>30</v>
      </c>
      <c r="G171">
        <v>4</v>
      </c>
      <c r="H171">
        <v>24</v>
      </c>
      <c r="I171">
        <v>28</v>
      </c>
      <c r="J171">
        <v>4</v>
      </c>
      <c r="K171">
        <v>12</v>
      </c>
      <c r="L171">
        <v>2</v>
      </c>
      <c r="M171">
        <v>2</v>
      </c>
      <c r="N171">
        <v>0</v>
      </c>
      <c r="O171">
        <v>1</v>
      </c>
      <c r="P171">
        <v>16</v>
      </c>
      <c r="Q171">
        <v>7</v>
      </c>
      <c r="R171">
        <v>1</v>
      </c>
      <c r="S171">
        <v>56</v>
      </c>
      <c r="T171">
        <v>7.1</v>
      </c>
      <c r="U171">
        <v>159</v>
      </c>
      <c r="V171" s="19" t="s">
        <v>1819</v>
      </c>
      <c r="W171" s="19" t="s">
        <v>1769</v>
      </c>
      <c r="X171">
        <v>0</v>
      </c>
      <c r="Y171">
        <v>0</v>
      </c>
      <c r="AA171">
        <v>45</v>
      </c>
      <c r="AB171">
        <v>15</v>
      </c>
      <c r="AC171">
        <v>20</v>
      </c>
      <c r="AD171">
        <v>37</v>
      </c>
      <c r="AE171" s="19" t="s">
        <v>60</v>
      </c>
    </row>
    <row r="172" spans="1:31" x14ac:dyDescent="0.2">
      <c r="A172">
        <v>167</v>
      </c>
      <c r="B172" s="19" t="s">
        <v>457</v>
      </c>
      <c r="C172">
        <v>34</v>
      </c>
      <c r="D172" s="19" t="s">
        <v>336</v>
      </c>
      <c r="E172" s="19" t="s">
        <v>339</v>
      </c>
      <c r="F172">
        <v>47</v>
      </c>
      <c r="G172">
        <v>17</v>
      </c>
      <c r="H172">
        <v>11</v>
      </c>
      <c r="I172">
        <v>28</v>
      </c>
      <c r="J172">
        <v>-6</v>
      </c>
      <c r="K172">
        <v>20</v>
      </c>
      <c r="L172">
        <v>10</v>
      </c>
      <c r="M172">
        <v>7</v>
      </c>
      <c r="N172">
        <v>0</v>
      </c>
      <c r="O172">
        <v>2</v>
      </c>
      <c r="P172">
        <v>7</v>
      </c>
      <c r="Q172">
        <v>4</v>
      </c>
      <c r="R172">
        <v>0</v>
      </c>
      <c r="S172">
        <v>90</v>
      </c>
      <c r="T172">
        <v>18.899999999999999</v>
      </c>
      <c r="U172">
        <v>188</v>
      </c>
      <c r="V172" s="19" t="s">
        <v>2495</v>
      </c>
      <c r="W172" s="19" t="s">
        <v>1661</v>
      </c>
      <c r="X172">
        <v>13</v>
      </c>
      <c r="Y172">
        <v>21</v>
      </c>
      <c r="Z172">
        <v>38.200000000000003</v>
      </c>
      <c r="AA172">
        <v>17</v>
      </c>
      <c r="AB172">
        <v>44</v>
      </c>
      <c r="AC172">
        <v>11</v>
      </c>
      <c r="AD172">
        <v>43</v>
      </c>
      <c r="AE172" s="19" t="s">
        <v>60</v>
      </c>
    </row>
    <row r="173" spans="1:31" x14ac:dyDescent="0.2">
      <c r="A173">
        <v>168</v>
      </c>
      <c r="B173" s="19" t="s">
        <v>619</v>
      </c>
      <c r="C173">
        <v>28</v>
      </c>
      <c r="D173" s="19" t="s">
        <v>375</v>
      </c>
      <c r="E173" s="19" t="s">
        <v>322</v>
      </c>
      <c r="F173">
        <v>51</v>
      </c>
      <c r="G173">
        <v>9</v>
      </c>
      <c r="H173">
        <v>19</v>
      </c>
      <c r="I173">
        <v>28</v>
      </c>
      <c r="J173">
        <v>6</v>
      </c>
      <c r="K173">
        <v>20</v>
      </c>
      <c r="L173">
        <v>6</v>
      </c>
      <c r="M173">
        <v>3</v>
      </c>
      <c r="N173">
        <v>0</v>
      </c>
      <c r="O173">
        <v>1</v>
      </c>
      <c r="P173">
        <v>17</v>
      </c>
      <c r="Q173">
        <v>2</v>
      </c>
      <c r="R173">
        <v>0</v>
      </c>
      <c r="S173">
        <v>77</v>
      </c>
      <c r="T173">
        <v>11.7</v>
      </c>
      <c r="U173">
        <v>148</v>
      </c>
      <c r="V173" s="19" t="s">
        <v>2328</v>
      </c>
      <c r="W173" s="19" t="s">
        <v>1619</v>
      </c>
      <c r="X173">
        <v>82</v>
      </c>
      <c r="Y173">
        <v>119</v>
      </c>
      <c r="Z173">
        <v>40.799999999999997</v>
      </c>
      <c r="AA173">
        <v>20</v>
      </c>
      <c r="AB173">
        <v>9</v>
      </c>
      <c r="AC173">
        <v>21</v>
      </c>
      <c r="AD173">
        <v>33</v>
      </c>
      <c r="AE173" s="19" t="s">
        <v>60</v>
      </c>
    </row>
    <row r="174" spans="1:31" x14ac:dyDescent="0.2">
      <c r="A174">
        <v>169</v>
      </c>
      <c r="B174" s="19" t="s">
        <v>726</v>
      </c>
      <c r="C174">
        <v>34</v>
      </c>
      <c r="D174" s="19" t="s">
        <v>356</v>
      </c>
      <c r="E174" s="19" t="s">
        <v>334</v>
      </c>
      <c r="F174">
        <v>47</v>
      </c>
      <c r="G174">
        <v>13</v>
      </c>
      <c r="H174">
        <v>15</v>
      </c>
      <c r="I174">
        <v>28</v>
      </c>
      <c r="J174">
        <v>-6</v>
      </c>
      <c r="K174">
        <v>8</v>
      </c>
      <c r="L174">
        <v>9</v>
      </c>
      <c r="M174">
        <v>4</v>
      </c>
      <c r="N174">
        <v>0</v>
      </c>
      <c r="O174">
        <v>2</v>
      </c>
      <c r="P174">
        <v>9</v>
      </c>
      <c r="Q174">
        <v>6</v>
      </c>
      <c r="R174">
        <v>0</v>
      </c>
      <c r="S174">
        <v>94</v>
      </c>
      <c r="T174">
        <v>13.8</v>
      </c>
      <c r="U174">
        <v>180</v>
      </c>
      <c r="V174" s="19" t="s">
        <v>2496</v>
      </c>
      <c r="W174" s="19" t="s">
        <v>1569</v>
      </c>
      <c r="X174">
        <v>5</v>
      </c>
      <c r="Y174">
        <v>4</v>
      </c>
      <c r="Z174">
        <v>55.6</v>
      </c>
      <c r="AA174">
        <v>20</v>
      </c>
      <c r="AB174">
        <v>36</v>
      </c>
      <c r="AC174">
        <v>9</v>
      </c>
      <c r="AD174">
        <v>36</v>
      </c>
      <c r="AE174" s="19" t="s">
        <v>60</v>
      </c>
    </row>
    <row r="175" spans="1:31" x14ac:dyDescent="0.2">
      <c r="A175">
        <v>170</v>
      </c>
      <c r="B175" s="19" t="s">
        <v>612</v>
      </c>
      <c r="C175">
        <v>29</v>
      </c>
      <c r="D175" s="19" t="s">
        <v>447</v>
      </c>
      <c r="E175" s="19" t="s">
        <v>339</v>
      </c>
      <c r="F175">
        <v>52</v>
      </c>
      <c r="G175">
        <v>13</v>
      </c>
      <c r="H175">
        <v>14</v>
      </c>
      <c r="I175">
        <v>27</v>
      </c>
      <c r="J175">
        <v>-12</v>
      </c>
      <c r="K175">
        <v>6</v>
      </c>
      <c r="L175">
        <v>2</v>
      </c>
      <c r="M175">
        <v>11</v>
      </c>
      <c r="N175">
        <v>0</v>
      </c>
      <c r="O175">
        <v>0</v>
      </c>
      <c r="P175">
        <v>11</v>
      </c>
      <c r="Q175">
        <v>3</v>
      </c>
      <c r="R175">
        <v>0</v>
      </c>
      <c r="S175">
        <v>144</v>
      </c>
      <c r="T175">
        <v>9</v>
      </c>
      <c r="U175">
        <v>255</v>
      </c>
      <c r="V175" s="19" t="s">
        <v>2497</v>
      </c>
      <c r="W175" s="19" t="s">
        <v>1279</v>
      </c>
      <c r="X175">
        <v>11</v>
      </c>
      <c r="Y175">
        <v>15</v>
      </c>
      <c r="Z175">
        <v>42.3</v>
      </c>
      <c r="AA175">
        <v>21</v>
      </c>
      <c r="AB175">
        <v>50</v>
      </c>
      <c r="AC175">
        <v>7</v>
      </c>
      <c r="AD175">
        <v>28</v>
      </c>
      <c r="AE175" s="19" t="s">
        <v>60</v>
      </c>
    </row>
    <row r="176" spans="1:31" x14ac:dyDescent="0.2">
      <c r="A176">
        <v>171</v>
      </c>
      <c r="B176" s="19" t="s">
        <v>588</v>
      </c>
      <c r="C176">
        <v>34</v>
      </c>
      <c r="D176" s="19" t="s">
        <v>396</v>
      </c>
      <c r="E176" s="19" t="s">
        <v>339</v>
      </c>
      <c r="F176">
        <v>52</v>
      </c>
      <c r="G176">
        <v>12</v>
      </c>
      <c r="H176">
        <v>15</v>
      </c>
      <c r="I176">
        <v>27</v>
      </c>
      <c r="J176">
        <v>4</v>
      </c>
      <c r="K176">
        <v>28</v>
      </c>
      <c r="L176">
        <v>9</v>
      </c>
      <c r="M176">
        <v>3</v>
      </c>
      <c r="N176">
        <v>0</v>
      </c>
      <c r="O176">
        <v>1</v>
      </c>
      <c r="P176">
        <v>13</v>
      </c>
      <c r="Q176">
        <v>2</v>
      </c>
      <c r="R176">
        <v>0</v>
      </c>
      <c r="S176">
        <v>85</v>
      </c>
      <c r="T176">
        <v>14.1</v>
      </c>
      <c r="U176">
        <v>173</v>
      </c>
      <c r="V176" s="19" t="s">
        <v>2270</v>
      </c>
      <c r="W176" s="19" t="s">
        <v>1599</v>
      </c>
      <c r="X176">
        <v>15</v>
      </c>
      <c r="Y176">
        <v>24</v>
      </c>
      <c r="Z176">
        <v>38.5</v>
      </c>
      <c r="AA176">
        <v>21</v>
      </c>
      <c r="AB176">
        <v>30</v>
      </c>
      <c r="AC176">
        <v>13</v>
      </c>
      <c r="AD176">
        <v>42</v>
      </c>
      <c r="AE176" s="19" t="s">
        <v>60</v>
      </c>
    </row>
    <row r="177" spans="1:31" x14ac:dyDescent="0.2">
      <c r="A177">
        <v>172</v>
      </c>
      <c r="B177" s="19" t="s">
        <v>752</v>
      </c>
      <c r="C177">
        <v>24</v>
      </c>
      <c r="D177" s="19" t="s">
        <v>383</v>
      </c>
      <c r="E177" s="19" t="s">
        <v>334</v>
      </c>
      <c r="F177">
        <v>51</v>
      </c>
      <c r="G177">
        <v>13</v>
      </c>
      <c r="H177">
        <v>14</v>
      </c>
      <c r="I177">
        <v>27</v>
      </c>
      <c r="J177">
        <v>6</v>
      </c>
      <c r="K177">
        <v>14</v>
      </c>
      <c r="L177">
        <v>12</v>
      </c>
      <c r="M177">
        <v>0</v>
      </c>
      <c r="N177">
        <v>1</v>
      </c>
      <c r="O177">
        <v>2</v>
      </c>
      <c r="P177">
        <v>9</v>
      </c>
      <c r="Q177">
        <v>3</v>
      </c>
      <c r="R177">
        <v>2</v>
      </c>
      <c r="S177">
        <v>58</v>
      </c>
      <c r="T177">
        <v>22.4</v>
      </c>
      <c r="U177">
        <v>127</v>
      </c>
      <c r="V177" s="19" t="s">
        <v>2870</v>
      </c>
      <c r="W177" s="19" t="s">
        <v>1724</v>
      </c>
      <c r="X177">
        <v>3</v>
      </c>
      <c r="Y177">
        <v>10</v>
      </c>
      <c r="Z177">
        <v>23.1</v>
      </c>
      <c r="AA177">
        <v>34</v>
      </c>
      <c r="AB177">
        <v>9</v>
      </c>
      <c r="AC177">
        <v>16</v>
      </c>
      <c r="AD177">
        <v>33</v>
      </c>
      <c r="AE177" s="19" t="s">
        <v>60</v>
      </c>
    </row>
    <row r="178" spans="1:31" x14ac:dyDescent="0.2">
      <c r="A178">
        <v>173</v>
      </c>
      <c r="B178" s="19" t="s">
        <v>590</v>
      </c>
      <c r="C178">
        <v>22</v>
      </c>
      <c r="D178" s="19" t="s">
        <v>362</v>
      </c>
      <c r="E178" s="19" t="s">
        <v>322</v>
      </c>
      <c r="F178">
        <v>53</v>
      </c>
      <c r="G178">
        <v>16</v>
      </c>
      <c r="H178">
        <v>11</v>
      </c>
      <c r="I178">
        <v>27</v>
      </c>
      <c r="J178">
        <v>-1</v>
      </c>
      <c r="K178">
        <v>16</v>
      </c>
      <c r="L178">
        <v>14</v>
      </c>
      <c r="M178">
        <v>1</v>
      </c>
      <c r="N178">
        <v>1</v>
      </c>
      <c r="O178">
        <v>1</v>
      </c>
      <c r="P178">
        <v>10</v>
      </c>
      <c r="Q178">
        <v>0</v>
      </c>
      <c r="R178">
        <v>1</v>
      </c>
      <c r="S178">
        <v>95</v>
      </c>
      <c r="T178">
        <v>16.8</v>
      </c>
      <c r="U178">
        <v>156</v>
      </c>
      <c r="V178" s="19" t="s">
        <v>2498</v>
      </c>
      <c r="W178" s="19" t="s">
        <v>2148</v>
      </c>
      <c r="X178">
        <v>237</v>
      </c>
      <c r="Y178">
        <v>261</v>
      </c>
      <c r="Z178">
        <v>47.6</v>
      </c>
      <c r="AA178">
        <v>52</v>
      </c>
      <c r="AB178">
        <v>19</v>
      </c>
      <c r="AC178">
        <v>9</v>
      </c>
      <c r="AD178">
        <v>21</v>
      </c>
      <c r="AE178" s="19" t="s">
        <v>60</v>
      </c>
    </row>
    <row r="179" spans="1:31" x14ac:dyDescent="0.2">
      <c r="A179">
        <v>174</v>
      </c>
      <c r="B179" s="19" t="s">
        <v>438</v>
      </c>
      <c r="C179">
        <v>29</v>
      </c>
      <c r="D179" s="19" t="s">
        <v>398</v>
      </c>
      <c r="E179" s="19" t="s">
        <v>334</v>
      </c>
      <c r="F179">
        <v>48</v>
      </c>
      <c r="G179">
        <v>13</v>
      </c>
      <c r="H179">
        <v>14</v>
      </c>
      <c r="I179">
        <v>27</v>
      </c>
      <c r="J179">
        <v>-17</v>
      </c>
      <c r="K179">
        <v>12</v>
      </c>
      <c r="L179">
        <v>7</v>
      </c>
      <c r="M179">
        <v>6</v>
      </c>
      <c r="N179">
        <v>0</v>
      </c>
      <c r="O179">
        <v>2</v>
      </c>
      <c r="P179">
        <v>10</v>
      </c>
      <c r="Q179">
        <v>4</v>
      </c>
      <c r="R179">
        <v>0</v>
      </c>
      <c r="S179">
        <v>161</v>
      </c>
      <c r="T179">
        <v>8.1</v>
      </c>
      <c r="U179">
        <v>335</v>
      </c>
      <c r="V179" s="19" t="s">
        <v>2499</v>
      </c>
      <c r="W179" s="19" t="s">
        <v>2093</v>
      </c>
      <c r="X179">
        <v>45</v>
      </c>
      <c r="Y179">
        <v>54</v>
      </c>
      <c r="Z179">
        <v>45.5</v>
      </c>
      <c r="AA179">
        <v>32</v>
      </c>
      <c r="AB179">
        <v>83</v>
      </c>
      <c r="AC179">
        <v>14</v>
      </c>
      <c r="AD179">
        <v>43</v>
      </c>
      <c r="AE179" s="19" t="s">
        <v>60</v>
      </c>
    </row>
    <row r="180" spans="1:31" x14ac:dyDescent="0.2">
      <c r="A180">
        <v>175</v>
      </c>
      <c r="B180" s="19" t="s">
        <v>550</v>
      </c>
      <c r="C180">
        <v>21</v>
      </c>
      <c r="D180" s="19" t="s">
        <v>406</v>
      </c>
      <c r="E180" s="19" t="s">
        <v>334</v>
      </c>
      <c r="F180">
        <v>51</v>
      </c>
      <c r="G180">
        <v>12</v>
      </c>
      <c r="H180">
        <v>15</v>
      </c>
      <c r="I180">
        <v>27</v>
      </c>
      <c r="J180">
        <v>-6</v>
      </c>
      <c r="K180">
        <v>49</v>
      </c>
      <c r="L180">
        <v>11</v>
      </c>
      <c r="M180">
        <v>1</v>
      </c>
      <c r="N180">
        <v>0</v>
      </c>
      <c r="O180">
        <v>0</v>
      </c>
      <c r="P180">
        <v>10</v>
      </c>
      <c r="Q180">
        <v>5</v>
      </c>
      <c r="R180">
        <v>0</v>
      </c>
      <c r="S180">
        <v>110</v>
      </c>
      <c r="T180">
        <v>10.9</v>
      </c>
      <c r="U180">
        <v>207</v>
      </c>
      <c r="V180" s="19" t="s">
        <v>2871</v>
      </c>
      <c r="W180" s="19" t="s">
        <v>1495</v>
      </c>
      <c r="X180">
        <v>1</v>
      </c>
      <c r="Y180">
        <v>7</v>
      </c>
      <c r="Z180">
        <v>12.5</v>
      </c>
      <c r="AA180">
        <v>15</v>
      </c>
      <c r="AB180">
        <v>20</v>
      </c>
      <c r="AC180">
        <v>12</v>
      </c>
      <c r="AD180">
        <v>53</v>
      </c>
      <c r="AE180" s="19" t="s">
        <v>60</v>
      </c>
    </row>
    <row r="181" spans="1:31" x14ac:dyDescent="0.2">
      <c r="A181">
        <v>176</v>
      </c>
      <c r="B181" s="19" t="s">
        <v>557</v>
      </c>
      <c r="C181">
        <v>34</v>
      </c>
      <c r="D181" s="19" t="s">
        <v>428</v>
      </c>
      <c r="E181" s="19" t="s">
        <v>339</v>
      </c>
      <c r="F181">
        <v>33</v>
      </c>
      <c r="G181">
        <v>13</v>
      </c>
      <c r="H181">
        <v>14</v>
      </c>
      <c r="I181">
        <v>27</v>
      </c>
      <c r="J181">
        <v>-7</v>
      </c>
      <c r="K181">
        <v>12</v>
      </c>
      <c r="L181">
        <v>7</v>
      </c>
      <c r="M181">
        <v>6</v>
      </c>
      <c r="N181">
        <v>0</v>
      </c>
      <c r="O181">
        <v>3</v>
      </c>
      <c r="P181">
        <v>9</v>
      </c>
      <c r="Q181">
        <v>5</v>
      </c>
      <c r="R181">
        <v>0</v>
      </c>
      <c r="S181">
        <v>72</v>
      </c>
      <c r="T181">
        <v>18.100000000000001</v>
      </c>
      <c r="U181">
        <v>118</v>
      </c>
      <c r="V181" s="19" t="s">
        <v>2500</v>
      </c>
      <c r="W181" s="19" t="s">
        <v>2010</v>
      </c>
      <c r="X181">
        <v>26</v>
      </c>
      <c r="Y181">
        <v>56</v>
      </c>
      <c r="Z181">
        <v>31.7</v>
      </c>
      <c r="AA181">
        <v>9</v>
      </c>
      <c r="AB181">
        <v>33</v>
      </c>
      <c r="AC181">
        <v>3</v>
      </c>
      <c r="AD181">
        <v>35</v>
      </c>
      <c r="AE181" s="19" t="s">
        <v>60</v>
      </c>
    </row>
    <row r="182" spans="1:31" x14ac:dyDescent="0.2">
      <c r="A182">
        <v>177</v>
      </c>
      <c r="B182" s="19" t="s">
        <v>607</v>
      </c>
      <c r="C182">
        <v>32</v>
      </c>
      <c r="D182" s="19" t="s">
        <v>354</v>
      </c>
      <c r="E182" s="19" t="s">
        <v>339</v>
      </c>
      <c r="F182">
        <v>42</v>
      </c>
      <c r="G182">
        <v>12</v>
      </c>
      <c r="H182">
        <v>14</v>
      </c>
      <c r="I182">
        <v>26</v>
      </c>
      <c r="J182">
        <v>7</v>
      </c>
      <c r="K182">
        <v>16</v>
      </c>
      <c r="L182">
        <v>9</v>
      </c>
      <c r="M182">
        <v>3</v>
      </c>
      <c r="N182">
        <v>0</v>
      </c>
      <c r="O182">
        <v>5</v>
      </c>
      <c r="P182">
        <v>11</v>
      </c>
      <c r="Q182">
        <v>3</v>
      </c>
      <c r="R182">
        <v>0</v>
      </c>
      <c r="S182">
        <v>114</v>
      </c>
      <c r="T182">
        <v>10.5</v>
      </c>
      <c r="U182">
        <v>227</v>
      </c>
      <c r="V182" s="19" t="s">
        <v>2501</v>
      </c>
      <c r="W182" s="19" t="s">
        <v>1750</v>
      </c>
      <c r="X182">
        <v>6</v>
      </c>
      <c r="Y182">
        <v>4</v>
      </c>
      <c r="Z182">
        <v>60</v>
      </c>
      <c r="AA182">
        <v>25</v>
      </c>
      <c r="AB182">
        <v>16</v>
      </c>
      <c r="AC182">
        <v>9</v>
      </c>
      <c r="AD182">
        <v>31</v>
      </c>
      <c r="AE182" s="19" t="s">
        <v>60</v>
      </c>
    </row>
    <row r="183" spans="1:31" x14ac:dyDescent="0.2">
      <c r="A183">
        <v>178</v>
      </c>
      <c r="B183" s="19" t="s">
        <v>559</v>
      </c>
      <c r="C183">
        <v>26</v>
      </c>
      <c r="D183" s="19" t="s">
        <v>406</v>
      </c>
      <c r="E183" s="19" t="s">
        <v>339</v>
      </c>
      <c r="F183">
        <v>52</v>
      </c>
      <c r="G183">
        <v>10</v>
      </c>
      <c r="H183">
        <v>16</v>
      </c>
      <c r="I183">
        <v>26</v>
      </c>
      <c r="J183">
        <v>16</v>
      </c>
      <c r="K183">
        <v>33</v>
      </c>
      <c r="L183">
        <v>8</v>
      </c>
      <c r="M183">
        <v>2</v>
      </c>
      <c r="N183">
        <v>0</v>
      </c>
      <c r="O183">
        <v>3</v>
      </c>
      <c r="P183">
        <v>12</v>
      </c>
      <c r="Q183">
        <v>4</v>
      </c>
      <c r="R183">
        <v>0</v>
      </c>
      <c r="S183">
        <v>83</v>
      </c>
      <c r="T183">
        <v>12</v>
      </c>
      <c r="U183">
        <v>143</v>
      </c>
      <c r="V183" s="19" t="s">
        <v>2872</v>
      </c>
      <c r="W183" s="19" t="s">
        <v>1572</v>
      </c>
      <c r="X183">
        <v>286</v>
      </c>
      <c r="Y183">
        <v>374</v>
      </c>
      <c r="Z183">
        <v>43.3</v>
      </c>
      <c r="AA183">
        <v>36</v>
      </c>
      <c r="AB183">
        <v>60</v>
      </c>
      <c r="AC183">
        <v>14</v>
      </c>
      <c r="AD183">
        <v>26</v>
      </c>
      <c r="AE183" s="19" t="s">
        <v>60</v>
      </c>
    </row>
    <row r="184" spans="1:31" x14ac:dyDescent="0.2">
      <c r="A184">
        <v>179</v>
      </c>
      <c r="B184" s="19" t="s">
        <v>518</v>
      </c>
      <c r="C184">
        <v>33</v>
      </c>
      <c r="D184" s="19" t="s">
        <v>406</v>
      </c>
      <c r="E184" s="19" t="s">
        <v>322</v>
      </c>
      <c r="F184">
        <v>51</v>
      </c>
      <c r="G184">
        <v>5</v>
      </c>
      <c r="H184">
        <v>21</v>
      </c>
      <c r="I184">
        <v>26</v>
      </c>
      <c r="J184">
        <v>-6</v>
      </c>
      <c r="K184">
        <v>18</v>
      </c>
      <c r="L184">
        <v>5</v>
      </c>
      <c r="M184">
        <v>0</v>
      </c>
      <c r="N184">
        <v>0</v>
      </c>
      <c r="O184">
        <v>1</v>
      </c>
      <c r="P184">
        <v>20</v>
      </c>
      <c r="Q184">
        <v>1</v>
      </c>
      <c r="R184">
        <v>0</v>
      </c>
      <c r="S184">
        <v>79</v>
      </c>
      <c r="T184">
        <v>6.3</v>
      </c>
      <c r="U184">
        <v>157</v>
      </c>
      <c r="V184" s="19" t="s">
        <v>1921</v>
      </c>
      <c r="W184" s="19" t="s">
        <v>1707</v>
      </c>
      <c r="X184">
        <v>459</v>
      </c>
      <c r="Y184">
        <v>392</v>
      </c>
      <c r="Z184">
        <v>53.9</v>
      </c>
      <c r="AA184">
        <v>30</v>
      </c>
      <c r="AB184">
        <v>53</v>
      </c>
      <c r="AC184">
        <v>23</v>
      </c>
      <c r="AD184">
        <v>45</v>
      </c>
      <c r="AE184" s="19" t="s">
        <v>60</v>
      </c>
    </row>
    <row r="185" spans="1:31" x14ac:dyDescent="0.2">
      <c r="A185">
        <v>180</v>
      </c>
      <c r="B185" s="19" t="s">
        <v>634</v>
      </c>
      <c r="C185">
        <v>28</v>
      </c>
      <c r="D185" s="19" t="s">
        <v>404</v>
      </c>
      <c r="E185" s="19" t="s">
        <v>339</v>
      </c>
      <c r="F185">
        <v>52</v>
      </c>
      <c r="G185">
        <v>13</v>
      </c>
      <c r="H185">
        <v>13</v>
      </c>
      <c r="I185">
        <v>26</v>
      </c>
      <c r="J185">
        <v>18</v>
      </c>
      <c r="K185">
        <v>16</v>
      </c>
      <c r="L185">
        <v>12</v>
      </c>
      <c r="M185">
        <v>0</v>
      </c>
      <c r="N185">
        <v>1</v>
      </c>
      <c r="O185">
        <v>2</v>
      </c>
      <c r="P185">
        <v>12</v>
      </c>
      <c r="Q185">
        <v>0</v>
      </c>
      <c r="R185">
        <v>1</v>
      </c>
      <c r="S185">
        <v>84</v>
      </c>
      <c r="T185">
        <v>15.5</v>
      </c>
      <c r="U185">
        <v>175</v>
      </c>
      <c r="V185" s="19" t="s">
        <v>2502</v>
      </c>
      <c r="W185" s="19" t="s">
        <v>1620</v>
      </c>
      <c r="X185">
        <v>22</v>
      </c>
      <c r="Y185">
        <v>38</v>
      </c>
      <c r="Z185">
        <v>36.700000000000003</v>
      </c>
      <c r="AA185">
        <v>37</v>
      </c>
      <c r="AB185">
        <v>137</v>
      </c>
      <c r="AC185">
        <v>10</v>
      </c>
      <c r="AD185">
        <v>31</v>
      </c>
      <c r="AE185" s="19" t="s">
        <v>60</v>
      </c>
    </row>
    <row r="186" spans="1:31" x14ac:dyDescent="0.2">
      <c r="A186">
        <v>181</v>
      </c>
      <c r="B186" s="19" t="s">
        <v>534</v>
      </c>
      <c r="C186">
        <v>23</v>
      </c>
      <c r="D186" s="19" t="s">
        <v>360</v>
      </c>
      <c r="E186" s="19" t="s">
        <v>339</v>
      </c>
      <c r="F186">
        <v>54</v>
      </c>
      <c r="G186">
        <v>12</v>
      </c>
      <c r="H186">
        <v>14</v>
      </c>
      <c r="I186">
        <v>26</v>
      </c>
      <c r="J186">
        <v>-18</v>
      </c>
      <c r="K186">
        <v>35</v>
      </c>
      <c r="L186">
        <v>8</v>
      </c>
      <c r="M186">
        <v>4</v>
      </c>
      <c r="N186">
        <v>0</v>
      </c>
      <c r="O186">
        <v>1</v>
      </c>
      <c r="P186">
        <v>10</v>
      </c>
      <c r="Q186">
        <v>4</v>
      </c>
      <c r="R186">
        <v>0</v>
      </c>
      <c r="S186">
        <v>102</v>
      </c>
      <c r="T186">
        <v>11.8</v>
      </c>
      <c r="U186">
        <v>210</v>
      </c>
      <c r="V186" s="19" t="s">
        <v>2873</v>
      </c>
      <c r="W186" s="19" t="s">
        <v>1780</v>
      </c>
      <c r="X186">
        <v>35</v>
      </c>
      <c r="Y186">
        <v>31</v>
      </c>
      <c r="Z186">
        <v>53</v>
      </c>
      <c r="AA186">
        <v>54</v>
      </c>
      <c r="AB186">
        <v>187</v>
      </c>
      <c r="AC186">
        <v>8</v>
      </c>
      <c r="AD186">
        <v>35</v>
      </c>
      <c r="AE186" s="19" t="s">
        <v>60</v>
      </c>
    </row>
    <row r="187" spans="1:31" x14ac:dyDescent="0.2">
      <c r="A187">
        <v>182</v>
      </c>
      <c r="B187" s="19" t="s">
        <v>582</v>
      </c>
      <c r="C187">
        <v>35</v>
      </c>
      <c r="D187" s="19" t="s">
        <v>327</v>
      </c>
      <c r="E187" s="19" t="s">
        <v>348</v>
      </c>
      <c r="F187">
        <v>54</v>
      </c>
      <c r="G187">
        <v>6</v>
      </c>
      <c r="H187">
        <v>20</v>
      </c>
      <c r="I187">
        <v>26</v>
      </c>
      <c r="J187">
        <v>18</v>
      </c>
      <c r="K187">
        <v>20</v>
      </c>
      <c r="L187">
        <v>6</v>
      </c>
      <c r="M187">
        <v>0</v>
      </c>
      <c r="N187">
        <v>0</v>
      </c>
      <c r="O187">
        <v>2</v>
      </c>
      <c r="P187">
        <v>18</v>
      </c>
      <c r="Q187">
        <v>2</v>
      </c>
      <c r="R187">
        <v>0</v>
      </c>
      <c r="S187">
        <v>95</v>
      </c>
      <c r="T187">
        <v>6.3</v>
      </c>
      <c r="U187">
        <v>220</v>
      </c>
      <c r="V187" s="19" t="s">
        <v>2503</v>
      </c>
      <c r="W187" s="19" t="s">
        <v>1925</v>
      </c>
      <c r="X187">
        <v>0</v>
      </c>
      <c r="Y187">
        <v>0</v>
      </c>
      <c r="AA187">
        <v>87</v>
      </c>
      <c r="AB187">
        <v>50</v>
      </c>
      <c r="AC187">
        <v>21</v>
      </c>
      <c r="AD187">
        <v>68</v>
      </c>
      <c r="AE187" s="19" t="s">
        <v>60</v>
      </c>
    </row>
    <row r="188" spans="1:31" x14ac:dyDescent="0.2">
      <c r="A188">
        <v>183</v>
      </c>
      <c r="B188" s="19" t="s">
        <v>747</v>
      </c>
      <c r="C188">
        <v>33</v>
      </c>
      <c r="D188" s="19" t="s">
        <v>336</v>
      </c>
      <c r="E188" s="19" t="s">
        <v>322</v>
      </c>
      <c r="F188">
        <v>35</v>
      </c>
      <c r="G188">
        <v>12</v>
      </c>
      <c r="H188">
        <v>14</v>
      </c>
      <c r="I188">
        <v>26</v>
      </c>
      <c r="J188">
        <v>-8</v>
      </c>
      <c r="K188">
        <v>12</v>
      </c>
      <c r="L188">
        <v>8</v>
      </c>
      <c r="M188">
        <v>4</v>
      </c>
      <c r="N188">
        <v>0</v>
      </c>
      <c r="O188">
        <v>1</v>
      </c>
      <c r="P188">
        <v>13</v>
      </c>
      <c r="Q188">
        <v>1</v>
      </c>
      <c r="R188">
        <v>0</v>
      </c>
      <c r="S188">
        <v>75</v>
      </c>
      <c r="T188">
        <v>16</v>
      </c>
      <c r="U188">
        <v>144</v>
      </c>
      <c r="V188" s="19" t="s">
        <v>2504</v>
      </c>
      <c r="W188" s="19" t="s">
        <v>399</v>
      </c>
      <c r="X188">
        <v>219</v>
      </c>
      <c r="Y188">
        <v>245</v>
      </c>
      <c r="Z188">
        <v>47.2</v>
      </c>
      <c r="AA188">
        <v>23</v>
      </c>
      <c r="AB188">
        <v>23</v>
      </c>
      <c r="AC188">
        <v>12</v>
      </c>
      <c r="AD188">
        <v>32</v>
      </c>
      <c r="AE188" s="19" t="s">
        <v>60</v>
      </c>
    </row>
    <row r="189" spans="1:31" x14ac:dyDescent="0.2">
      <c r="A189">
        <v>184</v>
      </c>
      <c r="B189" s="19" t="s">
        <v>563</v>
      </c>
      <c r="C189">
        <v>22</v>
      </c>
      <c r="D189" s="19" t="s">
        <v>398</v>
      </c>
      <c r="E189" s="19" t="s">
        <v>348</v>
      </c>
      <c r="F189">
        <v>49</v>
      </c>
      <c r="G189">
        <v>5</v>
      </c>
      <c r="H189">
        <v>21</v>
      </c>
      <c r="I189">
        <v>26</v>
      </c>
      <c r="J189">
        <v>-8</v>
      </c>
      <c r="K189">
        <v>24</v>
      </c>
      <c r="L189">
        <v>4</v>
      </c>
      <c r="M189">
        <v>1</v>
      </c>
      <c r="N189">
        <v>0</v>
      </c>
      <c r="O189">
        <v>1</v>
      </c>
      <c r="P189">
        <v>14</v>
      </c>
      <c r="Q189">
        <v>7</v>
      </c>
      <c r="R189">
        <v>0</v>
      </c>
      <c r="S189">
        <v>104</v>
      </c>
      <c r="T189">
        <v>4.8</v>
      </c>
      <c r="U189">
        <v>281</v>
      </c>
      <c r="V189" s="19" t="s">
        <v>2140</v>
      </c>
      <c r="W189" s="19" t="s">
        <v>2141</v>
      </c>
      <c r="X189">
        <v>0</v>
      </c>
      <c r="Y189">
        <v>0</v>
      </c>
      <c r="AA189">
        <v>39</v>
      </c>
      <c r="AB189">
        <v>13</v>
      </c>
      <c r="AC189">
        <v>18</v>
      </c>
      <c r="AD189">
        <v>81</v>
      </c>
      <c r="AE189" s="19" t="s">
        <v>60</v>
      </c>
    </row>
    <row r="190" spans="1:31" x14ac:dyDescent="0.2">
      <c r="A190">
        <v>185</v>
      </c>
      <c r="B190" s="19" t="s">
        <v>549</v>
      </c>
      <c r="C190">
        <v>31</v>
      </c>
      <c r="D190" s="19" t="s">
        <v>362</v>
      </c>
      <c r="E190" s="19" t="s">
        <v>348</v>
      </c>
      <c r="F190">
        <v>50</v>
      </c>
      <c r="G190">
        <v>5</v>
      </c>
      <c r="H190">
        <v>21</v>
      </c>
      <c r="I190">
        <v>26</v>
      </c>
      <c r="J190">
        <v>14</v>
      </c>
      <c r="K190">
        <v>22</v>
      </c>
      <c r="L190">
        <v>5</v>
      </c>
      <c r="M190">
        <v>0</v>
      </c>
      <c r="N190">
        <v>0</v>
      </c>
      <c r="O190">
        <v>2</v>
      </c>
      <c r="P190">
        <v>21</v>
      </c>
      <c r="Q190">
        <v>0</v>
      </c>
      <c r="R190">
        <v>0</v>
      </c>
      <c r="S190">
        <v>71</v>
      </c>
      <c r="T190">
        <v>7</v>
      </c>
      <c r="U190">
        <v>182</v>
      </c>
      <c r="V190" s="19" t="s">
        <v>2505</v>
      </c>
      <c r="W190" s="19" t="s">
        <v>2506</v>
      </c>
      <c r="X190">
        <v>0</v>
      </c>
      <c r="Y190">
        <v>0</v>
      </c>
      <c r="AA190">
        <v>105</v>
      </c>
      <c r="AB190">
        <v>33</v>
      </c>
      <c r="AC190">
        <v>20</v>
      </c>
      <c r="AD190">
        <v>57</v>
      </c>
      <c r="AE190" s="19" t="s">
        <v>60</v>
      </c>
    </row>
    <row r="191" spans="1:31" x14ac:dyDescent="0.2">
      <c r="A191">
        <v>186</v>
      </c>
      <c r="B191" s="19" t="s">
        <v>879</v>
      </c>
      <c r="C191">
        <v>29</v>
      </c>
      <c r="D191" s="19" t="s">
        <v>531</v>
      </c>
      <c r="E191" s="19" t="s">
        <v>322</v>
      </c>
      <c r="F191">
        <v>28</v>
      </c>
      <c r="G191">
        <v>14</v>
      </c>
      <c r="H191">
        <v>12</v>
      </c>
      <c r="I191">
        <v>26</v>
      </c>
      <c r="J191">
        <v>2</v>
      </c>
      <c r="K191">
        <v>5</v>
      </c>
      <c r="L191">
        <v>9</v>
      </c>
      <c r="M191">
        <v>5</v>
      </c>
      <c r="N191">
        <v>0</v>
      </c>
      <c r="O191">
        <v>2</v>
      </c>
      <c r="P191">
        <v>7</v>
      </c>
      <c r="Q191">
        <v>5</v>
      </c>
      <c r="R191">
        <v>0</v>
      </c>
      <c r="S191">
        <v>69</v>
      </c>
      <c r="T191">
        <v>20.3</v>
      </c>
      <c r="U191">
        <v>138</v>
      </c>
      <c r="V191" s="19" t="s">
        <v>2507</v>
      </c>
      <c r="W191" s="19" t="s">
        <v>939</v>
      </c>
      <c r="X191">
        <v>5</v>
      </c>
      <c r="Y191">
        <v>9</v>
      </c>
      <c r="Z191">
        <v>35.700000000000003</v>
      </c>
      <c r="AA191">
        <v>17</v>
      </c>
      <c r="AB191">
        <v>20</v>
      </c>
      <c r="AC191">
        <v>8</v>
      </c>
      <c r="AD191">
        <v>30</v>
      </c>
      <c r="AE191" s="19" t="s">
        <v>60</v>
      </c>
    </row>
    <row r="192" spans="1:31" x14ac:dyDescent="0.2">
      <c r="A192">
        <v>187</v>
      </c>
      <c r="B192" s="19" t="s">
        <v>759</v>
      </c>
      <c r="C192">
        <v>21</v>
      </c>
      <c r="D192" s="19" t="s">
        <v>354</v>
      </c>
      <c r="E192" s="19" t="s">
        <v>322</v>
      </c>
      <c r="F192">
        <v>54</v>
      </c>
      <c r="G192">
        <v>13</v>
      </c>
      <c r="H192">
        <v>13</v>
      </c>
      <c r="I192">
        <v>26</v>
      </c>
      <c r="J192">
        <v>17</v>
      </c>
      <c r="K192">
        <v>14</v>
      </c>
      <c r="L192">
        <v>12</v>
      </c>
      <c r="M192">
        <v>1</v>
      </c>
      <c r="N192">
        <v>0</v>
      </c>
      <c r="O192">
        <v>2</v>
      </c>
      <c r="P192">
        <v>10</v>
      </c>
      <c r="Q192">
        <v>2</v>
      </c>
      <c r="R192">
        <v>1</v>
      </c>
      <c r="S192">
        <v>69</v>
      </c>
      <c r="T192">
        <v>18.8</v>
      </c>
      <c r="U192">
        <v>140</v>
      </c>
      <c r="V192" s="19" t="s">
        <v>2178</v>
      </c>
      <c r="W192" s="19" t="s">
        <v>1190</v>
      </c>
      <c r="X192">
        <v>242</v>
      </c>
      <c r="Y192">
        <v>262</v>
      </c>
      <c r="Z192">
        <v>48</v>
      </c>
      <c r="AA192">
        <v>34</v>
      </c>
      <c r="AB192">
        <v>96</v>
      </c>
      <c r="AC192">
        <v>20</v>
      </c>
      <c r="AD192">
        <v>25</v>
      </c>
      <c r="AE192" s="19" t="s">
        <v>60</v>
      </c>
    </row>
    <row r="193" spans="1:31" x14ac:dyDescent="0.2">
      <c r="A193">
        <v>188</v>
      </c>
      <c r="B193" s="19" t="s">
        <v>599</v>
      </c>
      <c r="C193">
        <v>40</v>
      </c>
      <c r="D193" s="19" t="s">
        <v>419</v>
      </c>
      <c r="E193" s="19" t="s">
        <v>334</v>
      </c>
      <c r="F193">
        <v>40</v>
      </c>
      <c r="G193">
        <v>11</v>
      </c>
      <c r="H193">
        <v>15</v>
      </c>
      <c r="I193">
        <v>26</v>
      </c>
      <c r="J193">
        <v>3</v>
      </c>
      <c r="K193">
        <v>36</v>
      </c>
      <c r="L193">
        <v>7</v>
      </c>
      <c r="M193">
        <v>4</v>
      </c>
      <c r="N193">
        <v>0</v>
      </c>
      <c r="O193">
        <v>0</v>
      </c>
      <c r="P193">
        <v>8</v>
      </c>
      <c r="Q193">
        <v>7</v>
      </c>
      <c r="R193">
        <v>0</v>
      </c>
      <c r="S193">
        <v>70</v>
      </c>
      <c r="T193">
        <v>15.7</v>
      </c>
      <c r="U193">
        <v>136</v>
      </c>
      <c r="V193" s="19" t="s">
        <v>2508</v>
      </c>
      <c r="W193" s="19" t="s">
        <v>981</v>
      </c>
      <c r="X193">
        <v>5</v>
      </c>
      <c r="Y193">
        <v>16</v>
      </c>
      <c r="Z193">
        <v>23.8</v>
      </c>
      <c r="AA193">
        <v>11</v>
      </c>
      <c r="AB193">
        <v>16</v>
      </c>
      <c r="AC193">
        <v>4</v>
      </c>
      <c r="AD193">
        <v>31</v>
      </c>
      <c r="AE193" s="19" t="s">
        <v>60</v>
      </c>
    </row>
    <row r="194" spans="1:31" x14ac:dyDescent="0.2">
      <c r="A194">
        <v>189</v>
      </c>
      <c r="B194" s="19" t="s">
        <v>507</v>
      </c>
      <c r="C194">
        <v>25</v>
      </c>
      <c r="D194" s="19" t="s">
        <v>416</v>
      </c>
      <c r="E194" s="19" t="s">
        <v>322</v>
      </c>
      <c r="F194">
        <v>43</v>
      </c>
      <c r="G194">
        <v>14</v>
      </c>
      <c r="H194">
        <v>12</v>
      </c>
      <c r="I194">
        <v>26</v>
      </c>
      <c r="J194">
        <v>0</v>
      </c>
      <c r="K194">
        <v>28</v>
      </c>
      <c r="L194">
        <v>12</v>
      </c>
      <c r="M194">
        <v>2</v>
      </c>
      <c r="N194">
        <v>0</v>
      </c>
      <c r="O194">
        <v>1</v>
      </c>
      <c r="P194">
        <v>11</v>
      </c>
      <c r="Q194">
        <v>0</v>
      </c>
      <c r="R194">
        <v>1</v>
      </c>
      <c r="S194">
        <v>92</v>
      </c>
      <c r="T194">
        <v>15.2</v>
      </c>
      <c r="U194">
        <v>185</v>
      </c>
      <c r="V194" s="19" t="s">
        <v>2874</v>
      </c>
      <c r="W194" s="19" t="s">
        <v>414</v>
      </c>
      <c r="X194">
        <v>237</v>
      </c>
      <c r="Y194">
        <v>228</v>
      </c>
      <c r="Z194">
        <v>51</v>
      </c>
      <c r="AA194">
        <v>25</v>
      </c>
      <c r="AB194">
        <v>51</v>
      </c>
      <c r="AC194">
        <v>12</v>
      </c>
      <c r="AD194">
        <v>32</v>
      </c>
      <c r="AE194" s="19" t="s">
        <v>60</v>
      </c>
    </row>
    <row r="195" spans="1:31" x14ac:dyDescent="0.2">
      <c r="A195">
        <v>190</v>
      </c>
      <c r="B195" s="19" t="s">
        <v>511</v>
      </c>
      <c r="C195">
        <v>30</v>
      </c>
      <c r="D195" s="19" t="s">
        <v>343</v>
      </c>
      <c r="E195" s="19" t="s">
        <v>348</v>
      </c>
      <c r="F195">
        <v>41</v>
      </c>
      <c r="G195">
        <v>7</v>
      </c>
      <c r="H195">
        <v>19</v>
      </c>
      <c r="I195">
        <v>26</v>
      </c>
      <c r="J195">
        <v>13</v>
      </c>
      <c r="K195">
        <v>8</v>
      </c>
      <c r="L195">
        <v>6</v>
      </c>
      <c r="M195">
        <v>1</v>
      </c>
      <c r="N195">
        <v>0</v>
      </c>
      <c r="O195">
        <v>3</v>
      </c>
      <c r="P195">
        <v>16</v>
      </c>
      <c r="Q195">
        <v>3</v>
      </c>
      <c r="R195">
        <v>0</v>
      </c>
      <c r="S195">
        <v>89</v>
      </c>
      <c r="T195">
        <v>7.9</v>
      </c>
      <c r="U195">
        <v>199</v>
      </c>
      <c r="V195" s="19" t="s">
        <v>2509</v>
      </c>
      <c r="W195" s="19" t="s">
        <v>2269</v>
      </c>
      <c r="X195">
        <v>0</v>
      </c>
      <c r="Y195">
        <v>0</v>
      </c>
      <c r="AA195">
        <v>63</v>
      </c>
      <c r="AB195">
        <v>1</v>
      </c>
      <c r="AC195">
        <v>14</v>
      </c>
      <c r="AD195">
        <v>48</v>
      </c>
      <c r="AE195" s="19" t="s">
        <v>60</v>
      </c>
    </row>
    <row r="196" spans="1:31" x14ac:dyDescent="0.2">
      <c r="A196">
        <v>191</v>
      </c>
      <c r="B196" s="19" t="s">
        <v>532</v>
      </c>
      <c r="C196">
        <v>28</v>
      </c>
      <c r="D196" s="19" t="s">
        <v>447</v>
      </c>
      <c r="E196" s="19" t="s">
        <v>334</v>
      </c>
      <c r="F196">
        <v>50</v>
      </c>
      <c r="G196">
        <v>12</v>
      </c>
      <c r="H196">
        <v>13</v>
      </c>
      <c r="I196">
        <v>25</v>
      </c>
      <c r="J196">
        <v>-30</v>
      </c>
      <c r="K196">
        <v>6</v>
      </c>
      <c r="L196">
        <v>10</v>
      </c>
      <c r="M196">
        <v>2</v>
      </c>
      <c r="N196">
        <v>0</v>
      </c>
      <c r="O196">
        <v>2</v>
      </c>
      <c r="P196">
        <v>6</v>
      </c>
      <c r="Q196">
        <v>7</v>
      </c>
      <c r="R196">
        <v>0</v>
      </c>
      <c r="S196">
        <v>114</v>
      </c>
      <c r="T196">
        <v>10.5</v>
      </c>
      <c r="U196">
        <v>242</v>
      </c>
      <c r="V196" s="19" t="s">
        <v>2329</v>
      </c>
      <c r="W196" s="19" t="s">
        <v>2107</v>
      </c>
      <c r="X196">
        <v>50</v>
      </c>
      <c r="Y196">
        <v>62</v>
      </c>
      <c r="Z196">
        <v>44.6</v>
      </c>
      <c r="AA196">
        <v>20</v>
      </c>
      <c r="AB196">
        <v>30</v>
      </c>
      <c r="AC196">
        <v>8</v>
      </c>
      <c r="AD196">
        <v>35</v>
      </c>
      <c r="AE196" s="19" t="s">
        <v>60</v>
      </c>
    </row>
    <row r="197" spans="1:31" x14ac:dyDescent="0.2">
      <c r="A197">
        <v>192</v>
      </c>
      <c r="B197" s="19" t="s">
        <v>630</v>
      </c>
      <c r="C197">
        <v>27</v>
      </c>
      <c r="D197" s="19" t="s">
        <v>375</v>
      </c>
      <c r="E197" s="19" t="s">
        <v>325</v>
      </c>
      <c r="F197">
        <v>37</v>
      </c>
      <c r="G197">
        <v>14</v>
      </c>
      <c r="H197">
        <v>11</v>
      </c>
      <c r="I197">
        <v>25</v>
      </c>
      <c r="J197">
        <v>0</v>
      </c>
      <c r="K197">
        <v>10</v>
      </c>
      <c r="L197">
        <v>11</v>
      </c>
      <c r="M197">
        <v>3</v>
      </c>
      <c r="N197">
        <v>0</v>
      </c>
      <c r="O197">
        <v>4</v>
      </c>
      <c r="P197">
        <v>10</v>
      </c>
      <c r="Q197">
        <v>1</v>
      </c>
      <c r="R197">
        <v>0</v>
      </c>
      <c r="S197">
        <v>67</v>
      </c>
      <c r="T197">
        <v>20.9</v>
      </c>
      <c r="U197">
        <v>114</v>
      </c>
      <c r="V197" s="19" t="s">
        <v>2330</v>
      </c>
      <c r="W197" s="19" t="s">
        <v>1665</v>
      </c>
      <c r="X197">
        <v>0</v>
      </c>
      <c r="Y197">
        <v>2</v>
      </c>
      <c r="Z197">
        <v>0</v>
      </c>
      <c r="AA197">
        <v>21</v>
      </c>
      <c r="AB197">
        <v>47</v>
      </c>
      <c r="AC197">
        <v>10</v>
      </c>
      <c r="AD197">
        <v>25</v>
      </c>
      <c r="AE197" s="19" t="s">
        <v>60</v>
      </c>
    </row>
    <row r="198" spans="1:31" x14ac:dyDescent="0.2">
      <c r="A198">
        <v>193</v>
      </c>
      <c r="B198" s="19" t="s">
        <v>578</v>
      </c>
      <c r="C198">
        <v>40</v>
      </c>
      <c r="D198" s="19" t="s">
        <v>321</v>
      </c>
      <c r="E198" s="19" t="s">
        <v>348</v>
      </c>
      <c r="F198">
        <v>51</v>
      </c>
      <c r="G198">
        <v>8</v>
      </c>
      <c r="H198">
        <v>17</v>
      </c>
      <c r="I198">
        <v>25</v>
      </c>
      <c r="J198">
        <v>28</v>
      </c>
      <c r="K198">
        <v>18</v>
      </c>
      <c r="L198">
        <v>8</v>
      </c>
      <c r="M198">
        <v>0</v>
      </c>
      <c r="N198">
        <v>0</v>
      </c>
      <c r="O198">
        <v>4</v>
      </c>
      <c r="P198">
        <v>16</v>
      </c>
      <c r="Q198">
        <v>1</v>
      </c>
      <c r="R198">
        <v>0</v>
      </c>
      <c r="S198">
        <v>112</v>
      </c>
      <c r="T198">
        <v>7.1</v>
      </c>
      <c r="U198">
        <v>257</v>
      </c>
      <c r="V198" s="19" t="s">
        <v>1916</v>
      </c>
      <c r="W198" s="19" t="s">
        <v>1816</v>
      </c>
      <c r="X198">
        <v>0</v>
      </c>
      <c r="Y198">
        <v>0</v>
      </c>
      <c r="AA198">
        <v>57</v>
      </c>
      <c r="AB198">
        <v>11</v>
      </c>
      <c r="AC198">
        <v>13</v>
      </c>
      <c r="AD198">
        <v>61</v>
      </c>
      <c r="AE198" s="19" t="s">
        <v>60</v>
      </c>
    </row>
    <row r="199" spans="1:31" x14ac:dyDescent="0.2">
      <c r="A199">
        <v>194</v>
      </c>
      <c r="B199" s="19" t="s">
        <v>611</v>
      </c>
      <c r="C199">
        <v>24</v>
      </c>
      <c r="D199" s="19" t="s">
        <v>428</v>
      </c>
      <c r="E199" s="19" t="s">
        <v>348</v>
      </c>
      <c r="F199">
        <v>52</v>
      </c>
      <c r="G199">
        <v>10</v>
      </c>
      <c r="H199">
        <v>15</v>
      </c>
      <c r="I199">
        <v>25</v>
      </c>
      <c r="J199">
        <v>10</v>
      </c>
      <c r="K199">
        <v>24</v>
      </c>
      <c r="L199">
        <v>9</v>
      </c>
      <c r="M199">
        <v>1</v>
      </c>
      <c r="N199">
        <v>0</v>
      </c>
      <c r="O199">
        <v>4</v>
      </c>
      <c r="P199">
        <v>13</v>
      </c>
      <c r="Q199">
        <v>2</v>
      </c>
      <c r="R199">
        <v>0</v>
      </c>
      <c r="S199">
        <v>68</v>
      </c>
      <c r="T199">
        <v>14.7</v>
      </c>
      <c r="U199">
        <v>154</v>
      </c>
      <c r="V199" s="19" t="s">
        <v>2510</v>
      </c>
      <c r="W199" s="19" t="s">
        <v>1999</v>
      </c>
      <c r="X199">
        <v>0</v>
      </c>
      <c r="Y199">
        <v>0</v>
      </c>
      <c r="AA199">
        <v>62</v>
      </c>
      <c r="AB199">
        <v>31</v>
      </c>
      <c r="AC199">
        <v>10</v>
      </c>
      <c r="AD199">
        <v>64</v>
      </c>
      <c r="AE199" s="19" t="s">
        <v>60</v>
      </c>
    </row>
    <row r="200" spans="1:31" x14ac:dyDescent="0.2">
      <c r="A200">
        <v>195</v>
      </c>
      <c r="B200" s="19" t="s">
        <v>579</v>
      </c>
      <c r="C200">
        <v>22</v>
      </c>
      <c r="D200" s="19" t="s">
        <v>419</v>
      </c>
      <c r="E200" s="19" t="s">
        <v>348</v>
      </c>
      <c r="F200">
        <v>51</v>
      </c>
      <c r="G200">
        <v>6</v>
      </c>
      <c r="H200">
        <v>19</v>
      </c>
      <c r="I200">
        <v>25</v>
      </c>
      <c r="J200">
        <v>14</v>
      </c>
      <c r="K200">
        <v>30</v>
      </c>
      <c r="L200">
        <v>5</v>
      </c>
      <c r="M200">
        <v>1</v>
      </c>
      <c r="N200">
        <v>0</v>
      </c>
      <c r="O200">
        <v>2</v>
      </c>
      <c r="P200">
        <v>14</v>
      </c>
      <c r="Q200">
        <v>5</v>
      </c>
      <c r="R200">
        <v>0</v>
      </c>
      <c r="S200">
        <v>101</v>
      </c>
      <c r="T200">
        <v>5.9</v>
      </c>
      <c r="U200">
        <v>192</v>
      </c>
      <c r="V200" s="19" t="s">
        <v>2511</v>
      </c>
      <c r="W200" s="19" t="s">
        <v>1408</v>
      </c>
      <c r="X200">
        <v>0</v>
      </c>
      <c r="Y200">
        <v>0</v>
      </c>
      <c r="AA200">
        <v>95</v>
      </c>
      <c r="AB200">
        <v>24</v>
      </c>
      <c r="AC200">
        <v>17</v>
      </c>
      <c r="AD200">
        <v>60</v>
      </c>
      <c r="AE200" s="19" t="s">
        <v>60</v>
      </c>
    </row>
    <row r="201" spans="1:31" x14ac:dyDescent="0.2">
      <c r="A201">
        <v>196</v>
      </c>
      <c r="B201" s="19" t="s">
        <v>745</v>
      </c>
      <c r="C201">
        <v>30</v>
      </c>
      <c r="D201" s="19" t="s">
        <v>383</v>
      </c>
      <c r="E201" s="19" t="s">
        <v>339</v>
      </c>
      <c r="F201">
        <v>50</v>
      </c>
      <c r="G201">
        <v>12</v>
      </c>
      <c r="H201">
        <v>13</v>
      </c>
      <c r="I201">
        <v>25</v>
      </c>
      <c r="J201">
        <v>2</v>
      </c>
      <c r="K201">
        <v>10</v>
      </c>
      <c r="L201">
        <v>8</v>
      </c>
      <c r="M201">
        <v>4</v>
      </c>
      <c r="N201">
        <v>0</v>
      </c>
      <c r="O201">
        <v>2</v>
      </c>
      <c r="P201">
        <v>11</v>
      </c>
      <c r="Q201">
        <v>2</v>
      </c>
      <c r="R201">
        <v>0</v>
      </c>
      <c r="S201">
        <v>64</v>
      </c>
      <c r="T201">
        <v>18.8</v>
      </c>
      <c r="U201">
        <v>131</v>
      </c>
      <c r="V201" s="19" t="s">
        <v>2875</v>
      </c>
      <c r="W201" s="19" t="s">
        <v>2249</v>
      </c>
      <c r="X201">
        <v>4</v>
      </c>
      <c r="Y201">
        <v>5</v>
      </c>
      <c r="Z201">
        <v>44.4</v>
      </c>
      <c r="AA201">
        <v>34</v>
      </c>
      <c r="AB201">
        <v>3</v>
      </c>
      <c r="AC201">
        <v>6</v>
      </c>
      <c r="AD201">
        <v>21</v>
      </c>
      <c r="AE201" s="19" t="s">
        <v>60</v>
      </c>
    </row>
    <row r="202" spans="1:31" x14ac:dyDescent="0.2">
      <c r="A202">
        <v>197</v>
      </c>
      <c r="B202" s="19" t="s">
        <v>584</v>
      </c>
      <c r="C202">
        <v>33</v>
      </c>
      <c r="D202" s="19" t="s">
        <v>513</v>
      </c>
      <c r="E202" s="19" t="s">
        <v>348</v>
      </c>
      <c r="F202">
        <v>53</v>
      </c>
      <c r="G202">
        <v>11</v>
      </c>
      <c r="H202">
        <v>14</v>
      </c>
      <c r="I202">
        <v>25</v>
      </c>
      <c r="J202">
        <v>-4</v>
      </c>
      <c r="K202">
        <v>30</v>
      </c>
      <c r="L202">
        <v>9</v>
      </c>
      <c r="M202">
        <v>2</v>
      </c>
      <c r="N202">
        <v>0</v>
      </c>
      <c r="O202">
        <v>3</v>
      </c>
      <c r="P202">
        <v>7</v>
      </c>
      <c r="Q202">
        <v>6</v>
      </c>
      <c r="R202">
        <v>1</v>
      </c>
      <c r="S202">
        <v>99</v>
      </c>
      <c r="T202">
        <v>11.1</v>
      </c>
      <c r="U202">
        <v>201</v>
      </c>
      <c r="V202" s="19" t="s">
        <v>2512</v>
      </c>
      <c r="W202" s="19" t="s">
        <v>2068</v>
      </c>
      <c r="X202">
        <v>0</v>
      </c>
      <c r="Y202">
        <v>0</v>
      </c>
      <c r="AA202">
        <v>95</v>
      </c>
      <c r="AB202">
        <v>44</v>
      </c>
      <c r="AC202">
        <v>18</v>
      </c>
      <c r="AD202">
        <v>47</v>
      </c>
      <c r="AE202" s="19" t="s">
        <v>60</v>
      </c>
    </row>
    <row r="203" spans="1:31" x14ac:dyDescent="0.2">
      <c r="A203">
        <v>198</v>
      </c>
      <c r="B203" s="19" t="s">
        <v>778</v>
      </c>
      <c r="C203">
        <v>23</v>
      </c>
      <c r="D203" s="19" t="s">
        <v>416</v>
      </c>
      <c r="E203" s="19" t="s">
        <v>322</v>
      </c>
      <c r="F203">
        <v>48</v>
      </c>
      <c r="G203">
        <v>9</v>
      </c>
      <c r="H203">
        <v>16</v>
      </c>
      <c r="I203">
        <v>25</v>
      </c>
      <c r="J203">
        <v>9</v>
      </c>
      <c r="K203">
        <v>61</v>
      </c>
      <c r="L203">
        <v>8</v>
      </c>
      <c r="M203">
        <v>1</v>
      </c>
      <c r="N203">
        <v>0</v>
      </c>
      <c r="O203">
        <v>0</v>
      </c>
      <c r="P203">
        <v>14</v>
      </c>
      <c r="Q203">
        <v>2</v>
      </c>
      <c r="R203">
        <v>0</v>
      </c>
      <c r="S203">
        <v>85</v>
      </c>
      <c r="T203">
        <v>10.6</v>
      </c>
      <c r="U203">
        <v>151</v>
      </c>
      <c r="V203" s="19" t="s">
        <v>2876</v>
      </c>
      <c r="W203" s="19" t="s">
        <v>1714</v>
      </c>
      <c r="X203">
        <v>181</v>
      </c>
      <c r="Y203">
        <v>169</v>
      </c>
      <c r="Z203">
        <v>51.7</v>
      </c>
      <c r="AA203">
        <v>32</v>
      </c>
      <c r="AB203">
        <v>61</v>
      </c>
      <c r="AC203">
        <v>10</v>
      </c>
      <c r="AD203">
        <v>30</v>
      </c>
      <c r="AE203" s="19" t="s">
        <v>60</v>
      </c>
    </row>
    <row r="204" spans="1:31" x14ac:dyDescent="0.2">
      <c r="A204">
        <v>199</v>
      </c>
      <c r="B204" s="19" t="s">
        <v>539</v>
      </c>
      <c r="C204">
        <v>34</v>
      </c>
      <c r="D204" s="19" t="s">
        <v>460</v>
      </c>
      <c r="E204" s="19" t="s">
        <v>339</v>
      </c>
      <c r="F204">
        <v>52</v>
      </c>
      <c r="G204">
        <v>8</v>
      </c>
      <c r="H204">
        <v>17</v>
      </c>
      <c r="I204">
        <v>25</v>
      </c>
      <c r="J204">
        <v>-14</v>
      </c>
      <c r="K204">
        <v>32</v>
      </c>
      <c r="L204">
        <v>6</v>
      </c>
      <c r="M204">
        <v>2</v>
      </c>
      <c r="N204">
        <v>0</v>
      </c>
      <c r="O204">
        <v>0</v>
      </c>
      <c r="P204">
        <v>9</v>
      </c>
      <c r="Q204">
        <v>7</v>
      </c>
      <c r="R204">
        <v>1</v>
      </c>
      <c r="S204">
        <v>81</v>
      </c>
      <c r="T204">
        <v>9.9</v>
      </c>
      <c r="U204">
        <v>166</v>
      </c>
      <c r="V204" s="19" t="s">
        <v>2513</v>
      </c>
      <c r="W204" s="19" t="s">
        <v>1811</v>
      </c>
      <c r="X204">
        <v>301</v>
      </c>
      <c r="Y204">
        <v>295</v>
      </c>
      <c r="Z204">
        <v>50.5</v>
      </c>
      <c r="AA204">
        <v>33</v>
      </c>
      <c r="AB204">
        <v>65</v>
      </c>
      <c r="AC204">
        <v>12</v>
      </c>
      <c r="AD204">
        <v>36</v>
      </c>
      <c r="AE204" s="19" t="s">
        <v>60</v>
      </c>
    </row>
    <row r="205" spans="1:31" x14ac:dyDescent="0.2">
      <c r="A205">
        <v>200</v>
      </c>
      <c r="B205" s="19" t="s">
        <v>708</v>
      </c>
      <c r="C205">
        <v>32</v>
      </c>
      <c r="D205" s="19" t="s">
        <v>380</v>
      </c>
      <c r="E205" s="19" t="s">
        <v>322</v>
      </c>
      <c r="F205">
        <v>38</v>
      </c>
      <c r="G205">
        <v>8</v>
      </c>
      <c r="H205">
        <v>17</v>
      </c>
      <c r="I205">
        <v>25</v>
      </c>
      <c r="J205">
        <v>2</v>
      </c>
      <c r="K205">
        <v>26</v>
      </c>
      <c r="L205">
        <v>7</v>
      </c>
      <c r="M205">
        <v>1</v>
      </c>
      <c r="N205">
        <v>0</v>
      </c>
      <c r="O205">
        <v>2</v>
      </c>
      <c r="P205">
        <v>14</v>
      </c>
      <c r="Q205">
        <v>2</v>
      </c>
      <c r="R205">
        <v>1</v>
      </c>
      <c r="S205">
        <v>83</v>
      </c>
      <c r="T205">
        <v>9.6</v>
      </c>
      <c r="U205">
        <v>168</v>
      </c>
      <c r="V205" s="19" t="s">
        <v>2877</v>
      </c>
      <c r="W205" s="19" t="s">
        <v>1512</v>
      </c>
      <c r="X205">
        <v>82</v>
      </c>
      <c r="Y205">
        <v>71</v>
      </c>
      <c r="Z205">
        <v>53.6</v>
      </c>
      <c r="AA205">
        <v>38</v>
      </c>
      <c r="AB205">
        <v>85</v>
      </c>
      <c r="AC205">
        <v>6</v>
      </c>
      <c r="AD205">
        <v>33</v>
      </c>
      <c r="AE205" s="19" t="s">
        <v>60</v>
      </c>
    </row>
    <row r="206" spans="1:31" x14ac:dyDescent="0.2">
      <c r="A206">
        <v>201</v>
      </c>
      <c r="B206" s="19" t="s">
        <v>645</v>
      </c>
      <c r="C206">
        <v>24</v>
      </c>
      <c r="D206" s="19" t="s">
        <v>419</v>
      </c>
      <c r="E206" s="19" t="s">
        <v>334</v>
      </c>
      <c r="F206">
        <v>51</v>
      </c>
      <c r="G206">
        <v>13</v>
      </c>
      <c r="H206">
        <v>12</v>
      </c>
      <c r="I206">
        <v>25</v>
      </c>
      <c r="J206">
        <v>5</v>
      </c>
      <c r="K206">
        <v>12</v>
      </c>
      <c r="L206">
        <v>11</v>
      </c>
      <c r="M206">
        <v>0</v>
      </c>
      <c r="N206">
        <v>2</v>
      </c>
      <c r="O206">
        <v>1</v>
      </c>
      <c r="P206">
        <v>11</v>
      </c>
      <c r="Q206">
        <v>1</v>
      </c>
      <c r="R206">
        <v>0</v>
      </c>
      <c r="S206">
        <v>120</v>
      </c>
      <c r="T206">
        <v>10.8</v>
      </c>
      <c r="U206">
        <v>262</v>
      </c>
      <c r="V206" s="19" t="s">
        <v>2514</v>
      </c>
      <c r="W206" s="19" t="s">
        <v>535</v>
      </c>
      <c r="X206">
        <v>126</v>
      </c>
      <c r="Y206">
        <v>163</v>
      </c>
      <c r="Z206">
        <v>43.6</v>
      </c>
      <c r="AA206">
        <v>30</v>
      </c>
      <c r="AB206">
        <v>144</v>
      </c>
      <c r="AC206">
        <v>11</v>
      </c>
      <c r="AD206">
        <v>53</v>
      </c>
      <c r="AE206" s="19" t="s">
        <v>60</v>
      </c>
    </row>
    <row r="207" spans="1:31" x14ac:dyDescent="0.2">
      <c r="A207">
        <v>202</v>
      </c>
      <c r="B207" s="19" t="s">
        <v>618</v>
      </c>
      <c r="C207">
        <v>38</v>
      </c>
      <c r="D207" s="19" t="s">
        <v>375</v>
      </c>
      <c r="E207" s="19" t="s">
        <v>348</v>
      </c>
      <c r="F207">
        <v>49</v>
      </c>
      <c r="G207">
        <v>3</v>
      </c>
      <c r="H207">
        <v>22</v>
      </c>
      <c r="I207">
        <v>25</v>
      </c>
      <c r="J207">
        <v>5</v>
      </c>
      <c r="K207">
        <v>22</v>
      </c>
      <c r="L207">
        <v>2</v>
      </c>
      <c r="M207">
        <v>1</v>
      </c>
      <c r="N207">
        <v>0</v>
      </c>
      <c r="O207">
        <v>2</v>
      </c>
      <c r="P207">
        <v>15</v>
      </c>
      <c r="Q207">
        <v>7</v>
      </c>
      <c r="R207">
        <v>0</v>
      </c>
      <c r="S207">
        <v>78</v>
      </c>
      <c r="T207">
        <v>3.8</v>
      </c>
      <c r="U207">
        <v>192</v>
      </c>
      <c r="V207" s="19" t="s">
        <v>2331</v>
      </c>
      <c r="W207" s="19" t="s">
        <v>2096</v>
      </c>
      <c r="X207">
        <v>0</v>
      </c>
      <c r="Y207">
        <v>0</v>
      </c>
      <c r="AA207">
        <v>62</v>
      </c>
      <c r="AB207">
        <v>67</v>
      </c>
      <c r="AC207">
        <v>17</v>
      </c>
      <c r="AD207">
        <v>72</v>
      </c>
      <c r="AE207" s="19" t="s">
        <v>60</v>
      </c>
    </row>
    <row r="208" spans="1:31" x14ac:dyDescent="0.2">
      <c r="A208">
        <v>203</v>
      </c>
      <c r="B208" s="19" t="s">
        <v>551</v>
      </c>
      <c r="C208">
        <v>31</v>
      </c>
      <c r="D208" s="19" t="s">
        <v>380</v>
      </c>
      <c r="E208" s="19" t="s">
        <v>322</v>
      </c>
      <c r="F208">
        <v>48</v>
      </c>
      <c r="G208">
        <v>9</v>
      </c>
      <c r="H208">
        <v>16</v>
      </c>
      <c r="I208">
        <v>25</v>
      </c>
      <c r="J208">
        <v>0</v>
      </c>
      <c r="K208">
        <v>10</v>
      </c>
      <c r="L208">
        <v>8</v>
      </c>
      <c r="M208">
        <v>1</v>
      </c>
      <c r="N208">
        <v>0</v>
      </c>
      <c r="O208">
        <v>3</v>
      </c>
      <c r="P208">
        <v>9</v>
      </c>
      <c r="Q208">
        <v>7</v>
      </c>
      <c r="R208">
        <v>0</v>
      </c>
      <c r="S208">
        <v>77</v>
      </c>
      <c r="T208">
        <v>11.7</v>
      </c>
      <c r="U208">
        <v>138</v>
      </c>
      <c r="V208" s="19" t="s">
        <v>2878</v>
      </c>
      <c r="W208" s="19" t="s">
        <v>1846</v>
      </c>
      <c r="X208">
        <v>446</v>
      </c>
      <c r="Y208">
        <v>398</v>
      </c>
      <c r="Z208">
        <v>52.8</v>
      </c>
      <c r="AA208">
        <v>23</v>
      </c>
      <c r="AB208">
        <v>27</v>
      </c>
      <c r="AC208">
        <v>12</v>
      </c>
      <c r="AD208">
        <v>39</v>
      </c>
      <c r="AE208" s="19" t="s">
        <v>60</v>
      </c>
    </row>
    <row r="209" spans="1:31" x14ac:dyDescent="0.2">
      <c r="A209">
        <v>204</v>
      </c>
      <c r="B209" s="19" t="s">
        <v>620</v>
      </c>
      <c r="C209">
        <v>37</v>
      </c>
      <c r="D209" s="19" t="s">
        <v>416</v>
      </c>
      <c r="E209" s="19" t="s">
        <v>339</v>
      </c>
      <c r="F209">
        <v>49</v>
      </c>
      <c r="G209">
        <v>10</v>
      </c>
      <c r="H209">
        <v>15</v>
      </c>
      <c r="I209">
        <v>25</v>
      </c>
      <c r="J209">
        <v>2</v>
      </c>
      <c r="K209">
        <v>22</v>
      </c>
      <c r="L209">
        <v>7</v>
      </c>
      <c r="M209">
        <v>3</v>
      </c>
      <c r="N209">
        <v>0</v>
      </c>
      <c r="O209">
        <v>1</v>
      </c>
      <c r="P209">
        <v>10</v>
      </c>
      <c r="Q209">
        <v>5</v>
      </c>
      <c r="R209">
        <v>0</v>
      </c>
      <c r="S209">
        <v>69</v>
      </c>
      <c r="T209">
        <v>14.5</v>
      </c>
      <c r="U209">
        <v>126</v>
      </c>
      <c r="V209" s="19" t="s">
        <v>2172</v>
      </c>
      <c r="W209" s="19" t="s">
        <v>1085</v>
      </c>
      <c r="X209">
        <v>3</v>
      </c>
      <c r="Y209">
        <v>5</v>
      </c>
      <c r="Z209">
        <v>37.5</v>
      </c>
      <c r="AA209">
        <v>18</v>
      </c>
      <c r="AB209">
        <v>64</v>
      </c>
      <c r="AC209">
        <v>9</v>
      </c>
      <c r="AD209">
        <v>30</v>
      </c>
      <c r="AE209" s="19" t="s">
        <v>60</v>
      </c>
    </row>
    <row r="210" spans="1:31" x14ac:dyDescent="0.2">
      <c r="A210">
        <v>205</v>
      </c>
      <c r="B210" s="19" t="s">
        <v>663</v>
      </c>
      <c r="C210">
        <v>22</v>
      </c>
      <c r="D210" s="19" t="s">
        <v>396</v>
      </c>
      <c r="E210" s="19" t="s">
        <v>322</v>
      </c>
      <c r="F210">
        <v>52</v>
      </c>
      <c r="G210">
        <v>10</v>
      </c>
      <c r="H210">
        <v>15</v>
      </c>
      <c r="I210">
        <v>25</v>
      </c>
      <c r="J210">
        <v>7</v>
      </c>
      <c r="K210">
        <v>23</v>
      </c>
      <c r="L210">
        <v>10</v>
      </c>
      <c r="M210">
        <v>0</v>
      </c>
      <c r="N210">
        <v>0</v>
      </c>
      <c r="O210">
        <v>1</v>
      </c>
      <c r="P210">
        <v>11</v>
      </c>
      <c r="Q210">
        <v>4</v>
      </c>
      <c r="R210">
        <v>0</v>
      </c>
      <c r="S210">
        <v>105</v>
      </c>
      <c r="T210">
        <v>9.5</v>
      </c>
      <c r="U210">
        <v>197</v>
      </c>
      <c r="V210" s="19" t="s">
        <v>2217</v>
      </c>
      <c r="W210" s="19" t="s">
        <v>905</v>
      </c>
      <c r="X210">
        <v>269</v>
      </c>
      <c r="Y210">
        <v>336</v>
      </c>
      <c r="Z210">
        <v>44.5</v>
      </c>
      <c r="AA210">
        <v>14</v>
      </c>
      <c r="AB210">
        <v>24</v>
      </c>
      <c r="AC210">
        <v>16</v>
      </c>
      <c r="AD210">
        <v>29</v>
      </c>
      <c r="AE210" s="19" t="s">
        <v>60</v>
      </c>
    </row>
    <row r="211" spans="1:31" x14ac:dyDescent="0.2">
      <c r="A211">
        <v>206</v>
      </c>
      <c r="B211" s="19" t="s">
        <v>674</v>
      </c>
      <c r="C211">
        <v>20</v>
      </c>
      <c r="D211" s="19" t="s">
        <v>428</v>
      </c>
      <c r="E211" s="19" t="s">
        <v>339</v>
      </c>
      <c r="F211">
        <v>39</v>
      </c>
      <c r="G211">
        <v>6</v>
      </c>
      <c r="H211">
        <v>18</v>
      </c>
      <c r="I211">
        <v>24</v>
      </c>
      <c r="J211">
        <v>14</v>
      </c>
      <c r="K211">
        <v>20</v>
      </c>
      <c r="L211">
        <v>5</v>
      </c>
      <c r="M211">
        <v>1</v>
      </c>
      <c r="N211">
        <v>0</v>
      </c>
      <c r="O211">
        <v>4</v>
      </c>
      <c r="P211">
        <v>13</v>
      </c>
      <c r="Q211">
        <v>4</v>
      </c>
      <c r="R211">
        <v>1</v>
      </c>
      <c r="S211">
        <v>69</v>
      </c>
      <c r="T211">
        <v>8.6999999999999993</v>
      </c>
      <c r="U211">
        <v>116</v>
      </c>
      <c r="V211" s="19" t="s">
        <v>2515</v>
      </c>
      <c r="W211" s="19" t="s">
        <v>2067</v>
      </c>
      <c r="X211">
        <v>4</v>
      </c>
      <c r="Y211">
        <v>5</v>
      </c>
      <c r="Z211">
        <v>44.4</v>
      </c>
      <c r="AA211">
        <v>15</v>
      </c>
      <c r="AB211">
        <v>19</v>
      </c>
      <c r="AC211">
        <v>15</v>
      </c>
      <c r="AD211">
        <v>29</v>
      </c>
      <c r="AE211" s="19" t="s">
        <v>60</v>
      </c>
    </row>
    <row r="212" spans="1:31" x14ac:dyDescent="0.2">
      <c r="A212">
        <v>207</v>
      </c>
      <c r="B212" s="19" t="s">
        <v>538</v>
      </c>
      <c r="C212">
        <v>26</v>
      </c>
      <c r="D212" s="19" t="s">
        <v>436</v>
      </c>
      <c r="E212" s="19" t="s">
        <v>322</v>
      </c>
      <c r="F212">
        <v>52</v>
      </c>
      <c r="G212">
        <v>10</v>
      </c>
      <c r="H212">
        <v>14</v>
      </c>
      <c r="I212">
        <v>24</v>
      </c>
      <c r="J212">
        <v>-14</v>
      </c>
      <c r="K212">
        <v>20</v>
      </c>
      <c r="L212">
        <v>6</v>
      </c>
      <c r="M212">
        <v>4</v>
      </c>
      <c r="N212">
        <v>0</v>
      </c>
      <c r="O212">
        <v>2</v>
      </c>
      <c r="P212">
        <v>8</v>
      </c>
      <c r="Q212">
        <v>6</v>
      </c>
      <c r="R212">
        <v>0</v>
      </c>
      <c r="S212">
        <v>88</v>
      </c>
      <c r="T212">
        <v>11.4</v>
      </c>
      <c r="U212">
        <v>159</v>
      </c>
      <c r="V212" s="19" t="s">
        <v>2332</v>
      </c>
      <c r="W212" s="19" t="s">
        <v>2022</v>
      </c>
      <c r="X212">
        <v>346</v>
      </c>
      <c r="Y212">
        <v>289</v>
      </c>
      <c r="Z212">
        <v>54.5</v>
      </c>
      <c r="AA212">
        <v>22</v>
      </c>
      <c r="AB212">
        <v>33</v>
      </c>
      <c r="AC212">
        <v>11</v>
      </c>
      <c r="AD212">
        <v>32</v>
      </c>
      <c r="AE212" s="19" t="s">
        <v>60</v>
      </c>
    </row>
    <row r="213" spans="1:31" x14ac:dyDescent="0.2">
      <c r="A213">
        <v>208</v>
      </c>
      <c r="B213" s="19" t="s">
        <v>780</v>
      </c>
      <c r="C213">
        <v>31</v>
      </c>
      <c r="D213" s="19" t="s">
        <v>356</v>
      </c>
      <c r="E213" s="19" t="s">
        <v>334</v>
      </c>
      <c r="F213">
        <v>50</v>
      </c>
      <c r="G213">
        <v>14</v>
      </c>
      <c r="H213">
        <v>10</v>
      </c>
      <c r="I213">
        <v>24</v>
      </c>
      <c r="J213">
        <v>-1</v>
      </c>
      <c r="K213">
        <v>25</v>
      </c>
      <c r="L213">
        <v>9</v>
      </c>
      <c r="M213">
        <v>5</v>
      </c>
      <c r="N213">
        <v>0</v>
      </c>
      <c r="O213">
        <v>3</v>
      </c>
      <c r="P213">
        <v>9</v>
      </c>
      <c r="Q213">
        <v>1</v>
      </c>
      <c r="R213">
        <v>0</v>
      </c>
      <c r="S213">
        <v>102</v>
      </c>
      <c r="T213">
        <v>13.7</v>
      </c>
      <c r="U213">
        <v>215</v>
      </c>
      <c r="V213" s="19" t="s">
        <v>2516</v>
      </c>
      <c r="W213" s="19" t="s">
        <v>1934</v>
      </c>
      <c r="X213">
        <v>279</v>
      </c>
      <c r="Y213">
        <v>381</v>
      </c>
      <c r="Z213">
        <v>42.3</v>
      </c>
      <c r="AA213">
        <v>64</v>
      </c>
      <c r="AB213">
        <v>43</v>
      </c>
      <c r="AC213">
        <v>17</v>
      </c>
      <c r="AD213">
        <v>37</v>
      </c>
      <c r="AE213" s="19" t="s">
        <v>60</v>
      </c>
    </row>
    <row r="214" spans="1:31" x14ac:dyDescent="0.2">
      <c r="A214">
        <v>209</v>
      </c>
      <c r="B214" s="19" t="s">
        <v>543</v>
      </c>
      <c r="C214">
        <v>31</v>
      </c>
      <c r="D214" s="19" t="s">
        <v>372</v>
      </c>
      <c r="E214" s="19" t="s">
        <v>348</v>
      </c>
      <c r="F214">
        <v>40</v>
      </c>
      <c r="G214">
        <v>6</v>
      </c>
      <c r="H214">
        <v>18</v>
      </c>
      <c r="I214">
        <v>24</v>
      </c>
      <c r="J214">
        <v>-2</v>
      </c>
      <c r="K214">
        <v>16</v>
      </c>
      <c r="L214">
        <v>1</v>
      </c>
      <c r="M214">
        <v>5</v>
      </c>
      <c r="N214">
        <v>0</v>
      </c>
      <c r="O214">
        <v>0</v>
      </c>
      <c r="P214">
        <v>10</v>
      </c>
      <c r="Q214">
        <v>8</v>
      </c>
      <c r="R214">
        <v>0</v>
      </c>
      <c r="S214">
        <v>78</v>
      </c>
      <c r="T214">
        <v>7.7</v>
      </c>
      <c r="U214">
        <v>194</v>
      </c>
      <c r="V214" s="19" t="s">
        <v>1770</v>
      </c>
      <c r="W214" s="19" t="s">
        <v>1733</v>
      </c>
      <c r="X214">
        <v>0</v>
      </c>
      <c r="Y214">
        <v>0</v>
      </c>
      <c r="AA214">
        <v>47</v>
      </c>
      <c r="AB214">
        <v>38</v>
      </c>
      <c r="AC214">
        <v>10</v>
      </c>
      <c r="AD214">
        <v>52</v>
      </c>
      <c r="AE214" s="19" t="s">
        <v>60</v>
      </c>
    </row>
    <row r="215" spans="1:31" x14ac:dyDescent="0.2">
      <c r="A215">
        <v>210</v>
      </c>
      <c r="B215" s="19" t="s">
        <v>564</v>
      </c>
      <c r="C215">
        <v>34</v>
      </c>
      <c r="D215" s="19" t="s">
        <v>447</v>
      </c>
      <c r="E215" s="19" t="s">
        <v>339</v>
      </c>
      <c r="F215">
        <v>52</v>
      </c>
      <c r="G215">
        <v>9</v>
      </c>
      <c r="H215">
        <v>15</v>
      </c>
      <c r="I215">
        <v>24</v>
      </c>
      <c r="J215">
        <v>-18</v>
      </c>
      <c r="K215">
        <v>64</v>
      </c>
      <c r="L215">
        <v>7</v>
      </c>
      <c r="M215">
        <v>2</v>
      </c>
      <c r="N215">
        <v>0</v>
      </c>
      <c r="O215">
        <v>1</v>
      </c>
      <c r="P215">
        <v>11</v>
      </c>
      <c r="Q215">
        <v>4</v>
      </c>
      <c r="R215">
        <v>0</v>
      </c>
      <c r="S215">
        <v>125</v>
      </c>
      <c r="T215">
        <v>7.2</v>
      </c>
      <c r="U215">
        <v>278</v>
      </c>
      <c r="V215" s="19" t="s">
        <v>2086</v>
      </c>
      <c r="W215" s="19" t="s">
        <v>1518</v>
      </c>
      <c r="X215">
        <v>17</v>
      </c>
      <c r="Y215">
        <v>29</v>
      </c>
      <c r="Z215">
        <v>37</v>
      </c>
      <c r="AA215">
        <v>18</v>
      </c>
      <c r="AB215">
        <v>88</v>
      </c>
      <c r="AC215">
        <v>11</v>
      </c>
      <c r="AD215">
        <v>53</v>
      </c>
      <c r="AE215" s="19" t="s">
        <v>60</v>
      </c>
    </row>
    <row r="216" spans="1:31" x14ac:dyDescent="0.2">
      <c r="A216">
        <v>211</v>
      </c>
      <c r="B216" s="19" t="s">
        <v>710</v>
      </c>
      <c r="C216">
        <v>26</v>
      </c>
      <c r="D216" s="19" t="s">
        <v>447</v>
      </c>
      <c r="E216" s="19" t="s">
        <v>322</v>
      </c>
      <c r="F216">
        <v>50</v>
      </c>
      <c r="G216">
        <v>11</v>
      </c>
      <c r="H216">
        <v>13</v>
      </c>
      <c r="I216">
        <v>24</v>
      </c>
      <c r="J216">
        <v>-8</v>
      </c>
      <c r="K216">
        <v>26</v>
      </c>
      <c r="L216">
        <v>9</v>
      </c>
      <c r="M216">
        <v>2</v>
      </c>
      <c r="N216">
        <v>0</v>
      </c>
      <c r="O216">
        <v>1</v>
      </c>
      <c r="P216">
        <v>13</v>
      </c>
      <c r="Q216">
        <v>0</v>
      </c>
      <c r="R216">
        <v>0</v>
      </c>
      <c r="S216">
        <v>78</v>
      </c>
      <c r="T216">
        <v>14.1</v>
      </c>
      <c r="U216">
        <v>142</v>
      </c>
      <c r="V216" s="19" t="s">
        <v>2517</v>
      </c>
      <c r="W216" s="19" t="s">
        <v>832</v>
      </c>
      <c r="X216">
        <v>11</v>
      </c>
      <c r="Y216">
        <v>25</v>
      </c>
      <c r="Z216">
        <v>30.6</v>
      </c>
      <c r="AA216">
        <v>12</v>
      </c>
      <c r="AB216">
        <v>63</v>
      </c>
      <c r="AC216">
        <v>12</v>
      </c>
      <c r="AD216">
        <v>29</v>
      </c>
      <c r="AE216" s="19" t="s">
        <v>60</v>
      </c>
    </row>
    <row r="217" spans="1:31" x14ac:dyDescent="0.2">
      <c r="A217">
        <v>212</v>
      </c>
      <c r="B217" s="19" t="s">
        <v>544</v>
      </c>
      <c r="C217">
        <v>27</v>
      </c>
      <c r="D217" s="19" t="s">
        <v>513</v>
      </c>
      <c r="E217" s="19" t="s">
        <v>322</v>
      </c>
      <c r="F217">
        <v>43</v>
      </c>
      <c r="G217">
        <v>11</v>
      </c>
      <c r="H217">
        <v>13</v>
      </c>
      <c r="I217">
        <v>24</v>
      </c>
      <c r="J217">
        <v>-7</v>
      </c>
      <c r="K217">
        <v>2</v>
      </c>
      <c r="L217">
        <v>9</v>
      </c>
      <c r="M217">
        <v>2</v>
      </c>
      <c r="N217">
        <v>0</v>
      </c>
      <c r="O217">
        <v>0</v>
      </c>
      <c r="P217">
        <v>7</v>
      </c>
      <c r="Q217">
        <v>6</v>
      </c>
      <c r="R217">
        <v>0</v>
      </c>
      <c r="S217">
        <v>107</v>
      </c>
      <c r="T217">
        <v>10.3</v>
      </c>
      <c r="U217">
        <v>223</v>
      </c>
      <c r="V217" s="19" t="s">
        <v>2518</v>
      </c>
      <c r="W217" s="19" t="s">
        <v>1942</v>
      </c>
      <c r="X217">
        <v>2</v>
      </c>
      <c r="Y217">
        <v>7</v>
      </c>
      <c r="Z217">
        <v>22.2</v>
      </c>
      <c r="AA217">
        <v>16</v>
      </c>
      <c r="AB217">
        <v>9</v>
      </c>
      <c r="AC217">
        <v>15</v>
      </c>
      <c r="AD217">
        <v>22</v>
      </c>
      <c r="AE217" s="19" t="s">
        <v>60</v>
      </c>
    </row>
    <row r="218" spans="1:31" x14ac:dyDescent="0.2">
      <c r="A218">
        <v>213</v>
      </c>
      <c r="B218" s="19" t="s">
        <v>566</v>
      </c>
      <c r="C218">
        <v>27</v>
      </c>
      <c r="D218" s="19" t="s">
        <v>321</v>
      </c>
      <c r="E218" s="19" t="s">
        <v>348</v>
      </c>
      <c r="F218">
        <v>51</v>
      </c>
      <c r="G218">
        <v>3</v>
      </c>
      <c r="H218">
        <v>21</v>
      </c>
      <c r="I218">
        <v>24</v>
      </c>
      <c r="J218">
        <v>26</v>
      </c>
      <c r="K218">
        <v>14</v>
      </c>
      <c r="L218">
        <v>3</v>
      </c>
      <c r="M218">
        <v>0</v>
      </c>
      <c r="N218">
        <v>0</v>
      </c>
      <c r="O218">
        <v>1</v>
      </c>
      <c r="P218">
        <v>20</v>
      </c>
      <c r="Q218">
        <v>1</v>
      </c>
      <c r="R218">
        <v>0</v>
      </c>
      <c r="S218">
        <v>100</v>
      </c>
      <c r="T218">
        <v>3</v>
      </c>
      <c r="U218">
        <v>237</v>
      </c>
      <c r="V218" s="19" t="s">
        <v>2272</v>
      </c>
      <c r="W218" s="19" t="s">
        <v>1941</v>
      </c>
      <c r="X218">
        <v>0</v>
      </c>
      <c r="Y218">
        <v>0</v>
      </c>
      <c r="AA218">
        <v>57</v>
      </c>
      <c r="AB218">
        <v>25</v>
      </c>
      <c r="AC218">
        <v>15</v>
      </c>
      <c r="AD218">
        <v>50</v>
      </c>
      <c r="AE218" s="19" t="s">
        <v>60</v>
      </c>
    </row>
    <row r="219" spans="1:31" x14ac:dyDescent="0.2">
      <c r="A219">
        <v>214</v>
      </c>
      <c r="B219" s="19" t="s">
        <v>594</v>
      </c>
      <c r="C219">
        <v>28</v>
      </c>
      <c r="D219" s="19" t="s">
        <v>404</v>
      </c>
      <c r="E219" s="19" t="s">
        <v>348</v>
      </c>
      <c r="F219">
        <v>53</v>
      </c>
      <c r="G219">
        <v>4</v>
      </c>
      <c r="H219">
        <v>20</v>
      </c>
      <c r="I219">
        <v>24</v>
      </c>
      <c r="J219">
        <v>34</v>
      </c>
      <c r="K219">
        <v>10</v>
      </c>
      <c r="L219">
        <v>3</v>
      </c>
      <c r="M219">
        <v>0</v>
      </c>
      <c r="N219">
        <v>1</v>
      </c>
      <c r="O219">
        <v>2</v>
      </c>
      <c r="P219">
        <v>20</v>
      </c>
      <c r="Q219">
        <v>0</v>
      </c>
      <c r="R219">
        <v>0</v>
      </c>
      <c r="S219">
        <v>44</v>
      </c>
      <c r="T219">
        <v>9.1</v>
      </c>
      <c r="U219">
        <v>126</v>
      </c>
      <c r="V219" s="19" t="s">
        <v>2519</v>
      </c>
      <c r="W219" s="19" t="s">
        <v>426</v>
      </c>
      <c r="X219">
        <v>0</v>
      </c>
      <c r="Y219">
        <v>0</v>
      </c>
      <c r="AA219">
        <v>48</v>
      </c>
      <c r="AB219">
        <v>19</v>
      </c>
      <c r="AC219">
        <v>13</v>
      </c>
      <c r="AD219">
        <v>66</v>
      </c>
      <c r="AE219" s="19" t="s">
        <v>60</v>
      </c>
    </row>
    <row r="220" spans="1:31" x14ac:dyDescent="0.2">
      <c r="A220">
        <v>215</v>
      </c>
      <c r="B220" s="19" t="s">
        <v>649</v>
      </c>
      <c r="C220">
        <v>27</v>
      </c>
      <c r="D220" s="19" t="s">
        <v>354</v>
      </c>
      <c r="E220" s="19" t="s">
        <v>322</v>
      </c>
      <c r="F220">
        <v>44</v>
      </c>
      <c r="G220">
        <v>10</v>
      </c>
      <c r="H220">
        <v>14</v>
      </c>
      <c r="I220">
        <v>24</v>
      </c>
      <c r="J220">
        <v>-1</v>
      </c>
      <c r="K220">
        <v>4</v>
      </c>
      <c r="L220">
        <v>9</v>
      </c>
      <c r="M220">
        <v>1</v>
      </c>
      <c r="N220">
        <v>0</v>
      </c>
      <c r="O220">
        <v>0</v>
      </c>
      <c r="P220">
        <v>10</v>
      </c>
      <c r="Q220">
        <v>4</v>
      </c>
      <c r="R220">
        <v>0</v>
      </c>
      <c r="S220">
        <v>50</v>
      </c>
      <c r="T220">
        <v>20</v>
      </c>
      <c r="U220">
        <v>94</v>
      </c>
      <c r="V220" s="19" t="s">
        <v>2520</v>
      </c>
      <c r="W220" s="19" t="s">
        <v>548</v>
      </c>
      <c r="X220">
        <v>81</v>
      </c>
      <c r="Y220">
        <v>72</v>
      </c>
      <c r="Z220">
        <v>52.9</v>
      </c>
      <c r="AA220">
        <v>15</v>
      </c>
      <c r="AB220">
        <v>12</v>
      </c>
      <c r="AC220">
        <v>6</v>
      </c>
      <c r="AD220">
        <v>52</v>
      </c>
      <c r="AE220" s="19" t="s">
        <v>60</v>
      </c>
    </row>
    <row r="221" spans="1:31" x14ac:dyDescent="0.2">
      <c r="A221">
        <v>216</v>
      </c>
      <c r="B221" s="19" t="s">
        <v>502</v>
      </c>
      <c r="C221">
        <v>30</v>
      </c>
      <c r="D221" s="19" t="s">
        <v>321</v>
      </c>
      <c r="E221" s="19" t="s">
        <v>334</v>
      </c>
      <c r="F221">
        <v>51</v>
      </c>
      <c r="G221">
        <v>10</v>
      </c>
      <c r="H221">
        <v>14</v>
      </c>
      <c r="I221">
        <v>24</v>
      </c>
      <c r="J221">
        <v>1</v>
      </c>
      <c r="K221">
        <v>6</v>
      </c>
      <c r="L221">
        <v>8</v>
      </c>
      <c r="M221">
        <v>2</v>
      </c>
      <c r="N221">
        <v>0</v>
      </c>
      <c r="O221">
        <v>3</v>
      </c>
      <c r="P221">
        <v>9</v>
      </c>
      <c r="Q221">
        <v>5</v>
      </c>
      <c r="R221">
        <v>0</v>
      </c>
      <c r="S221">
        <v>97</v>
      </c>
      <c r="T221">
        <v>10.3</v>
      </c>
      <c r="U221">
        <v>180</v>
      </c>
      <c r="V221" s="19" t="s">
        <v>2879</v>
      </c>
      <c r="W221" s="19" t="s">
        <v>2216</v>
      </c>
      <c r="X221">
        <v>3</v>
      </c>
      <c r="Y221">
        <v>5</v>
      </c>
      <c r="Z221">
        <v>37.5</v>
      </c>
      <c r="AA221">
        <v>12</v>
      </c>
      <c r="AB221">
        <v>8</v>
      </c>
      <c r="AC221">
        <v>9</v>
      </c>
      <c r="AD221">
        <v>37</v>
      </c>
      <c r="AE221" s="19" t="s">
        <v>60</v>
      </c>
    </row>
    <row r="222" spans="1:31" x14ac:dyDescent="0.2">
      <c r="A222">
        <v>217</v>
      </c>
      <c r="B222" s="19" t="s">
        <v>661</v>
      </c>
      <c r="C222">
        <v>24</v>
      </c>
      <c r="D222" s="19" t="s">
        <v>358</v>
      </c>
      <c r="E222" s="19" t="s">
        <v>339</v>
      </c>
      <c r="F222">
        <v>50</v>
      </c>
      <c r="G222">
        <v>11</v>
      </c>
      <c r="H222">
        <v>13</v>
      </c>
      <c r="I222">
        <v>24</v>
      </c>
      <c r="J222">
        <v>-3</v>
      </c>
      <c r="K222">
        <v>2</v>
      </c>
      <c r="L222">
        <v>9</v>
      </c>
      <c r="M222">
        <v>2</v>
      </c>
      <c r="N222">
        <v>0</v>
      </c>
      <c r="O222">
        <v>1</v>
      </c>
      <c r="P222">
        <v>11</v>
      </c>
      <c r="Q222">
        <v>2</v>
      </c>
      <c r="R222">
        <v>0</v>
      </c>
      <c r="S222">
        <v>79</v>
      </c>
      <c r="T222">
        <v>13.9</v>
      </c>
      <c r="U222">
        <v>139</v>
      </c>
      <c r="V222" s="19" t="s">
        <v>2521</v>
      </c>
      <c r="W222" s="19" t="s">
        <v>1534</v>
      </c>
      <c r="X222">
        <v>8</v>
      </c>
      <c r="Y222">
        <v>7</v>
      </c>
      <c r="Z222">
        <v>53.3</v>
      </c>
      <c r="AA222">
        <v>25</v>
      </c>
      <c r="AB222">
        <v>54</v>
      </c>
      <c r="AC222">
        <v>16</v>
      </c>
      <c r="AD222">
        <v>46</v>
      </c>
      <c r="AE222" s="19" t="s">
        <v>60</v>
      </c>
    </row>
    <row r="223" spans="1:31" x14ac:dyDescent="0.2">
      <c r="A223">
        <v>218</v>
      </c>
      <c r="B223" s="19" t="s">
        <v>840</v>
      </c>
      <c r="C223">
        <v>23</v>
      </c>
      <c r="D223" s="19" t="s">
        <v>365</v>
      </c>
      <c r="E223" s="19" t="s">
        <v>334</v>
      </c>
      <c r="F223">
        <v>50</v>
      </c>
      <c r="G223">
        <v>11</v>
      </c>
      <c r="H223">
        <v>13</v>
      </c>
      <c r="I223">
        <v>24</v>
      </c>
      <c r="J223">
        <v>13</v>
      </c>
      <c r="K223">
        <v>21</v>
      </c>
      <c r="L223">
        <v>9</v>
      </c>
      <c r="M223">
        <v>2</v>
      </c>
      <c r="N223">
        <v>0</v>
      </c>
      <c r="O223">
        <v>0</v>
      </c>
      <c r="P223">
        <v>13</v>
      </c>
      <c r="Q223">
        <v>0</v>
      </c>
      <c r="R223">
        <v>0</v>
      </c>
      <c r="S223">
        <v>70</v>
      </c>
      <c r="T223">
        <v>15.7</v>
      </c>
      <c r="U223">
        <v>149</v>
      </c>
      <c r="V223" s="19" t="s">
        <v>2522</v>
      </c>
      <c r="W223" s="19" t="s">
        <v>1737</v>
      </c>
      <c r="X223">
        <v>204</v>
      </c>
      <c r="Y223">
        <v>233</v>
      </c>
      <c r="Z223">
        <v>46.7</v>
      </c>
      <c r="AA223">
        <v>22</v>
      </c>
      <c r="AB223">
        <v>60</v>
      </c>
      <c r="AC223">
        <v>11</v>
      </c>
      <c r="AD223">
        <v>31</v>
      </c>
      <c r="AE223" s="19" t="s">
        <v>60</v>
      </c>
    </row>
    <row r="224" spans="1:31" x14ac:dyDescent="0.2">
      <c r="A224">
        <v>219</v>
      </c>
      <c r="B224" s="19" t="s">
        <v>843</v>
      </c>
      <c r="C224">
        <v>36</v>
      </c>
      <c r="D224" s="19" t="s">
        <v>370</v>
      </c>
      <c r="E224" s="19" t="s">
        <v>339</v>
      </c>
      <c r="F224">
        <v>45</v>
      </c>
      <c r="G224">
        <v>14</v>
      </c>
      <c r="H224">
        <v>10</v>
      </c>
      <c r="I224">
        <v>24</v>
      </c>
      <c r="J224">
        <v>-9</v>
      </c>
      <c r="K224">
        <v>12</v>
      </c>
      <c r="L224">
        <v>8</v>
      </c>
      <c r="M224">
        <v>6</v>
      </c>
      <c r="N224">
        <v>0</v>
      </c>
      <c r="O224">
        <v>1</v>
      </c>
      <c r="P224">
        <v>7</v>
      </c>
      <c r="Q224">
        <v>3</v>
      </c>
      <c r="R224">
        <v>0</v>
      </c>
      <c r="S224">
        <v>76</v>
      </c>
      <c r="T224">
        <v>18.399999999999999</v>
      </c>
      <c r="U224">
        <v>145</v>
      </c>
      <c r="V224" s="19" t="s">
        <v>2103</v>
      </c>
      <c r="W224" s="19" t="s">
        <v>1950</v>
      </c>
      <c r="X224">
        <v>3</v>
      </c>
      <c r="Y224">
        <v>4</v>
      </c>
      <c r="Z224">
        <v>42.9</v>
      </c>
      <c r="AA224">
        <v>23</v>
      </c>
      <c r="AB224">
        <v>8</v>
      </c>
      <c r="AC224">
        <v>7</v>
      </c>
      <c r="AD224">
        <v>26</v>
      </c>
      <c r="AE224" s="19" t="s">
        <v>60</v>
      </c>
    </row>
    <row r="225" spans="1:31" x14ac:dyDescent="0.2">
      <c r="A225">
        <v>220</v>
      </c>
      <c r="B225" s="19" t="s">
        <v>681</v>
      </c>
      <c r="C225">
        <v>30</v>
      </c>
      <c r="D225" s="19" t="s">
        <v>948</v>
      </c>
      <c r="E225" s="19" t="s">
        <v>325</v>
      </c>
      <c r="F225">
        <v>39</v>
      </c>
      <c r="G225">
        <v>12</v>
      </c>
      <c r="H225">
        <v>12</v>
      </c>
      <c r="I225">
        <v>24</v>
      </c>
      <c r="J225">
        <v>1</v>
      </c>
      <c r="K225">
        <v>40</v>
      </c>
      <c r="L225">
        <v>10</v>
      </c>
      <c r="M225">
        <v>2</v>
      </c>
      <c r="N225">
        <v>0</v>
      </c>
      <c r="O225">
        <v>2</v>
      </c>
      <c r="P225">
        <v>9</v>
      </c>
      <c r="Q225">
        <v>3</v>
      </c>
      <c r="R225">
        <v>0</v>
      </c>
      <c r="S225">
        <v>66</v>
      </c>
      <c r="T225">
        <v>18.2</v>
      </c>
      <c r="U225">
        <v>151</v>
      </c>
      <c r="V225" s="19" t="s">
        <v>2880</v>
      </c>
      <c r="W225" s="19" t="s">
        <v>1012</v>
      </c>
      <c r="X225">
        <v>14</v>
      </c>
      <c r="Y225">
        <v>24</v>
      </c>
      <c r="Z225">
        <v>36.799999999999997</v>
      </c>
      <c r="AA225">
        <v>13</v>
      </c>
      <c r="AB225">
        <v>46</v>
      </c>
      <c r="AC225">
        <v>13</v>
      </c>
      <c r="AD225">
        <v>50</v>
      </c>
      <c r="AE225" s="19" t="s">
        <v>60</v>
      </c>
    </row>
    <row r="226" spans="1:31" x14ac:dyDescent="0.2">
      <c r="A226">
        <v>220</v>
      </c>
      <c r="B226" s="19" t="s">
        <v>681</v>
      </c>
      <c r="C226">
        <v>30</v>
      </c>
      <c r="D226" s="19" t="s">
        <v>531</v>
      </c>
      <c r="E226" s="19" t="s">
        <v>325</v>
      </c>
      <c r="F226">
        <v>29</v>
      </c>
      <c r="G226">
        <v>4</v>
      </c>
      <c r="H226">
        <v>9</v>
      </c>
      <c r="I226">
        <v>13</v>
      </c>
      <c r="J226">
        <v>-4</v>
      </c>
      <c r="K226">
        <v>26</v>
      </c>
      <c r="L226">
        <v>4</v>
      </c>
      <c r="M226">
        <v>0</v>
      </c>
      <c r="N226">
        <v>0</v>
      </c>
      <c r="O226">
        <v>1</v>
      </c>
      <c r="P226">
        <v>6</v>
      </c>
      <c r="Q226">
        <v>3</v>
      </c>
      <c r="R226">
        <v>0</v>
      </c>
      <c r="S226">
        <v>46</v>
      </c>
      <c r="T226">
        <v>8.6999999999999993</v>
      </c>
      <c r="U226">
        <v>109</v>
      </c>
      <c r="V226" s="19" t="s">
        <v>1591</v>
      </c>
      <c r="W226" s="19" t="s">
        <v>924</v>
      </c>
      <c r="X226">
        <v>10</v>
      </c>
      <c r="Y226">
        <v>21</v>
      </c>
      <c r="Z226">
        <v>32.299999999999997</v>
      </c>
      <c r="AA226">
        <v>10</v>
      </c>
      <c r="AB226">
        <v>38</v>
      </c>
      <c r="AC226">
        <v>9</v>
      </c>
      <c r="AD226">
        <v>39</v>
      </c>
      <c r="AE226" s="19" t="s">
        <v>60</v>
      </c>
    </row>
    <row r="227" spans="1:31" x14ac:dyDescent="0.2">
      <c r="A227">
        <v>220</v>
      </c>
      <c r="B227" s="19" t="s">
        <v>681</v>
      </c>
      <c r="C227">
        <v>30</v>
      </c>
      <c r="D227" s="19" t="s">
        <v>380</v>
      </c>
      <c r="E227" s="19" t="s">
        <v>325</v>
      </c>
      <c r="F227">
        <v>10</v>
      </c>
      <c r="G227">
        <v>8</v>
      </c>
      <c r="H227">
        <v>3</v>
      </c>
      <c r="I227">
        <v>11</v>
      </c>
      <c r="J227">
        <v>5</v>
      </c>
      <c r="K227">
        <v>14</v>
      </c>
      <c r="L227">
        <v>6</v>
      </c>
      <c r="M227">
        <v>2</v>
      </c>
      <c r="N227">
        <v>0</v>
      </c>
      <c r="O227">
        <v>1</v>
      </c>
      <c r="P227">
        <v>3</v>
      </c>
      <c r="Q227">
        <v>0</v>
      </c>
      <c r="R227">
        <v>0</v>
      </c>
      <c r="S227">
        <v>20</v>
      </c>
      <c r="T227">
        <v>40</v>
      </c>
      <c r="U227">
        <v>42</v>
      </c>
      <c r="V227" s="19" t="s">
        <v>2881</v>
      </c>
      <c r="W227" s="19" t="s">
        <v>2012</v>
      </c>
      <c r="X227">
        <v>4</v>
      </c>
      <c r="Y227">
        <v>3</v>
      </c>
      <c r="Z227">
        <v>57.1</v>
      </c>
      <c r="AA227">
        <v>3</v>
      </c>
      <c r="AB227">
        <v>8</v>
      </c>
      <c r="AC227">
        <v>4</v>
      </c>
      <c r="AD227">
        <v>11</v>
      </c>
      <c r="AE227" s="19" t="s">
        <v>60</v>
      </c>
    </row>
    <row r="228" spans="1:31" x14ac:dyDescent="0.2">
      <c r="A228">
        <v>221</v>
      </c>
      <c r="B228" s="19" t="s">
        <v>735</v>
      </c>
      <c r="C228">
        <v>30</v>
      </c>
      <c r="D228" s="19" t="s">
        <v>351</v>
      </c>
      <c r="E228" s="19" t="s">
        <v>334</v>
      </c>
      <c r="F228">
        <v>51</v>
      </c>
      <c r="G228">
        <v>7</v>
      </c>
      <c r="H228">
        <v>16</v>
      </c>
      <c r="I228">
        <v>23</v>
      </c>
      <c r="J228">
        <v>-9</v>
      </c>
      <c r="K228">
        <v>10</v>
      </c>
      <c r="L228">
        <v>1</v>
      </c>
      <c r="M228">
        <v>6</v>
      </c>
      <c r="N228">
        <v>0</v>
      </c>
      <c r="O228">
        <v>1</v>
      </c>
      <c r="P228">
        <v>11</v>
      </c>
      <c r="Q228">
        <v>5</v>
      </c>
      <c r="R228">
        <v>0</v>
      </c>
      <c r="S228">
        <v>82</v>
      </c>
      <c r="T228">
        <v>8.5</v>
      </c>
      <c r="U228">
        <v>188</v>
      </c>
      <c r="V228" s="19" t="s">
        <v>2523</v>
      </c>
      <c r="W228" s="19" t="s">
        <v>1680</v>
      </c>
      <c r="X228">
        <v>5</v>
      </c>
      <c r="Y228">
        <v>7</v>
      </c>
      <c r="Z228">
        <v>41.7</v>
      </c>
      <c r="AA228">
        <v>19</v>
      </c>
      <c r="AB228">
        <v>41</v>
      </c>
      <c r="AC228">
        <v>10</v>
      </c>
      <c r="AD228">
        <v>27</v>
      </c>
      <c r="AE228" s="19" t="s">
        <v>60</v>
      </c>
    </row>
    <row r="229" spans="1:31" x14ac:dyDescent="0.2">
      <c r="A229">
        <v>222</v>
      </c>
      <c r="B229" s="19" t="s">
        <v>432</v>
      </c>
      <c r="C229">
        <v>21</v>
      </c>
      <c r="D229" s="19" t="s">
        <v>404</v>
      </c>
      <c r="E229" s="19" t="s">
        <v>322</v>
      </c>
      <c r="F229">
        <v>29</v>
      </c>
      <c r="G229">
        <v>14</v>
      </c>
      <c r="H229">
        <v>9</v>
      </c>
      <c r="I229">
        <v>23</v>
      </c>
      <c r="J229">
        <v>6</v>
      </c>
      <c r="K229">
        <v>22</v>
      </c>
      <c r="L229">
        <v>10</v>
      </c>
      <c r="M229">
        <v>3</v>
      </c>
      <c r="N229">
        <v>1</v>
      </c>
      <c r="O229">
        <v>1</v>
      </c>
      <c r="P229">
        <v>8</v>
      </c>
      <c r="Q229">
        <v>1</v>
      </c>
      <c r="R229">
        <v>0</v>
      </c>
      <c r="S229">
        <v>59</v>
      </c>
      <c r="T229">
        <v>23.7</v>
      </c>
      <c r="U229">
        <v>101</v>
      </c>
      <c r="V229" s="19" t="s">
        <v>433</v>
      </c>
      <c r="W229" s="19" t="s">
        <v>434</v>
      </c>
      <c r="X229">
        <v>133</v>
      </c>
      <c r="Y229">
        <v>189</v>
      </c>
      <c r="Z229">
        <v>41.3</v>
      </c>
      <c r="AA229">
        <v>13</v>
      </c>
      <c r="AB229">
        <v>34</v>
      </c>
      <c r="AC229">
        <v>11</v>
      </c>
      <c r="AD229">
        <v>37</v>
      </c>
      <c r="AE229" s="19" t="s">
        <v>60</v>
      </c>
    </row>
    <row r="230" spans="1:31" x14ac:dyDescent="0.2">
      <c r="A230">
        <v>223</v>
      </c>
      <c r="B230" s="19" t="s">
        <v>676</v>
      </c>
      <c r="C230">
        <v>30</v>
      </c>
      <c r="D230" s="19" t="s">
        <v>383</v>
      </c>
      <c r="E230" s="19" t="s">
        <v>348</v>
      </c>
      <c r="F230">
        <v>53</v>
      </c>
      <c r="G230">
        <v>4</v>
      </c>
      <c r="H230">
        <v>19</v>
      </c>
      <c r="I230">
        <v>23</v>
      </c>
      <c r="J230">
        <v>-1</v>
      </c>
      <c r="K230">
        <v>33</v>
      </c>
      <c r="L230">
        <v>3</v>
      </c>
      <c r="M230">
        <v>1</v>
      </c>
      <c r="N230">
        <v>0</v>
      </c>
      <c r="O230">
        <v>1</v>
      </c>
      <c r="P230">
        <v>16</v>
      </c>
      <c r="Q230">
        <v>3</v>
      </c>
      <c r="R230">
        <v>0</v>
      </c>
      <c r="S230">
        <v>104</v>
      </c>
      <c r="T230">
        <v>3.8</v>
      </c>
      <c r="U230">
        <v>223</v>
      </c>
      <c r="V230" s="19" t="s">
        <v>2882</v>
      </c>
      <c r="W230" s="19" t="s">
        <v>1473</v>
      </c>
      <c r="X230">
        <v>0</v>
      </c>
      <c r="Y230">
        <v>0</v>
      </c>
      <c r="AA230">
        <v>45</v>
      </c>
      <c r="AB230">
        <v>21</v>
      </c>
      <c r="AC230">
        <v>13</v>
      </c>
      <c r="AD230">
        <v>75</v>
      </c>
      <c r="AE230" s="19" t="s">
        <v>60</v>
      </c>
    </row>
    <row r="231" spans="1:31" x14ac:dyDescent="0.2">
      <c r="A231">
        <v>224</v>
      </c>
      <c r="B231" s="19" t="s">
        <v>540</v>
      </c>
      <c r="C231">
        <v>24</v>
      </c>
      <c r="D231" s="19" t="s">
        <v>383</v>
      </c>
      <c r="E231" s="19" t="s">
        <v>339</v>
      </c>
      <c r="F231">
        <v>53</v>
      </c>
      <c r="G231">
        <v>15</v>
      </c>
      <c r="H231">
        <v>8</v>
      </c>
      <c r="I231">
        <v>23</v>
      </c>
      <c r="J231">
        <v>-4</v>
      </c>
      <c r="K231">
        <v>14</v>
      </c>
      <c r="L231">
        <v>13</v>
      </c>
      <c r="M231">
        <v>2</v>
      </c>
      <c r="N231">
        <v>0</v>
      </c>
      <c r="O231">
        <v>0</v>
      </c>
      <c r="P231">
        <v>8</v>
      </c>
      <c r="Q231">
        <v>0</v>
      </c>
      <c r="R231">
        <v>0</v>
      </c>
      <c r="S231">
        <v>117</v>
      </c>
      <c r="T231">
        <v>12.8</v>
      </c>
      <c r="U231">
        <v>223</v>
      </c>
      <c r="V231" s="19" t="s">
        <v>2883</v>
      </c>
      <c r="W231" s="19" t="s">
        <v>2204</v>
      </c>
      <c r="X231">
        <v>4</v>
      </c>
      <c r="Y231">
        <v>7</v>
      </c>
      <c r="Z231">
        <v>36.4</v>
      </c>
      <c r="AA231">
        <v>37</v>
      </c>
      <c r="AB231">
        <v>170</v>
      </c>
      <c r="AC231">
        <v>6</v>
      </c>
      <c r="AD231">
        <v>29</v>
      </c>
      <c r="AE231" s="19" t="s">
        <v>60</v>
      </c>
    </row>
    <row r="232" spans="1:31" x14ac:dyDescent="0.2">
      <c r="A232">
        <v>225</v>
      </c>
      <c r="B232" s="19" t="s">
        <v>821</v>
      </c>
      <c r="C232">
        <v>23</v>
      </c>
      <c r="D232" s="19" t="s">
        <v>354</v>
      </c>
      <c r="E232" s="19" t="s">
        <v>322</v>
      </c>
      <c r="F232">
        <v>49</v>
      </c>
      <c r="G232">
        <v>11</v>
      </c>
      <c r="H232">
        <v>12</v>
      </c>
      <c r="I232">
        <v>23</v>
      </c>
      <c r="J232">
        <v>5</v>
      </c>
      <c r="K232">
        <v>12</v>
      </c>
      <c r="L232">
        <v>11</v>
      </c>
      <c r="M232">
        <v>0</v>
      </c>
      <c r="N232">
        <v>0</v>
      </c>
      <c r="O232">
        <v>1</v>
      </c>
      <c r="P232">
        <v>11</v>
      </c>
      <c r="Q232">
        <v>1</v>
      </c>
      <c r="R232">
        <v>0</v>
      </c>
      <c r="S232">
        <v>50</v>
      </c>
      <c r="T232">
        <v>22</v>
      </c>
      <c r="U232">
        <v>95</v>
      </c>
      <c r="V232" s="19" t="s">
        <v>2524</v>
      </c>
      <c r="W232" s="19" t="s">
        <v>1615</v>
      </c>
      <c r="X232">
        <v>36</v>
      </c>
      <c r="Y232">
        <v>41</v>
      </c>
      <c r="Z232">
        <v>46.8</v>
      </c>
      <c r="AA232">
        <v>25</v>
      </c>
      <c r="AB232">
        <v>27</v>
      </c>
      <c r="AC232">
        <v>16</v>
      </c>
      <c r="AD232">
        <v>29</v>
      </c>
      <c r="AE232" s="19" t="s">
        <v>60</v>
      </c>
    </row>
    <row r="233" spans="1:31" x14ac:dyDescent="0.2">
      <c r="A233">
        <v>226</v>
      </c>
      <c r="B233" s="19" t="s">
        <v>646</v>
      </c>
      <c r="C233">
        <v>25</v>
      </c>
      <c r="D233" s="19" t="s">
        <v>354</v>
      </c>
      <c r="E233" s="19" t="s">
        <v>348</v>
      </c>
      <c r="F233">
        <v>49</v>
      </c>
      <c r="G233">
        <v>6</v>
      </c>
      <c r="H233">
        <v>17</v>
      </c>
      <c r="I233">
        <v>23</v>
      </c>
      <c r="J233">
        <v>7</v>
      </c>
      <c r="K233">
        <v>10</v>
      </c>
      <c r="L233">
        <v>4</v>
      </c>
      <c r="M233">
        <v>2</v>
      </c>
      <c r="N233">
        <v>0</v>
      </c>
      <c r="O233">
        <v>0</v>
      </c>
      <c r="P233">
        <v>14</v>
      </c>
      <c r="Q233">
        <v>3</v>
      </c>
      <c r="R233">
        <v>0</v>
      </c>
      <c r="S233">
        <v>50</v>
      </c>
      <c r="T233">
        <v>12</v>
      </c>
      <c r="U233">
        <v>137</v>
      </c>
      <c r="V233" s="19" t="s">
        <v>2195</v>
      </c>
      <c r="W233" s="19" t="s">
        <v>1781</v>
      </c>
      <c r="X233">
        <v>0</v>
      </c>
      <c r="Y233">
        <v>0</v>
      </c>
      <c r="AA233">
        <v>63</v>
      </c>
      <c r="AB233">
        <v>26</v>
      </c>
      <c r="AC233">
        <v>14</v>
      </c>
      <c r="AD233">
        <v>63</v>
      </c>
      <c r="AE233" s="19" t="s">
        <v>60</v>
      </c>
    </row>
    <row r="234" spans="1:31" x14ac:dyDescent="0.2">
      <c r="A234">
        <v>227</v>
      </c>
      <c r="B234" s="19" t="s">
        <v>552</v>
      </c>
      <c r="C234">
        <v>34</v>
      </c>
      <c r="D234" s="19" t="s">
        <v>324</v>
      </c>
      <c r="E234" s="19" t="s">
        <v>348</v>
      </c>
      <c r="F234">
        <v>51</v>
      </c>
      <c r="G234">
        <v>1</v>
      </c>
      <c r="H234">
        <v>22</v>
      </c>
      <c r="I234">
        <v>23</v>
      </c>
      <c r="J234">
        <v>-3</v>
      </c>
      <c r="K234">
        <v>30</v>
      </c>
      <c r="L234">
        <v>1</v>
      </c>
      <c r="M234">
        <v>0</v>
      </c>
      <c r="N234">
        <v>0</v>
      </c>
      <c r="O234">
        <v>0</v>
      </c>
      <c r="P234">
        <v>11</v>
      </c>
      <c r="Q234">
        <v>11</v>
      </c>
      <c r="R234">
        <v>0</v>
      </c>
      <c r="S234">
        <v>49</v>
      </c>
      <c r="T234">
        <v>2</v>
      </c>
      <c r="U234">
        <v>132</v>
      </c>
      <c r="V234" s="19" t="s">
        <v>2525</v>
      </c>
      <c r="W234" s="19" t="s">
        <v>1815</v>
      </c>
      <c r="X234">
        <v>0</v>
      </c>
      <c r="Y234">
        <v>0</v>
      </c>
      <c r="AA234">
        <v>51</v>
      </c>
      <c r="AB234">
        <v>73</v>
      </c>
      <c r="AC234">
        <v>15</v>
      </c>
      <c r="AD234">
        <v>53</v>
      </c>
      <c r="AE234" s="19" t="s">
        <v>60</v>
      </c>
    </row>
    <row r="235" spans="1:31" x14ac:dyDescent="0.2">
      <c r="A235">
        <v>228</v>
      </c>
      <c r="B235" s="19" t="s">
        <v>657</v>
      </c>
      <c r="C235">
        <v>33</v>
      </c>
      <c r="D235" s="19" t="s">
        <v>383</v>
      </c>
      <c r="E235" s="19" t="s">
        <v>322</v>
      </c>
      <c r="F235">
        <v>45</v>
      </c>
      <c r="G235">
        <v>11</v>
      </c>
      <c r="H235">
        <v>12</v>
      </c>
      <c r="I235">
        <v>23</v>
      </c>
      <c r="J235">
        <v>3</v>
      </c>
      <c r="K235">
        <v>2</v>
      </c>
      <c r="L235">
        <v>8</v>
      </c>
      <c r="M235">
        <v>0</v>
      </c>
      <c r="N235">
        <v>3</v>
      </c>
      <c r="O235">
        <v>3</v>
      </c>
      <c r="P235">
        <v>10</v>
      </c>
      <c r="Q235">
        <v>0</v>
      </c>
      <c r="R235">
        <v>2</v>
      </c>
      <c r="S235">
        <v>47</v>
      </c>
      <c r="T235">
        <v>23.4</v>
      </c>
      <c r="U235">
        <v>90</v>
      </c>
      <c r="V235" s="19" t="s">
        <v>2884</v>
      </c>
      <c r="W235" s="19" t="s">
        <v>481</v>
      </c>
      <c r="X235">
        <v>391</v>
      </c>
      <c r="Y235">
        <v>267</v>
      </c>
      <c r="Z235">
        <v>59.4</v>
      </c>
      <c r="AA235">
        <v>41</v>
      </c>
      <c r="AB235">
        <v>62</v>
      </c>
      <c r="AC235">
        <v>12</v>
      </c>
      <c r="AD235">
        <v>29</v>
      </c>
      <c r="AE235" s="19" t="s">
        <v>60</v>
      </c>
    </row>
    <row r="236" spans="1:31" x14ac:dyDescent="0.2">
      <c r="A236">
        <v>229</v>
      </c>
      <c r="B236" s="19" t="s">
        <v>659</v>
      </c>
      <c r="C236">
        <v>24</v>
      </c>
      <c r="D236" s="19" t="s">
        <v>327</v>
      </c>
      <c r="E236" s="19" t="s">
        <v>334</v>
      </c>
      <c r="F236">
        <v>54</v>
      </c>
      <c r="G236">
        <v>12</v>
      </c>
      <c r="H236">
        <v>11</v>
      </c>
      <c r="I236">
        <v>23</v>
      </c>
      <c r="J236">
        <v>12</v>
      </c>
      <c r="K236">
        <v>44</v>
      </c>
      <c r="L236">
        <v>12</v>
      </c>
      <c r="M236">
        <v>0</v>
      </c>
      <c r="N236">
        <v>0</v>
      </c>
      <c r="O236">
        <v>4</v>
      </c>
      <c r="P236">
        <v>11</v>
      </c>
      <c r="Q236">
        <v>0</v>
      </c>
      <c r="R236">
        <v>0</v>
      </c>
      <c r="S236">
        <v>82</v>
      </c>
      <c r="T236">
        <v>14.6</v>
      </c>
      <c r="U236">
        <v>136</v>
      </c>
      <c r="V236" s="19" t="s">
        <v>2526</v>
      </c>
      <c r="W236" s="19" t="s">
        <v>1342</v>
      </c>
      <c r="X236">
        <v>14</v>
      </c>
      <c r="Y236">
        <v>34</v>
      </c>
      <c r="Z236">
        <v>29.2</v>
      </c>
      <c r="AA236">
        <v>28</v>
      </c>
      <c r="AB236">
        <v>155</v>
      </c>
      <c r="AC236">
        <v>9</v>
      </c>
      <c r="AD236">
        <v>35</v>
      </c>
      <c r="AE236" s="19" t="s">
        <v>60</v>
      </c>
    </row>
    <row r="237" spans="1:31" x14ac:dyDescent="0.2">
      <c r="A237">
        <v>230</v>
      </c>
      <c r="B237" s="19" t="s">
        <v>602</v>
      </c>
      <c r="C237">
        <v>32</v>
      </c>
      <c r="D237" s="19" t="s">
        <v>372</v>
      </c>
      <c r="E237" s="19" t="s">
        <v>322</v>
      </c>
      <c r="F237">
        <v>52</v>
      </c>
      <c r="G237">
        <v>9</v>
      </c>
      <c r="H237">
        <v>14</v>
      </c>
      <c r="I237">
        <v>23</v>
      </c>
      <c r="J237">
        <v>-7</v>
      </c>
      <c r="K237">
        <v>32</v>
      </c>
      <c r="L237">
        <v>8</v>
      </c>
      <c r="M237">
        <v>1</v>
      </c>
      <c r="N237">
        <v>0</v>
      </c>
      <c r="O237">
        <v>0</v>
      </c>
      <c r="P237">
        <v>12</v>
      </c>
      <c r="Q237">
        <v>2</v>
      </c>
      <c r="R237">
        <v>0</v>
      </c>
      <c r="S237">
        <v>120</v>
      </c>
      <c r="T237">
        <v>7.5</v>
      </c>
      <c r="U237">
        <v>234</v>
      </c>
      <c r="V237" s="19" t="s">
        <v>2527</v>
      </c>
      <c r="W237" s="19" t="s">
        <v>2194</v>
      </c>
      <c r="X237">
        <v>279</v>
      </c>
      <c r="Y237">
        <v>329</v>
      </c>
      <c r="Z237">
        <v>45.9</v>
      </c>
      <c r="AA237">
        <v>21</v>
      </c>
      <c r="AB237">
        <v>52</v>
      </c>
      <c r="AC237">
        <v>22</v>
      </c>
      <c r="AD237">
        <v>35</v>
      </c>
      <c r="AE237" s="19" t="s">
        <v>60</v>
      </c>
    </row>
    <row r="238" spans="1:31" x14ac:dyDescent="0.2">
      <c r="A238">
        <v>231</v>
      </c>
      <c r="B238" s="19" t="s">
        <v>686</v>
      </c>
      <c r="C238">
        <v>29</v>
      </c>
      <c r="D238" s="19" t="s">
        <v>406</v>
      </c>
      <c r="E238" s="19" t="s">
        <v>348</v>
      </c>
      <c r="F238">
        <v>52</v>
      </c>
      <c r="G238">
        <v>6</v>
      </c>
      <c r="H238">
        <v>17</v>
      </c>
      <c r="I238">
        <v>23</v>
      </c>
      <c r="J238">
        <v>1</v>
      </c>
      <c r="K238">
        <v>20</v>
      </c>
      <c r="L238">
        <v>4</v>
      </c>
      <c r="M238">
        <v>1</v>
      </c>
      <c r="N238">
        <v>1</v>
      </c>
      <c r="O238">
        <v>1</v>
      </c>
      <c r="P238">
        <v>14</v>
      </c>
      <c r="Q238">
        <v>2</v>
      </c>
      <c r="R238">
        <v>1</v>
      </c>
      <c r="S238">
        <v>62</v>
      </c>
      <c r="T238">
        <v>9.6999999999999993</v>
      </c>
      <c r="U238">
        <v>169</v>
      </c>
      <c r="V238" s="19" t="s">
        <v>2885</v>
      </c>
      <c r="W238" s="19" t="s">
        <v>2267</v>
      </c>
      <c r="X238">
        <v>0</v>
      </c>
      <c r="Y238">
        <v>0</v>
      </c>
      <c r="AA238">
        <v>100</v>
      </c>
      <c r="AB238">
        <v>31</v>
      </c>
      <c r="AC238">
        <v>19</v>
      </c>
      <c r="AD238">
        <v>71</v>
      </c>
      <c r="AE238" s="19" t="s">
        <v>60</v>
      </c>
    </row>
    <row r="239" spans="1:31" x14ac:dyDescent="0.2">
      <c r="A239">
        <v>232</v>
      </c>
      <c r="B239" s="19" t="s">
        <v>553</v>
      </c>
      <c r="C239">
        <v>30</v>
      </c>
      <c r="D239" s="19" t="s">
        <v>447</v>
      </c>
      <c r="E239" s="19" t="s">
        <v>334</v>
      </c>
      <c r="F239">
        <v>44</v>
      </c>
      <c r="G239">
        <v>17</v>
      </c>
      <c r="H239">
        <v>6</v>
      </c>
      <c r="I239">
        <v>23</v>
      </c>
      <c r="J239">
        <v>-12</v>
      </c>
      <c r="K239">
        <v>22</v>
      </c>
      <c r="L239">
        <v>10</v>
      </c>
      <c r="M239">
        <v>6</v>
      </c>
      <c r="N239">
        <v>1</v>
      </c>
      <c r="O239">
        <v>2</v>
      </c>
      <c r="P239">
        <v>2</v>
      </c>
      <c r="Q239">
        <v>4</v>
      </c>
      <c r="R239">
        <v>0</v>
      </c>
      <c r="S239">
        <v>109</v>
      </c>
      <c r="T239">
        <v>15.6</v>
      </c>
      <c r="U239">
        <v>231</v>
      </c>
      <c r="V239" s="19" t="s">
        <v>1886</v>
      </c>
      <c r="W239" s="19" t="s">
        <v>1616</v>
      </c>
      <c r="X239">
        <v>13</v>
      </c>
      <c r="Y239">
        <v>19</v>
      </c>
      <c r="Z239">
        <v>40.6</v>
      </c>
      <c r="AA239">
        <v>21</v>
      </c>
      <c r="AB239">
        <v>210</v>
      </c>
      <c r="AC239">
        <v>18</v>
      </c>
      <c r="AD239">
        <v>47</v>
      </c>
      <c r="AE239" s="19" t="s">
        <v>60</v>
      </c>
    </row>
    <row r="240" spans="1:31" x14ac:dyDescent="0.2">
      <c r="A240">
        <v>233</v>
      </c>
      <c r="B240" s="19" t="s">
        <v>625</v>
      </c>
      <c r="C240">
        <v>22</v>
      </c>
      <c r="D240" s="19" t="s">
        <v>380</v>
      </c>
      <c r="E240" s="19" t="s">
        <v>322</v>
      </c>
      <c r="F240">
        <v>51</v>
      </c>
      <c r="G240">
        <v>6</v>
      </c>
      <c r="H240">
        <v>17</v>
      </c>
      <c r="I240">
        <v>23</v>
      </c>
      <c r="J240">
        <v>1</v>
      </c>
      <c r="K240">
        <v>20</v>
      </c>
      <c r="L240">
        <v>6</v>
      </c>
      <c r="M240">
        <v>0</v>
      </c>
      <c r="N240">
        <v>0</v>
      </c>
      <c r="O240">
        <v>1</v>
      </c>
      <c r="P240">
        <v>16</v>
      </c>
      <c r="Q240">
        <v>1</v>
      </c>
      <c r="R240">
        <v>0</v>
      </c>
      <c r="S240">
        <v>89</v>
      </c>
      <c r="T240">
        <v>6.7</v>
      </c>
      <c r="U240">
        <v>159</v>
      </c>
      <c r="V240" s="19" t="s">
        <v>1937</v>
      </c>
      <c r="W240" s="19" t="s">
        <v>541</v>
      </c>
      <c r="X240">
        <v>38</v>
      </c>
      <c r="Y240">
        <v>57</v>
      </c>
      <c r="Z240">
        <v>40</v>
      </c>
      <c r="AA240">
        <v>26</v>
      </c>
      <c r="AB240">
        <v>64</v>
      </c>
      <c r="AC240">
        <v>21</v>
      </c>
      <c r="AD240">
        <v>42</v>
      </c>
      <c r="AE240" s="19" t="s">
        <v>60</v>
      </c>
    </row>
    <row r="241" spans="1:31" x14ac:dyDescent="0.2">
      <c r="A241">
        <v>234</v>
      </c>
      <c r="B241" s="19" t="s">
        <v>631</v>
      </c>
      <c r="C241">
        <v>24</v>
      </c>
      <c r="D241" s="19" t="s">
        <v>406</v>
      </c>
      <c r="E241" s="19" t="s">
        <v>334</v>
      </c>
      <c r="F241">
        <v>46</v>
      </c>
      <c r="G241">
        <v>13</v>
      </c>
      <c r="H241">
        <v>9</v>
      </c>
      <c r="I241">
        <v>22</v>
      </c>
      <c r="J241">
        <v>-4</v>
      </c>
      <c r="K241">
        <v>20</v>
      </c>
      <c r="L241">
        <v>10</v>
      </c>
      <c r="M241">
        <v>3</v>
      </c>
      <c r="N241">
        <v>0</v>
      </c>
      <c r="O241">
        <v>3</v>
      </c>
      <c r="P241">
        <v>7</v>
      </c>
      <c r="Q241">
        <v>2</v>
      </c>
      <c r="R241">
        <v>0</v>
      </c>
      <c r="S241">
        <v>77</v>
      </c>
      <c r="T241">
        <v>16.899999999999999</v>
      </c>
      <c r="U241">
        <v>136</v>
      </c>
      <c r="V241" s="19" t="s">
        <v>2886</v>
      </c>
      <c r="W241" s="19" t="s">
        <v>959</v>
      </c>
      <c r="X241">
        <v>12</v>
      </c>
      <c r="Y241">
        <v>26</v>
      </c>
      <c r="Z241">
        <v>31.6</v>
      </c>
      <c r="AA241">
        <v>27</v>
      </c>
      <c r="AB241">
        <v>56</v>
      </c>
      <c r="AC241">
        <v>5</v>
      </c>
      <c r="AD241">
        <v>24</v>
      </c>
      <c r="AE241" s="19" t="s">
        <v>60</v>
      </c>
    </row>
    <row r="242" spans="1:31" x14ac:dyDescent="0.2">
      <c r="A242">
        <v>235</v>
      </c>
      <c r="B242" s="19" t="s">
        <v>694</v>
      </c>
      <c r="C242">
        <v>29</v>
      </c>
      <c r="D242" s="19" t="s">
        <v>416</v>
      </c>
      <c r="E242" s="19" t="s">
        <v>348</v>
      </c>
      <c r="F242">
        <v>38</v>
      </c>
      <c r="G242">
        <v>5</v>
      </c>
      <c r="H242">
        <v>17</v>
      </c>
      <c r="I242">
        <v>22</v>
      </c>
      <c r="J242">
        <v>2</v>
      </c>
      <c r="K242">
        <v>16</v>
      </c>
      <c r="L242">
        <v>3</v>
      </c>
      <c r="M242">
        <v>2</v>
      </c>
      <c r="N242">
        <v>0</v>
      </c>
      <c r="O242">
        <v>0</v>
      </c>
      <c r="P242">
        <v>12</v>
      </c>
      <c r="Q242">
        <v>4</v>
      </c>
      <c r="R242">
        <v>1</v>
      </c>
      <c r="S242">
        <v>64</v>
      </c>
      <c r="T242">
        <v>7.8</v>
      </c>
      <c r="U242">
        <v>176</v>
      </c>
      <c r="V242" s="19" t="s">
        <v>2887</v>
      </c>
      <c r="W242" s="19" t="s">
        <v>1732</v>
      </c>
      <c r="X242">
        <v>0</v>
      </c>
      <c r="Y242">
        <v>0</v>
      </c>
      <c r="AA242">
        <v>76</v>
      </c>
      <c r="AB242">
        <v>27</v>
      </c>
      <c r="AC242">
        <v>16</v>
      </c>
      <c r="AD242">
        <v>31</v>
      </c>
      <c r="AE242" s="19" t="s">
        <v>60</v>
      </c>
    </row>
    <row r="243" spans="1:31" x14ac:dyDescent="0.2">
      <c r="A243">
        <v>236</v>
      </c>
      <c r="B243" s="19" t="s">
        <v>562</v>
      </c>
      <c r="C243">
        <v>29</v>
      </c>
      <c r="D243" s="19" t="s">
        <v>447</v>
      </c>
      <c r="E243" s="19" t="s">
        <v>334</v>
      </c>
      <c r="F243">
        <v>42</v>
      </c>
      <c r="G243">
        <v>7</v>
      </c>
      <c r="H243">
        <v>15</v>
      </c>
      <c r="I243">
        <v>22</v>
      </c>
      <c r="J243">
        <v>-15</v>
      </c>
      <c r="K243">
        <v>28</v>
      </c>
      <c r="L243">
        <v>5</v>
      </c>
      <c r="M243">
        <v>1</v>
      </c>
      <c r="N243">
        <v>1</v>
      </c>
      <c r="O243">
        <v>1</v>
      </c>
      <c r="P243">
        <v>7</v>
      </c>
      <c r="Q243">
        <v>8</v>
      </c>
      <c r="R243">
        <v>0</v>
      </c>
      <c r="S243">
        <v>89</v>
      </c>
      <c r="T243">
        <v>7.9</v>
      </c>
      <c r="U243">
        <v>178</v>
      </c>
      <c r="V243" s="19" t="s">
        <v>2528</v>
      </c>
      <c r="W243" s="19" t="s">
        <v>450</v>
      </c>
      <c r="X243">
        <v>11</v>
      </c>
      <c r="Y243">
        <v>16</v>
      </c>
      <c r="Z243">
        <v>40.700000000000003</v>
      </c>
      <c r="AA243">
        <v>21</v>
      </c>
      <c r="AB243">
        <v>27</v>
      </c>
      <c r="AC243">
        <v>17</v>
      </c>
      <c r="AD243">
        <v>51</v>
      </c>
      <c r="AE243" s="19" t="s">
        <v>60</v>
      </c>
    </row>
    <row r="244" spans="1:31" x14ac:dyDescent="0.2">
      <c r="A244">
        <v>237</v>
      </c>
      <c r="B244" s="19" t="s">
        <v>617</v>
      </c>
      <c r="C244">
        <v>24</v>
      </c>
      <c r="D244" s="19" t="s">
        <v>398</v>
      </c>
      <c r="E244" s="19" t="s">
        <v>334</v>
      </c>
      <c r="F244">
        <v>49</v>
      </c>
      <c r="G244">
        <v>9</v>
      </c>
      <c r="H244">
        <v>13</v>
      </c>
      <c r="I244">
        <v>22</v>
      </c>
      <c r="J244">
        <v>-3</v>
      </c>
      <c r="K244">
        <v>16</v>
      </c>
      <c r="L244">
        <v>7</v>
      </c>
      <c r="M244">
        <v>2</v>
      </c>
      <c r="N244">
        <v>0</v>
      </c>
      <c r="O244">
        <v>0</v>
      </c>
      <c r="P244">
        <v>11</v>
      </c>
      <c r="Q244">
        <v>2</v>
      </c>
      <c r="R244">
        <v>0</v>
      </c>
      <c r="S244">
        <v>109</v>
      </c>
      <c r="T244">
        <v>8.3000000000000007</v>
      </c>
      <c r="U244">
        <v>204</v>
      </c>
      <c r="V244" s="19" t="s">
        <v>2529</v>
      </c>
      <c r="W244" s="19" t="s">
        <v>1947</v>
      </c>
      <c r="X244">
        <v>4</v>
      </c>
      <c r="Y244">
        <v>5</v>
      </c>
      <c r="Z244">
        <v>44.4</v>
      </c>
      <c r="AA244">
        <v>12</v>
      </c>
      <c r="AB244">
        <v>44</v>
      </c>
      <c r="AC244">
        <v>15</v>
      </c>
      <c r="AD244">
        <v>30</v>
      </c>
      <c r="AE244" s="19" t="s">
        <v>60</v>
      </c>
    </row>
    <row r="245" spans="1:31" x14ac:dyDescent="0.2">
      <c r="A245">
        <v>238</v>
      </c>
      <c r="B245" s="19" t="s">
        <v>589</v>
      </c>
      <c r="C245">
        <v>32</v>
      </c>
      <c r="D245" s="19" t="s">
        <v>436</v>
      </c>
      <c r="E245" s="19" t="s">
        <v>339</v>
      </c>
      <c r="F245">
        <v>46</v>
      </c>
      <c r="G245">
        <v>9</v>
      </c>
      <c r="H245">
        <v>13</v>
      </c>
      <c r="I245">
        <v>22</v>
      </c>
      <c r="J245">
        <v>-8</v>
      </c>
      <c r="K245">
        <v>41</v>
      </c>
      <c r="L245">
        <v>7</v>
      </c>
      <c r="M245">
        <v>2</v>
      </c>
      <c r="N245">
        <v>0</v>
      </c>
      <c r="O245">
        <v>2</v>
      </c>
      <c r="P245">
        <v>10</v>
      </c>
      <c r="Q245">
        <v>3</v>
      </c>
      <c r="R245">
        <v>0</v>
      </c>
      <c r="S245">
        <v>76</v>
      </c>
      <c r="T245">
        <v>11.8</v>
      </c>
      <c r="U245">
        <v>147</v>
      </c>
      <c r="V245" s="19" t="s">
        <v>2333</v>
      </c>
      <c r="W245" s="19" t="s">
        <v>2031</v>
      </c>
      <c r="X245">
        <v>6</v>
      </c>
      <c r="Y245">
        <v>8</v>
      </c>
      <c r="Z245">
        <v>42.9</v>
      </c>
      <c r="AA245">
        <v>28</v>
      </c>
      <c r="AB245">
        <v>25</v>
      </c>
      <c r="AC245">
        <v>9</v>
      </c>
      <c r="AD245">
        <v>51</v>
      </c>
      <c r="AE245" s="19" t="s">
        <v>60</v>
      </c>
    </row>
    <row r="246" spans="1:31" x14ac:dyDescent="0.2">
      <c r="A246">
        <v>239</v>
      </c>
      <c r="B246" s="19" t="s">
        <v>712</v>
      </c>
      <c r="C246">
        <v>18</v>
      </c>
      <c r="D246" s="19" t="s">
        <v>375</v>
      </c>
      <c r="E246" s="19" t="s">
        <v>322</v>
      </c>
      <c r="F246">
        <v>48</v>
      </c>
      <c r="G246">
        <v>10</v>
      </c>
      <c r="H246">
        <v>12</v>
      </c>
      <c r="I246">
        <v>22</v>
      </c>
      <c r="J246">
        <v>-10</v>
      </c>
      <c r="K246">
        <v>12</v>
      </c>
      <c r="L246">
        <v>6</v>
      </c>
      <c r="M246">
        <v>4</v>
      </c>
      <c r="N246">
        <v>0</v>
      </c>
      <c r="O246">
        <v>1</v>
      </c>
      <c r="P246">
        <v>6</v>
      </c>
      <c r="Q246">
        <v>6</v>
      </c>
      <c r="R246">
        <v>0</v>
      </c>
      <c r="S246">
        <v>97</v>
      </c>
      <c r="T246">
        <v>10.3</v>
      </c>
      <c r="U246">
        <v>175</v>
      </c>
      <c r="V246" s="19" t="s">
        <v>2334</v>
      </c>
      <c r="W246" s="19" t="s">
        <v>1611</v>
      </c>
      <c r="X246">
        <v>173</v>
      </c>
      <c r="Y246">
        <v>188</v>
      </c>
      <c r="Z246">
        <v>47.9</v>
      </c>
      <c r="AA246">
        <v>42</v>
      </c>
      <c r="AB246">
        <v>20</v>
      </c>
      <c r="AC246">
        <v>15</v>
      </c>
      <c r="AD246">
        <v>49</v>
      </c>
      <c r="AE246" s="19" t="s">
        <v>60</v>
      </c>
    </row>
    <row r="247" spans="1:31" x14ac:dyDescent="0.2">
      <c r="A247">
        <v>240</v>
      </c>
      <c r="B247" s="19" t="s">
        <v>822</v>
      </c>
      <c r="C247">
        <v>25</v>
      </c>
      <c r="D247" s="19" t="s">
        <v>428</v>
      </c>
      <c r="E247" s="19" t="s">
        <v>322</v>
      </c>
      <c r="F247">
        <v>52</v>
      </c>
      <c r="G247">
        <v>6</v>
      </c>
      <c r="H247">
        <v>16</v>
      </c>
      <c r="I247">
        <v>22</v>
      </c>
      <c r="J247">
        <v>4</v>
      </c>
      <c r="K247">
        <v>46</v>
      </c>
      <c r="L247">
        <v>6</v>
      </c>
      <c r="M247">
        <v>0</v>
      </c>
      <c r="N247">
        <v>0</v>
      </c>
      <c r="O247">
        <v>1</v>
      </c>
      <c r="P247">
        <v>15</v>
      </c>
      <c r="Q247">
        <v>1</v>
      </c>
      <c r="R247">
        <v>0</v>
      </c>
      <c r="S247">
        <v>58</v>
      </c>
      <c r="T247">
        <v>10.3</v>
      </c>
      <c r="U247">
        <v>112</v>
      </c>
      <c r="V247" s="19" t="s">
        <v>2530</v>
      </c>
      <c r="W247" s="19" t="s">
        <v>503</v>
      </c>
      <c r="X247">
        <v>151</v>
      </c>
      <c r="Y247">
        <v>195</v>
      </c>
      <c r="Z247">
        <v>43.6</v>
      </c>
      <c r="AA247">
        <v>31</v>
      </c>
      <c r="AB247">
        <v>120</v>
      </c>
      <c r="AC247">
        <v>16</v>
      </c>
      <c r="AD247">
        <v>41</v>
      </c>
      <c r="AE247" s="19" t="s">
        <v>60</v>
      </c>
    </row>
    <row r="248" spans="1:31" x14ac:dyDescent="0.2">
      <c r="A248">
        <v>241</v>
      </c>
      <c r="B248" s="19" t="s">
        <v>592</v>
      </c>
      <c r="C248">
        <v>33</v>
      </c>
      <c r="D248" s="19" t="s">
        <v>321</v>
      </c>
      <c r="E248" s="19" t="s">
        <v>339</v>
      </c>
      <c r="F248">
        <v>41</v>
      </c>
      <c r="G248">
        <v>7</v>
      </c>
      <c r="H248">
        <v>15</v>
      </c>
      <c r="I248">
        <v>22</v>
      </c>
      <c r="J248">
        <v>18</v>
      </c>
      <c r="K248">
        <v>27</v>
      </c>
      <c r="L248">
        <v>6</v>
      </c>
      <c r="M248">
        <v>1</v>
      </c>
      <c r="N248">
        <v>0</v>
      </c>
      <c r="O248">
        <v>1</v>
      </c>
      <c r="P248">
        <v>13</v>
      </c>
      <c r="Q248">
        <v>2</v>
      </c>
      <c r="R248">
        <v>0</v>
      </c>
      <c r="S248">
        <v>87</v>
      </c>
      <c r="T248">
        <v>8</v>
      </c>
      <c r="U248">
        <v>168</v>
      </c>
      <c r="V248" s="19" t="s">
        <v>1807</v>
      </c>
      <c r="W248" s="19" t="s">
        <v>1384</v>
      </c>
      <c r="X248">
        <v>92</v>
      </c>
      <c r="Y248">
        <v>55</v>
      </c>
      <c r="Z248">
        <v>62.6</v>
      </c>
      <c r="AA248">
        <v>18</v>
      </c>
      <c r="AB248">
        <v>60</v>
      </c>
      <c r="AC248">
        <v>12</v>
      </c>
      <c r="AD248">
        <v>21</v>
      </c>
      <c r="AE248" s="19" t="s">
        <v>60</v>
      </c>
    </row>
    <row r="249" spans="1:31" x14ac:dyDescent="0.2">
      <c r="A249">
        <v>242</v>
      </c>
      <c r="B249" s="19" t="s">
        <v>648</v>
      </c>
      <c r="C249">
        <v>26</v>
      </c>
      <c r="D249" s="19" t="s">
        <v>396</v>
      </c>
      <c r="E249" s="19" t="s">
        <v>348</v>
      </c>
      <c r="F249">
        <v>44</v>
      </c>
      <c r="G249">
        <v>4</v>
      </c>
      <c r="H249">
        <v>18</v>
      </c>
      <c r="I249">
        <v>22</v>
      </c>
      <c r="J249">
        <v>2</v>
      </c>
      <c r="K249">
        <v>38</v>
      </c>
      <c r="L249">
        <v>3</v>
      </c>
      <c r="M249">
        <v>1</v>
      </c>
      <c r="N249">
        <v>0</v>
      </c>
      <c r="O249">
        <v>1</v>
      </c>
      <c r="P249">
        <v>14</v>
      </c>
      <c r="Q249">
        <v>2</v>
      </c>
      <c r="R249">
        <v>2</v>
      </c>
      <c r="S249">
        <v>73</v>
      </c>
      <c r="T249">
        <v>5.5</v>
      </c>
      <c r="U249">
        <v>201</v>
      </c>
      <c r="V249" s="19" t="s">
        <v>2273</v>
      </c>
      <c r="W249" s="19" t="s">
        <v>1516</v>
      </c>
      <c r="X249">
        <v>0</v>
      </c>
      <c r="Y249">
        <v>1</v>
      </c>
      <c r="Z249">
        <v>0</v>
      </c>
      <c r="AA249">
        <v>45</v>
      </c>
      <c r="AB249">
        <v>56</v>
      </c>
      <c r="AC249">
        <v>33</v>
      </c>
      <c r="AD249">
        <v>53</v>
      </c>
      <c r="AE249" s="19" t="s">
        <v>60</v>
      </c>
    </row>
    <row r="250" spans="1:31" x14ac:dyDescent="0.2">
      <c r="A250">
        <v>243</v>
      </c>
      <c r="B250" s="19" t="s">
        <v>795</v>
      </c>
      <c r="C250">
        <v>32</v>
      </c>
      <c r="D250" s="19" t="s">
        <v>375</v>
      </c>
      <c r="E250" s="19" t="s">
        <v>334</v>
      </c>
      <c r="F250">
        <v>31</v>
      </c>
      <c r="G250">
        <v>9</v>
      </c>
      <c r="H250">
        <v>13</v>
      </c>
      <c r="I250">
        <v>22</v>
      </c>
      <c r="J250">
        <v>3</v>
      </c>
      <c r="K250">
        <v>2</v>
      </c>
      <c r="L250">
        <v>7</v>
      </c>
      <c r="M250">
        <v>2</v>
      </c>
      <c r="N250">
        <v>0</v>
      </c>
      <c r="O250">
        <v>0</v>
      </c>
      <c r="P250">
        <v>8</v>
      </c>
      <c r="Q250">
        <v>4</v>
      </c>
      <c r="R250">
        <v>1</v>
      </c>
      <c r="S250">
        <v>91</v>
      </c>
      <c r="T250">
        <v>9.9</v>
      </c>
      <c r="U250">
        <v>155</v>
      </c>
      <c r="V250" s="19" t="s">
        <v>2335</v>
      </c>
      <c r="W250" s="19" t="s">
        <v>421</v>
      </c>
      <c r="X250">
        <v>2</v>
      </c>
      <c r="Y250">
        <v>18</v>
      </c>
      <c r="Z250">
        <v>10</v>
      </c>
      <c r="AA250">
        <v>27</v>
      </c>
      <c r="AB250">
        <v>47</v>
      </c>
      <c r="AC250">
        <v>14</v>
      </c>
      <c r="AD250">
        <v>24</v>
      </c>
      <c r="AE250" s="19" t="s">
        <v>60</v>
      </c>
    </row>
    <row r="251" spans="1:31" x14ac:dyDescent="0.2">
      <c r="A251">
        <v>244</v>
      </c>
      <c r="B251" s="19" t="s">
        <v>510</v>
      </c>
      <c r="C251">
        <v>29</v>
      </c>
      <c r="D251" s="19" t="s">
        <v>327</v>
      </c>
      <c r="E251" s="19" t="s">
        <v>322</v>
      </c>
      <c r="F251">
        <v>41</v>
      </c>
      <c r="G251">
        <v>14</v>
      </c>
      <c r="H251">
        <v>8</v>
      </c>
      <c r="I251">
        <v>22</v>
      </c>
      <c r="J251">
        <v>-6</v>
      </c>
      <c r="K251">
        <v>14</v>
      </c>
      <c r="L251">
        <v>11</v>
      </c>
      <c r="M251">
        <v>3</v>
      </c>
      <c r="N251">
        <v>0</v>
      </c>
      <c r="O251">
        <v>4</v>
      </c>
      <c r="P251">
        <v>6</v>
      </c>
      <c r="Q251">
        <v>2</v>
      </c>
      <c r="R251">
        <v>0</v>
      </c>
      <c r="S251">
        <v>87</v>
      </c>
      <c r="T251">
        <v>16.100000000000001</v>
      </c>
      <c r="U251">
        <v>159</v>
      </c>
      <c r="V251" s="19" t="s">
        <v>2531</v>
      </c>
      <c r="W251" s="19" t="s">
        <v>1786</v>
      </c>
      <c r="X251">
        <v>74</v>
      </c>
      <c r="Y251">
        <v>68</v>
      </c>
      <c r="Z251">
        <v>52.1</v>
      </c>
      <c r="AA251">
        <v>15</v>
      </c>
      <c r="AB251">
        <v>18</v>
      </c>
      <c r="AC251">
        <v>8</v>
      </c>
      <c r="AD251">
        <v>42</v>
      </c>
      <c r="AE251" s="19" t="s">
        <v>60</v>
      </c>
    </row>
    <row r="252" spans="1:31" x14ac:dyDescent="0.2">
      <c r="A252">
        <v>245</v>
      </c>
      <c r="B252" s="19" t="s">
        <v>624</v>
      </c>
      <c r="C252">
        <v>34</v>
      </c>
      <c r="D252" s="19" t="s">
        <v>513</v>
      </c>
      <c r="E252" s="19" t="s">
        <v>322</v>
      </c>
      <c r="F252">
        <v>53</v>
      </c>
      <c r="G252">
        <v>12</v>
      </c>
      <c r="H252">
        <v>10</v>
      </c>
      <c r="I252">
        <v>22</v>
      </c>
      <c r="J252">
        <v>-24</v>
      </c>
      <c r="K252">
        <v>45</v>
      </c>
      <c r="L252">
        <v>9</v>
      </c>
      <c r="M252">
        <v>3</v>
      </c>
      <c r="N252">
        <v>0</v>
      </c>
      <c r="O252">
        <v>2</v>
      </c>
      <c r="P252">
        <v>8</v>
      </c>
      <c r="Q252">
        <v>2</v>
      </c>
      <c r="R252">
        <v>0</v>
      </c>
      <c r="S252">
        <v>75</v>
      </c>
      <c r="T252">
        <v>16</v>
      </c>
      <c r="U252">
        <v>154</v>
      </c>
      <c r="V252" s="19" t="s">
        <v>2089</v>
      </c>
      <c r="W252" s="19" t="s">
        <v>2006</v>
      </c>
      <c r="X252">
        <v>325</v>
      </c>
      <c r="Y252">
        <v>277</v>
      </c>
      <c r="Z252">
        <v>54</v>
      </c>
      <c r="AA252">
        <v>24</v>
      </c>
      <c r="AB252">
        <v>115</v>
      </c>
      <c r="AC252">
        <v>15</v>
      </c>
      <c r="AD252">
        <v>38</v>
      </c>
      <c r="AE252" s="19" t="s">
        <v>60</v>
      </c>
    </row>
    <row r="253" spans="1:31" x14ac:dyDescent="0.2">
      <c r="A253">
        <v>246</v>
      </c>
      <c r="B253" s="19" t="s">
        <v>529</v>
      </c>
      <c r="C253">
        <v>31</v>
      </c>
      <c r="D253" s="19" t="s">
        <v>329</v>
      </c>
      <c r="E253" s="19" t="s">
        <v>325</v>
      </c>
      <c r="F253">
        <v>46</v>
      </c>
      <c r="G253">
        <v>10</v>
      </c>
      <c r="H253">
        <v>12</v>
      </c>
      <c r="I253">
        <v>22</v>
      </c>
      <c r="J253">
        <v>-13</v>
      </c>
      <c r="K253">
        <v>4</v>
      </c>
      <c r="L253">
        <v>6</v>
      </c>
      <c r="M253">
        <v>4</v>
      </c>
      <c r="N253">
        <v>0</v>
      </c>
      <c r="O253">
        <v>1</v>
      </c>
      <c r="P253">
        <v>5</v>
      </c>
      <c r="Q253">
        <v>7</v>
      </c>
      <c r="R253">
        <v>0</v>
      </c>
      <c r="S253">
        <v>56</v>
      </c>
      <c r="T253">
        <v>17.899999999999999</v>
      </c>
      <c r="U253">
        <v>121</v>
      </c>
      <c r="V253" s="19" t="s">
        <v>2532</v>
      </c>
      <c r="W253" s="19" t="s">
        <v>1607</v>
      </c>
      <c r="X253">
        <v>38</v>
      </c>
      <c r="Y253">
        <v>42</v>
      </c>
      <c r="Z253">
        <v>47.5</v>
      </c>
      <c r="AA253">
        <v>27</v>
      </c>
      <c r="AB253">
        <v>17</v>
      </c>
      <c r="AC253">
        <v>19</v>
      </c>
      <c r="AD253">
        <v>44</v>
      </c>
      <c r="AE253" s="19" t="s">
        <v>60</v>
      </c>
    </row>
    <row r="254" spans="1:31" x14ac:dyDescent="0.2">
      <c r="A254">
        <v>247</v>
      </c>
      <c r="B254" s="19" t="s">
        <v>606</v>
      </c>
      <c r="C254">
        <v>31</v>
      </c>
      <c r="D254" s="19" t="s">
        <v>336</v>
      </c>
      <c r="E254" s="19" t="s">
        <v>348</v>
      </c>
      <c r="F254">
        <v>52</v>
      </c>
      <c r="G254">
        <v>8</v>
      </c>
      <c r="H254">
        <v>14</v>
      </c>
      <c r="I254">
        <v>22</v>
      </c>
      <c r="J254">
        <v>1</v>
      </c>
      <c r="K254">
        <v>17</v>
      </c>
      <c r="L254">
        <v>8</v>
      </c>
      <c r="M254">
        <v>0</v>
      </c>
      <c r="N254">
        <v>0</v>
      </c>
      <c r="O254">
        <v>1</v>
      </c>
      <c r="P254">
        <v>12</v>
      </c>
      <c r="Q254">
        <v>1</v>
      </c>
      <c r="R254">
        <v>1</v>
      </c>
      <c r="S254">
        <v>104</v>
      </c>
      <c r="T254">
        <v>7.7</v>
      </c>
      <c r="U254">
        <v>221</v>
      </c>
      <c r="V254" s="19" t="s">
        <v>2533</v>
      </c>
      <c r="W254" s="19" t="s">
        <v>2127</v>
      </c>
      <c r="X254">
        <v>0</v>
      </c>
      <c r="Y254">
        <v>0</v>
      </c>
      <c r="AA254">
        <v>104</v>
      </c>
      <c r="AB254">
        <v>98</v>
      </c>
      <c r="AC254">
        <v>15</v>
      </c>
      <c r="AD254">
        <v>58</v>
      </c>
      <c r="AE254" s="19" t="s">
        <v>60</v>
      </c>
    </row>
    <row r="255" spans="1:31" x14ac:dyDescent="0.2">
      <c r="A255">
        <v>248</v>
      </c>
      <c r="B255" s="19" t="s">
        <v>667</v>
      </c>
      <c r="C255">
        <v>25</v>
      </c>
      <c r="D255" s="19" t="s">
        <v>406</v>
      </c>
      <c r="E255" s="19" t="s">
        <v>348</v>
      </c>
      <c r="F255">
        <v>45</v>
      </c>
      <c r="G255">
        <v>4</v>
      </c>
      <c r="H255">
        <v>18</v>
      </c>
      <c r="I255">
        <v>22</v>
      </c>
      <c r="J255">
        <v>0</v>
      </c>
      <c r="K255">
        <v>20</v>
      </c>
      <c r="L255">
        <v>3</v>
      </c>
      <c r="M255">
        <v>1</v>
      </c>
      <c r="N255">
        <v>0</v>
      </c>
      <c r="O255">
        <v>1</v>
      </c>
      <c r="P255">
        <v>12</v>
      </c>
      <c r="Q255">
        <v>6</v>
      </c>
      <c r="R255">
        <v>0</v>
      </c>
      <c r="S255">
        <v>65</v>
      </c>
      <c r="T255">
        <v>6.2</v>
      </c>
      <c r="U255">
        <v>133</v>
      </c>
      <c r="V255" s="19" t="s">
        <v>2888</v>
      </c>
      <c r="W255" s="19" t="s">
        <v>1645</v>
      </c>
      <c r="X255">
        <v>0</v>
      </c>
      <c r="Y255">
        <v>0</v>
      </c>
      <c r="AA255">
        <v>92</v>
      </c>
      <c r="AB255">
        <v>6</v>
      </c>
      <c r="AC255">
        <v>10</v>
      </c>
      <c r="AD255">
        <v>41</v>
      </c>
      <c r="AE255" s="19" t="s">
        <v>60</v>
      </c>
    </row>
    <row r="256" spans="1:31" x14ac:dyDescent="0.2">
      <c r="A256">
        <v>249</v>
      </c>
      <c r="B256" s="19" t="s">
        <v>731</v>
      </c>
      <c r="C256">
        <v>26</v>
      </c>
      <c r="D256" s="19" t="s">
        <v>416</v>
      </c>
      <c r="E256" s="19" t="s">
        <v>58</v>
      </c>
      <c r="F256">
        <v>53</v>
      </c>
      <c r="G256">
        <v>12</v>
      </c>
      <c r="H256">
        <v>10</v>
      </c>
      <c r="I256">
        <v>22</v>
      </c>
      <c r="J256">
        <v>-6</v>
      </c>
      <c r="K256">
        <v>14</v>
      </c>
      <c r="L256">
        <v>8</v>
      </c>
      <c r="M256">
        <v>4</v>
      </c>
      <c r="N256">
        <v>0</v>
      </c>
      <c r="O256">
        <v>2</v>
      </c>
      <c r="P256">
        <v>9</v>
      </c>
      <c r="Q256">
        <v>1</v>
      </c>
      <c r="R256">
        <v>0</v>
      </c>
      <c r="S256">
        <v>90</v>
      </c>
      <c r="T256">
        <v>13.3</v>
      </c>
      <c r="U256">
        <v>184</v>
      </c>
      <c r="V256" s="19" t="s">
        <v>2889</v>
      </c>
      <c r="W256" s="19" t="s">
        <v>813</v>
      </c>
      <c r="X256">
        <v>3</v>
      </c>
      <c r="Y256">
        <v>5</v>
      </c>
      <c r="Z256">
        <v>37.5</v>
      </c>
      <c r="AA256">
        <v>24</v>
      </c>
      <c r="AB256">
        <v>100</v>
      </c>
      <c r="AC256">
        <v>12</v>
      </c>
      <c r="AD256">
        <v>25</v>
      </c>
      <c r="AE256" s="19" t="s">
        <v>60</v>
      </c>
    </row>
    <row r="257" spans="1:31" x14ac:dyDescent="0.2">
      <c r="A257">
        <v>250</v>
      </c>
      <c r="B257" s="19" t="s">
        <v>629</v>
      </c>
      <c r="C257">
        <v>27</v>
      </c>
      <c r="D257" s="19" t="s">
        <v>460</v>
      </c>
      <c r="E257" s="19" t="s">
        <v>348</v>
      </c>
      <c r="F257">
        <v>42</v>
      </c>
      <c r="G257">
        <v>6</v>
      </c>
      <c r="H257">
        <v>15</v>
      </c>
      <c r="I257">
        <v>21</v>
      </c>
      <c r="J257">
        <v>-9</v>
      </c>
      <c r="K257">
        <v>10</v>
      </c>
      <c r="L257">
        <v>3</v>
      </c>
      <c r="M257">
        <v>3</v>
      </c>
      <c r="N257">
        <v>0</v>
      </c>
      <c r="O257">
        <v>0</v>
      </c>
      <c r="P257">
        <v>11</v>
      </c>
      <c r="Q257">
        <v>4</v>
      </c>
      <c r="R257">
        <v>0</v>
      </c>
      <c r="S257">
        <v>52</v>
      </c>
      <c r="T257">
        <v>11.5</v>
      </c>
      <c r="U257">
        <v>145</v>
      </c>
      <c r="V257" s="19" t="s">
        <v>2534</v>
      </c>
      <c r="W257" s="19" t="s">
        <v>2033</v>
      </c>
      <c r="X257">
        <v>0</v>
      </c>
      <c r="Y257">
        <v>2</v>
      </c>
      <c r="Z257">
        <v>0</v>
      </c>
      <c r="AA257">
        <v>44</v>
      </c>
      <c r="AB257">
        <v>39</v>
      </c>
      <c r="AC257">
        <v>13</v>
      </c>
      <c r="AD257">
        <v>45</v>
      </c>
      <c r="AE257" s="19" t="s">
        <v>60</v>
      </c>
    </row>
    <row r="258" spans="1:31" x14ac:dyDescent="0.2">
      <c r="A258">
        <v>251</v>
      </c>
      <c r="B258" s="19" t="s">
        <v>740</v>
      </c>
      <c r="C258">
        <v>32</v>
      </c>
      <c r="D258" s="19" t="s">
        <v>398</v>
      </c>
      <c r="E258" s="19" t="s">
        <v>334</v>
      </c>
      <c r="F258">
        <v>46</v>
      </c>
      <c r="G258">
        <v>10</v>
      </c>
      <c r="H258">
        <v>11</v>
      </c>
      <c r="I258">
        <v>21</v>
      </c>
      <c r="J258">
        <v>-5</v>
      </c>
      <c r="K258">
        <v>10</v>
      </c>
      <c r="L258">
        <v>8</v>
      </c>
      <c r="M258">
        <v>1</v>
      </c>
      <c r="N258">
        <v>1</v>
      </c>
      <c r="O258">
        <v>1</v>
      </c>
      <c r="P258">
        <v>9</v>
      </c>
      <c r="Q258">
        <v>2</v>
      </c>
      <c r="R258">
        <v>0</v>
      </c>
      <c r="S258">
        <v>63</v>
      </c>
      <c r="T258">
        <v>15.9</v>
      </c>
      <c r="U258">
        <v>108</v>
      </c>
      <c r="V258" s="19" t="s">
        <v>2535</v>
      </c>
      <c r="W258" s="19" t="s">
        <v>919</v>
      </c>
      <c r="X258">
        <v>5</v>
      </c>
      <c r="Y258">
        <v>14</v>
      </c>
      <c r="Z258">
        <v>26.3</v>
      </c>
      <c r="AA258">
        <v>26</v>
      </c>
      <c r="AB258">
        <v>17</v>
      </c>
      <c r="AC258">
        <v>12</v>
      </c>
      <c r="AD258">
        <v>31</v>
      </c>
      <c r="AE258" s="19" t="s">
        <v>60</v>
      </c>
    </row>
    <row r="259" spans="1:31" x14ac:dyDescent="0.2">
      <c r="A259">
        <v>252</v>
      </c>
      <c r="B259" s="19" t="s">
        <v>632</v>
      </c>
      <c r="C259">
        <v>34</v>
      </c>
      <c r="D259" s="19" t="s">
        <v>436</v>
      </c>
      <c r="E259" s="19" t="s">
        <v>322</v>
      </c>
      <c r="F259">
        <v>44</v>
      </c>
      <c r="G259">
        <v>13</v>
      </c>
      <c r="H259">
        <v>8</v>
      </c>
      <c r="I259">
        <v>21</v>
      </c>
      <c r="J259">
        <v>10</v>
      </c>
      <c r="K259">
        <v>29</v>
      </c>
      <c r="L259">
        <v>10</v>
      </c>
      <c r="M259">
        <v>0</v>
      </c>
      <c r="N259">
        <v>3</v>
      </c>
      <c r="O259">
        <v>3</v>
      </c>
      <c r="P259">
        <v>8</v>
      </c>
      <c r="Q259">
        <v>0</v>
      </c>
      <c r="R259">
        <v>0</v>
      </c>
      <c r="S259">
        <v>105</v>
      </c>
      <c r="T259">
        <v>12.4</v>
      </c>
      <c r="U259">
        <v>184</v>
      </c>
      <c r="V259" s="19" t="s">
        <v>1853</v>
      </c>
      <c r="W259" s="19" t="s">
        <v>1738</v>
      </c>
      <c r="X259">
        <v>12</v>
      </c>
      <c r="Y259">
        <v>15</v>
      </c>
      <c r="Z259">
        <v>44.4</v>
      </c>
      <c r="AA259">
        <v>29</v>
      </c>
      <c r="AB259">
        <v>110</v>
      </c>
      <c r="AC259">
        <v>15</v>
      </c>
      <c r="AD259">
        <v>41</v>
      </c>
      <c r="AE259" s="19" t="s">
        <v>60</v>
      </c>
    </row>
    <row r="260" spans="1:31" x14ac:dyDescent="0.2">
      <c r="A260">
        <v>253</v>
      </c>
      <c r="B260" s="19" t="s">
        <v>613</v>
      </c>
      <c r="C260">
        <v>29</v>
      </c>
      <c r="D260" s="19" t="s">
        <v>329</v>
      </c>
      <c r="E260" s="19" t="s">
        <v>322</v>
      </c>
      <c r="F260">
        <v>53</v>
      </c>
      <c r="G260">
        <v>11</v>
      </c>
      <c r="H260">
        <v>10</v>
      </c>
      <c r="I260">
        <v>21</v>
      </c>
      <c r="J260">
        <v>-12</v>
      </c>
      <c r="K260">
        <v>34</v>
      </c>
      <c r="L260">
        <v>10</v>
      </c>
      <c r="M260">
        <v>1</v>
      </c>
      <c r="N260">
        <v>0</v>
      </c>
      <c r="O260">
        <v>2</v>
      </c>
      <c r="P260">
        <v>9</v>
      </c>
      <c r="Q260">
        <v>1</v>
      </c>
      <c r="R260">
        <v>0</v>
      </c>
      <c r="S260">
        <v>82</v>
      </c>
      <c r="T260">
        <v>13.4</v>
      </c>
      <c r="U260">
        <v>184</v>
      </c>
      <c r="V260" s="19" t="s">
        <v>2536</v>
      </c>
      <c r="W260" s="19" t="s">
        <v>1936</v>
      </c>
      <c r="X260">
        <v>103</v>
      </c>
      <c r="Y260">
        <v>101</v>
      </c>
      <c r="Z260">
        <v>50.5</v>
      </c>
      <c r="AA260">
        <v>12</v>
      </c>
      <c r="AB260">
        <v>59</v>
      </c>
      <c r="AC260">
        <v>18</v>
      </c>
      <c r="AD260">
        <v>39</v>
      </c>
      <c r="AE260" s="19" t="s">
        <v>60</v>
      </c>
    </row>
    <row r="261" spans="1:31" x14ac:dyDescent="0.2">
      <c r="A261">
        <v>254</v>
      </c>
      <c r="B261" s="19" t="s">
        <v>678</v>
      </c>
      <c r="C261">
        <v>23</v>
      </c>
      <c r="D261" s="19" t="s">
        <v>406</v>
      </c>
      <c r="E261" s="19" t="s">
        <v>348</v>
      </c>
      <c r="F261">
        <v>49</v>
      </c>
      <c r="G261">
        <v>3</v>
      </c>
      <c r="H261">
        <v>18</v>
      </c>
      <c r="I261">
        <v>21</v>
      </c>
      <c r="J261">
        <v>-5</v>
      </c>
      <c r="K261">
        <v>24</v>
      </c>
      <c r="L261">
        <v>3</v>
      </c>
      <c r="M261">
        <v>0</v>
      </c>
      <c r="N261">
        <v>0</v>
      </c>
      <c r="O261">
        <v>1</v>
      </c>
      <c r="P261">
        <v>14</v>
      </c>
      <c r="Q261">
        <v>4</v>
      </c>
      <c r="R261">
        <v>0</v>
      </c>
      <c r="S261">
        <v>59</v>
      </c>
      <c r="T261">
        <v>5.0999999999999996</v>
      </c>
      <c r="U261">
        <v>162</v>
      </c>
      <c r="V261" s="19" t="s">
        <v>2890</v>
      </c>
      <c r="W261" s="19" t="s">
        <v>2144</v>
      </c>
      <c r="X261">
        <v>0</v>
      </c>
      <c r="Y261">
        <v>0</v>
      </c>
      <c r="AA261">
        <v>53</v>
      </c>
      <c r="AB261">
        <v>11</v>
      </c>
      <c r="AC261">
        <v>10</v>
      </c>
      <c r="AD261">
        <v>30</v>
      </c>
      <c r="AE261" s="19" t="s">
        <v>60</v>
      </c>
    </row>
    <row r="262" spans="1:31" x14ac:dyDescent="0.2">
      <c r="A262">
        <v>255</v>
      </c>
      <c r="B262" s="19" t="s">
        <v>814</v>
      </c>
      <c r="C262">
        <v>29</v>
      </c>
      <c r="D262" s="19" t="s">
        <v>372</v>
      </c>
      <c r="E262" s="19" t="s">
        <v>348</v>
      </c>
      <c r="F262">
        <v>51</v>
      </c>
      <c r="G262">
        <v>3</v>
      </c>
      <c r="H262">
        <v>18</v>
      </c>
      <c r="I262">
        <v>21</v>
      </c>
      <c r="J262">
        <v>-7</v>
      </c>
      <c r="K262">
        <v>35</v>
      </c>
      <c r="L262">
        <v>2</v>
      </c>
      <c r="M262">
        <v>1</v>
      </c>
      <c r="N262">
        <v>0</v>
      </c>
      <c r="O262">
        <v>3</v>
      </c>
      <c r="P262">
        <v>15</v>
      </c>
      <c r="Q262">
        <v>2</v>
      </c>
      <c r="R262">
        <v>1</v>
      </c>
      <c r="S262">
        <v>69</v>
      </c>
      <c r="T262">
        <v>4.3</v>
      </c>
      <c r="U262">
        <v>168</v>
      </c>
      <c r="V262" s="19" t="s">
        <v>2537</v>
      </c>
      <c r="W262" s="19" t="s">
        <v>1695</v>
      </c>
      <c r="X262">
        <v>0</v>
      </c>
      <c r="Y262">
        <v>1</v>
      </c>
      <c r="Z262">
        <v>0</v>
      </c>
      <c r="AA262">
        <v>81</v>
      </c>
      <c r="AB262">
        <v>60</v>
      </c>
      <c r="AC262">
        <v>14</v>
      </c>
      <c r="AD262">
        <v>46</v>
      </c>
      <c r="AE262" s="19" t="s">
        <v>60</v>
      </c>
    </row>
    <row r="263" spans="1:31" x14ac:dyDescent="0.2">
      <c r="A263">
        <v>256</v>
      </c>
      <c r="B263" s="19" t="s">
        <v>585</v>
      </c>
      <c r="C263">
        <v>20</v>
      </c>
      <c r="D263" s="19" t="s">
        <v>370</v>
      </c>
      <c r="E263" s="19" t="s">
        <v>322</v>
      </c>
      <c r="F263">
        <v>54</v>
      </c>
      <c r="G263">
        <v>9</v>
      </c>
      <c r="H263">
        <v>12</v>
      </c>
      <c r="I263">
        <v>21</v>
      </c>
      <c r="J263">
        <v>-5</v>
      </c>
      <c r="K263">
        <v>6</v>
      </c>
      <c r="L263">
        <v>5</v>
      </c>
      <c r="M263">
        <v>4</v>
      </c>
      <c r="N263">
        <v>0</v>
      </c>
      <c r="O263">
        <v>1</v>
      </c>
      <c r="P263">
        <v>8</v>
      </c>
      <c r="Q263">
        <v>4</v>
      </c>
      <c r="R263">
        <v>0</v>
      </c>
      <c r="S263">
        <v>85</v>
      </c>
      <c r="T263">
        <v>10.6</v>
      </c>
      <c r="U263">
        <v>142</v>
      </c>
      <c r="V263" s="19" t="s">
        <v>2538</v>
      </c>
      <c r="W263" s="19" t="s">
        <v>1783</v>
      </c>
      <c r="X263">
        <v>13</v>
      </c>
      <c r="Y263">
        <v>23</v>
      </c>
      <c r="Z263">
        <v>36.1</v>
      </c>
      <c r="AA263">
        <v>30</v>
      </c>
      <c r="AB263">
        <v>78</v>
      </c>
      <c r="AC263">
        <v>15</v>
      </c>
      <c r="AD263">
        <v>51</v>
      </c>
      <c r="AE263" s="19" t="s">
        <v>60</v>
      </c>
    </row>
    <row r="264" spans="1:31" x14ac:dyDescent="0.2">
      <c r="A264">
        <v>257</v>
      </c>
      <c r="B264" s="19" t="s">
        <v>703</v>
      </c>
      <c r="C264">
        <v>27</v>
      </c>
      <c r="D264" s="19" t="s">
        <v>365</v>
      </c>
      <c r="E264" s="19" t="s">
        <v>325</v>
      </c>
      <c r="F264">
        <v>43</v>
      </c>
      <c r="G264">
        <v>11</v>
      </c>
      <c r="H264">
        <v>10</v>
      </c>
      <c r="I264">
        <v>21</v>
      </c>
      <c r="J264">
        <v>6</v>
      </c>
      <c r="K264">
        <v>14</v>
      </c>
      <c r="L264">
        <v>9</v>
      </c>
      <c r="M264">
        <v>2</v>
      </c>
      <c r="N264">
        <v>0</v>
      </c>
      <c r="O264">
        <v>0</v>
      </c>
      <c r="P264">
        <v>8</v>
      </c>
      <c r="Q264">
        <v>2</v>
      </c>
      <c r="R264">
        <v>0</v>
      </c>
      <c r="S264">
        <v>71</v>
      </c>
      <c r="T264">
        <v>15.5</v>
      </c>
      <c r="U264">
        <v>127</v>
      </c>
      <c r="V264" s="19" t="s">
        <v>2539</v>
      </c>
      <c r="W264" s="19" t="s">
        <v>1760</v>
      </c>
      <c r="X264">
        <v>1</v>
      </c>
      <c r="Y264">
        <v>5</v>
      </c>
      <c r="Z264">
        <v>16.7</v>
      </c>
      <c r="AA264">
        <v>27</v>
      </c>
      <c r="AB264">
        <v>38</v>
      </c>
      <c r="AC264">
        <v>6</v>
      </c>
      <c r="AD264">
        <v>17</v>
      </c>
      <c r="AE264" s="19" t="s">
        <v>60</v>
      </c>
    </row>
    <row r="265" spans="1:31" x14ac:dyDescent="0.2">
      <c r="A265">
        <v>258</v>
      </c>
      <c r="B265" s="19" t="s">
        <v>591</v>
      </c>
      <c r="C265">
        <v>38</v>
      </c>
      <c r="D265" s="19" t="s">
        <v>419</v>
      </c>
      <c r="E265" s="19" t="s">
        <v>322</v>
      </c>
      <c r="F265">
        <v>37</v>
      </c>
      <c r="G265">
        <v>6</v>
      </c>
      <c r="H265">
        <v>15</v>
      </c>
      <c r="I265">
        <v>21</v>
      </c>
      <c r="J265">
        <v>12</v>
      </c>
      <c r="K265">
        <v>8</v>
      </c>
      <c r="L265">
        <v>3</v>
      </c>
      <c r="M265">
        <v>3</v>
      </c>
      <c r="N265">
        <v>0</v>
      </c>
      <c r="O265">
        <v>1</v>
      </c>
      <c r="P265">
        <v>11</v>
      </c>
      <c r="Q265">
        <v>4</v>
      </c>
      <c r="R265">
        <v>0</v>
      </c>
      <c r="S265">
        <v>49</v>
      </c>
      <c r="T265">
        <v>12.2</v>
      </c>
      <c r="U265">
        <v>108</v>
      </c>
      <c r="V265" s="19" t="s">
        <v>1823</v>
      </c>
      <c r="W265" s="19" t="s">
        <v>1473</v>
      </c>
      <c r="X265">
        <v>399</v>
      </c>
      <c r="Y265">
        <v>297</v>
      </c>
      <c r="Z265">
        <v>57.3</v>
      </c>
      <c r="AA265">
        <v>34</v>
      </c>
      <c r="AB265">
        <v>19</v>
      </c>
      <c r="AC265">
        <v>11</v>
      </c>
      <c r="AD265">
        <v>35</v>
      </c>
      <c r="AE265" s="19" t="s">
        <v>60</v>
      </c>
    </row>
    <row r="266" spans="1:31" x14ac:dyDescent="0.2">
      <c r="A266">
        <v>259</v>
      </c>
      <c r="B266" s="19" t="s">
        <v>786</v>
      </c>
      <c r="C266">
        <v>29</v>
      </c>
      <c r="D266" s="19" t="s">
        <v>419</v>
      </c>
      <c r="E266" s="19" t="s">
        <v>325</v>
      </c>
      <c r="F266">
        <v>46</v>
      </c>
      <c r="G266">
        <v>11</v>
      </c>
      <c r="H266">
        <v>10</v>
      </c>
      <c r="I266">
        <v>21</v>
      </c>
      <c r="J266">
        <v>-3</v>
      </c>
      <c r="K266">
        <v>16</v>
      </c>
      <c r="L266">
        <v>5</v>
      </c>
      <c r="M266">
        <v>6</v>
      </c>
      <c r="N266">
        <v>0</v>
      </c>
      <c r="O266">
        <v>3</v>
      </c>
      <c r="P266">
        <v>5</v>
      </c>
      <c r="Q266">
        <v>5</v>
      </c>
      <c r="R266">
        <v>0</v>
      </c>
      <c r="S266">
        <v>62</v>
      </c>
      <c r="T266">
        <v>17.7</v>
      </c>
      <c r="U266">
        <v>154</v>
      </c>
      <c r="V266" s="19" t="s">
        <v>2540</v>
      </c>
      <c r="W266" s="19" t="s">
        <v>1722</v>
      </c>
      <c r="X266">
        <v>0</v>
      </c>
      <c r="Y266">
        <v>0</v>
      </c>
      <c r="AA266">
        <v>13</v>
      </c>
      <c r="AB266">
        <v>18</v>
      </c>
      <c r="AC266">
        <v>9</v>
      </c>
      <c r="AD266">
        <v>47</v>
      </c>
      <c r="AE266" s="19" t="s">
        <v>60</v>
      </c>
    </row>
    <row r="267" spans="1:31" x14ac:dyDescent="0.2">
      <c r="A267">
        <v>260</v>
      </c>
      <c r="B267" s="19" t="s">
        <v>593</v>
      </c>
      <c r="C267">
        <v>20</v>
      </c>
      <c r="D267" s="19" t="s">
        <v>329</v>
      </c>
      <c r="E267" s="19" t="s">
        <v>348</v>
      </c>
      <c r="F267">
        <v>51</v>
      </c>
      <c r="G267">
        <v>2</v>
      </c>
      <c r="H267">
        <v>19</v>
      </c>
      <c r="I267">
        <v>21</v>
      </c>
      <c r="J267">
        <v>-22</v>
      </c>
      <c r="K267">
        <v>36</v>
      </c>
      <c r="L267">
        <v>1</v>
      </c>
      <c r="M267">
        <v>1</v>
      </c>
      <c r="N267">
        <v>0</v>
      </c>
      <c r="O267">
        <v>0</v>
      </c>
      <c r="P267">
        <v>9</v>
      </c>
      <c r="Q267">
        <v>10</v>
      </c>
      <c r="R267">
        <v>0</v>
      </c>
      <c r="S267">
        <v>66</v>
      </c>
      <c r="T267">
        <v>3</v>
      </c>
      <c r="U267">
        <v>166</v>
      </c>
      <c r="V267" s="19" t="s">
        <v>2541</v>
      </c>
      <c r="W267" s="19" t="s">
        <v>1953</v>
      </c>
      <c r="X267">
        <v>0</v>
      </c>
      <c r="Y267">
        <v>0</v>
      </c>
      <c r="AA267">
        <v>50</v>
      </c>
      <c r="AB267">
        <v>61</v>
      </c>
      <c r="AC267">
        <v>12</v>
      </c>
      <c r="AD267">
        <v>69</v>
      </c>
      <c r="AE267" s="19" t="s">
        <v>60</v>
      </c>
    </row>
    <row r="268" spans="1:31" x14ac:dyDescent="0.2">
      <c r="A268">
        <v>261</v>
      </c>
      <c r="B268" s="19" t="s">
        <v>713</v>
      </c>
      <c r="C268">
        <v>31</v>
      </c>
      <c r="D268" s="19" t="s">
        <v>333</v>
      </c>
      <c r="E268" s="19" t="s">
        <v>348</v>
      </c>
      <c r="F268">
        <v>53</v>
      </c>
      <c r="G268">
        <v>5</v>
      </c>
      <c r="H268">
        <v>16</v>
      </c>
      <c r="I268">
        <v>21</v>
      </c>
      <c r="J268">
        <v>21</v>
      </c>
      <c r="K268">
        <v>14</v>
      </c>
      <c r="L268">
        <v>5</v>
      </c>
      <c r="M268">
        <v>0</v>
      </c>
      <c r="N268">
        <v>0</v>
      </c>
      <c r="O268">
        <v>1</v>
      </c>
      <c r="P268">
        <v>14</v>
      </c>
      <c r="Q268">
        <v>0</v>
      </c>
      <c r="R268">
        <v>2</v>
      </c>
      <c r="S268">
        <v>51</v>
      </c>
      <c r="T268">
        <v>9.8000000000000007</v>
      </c>
      <c r="U268">
        <v>126</v>
      </c>
      <c r="V268" s="19" t="s">
        <v>2542</v>
      </c>
      <c r="W268" s="19" t="s">
        <v>1715</v>
      </c>
      <c r="X268">
        <v>0</v>
      </c>
      <c r="Y268">
        <v>0</v>
      </c>
      <c r="AA268">
        <v>116</v>
      </c>
      <c r="AB268">
        <v>20</v>
      </c>
      <c r="AC268">
        <v>23</v>
      </c>
      <c r="AD268">
        <v>78</v>
      </c>
      <c r="AE268" s="19" t="s">
        <v>60</v>
      </c>
    </row>
    <row r="269" spans="1:31" x14ac:dyDescent="0.2">
      <c r="A269">
        <v>262</v>
      </c>
      <c r="B269" s="19" t="s">
        <v>680</v>
      </c>
      <c r="C269">
        <v>27</v>
      </c>
      <c r="D269" s="19" t="s">
        <v>372</v>
      </c>
      <c r="E269" s="19" t="s">
        <v>322</v>
      </c>
      <c r="F269">
        <v>44</v>
      </c>
      <c r="G269">
        <v>5</v>
      </c>
      <c r="H269">
        <v>16</v>
      </c>
      <c r="I269">
        <v>21</v>
      </c>
      <c r="J269">
        <v>2</v>
      </c>
      <c r="K269">
        <v>16</v>
      </c>
      <c r="L269">
        <v>4</v>
      </c>
      <c r="M269">
        <v>1</v>
      </c>
      <c r="N269">
        <v>0</v>
      </c>
      <c r="O269">
        <v>0</v>
      </c>
      <c r="P269">
        <v>15</v>
      </c>
      <c r="Q269">
        <v>0</v>
      </c>
      <c r="R269">
        <v>1</v>
      </c>
      <c r="S269">
        <v>69</v>
      </c>
      <c r="T269">
        <v>7.2</v>
      </c>
      <c r="U269">
        <v>124</v>
      </c>
      <c r="V269" s="19" t="s">
        <v>2543</v>
      </c>
      <c r="W269" s="19" t="s">
        <v>1504</v>
      </c>
      <c r="X269">
        <v>16</v>
      </c>
      <c r="Y269">
        <v>22</v>
      </c>
      <c r="Z269">
        <v>42.1</v>
      </c>
      <c r="AA269">
        <v>36</v>
      </c>
      <c r="AB269">
        <v>89</v>
      </c>
      <c r="AC269">
        <v>17</v>
      </c>
      <c r="AD269">
        <v>28</v>
      </c>
      <c r="AE269" s="19" t="s">
        <v>60</v>
      </c>
    </row>
    <row r="270" spans="1:31" x14ac:dyDescent="0.2">
      <c r="A270">
        <v>263</v>
      </c>
      <c r="B270" s="19" t="s">
        <v>758</v>
      </c>
      <c r="C270">
        <v>25</v>
      </c>
      <c r="D270" s="19" t="s">
        <v>358</v>
      </c>
      <c r="E270" s="19" t="s">
        <v>339</v>
      </c>
      <c r="F270">
        <v>42</v>
      </c>
      <c r="G270">
        <v>7</v>
      </c>
      <c r="H270">
        <v>14</v>
      </c>
      <c r="I270">
        <v>21</v>
      </c>
      <c r="J270">
        <v>-9</v>
      </c>
      <c r="K270">
        <v>8</v>
      </c>
      <c r="L270">
        <v>6</v>
      </c>
      <c r="M270">
        <v>1</v>
      </c>
      <c r="N270">
        <v>0</v>
      </c>
      <c r="O270">
        <v>2</v>
      </c>
      <c r="P270">
        <v>10</v>
      </c>
      <c r="Q270">
        <v>4</v>
      </c>
      <c r="R270">
        <v>0</v>
      </c>
      <c r="S270">
        <v>50</v>
      </c>
      <c r="T270">
        <v>14</v>
      </c>
      <c r="U270">
        <v>102</v>
      </c>
      <c r="V270" s="19" t="s">
        <v>2544</v>
      </c>
      <c r="W270" s="19" t="s">
        <v>1975</v>
      </c>
      <c r="X270">
        <v>3</v>
      </c>
      <c r="Y270">
        <v>4</v>
      </c>
      <c r="Z270">
        <v>42.9</v>
      </c>
      <c r="AA270">
        <v>11</v>
      </c>
      <c r="AB270">
        <v>11</v>
      </c>
      <c r="AC270">
        <v>7</v>
      </c>
      <c r="AD270">
        <v>35</v>
      </c>
      <c r="AE270" s="19" t="s">
        <v>60</v>
      </c>
    </row>
    <row r="271" spans="1:31" x14ac:dyDescent="0.2">
      <c r="A271">
        <v>264</v>
      </c>
      <c r="B271" s="19" t="s">
        <v>877</v>
      </c>
      <c r="C271">
        <v>34</v>
      </c>
      <c r="D271" s="19" t="s">
        <v>321</v>
      </c>
      <c r="E271" s="19" t="s">
        <v>348</v>
      </c>
      <c r="F271">
        <v>51</v>
      </c>
      <c r="G271">
        <v>4</v>
      </c>
      <c r="H271">
        <v>17</v>
      </c>
      <c r="I271">
        <v>21</v>
      </c>
      <c r="J271">
        <v>35</v>
      </c>
      <c r="K271">
        <v>62</v>
      </c>
      <c r="L271">
        <v>4</v>
      </c>
      <c r="M271">
        <v>0</v>
      </c>
      <c r="N271">
        <v>0</v>
      </c>
      <c r="O271">
        <v>1</v>
      </c>
      <c r="P271">
        <v>17</v>
      </c>
      <c r="Q271">
        <v>0</v>
      </c>
      <c r="R271">
        <v>0</v>
      </c>
      <c r="S271">
        <v>80</v>
      </c>
      <c r="T271">
        <v>5</v>
      </c>
      <c r="U271">
        <v>163</v>
      </c>
      <c r="V271" s="19" t="s">
        <v>2891</v>
      </c>
      <c r="W271" s="19" t="s">
        <v>1531</v>
      </c>
      <c r="X271">
        <v>0</v>
      </c>
      <c r="Y271">
        <v>0</v>
      </c>
      <c r="AA271">
        <v>72</v>
      </c>
      <c r="AB271">
        <v>125</v>
      </c>
      <c r="AC271">
        <v>19</v>
      </c>
      <c r="AD271">
        <v>49</v>
      </c>
      <c r="AE271" s="19" t="s">
        <v>60</v>
      </c>
    </row>
    <row r="272" spans="1:31" x14ac:dyDescent="0.2">
      <c r="A272">
        <v>265</v>
      </c>
      <c r="B272" s="19" t="s">
        <v>647</v>
      </c>
      <c r="C272">
        <v>21</v>
      </c>
      <c r="D272" s="19" t="s">
        <v>380</v>
      </c>
      <c r="E272" s="19" t="s">
        <v>348</v>
      </c>
      <c r="F272">
        <v>45</v>
      </c>
      <c r="G272">
        <v>8</v>
      </c>
      <c r="H272">
        <v>13</v>
      </c>
      <c r="I272">
        <v>21</v>
      </c>
      <c r="J272">
        <v>5</v>
      </c>
      <c r="K272">
        <v>4</v>
      </c>
      <c r="L272">
        <v>7</v>
      </c>
      <c r="M272">
        <v>1</v>
      </c>
      <c r="N272">
        <v>0</v>
      </c>
      <c r="O272">
        <v>0</v>
      </c>
      <c r="P272">
        <v>12</v>
      </c>
      <c r="Q272">
        <v>1</v>
      </c>
      <c r="R272">
        <v>0</v>
      </c>
      <c r="S272">
        <v>54</v>
      </c>
      <c r="T272">
        <v>14.8</v>
      </c>
      <c r="U272">
        <v>134</v>
      </c>
      <c r="V272" s="19" t="s">
        <v>2892</v>
      </c>
      <c r="W272" s="19" t="s">
        <v>1825</v>
      </c>
      <c r="X272">
        <v>0</v>
      </c>
      <c r="Y272">
        <v>0</v>
      </c>
      <c r="AA272">
        <v>63</v>
      </c>
      <c r="AB272">
        <v>19</v>
      </c>
      <c r="AC272">
        <v>12</v>
      </c>
      <c r="AD272">
        <v>49</v>
      </c>
      <c r="AE272" s="19" t="s">
        <v>60</v>
      </c>
    </row>
    <row r="273" spans="1:31" x14ac:dyDescent="0.2">
      <c r="A273">
        <v>266</v>
      </c>
      <c r="B273" s="19" t="s">
        <v>473</v>
      </c>
      <c r="C273">
        <v>22</v>
      </c>
      <c r="D273" s="19" t="s">
        <v>329</v>
      </c>
      <c r="E273" s="19" t="s">
        <v>322</v>
      </c>
      <c r="F273">
        <v>37</v>
      </c>
      <c r="G273">
        <v>6</v>
      </c>
      <c r="H273">
        <v>15</v>
      </c>
      <c r="I273">
        <v>21</v>
      </c>
      <c r="J273">
        <v>-8</v>
      </c>
      <c r="K273">
        <v>20</v>
      </c>
      <c r="L273">
        <v>4</v>
      </c>
      <c r="M273">
        <v>1</v>
      </c>
      <c r="N273">
        <v>1</v>
      </c>
      <c r="O273">
        <v>1</v>
      </c>
      <c r="P273">
        <v>10</v>
      </c>
      <c r="Q273">
        <v>5</v>
      </c>
      <c r="R273">
        <v>0</v>
      </c>
      <c r="S273">
        <v>79</v>
      </c>
      <c r="T273">
        <v>7.6</v>
      </c>
      <c r="U273">
        <v>156</v>
      </c>
      <c r="V273" s="19" t="s">
        <v>2545</v>
      </c>
      <c r="W273" s="19" t="s">
        <v>2119</v>
      </c>
      <c r="X273">
        <v>211</v>
      </c>
      <c r="Y273">
        <v>257</v>
      </c>
      <c r="Z273">
        <v>45.1</v>
      </c>
      <c r="AA273">
        <v>25</v>
      </c>
      <c r="AB273">
        <v>21</v>
      </c>
      <c r="AC273">
        <v>13</v>
      </c>
      <c r="AD273">
        <v>42</v>
      </c>
      <c r="AE273" s="19" t="s">
        <v>60</v>
      </c>
    </row>
    <row r="274" spans="1:31" x14ac:dyDescent="0.2">
      <c r="A274">
        <v>267</v>
      </c>
      <c r="B274" s="19" t="s">
        <v>651</v>
      </c>
      <c r="C274">
        <v>23</v>
      </c>
      <c r="D274" s="19" t="s">
        <v>513</v>
      </c>
      <c r="E274" s="19" t="s">
        <v>339</v>
      </c>
      <c r="F274">
        <v>41</v>
      </c>
      <c r="G274">
        <v>12</v>
      </c>
      <c r="H274">
        <v>9</v>
      </c>
      <c r="I274">
        <v>21</v>
      </c>
      <c r="J274">
        <v>-12</v>
      </c>
      <c r="K274">
        <v>22</v>
      </c>
      <c r="L274">
        <v>11</v>
      </c>
      <c r="M274">
        <v>1</v>
      </c>
      <c r="N274">
        <v>0</v>
      </c>
      <c r="O274">
        <v>2</v>
      </c>
      <c r="P274">
        <v>7</v>
      </c>
      <c r="Q274">
        <v>2</v>
      </c>
      <c r="R274">
        <v>0</v>
      </c>
      <c r="S274">
        <v>55</v>
      </c>
      <c r="T274">
        <v>21.8</v>
      </c>
      <c r="U274">
        <v>105</v>
      </c>
      <c r="V274" s="19" t="s">
        <v>2546</v>
      </c>
      <c r="W274" s="19" t="s">
        <v>1726</v>
      </c>
      <c r="X274">
        <v>2</v>
      </c>
      <c r="Y274">
        <v>7</v>
      </c>
      <c r="Z274">
        <v>22.2</v>
      </c>
      <c r="AA274">
        <v>21</v>
      </c>
      <c r="AB274">
        <v>102</v>
      </c>
      <c r="AC274">
        <v>6</v>
      </c>
      <c r="AD274">
        <v>28</v>
      </c>
      <c r="AE274" s="19" t="s">
        <v>60</v>
      </c>
    </row>
    <row r="275" spans="1:31" x14ac:dyDescent="0.2">
      <c r="A275">
        <v>268</v>
      </c>
      <c r="B275" s="19" t="s">
        <v>760</v>
      </c>
      <c r="C275">
        <v>24</v>
      </c>
      <c r="D275" s="19" t="s">
        <v>396</v>
      </c>
      <c r="E275" s="19" t="s">
        <v>348</v>
      </c>
      <c r="F275">
        <v>51</v>
      </c>
      <c r="G275">
        <v>6</v>
      </c>
      <c r="H275">
        <v>15</v>
      </c>
      <c r="I275">
        <v>21</v>
      </c>
      <c r="J275">
        <v>13</v>
      </c>
      <c r="K275">
        <v>23</v>
      </c>
      <c r="L275">
        <v>4</v>
      </c>
      <c r="M275">
        <v>2</v>
      </c>
      <c r="N275">
        <v>0</v>
      </c>
      <c r="O275">
        <v>0</v>
      </c>
      <c r="P275">
        <v>11</v>
      </c>
      <c r="Q275">
        <v>4</v>
      </c>
      <c r="R275">
        <v>0</v>
      </c>
      <c r="S275">
        <v>81</v>
      </c>
      <c r="T275">
        <v>7.4</v>
      </c>
      <c r="U275">
        <v>214</v>
      </c>
      <c r="V275" s="19" t="s">
        <v>2274</v>
      </c>
      <c r="W275" s="19" t="s">
        <v>2070</v>
      </c>
      <c r="X275">
        <v>0</v>
      </c>
      <c r="Y275">
        <v>0</v>
      </c>
      <c r="AA275">
        <v>61</v>
      </c>
      <c r="AB275">
        <v>93</v>
      </c>
      <c r="AC275">
        <v>16</v>
      </c>
      <c r="AD275">
        <v>61</v>
      </c>
      <c r="AE275" s="19" t="s">
        <v>60</v>
      </c>
    </row>
    <row r="276" spans="1:31" x14ac:dyDescent="0.2">
      <c r="A276">
        <v>269</v>
      </c>
      <c r="B276" s="19" t="s">
        <v>601</v>
      </c>
      <c r="C276">
        <v>31</v>
      </c>
      <c r="D276" s="19" t="s">
        <v>383</v>
      </c>
      <c r="E276" s="19" t="s">
        <v>348</v>
      </c>
      <c r="F276">
        <v>51</v>
      </c>
      <c r="G276">
        <v>2</v>
      </c>
      <c r="H276">
        <v>19</v>
      </c>
      <c r="I276">
        <v>21</v>
      </c>
      <c r="J276">
        <v>10</v>
      </c>
      <c r="K276">
        <v>8</v>
      </c>
      <c r="L276">
        <v>2</v>
      </c>
      <c r="M276">
        <v>0</v>
      </c>
      <c r="N276">
        <v>0</v>
      </c>
      <c r="O276">
        <v>0</v>
      </c>
      <c r="P276">
        <v>17</v>
      </c>
      <c r="Q276">
        <v>1</v>
      </c>
      <c r="R276">
        <v>1</v>
      </c>
      <c r="S276">
        <v>63</v>
      </c>
      <c r="T276">
        <v>3.2</v>
      </c>
      <c r="U276">
        <v>153</v>
      </c>
      <c r="V276" s="19" t="s">
        <v>2893</v>
      </c>
      <c r="W276" s="19" t="s">
        <v>1915</v>
      </c>
      <c r="X276">
        <v>0</v>
      </c>
      <c r="Y276">
        <v>0</v>
      </c>
      <c r="AA276">
        <v>92</v>
      </c>
      <c r="AB276">
        <v>34</v>
      </c>
      <c r="AC276">
        <v>22</v>
      </c>
      <c r="AD276">
        <v>62</v>
      </c>
      <c r="AE276" s="19" t="s">
        <v>60</v>
      </c>
    </row>
    <row r="277" spans="1:31" x14ac:dyDescent="0.2">
      <c r="A277">
        <v>270</v>
      </c>
      <c r="B277" s="19" t="s">
        <v>689</v>
      </c>
      <c r="C277">
        <v>37</v>
      </c>
      <c r="D277" s="19" t="s">
        <v>396</v>
      </c>
      <c r="E277" s="19" t="s">
        <v>322</v>
      </c>
      <c r="F277">
        <v>49</v>
      </c>
      <c r="G277">
        <v>11</v>
      </c>
      <c r="H277">
        <v>10</v>
      </c>
      <c r="I277">
        <v>21</v>
      </c>
      <c r="J277">
        <v>2</v>
      </c>
      <c r="K277">
        <v>25</v>
      </c>
      <c r="L277">
        <v>9</v>
      </c>
      <c r="M277">
        <v>2</v>
      </c>
      <c r="N277">
        <v>0</v>
      </c>
      <c r="O277">
        <v>0</v>
      </c>
      <c r="P277">
        <v>10</v>
      </c>
      <c r="Q277">
        <v>0</v>
      </c>
      <c r="R277">
        <v>0</v>
      </c>
      <c r="S277">
        <v>67</v>
      </c>
      <c r="T277">
        <v>16.399999999999999</v>
      </c>
      <c r="U277">
        <v>142</v>
      </c>
      <c r="V277" s="19" t="s">
        <v>2275</v>
      </c>
      <c r="W277" s="19" t="s">
        <v>1094</v>
      </c>
      <c r="X277">
        <v>543</v>
      </c>
      <c r="Y277">
        <v>427</v>
      </c>
      <c r="Z277">
        <v>56</v>
      </c>
      <c r="AA277">
        <v>28</v>
      </c>
      <c r="AB277">
        <v>95</v>
      </c>
      <c r="AC277">
        <v>11</v>
      </c>
      <c r="AD277">
        <v>32</v>
      </c>
      <c r="AE277" s="19" t="s">
        <v>60</v>
      </c>
    </row>
    <row r="278" spans="1:31" x14ac:dyDescent="0.2">
      <c r="A278">
        <v>271</v>
      </c>
      <c r="B278" s="19" t="s">
        <v>608</v>
      </c>
      <c r="C278">
        <v>22</v>
      </c>
      <c r="D278" s="19" t="s">
        <v>362</v>
      </c>
      <c r="E278" s="19" t="s">
        <v>322</v>
      </c>
      <c r="F278">
        <v>53</v>
      </c>
      <c r="G278">
        <v>10</v>
      </c>
      <c r="H278">
        <v>10</v>
      </c>
      <c r="I278">
        <v>20</v>
      </c>
      <c r="J278">
        <v>-12</v>
      </c>
      <c r="K278">
        <v>22</v>
      </c>
      <c r="L278">
        <v>7</v>
      </c>
      <c r="M278">
        <v>3</v>
      </c>
      <c r="N278">
        <v>0</v>
      </c>
      <c r="O278">
        <v>2</v>
      </c>
      <c r="P278">
        <v>8</v>
      </c>
      <c r="Q278">
        <v>2</v>
      </c>
      <c r="R278">
        <v>0</v>
      </c>
      <c r="S278">
        <v>73</v>
      </c>
      <c r="T278">
        <v>13.7</v>
      </c>
      <c r="U278">
        <v>165</v>
      </c>
      <c r="V278" s="19" t="s">
        <v>2547</v>
      </c>
      <c r="W278" s="19" t="s">
        <v>503</v>
      </c>
      <c r="X278">
        <v>18</v>
      </c>
      <c r="Y278">
        <v>17</v>
      </c>
      <c r="Z278">
        <v>51.4</v>
      </c>
      <c r="AA278">
        <v>28</v>
      </c>
      <c r="AB278">
        <v>109</v>
      </c>
      <c r="AC278">
        <v>11</v>
      </c>
      <c r="AD278">
        <v>40</v>
      </c>
      <c r="AE278" s="19" t="s">
        <v>60</v>
      </c>
    </row>
    <row r="279" spans="1:31" x14ac:dyDescent="0.2">
      <c r="A279">
        <v>272</v>
      </c>
      <c r="B279" s="19" t="s">
        <v>580</v>
      </c>
      <c r="C279">
        <v>29</v>
      </c>
      <c r="D279" s="19" t="s">
        <v>321</v>
      </c>
      <c r="E279" s="19" t="s">
        <v>322</v>
      </c>
      <c r="F279">
        <v>48</v>
      </c>
      <c r="G279">
        <v>5</v>
      </c>
      <c r="H279">
        <v>15</v>
      </c>
      <c r="I279">
        <v>20</v>
      </c>
      <c r="J279">
        <v>14</v>
      </c>
      <c r="K279">
        <v>9</v>
      </c>
      <c r="L279">
        <v>5</v>
      </c>
      <c r="M279">
        <v>0</v>
      </c>
      <c r="N279">
        <v>0</v>
      </c>
      <c r="O279">
        <v>2</v>
      </c>
      <c r="P279">
        <v>15</v>
      </c>
      <c r="Q279">
        <v>0</v>
      </c>
      <c r="R279">
        <v>0</v>
      </c>
      <c r="S279">
        <v>115</v>
      </c>
      <c r="T279">
        <v>4.3</v>
      </c>
      <c r="U279">
        <v>201</v>
      </c>
      <c r="V279" s="19" t="s">
        <v>2200</v>
      </c>
      <c r="W279" s="19" t="s">
        <v>1859</v>
      </c>
      <c r="X279">
        <v>36</v>
      </c>
      <c r="Y279">
        <v>40</v>
      </c>
      <c r="Z279">
        <v>47.4</v>
      </c>
      <c r="AA279">
        <v>20</v>
      </c>
      <c r="AB279">
        <v>99</v>
      </c>
      <c r="AC279">
        <v>11</v>
      </c>
      <c r="AD279">
        <v>38</v>
      </c>
      <c r="AE279" s="19" t="s">
        <v>60</v>
      </c>
    </row>
    <row r="280" spans="1:31" x14ac:dyDescent="0.2">
      <c r="A280">
        <v>273</v>
      </c>
      <c r="B280" s="19" t="s">
        <v>560</v>
      </c>
      <c r="C280">
        <v>30</v>
      </c>
      <c r="D280" s="19" t="s">
        <v>383</v>
      </c>
      <c r="E280" s="19" t="s">
        <v>339</v>
      </c>
      <c r="F280">
        <v>47</v>
      </c>
      <c r="G280">
        <v>3</v>
      </c>
      <c r="H280">
        <v>17</v>
      </c>
      <c r="I280">
        <v>20</v>
      </c>
      <c r="J280">
        <v>1</v>
      </c>
      <c r="K280">
        <v>19</v>
      </c>
      <c r="L280">
        <v>3</v>
      </c>
      <c r="M280">
        <v>0</v>
      </c>
      <c r="N280">
        <v>0</v>
      </c>
      <c r="O280">
        <v>0</v>
      </c>
      <c r="P280">
        <v>13</v>
      </c>
      <c r="Q280">
        <v>4</v>
      </c>
      <c r="R280">
        <v>0</v>
      </c>
      <c r="S280">
        <v>66</v>
      </c>
      <c r="T280">
        <v>4.5</v>
      </c>
      <c r="U280">
        <v>128</v>
      </c>
      <c r="V280" s="19" t="s">
        <v>2894</v>
      </c>
      <c r="W280" s="19" t="s">
        <v>1821</v>
      </c>
      <c r="X280">
        <v>86</v>
      </c>
      <c r="Y280">
        <v>77</v>
      </c>
      <c r="Z280">
        <v>52.8</v>
      </c>
      <c r="AA280">
        <v>19</v>
      </c>
      <c r="AB280">
        <v>11</v>
      </c>
      <c r="AC280">
        <v>10</v>
      </c>
      <c r="AD280">
        <v>28</v>
      </c>
      <c r="AE280" s="19" t="s">
        <v>60</v>
      </c>
    </row>
    <row r="281" spans="1:31" x14ac:dyDescent="0.2">
      <c r="A281">
        <v>274</v>
      </c>
      <c r="B281" s="19" t="s">
        <v>583</v>
      </c>
      <c r="C281">
        <v>25</v>
      </c>
      <c r="D281" s="19" t="s">
        <v>436</v>
      </c>
      <c r="E281" s="19" t="s">
        <v>339</v>
      </c>
      <c r="F281">
        <v>52</v>
      </c>
      <c r="G281">
        <v>10</v>
      </c>
      <c r="H281">
        <v>10</v>
      </c>
      <c r="I281">
        <v>20</v>
      </c>
      <c r="J281">
        <v>-11</v>
      </c>
      <c r="K281">
        <v>20</v>
      </c>
      <c r="L281">
        <v>6</v>
      </c>
      <c r="M281">
        <v>1</v>
      </c>
      <c r="N281">
        <v>3</v>
      </c>
      <c r="O281">
        <v>0</v>
      </c>
      <c r="P281">
        <v>8</v>
      </c>
      <c r="Q281">
        <v>2</v>
      </c>
      <c r="R281">
        <v>0</v>
      </c>
      <c r="S281">
        <v>94</v>
      </c>
      <c r="T281">
        <v>10.6</v>
      </c>
      <c r="U281">
        <v>174</v>
      </c>
      <c r="V281" s="19" t="s">
        <v>2337</v>
      </c>
      <c r="W281" s="19" t="s">
        <v>924</v>
      </c>
      <c r="X281">
        <v>21</v>
      </c>
      <c r="Y281">
        <v>24</v>
      </c>
      <c r="Z281">
        <v>46.7</v>
      </c>
      <c r="AA281">
        <v>35</v>
      </c>
      <c r="AB281">
        <v>37</v>
      </c>
      <c r="AC281">
        <v>13</v>
      </c>
      <c r="AD281">
        <v>43</v>
      </c>
      <c r="AE281" s="19" t="s">
        <v>60</v>
      </c>
    </row>
    <row r="282" spans="1:31" x14ac:dyDescent="0.2">
      <c r="A282">
        <v>275</v>
      </c>
      <c r="B282" s="19" t="s">
        <v>779</v>
      </c>
      <c r="C282">
        <v>32</v>
      </c>
      <c r="D282" s="19" t="s">
        <v>398</v>
      </c>
      <c r="E282" s="19" t="s">
        <v>348</v>
      </c>
      <c r="F282">
        <v>48</v>
      </c>
      <c r="G282">
        <v>6</v>
      </c>
      <c r="H282">
        <v>14</v>
      </c>
      <c r="I282">
        <v>20</v>
      </c>
      <c r="J282">
        <v>-6</v>
      </c>
      <c r="K282">
        <v>36</v>
      </c>
      <c r="L282">
        <v>3</v>
      </c>
      <c r="M282">
        <v>3</v>
      </c>
      <c r="N282">
        <v>0</v>
      </c>
      <c r="O282">
        <v>1</v>
      </c>
      <c r="P282">
        <v>7</v>
      </c>
      <c r="Q282">
        <v>7</v>
      </c>
      <c r="R282">
        <v>0</v>
      </c>
      <c r="S282">
        <v>125</v>
      </c>
      <c r="T282">
        <v>4.8</v>
      </c>
      <c r="U282">
        <v>286</v>
      </c>
      <c r="V282" s="19" t="s">
        <v>2548</v>
      </c>
      <c r="W282" s="19" t="s">
        <v>2066</v>
      </c>
      <c r="X282">
        <v>0</v>
      </c>
      <c r="Y282">
        <v>0</v>
      </c>
      <c r="AA282">
        <v>47</v>
      </c>
      <c r="AB282">
        <v>50</v>
      </c>
      <c r="AC282">
        <v>8</v>
      </c>
      <c r="AD282">
        <v>74</v>
      </c>
      <c r="AE282" s="19" t="s">
        <v>60</v>
      </c>
    </row>
    <row r="283" spans="1:31" x14ac:dyDescent="0.2">
      <c r="A283">
        <v>276</v>
      </c>
      <c r="B283" s="19" t="s">
        <v>906</v>
      </c>
      <c r="C283">
        <v>29</v>
      </c>
      <c r="D283" s="19" t="s">
        <v>343</v>
      </c>
      <c r="E283" s="19" t="s">
        <v>348</v>
      </c>
      <c r="F283">
        <v>42</v>
      </c>
      <c r="G283">
        <v>2</v>
      </c>
      <c r="H283">
        <v>18</v>
      </c>
      <c r="I283">
        <v>20</v>
      </c>
      <c r="J283">
        <v>-5</v>
      </c>
      <c r="K283">
        <v>6</v>
      </c>
      <c r="L283">
        <v>2</v>
      </c>
      <c r="M283">
        <v>0</v>
      </c>
      <c r="N283">
        <v>0</v>
      </c>
      <c r="O283">
        <v>0</v>
      </c>
      <c r="P283">
        <v>12</v>
      </c>
      <c r="Q283">
        <v>6</v>
      </c>
      <c r="R283">
        <v>0</v>
      </c>
      <c r="S283">
        <v>89</v>
      </c>
      <c r="T283">
        <v>2.2000000000000002</v>
      </c>
      <c r="U283">
        <v>196</v>
      </c>
      <c r="V283" s="19" t="s">
        <v>2549</v>
      </c>
      <c r="W283" s="19" t="s">
        <v>2550</v>
      </c>
      <c r="X283">
        <v>0</v>
      </c>
      <c r="Y283">
        <v>0</v>
      </c>
      <c r="AA283">
        <v>70</v>
      </c>
      <c r="AB283">
        <v>25</v>
      </c>
      <c r="AC283">
        <v>28</v>
      </c>
      <c r="AD283">
        <v>60</v>
      </c>
      <c r="AE283" s="19" t="s">
        <v>60</v>
      </c>
    </row>
    <row r="284" spans="1:31" x14ac:dyDescent="0.2">
      <c r="A284">
        <v>277</v>
      </c>
      <c r="B284" s="19" t="s">
        <v>707</v>
      </c>
      <c r="C284">
        <v>24</v>
      </c>
      <c r="D284" s="19" t="s">
        <v>333</v>
      </c>
      <c r="E284" s="19" t="s">
        <v>348</v>
      </c>
      <c r="F284">
        <v>41</v>
      </c>
      <c r="G284">
        <v>3</v>
      </c>
      <c r="H284">
        <v>17</v>
      </c>
      <c r="I284">
        <v>20</v>
      </c>
      <c r="J284">
        <v>-2</v>
      </c>
      <c r="K284">
        <v>10</v>
      </c>
      <c r="L284">
        <v>3</v>
      </c>
      <c r="M284">
        <v>0</v>
      </c>
      <c r="N284">
        <v>0</v>
      </c>
      <c r="O284">
        <v>2</v>
      </c>
      <c r="P284">
        <v>13</v>
      </c>
      <c r="Q284">
        <v>4</v>
      </c>
      <c r="R284">
        <v>0</v>
      </c>
      <c r="S284">
        <v>63</v>
      </c>
      <c r="T284">
        <v>4.8</v>
      </c>
      <c r="U284">
        <v>163</v>
      </c>
      <c r="V284" s="19" t="s">
        <v>2551</v>
      </c>
      <c r="W284" s="19" t="s">
        <v>2552</v>
      </c>
      <c r="X284">
        <v>0</v>
      </c>
      <c r="Y284">
        <v>0</v>
      </c>
      <c r="AA284">
        <v>94</v>
      </c>
      <c r="AB284">
        <v>26</v>
      </c>
      <c r="AC284">
        <v>24</v>
      </c>
      <c r="AD284">
        <v>56</v>
      </c>
      <c r="AE284" s="19" t="s">
        <v>60</v>
      </c>
    </row>
    <row r="285" spans="1:31" x14ac:dyDescent="0.2">
      <c r="A285">
        <v>278</v>
      </c>
      <c r="B285" s="19" t="s">
        <v>754</v>
      </c>
      <c r="C285">
        <v>32</v>
      </c>
      <c r="D285" s="19" t="s">
        <v>345</v>
      </c>
      <c r="E285" s="19" t="s">
        <v>322</v>
      </c>
      <c r="F285">
        <v>52</v>
      </c>
      <c r="G285">
        <v>9</v>
      </c>
      <c r="H285">
        <v>11</v>
      </c>
      <c r="I285">
        <v>20</v>
      </c>
      <c r="J285">
        <v>5</v>
      </c>
      <c r="K285">
        <v>12</v>
      </c>
      <c r="L285">
        <v>7</v>
      </c>
      <c r="M285">
        <v>2</v>
      </c>
      <c r="N285">
        <v>0</v>
      </c>
      <c r="O285">
        <v>1</v>
      </c>
      <c r="P285">
        <v>8</v>
      </c>
      <c r="Q285">
        <v>2</v>
      </c>
      <c r="R285">
        <v>1</v>
      </c>
      <c r="S285">
        <v>70</v>
      </c>
      <c r="T285">
        <v>12.9</v>
      </c>
      <c r="U285">
        <v>127</v>
      </c>
      <c r="V285" s="19" t="s">
        <v>2197</v>
      </c>
      <c r="W285" s="19" t="s">
        <v>671</v>
      </c>
      <c r="X285">
        <v>13</v>
      </c>
      <c r="Y285">
        <v>17</v>
      </c>
      <c r="Z285">
        <v>43.3</v>
      </c>
      <c r="AA285">
        <v>37</v>
      </c>
      <c r="AB285">
        <v>72</v>
      </c>
      <c r="AC285">
        <v>8</v>
      </c>
      <c r="AD285">
        <v>17</v>
      </c>
      <c r="AE285" s="19" t="s">
        <v>60</v>
      </c>
    </row>
    <row r="286" spans="1:31" x14ac:dyDescent="0.2">
      <c r="A286">
        <v>279</v>
      </c>
      <c r="B286" s="19" t="s">
        <v>644</v>
      </c>
      <c r="C286">
        <v>26</v>
      </c>
      <c r="D286" s="19" t="s">
        <v>321</v>
      </c>
      <c r="E286" s="19" t="s">
        <v>325</v>
      </c>
      <c r="F286">
        <v>51</v>
      </c>
      <c r="G286">
        <v>11</v>
      </c>
      <c r="H286">
        <v>9</v>
      </c>
      <c r="I286">
        <v>20</v>
      </c>
      <c r="J286">
        <v>10</v>
      </c>
      <c r="K286">
        <v>14</v>
      </c>
      <c r="L286">
        <v>10</v>
      </c>
      <c r="M286">
        <v>0</v>
      </c>
      <c r="N286">
        <v>1</v>
      </c>
      <c r="O286">
        <v>2</v>
      </c>
      <c r="P286">
        <v>9</v>
      </c>
      <c r="Q286">
        <v>0</v>
      </c>
      <c r="R286">
        <v>0</v>
      </c>
      <c r="S286">
        <v>67</v>
      </c>
      <c r="T286">
        <v>16.399999999999999</v>
      </c>
      <c r="U286">
        <v>124</v>
      </c>
      <c r="V286" s="19" t="s">
        <v>2895</v>
      </c>
      <c r="W286" s="19" t="s">
        <v>1746</v>
      </c>
      <c r="X286">
        <v>39</v>
      </c>
      <c r="Y286">
        <v>81</v>
      </c>
      <c r="Z286">
        <v>32.5</v>
      </c>
      <c r="AA286">
        <v>36</v>
      </c>
      <c r="AB286">
        <v>105</v>
      </c>
      <c r="AC286">
        <v>9</v>
      </c>
      <c r="AD286">
        <v>27</v>
      </c>
      <c r="AE286" s="19" t="s">
        <v>60</v>
      </c>
    </row>
    <row r="287" spans="1:31" x14ac:dyDescent="0.2">
      <c r="A287">
        <v>280</v>
      </c>
      <c r="B287" s="19" t="s">
        <v>569</v>
      </c>
      <c r="C287">
        <v>31</v>
      </c>
      <c r="D287" s="19" t="s">
        <v>531</v>
      </c>
      <c r="E287" s="19" t="s">
        <v>348</v>
      </c>
      <c r="F287">
        <v>34</v>
      </c>
      <c r="G287">
        <v>6</v>
      </c>
      <c r="H287">
        <v>14</v>
      </c>
      <c r="I287">
        <v>20</v>
      </c>
      <c r="J287">
        <v>-3</v>
      </c>
      <c r="K287">
        <v>31</v>
      </c>
      <c r="L287">
        <v>5</v>
      </c>
      <c r="M287">
        <v>1</v>
      </c>
      <c r="N287">
        <v>0</v>
      </c>
      <c r="O287">
        <v>1</v>
      </c>
      <c r="P287">
        <v>9</v>
      </c>
      <c r="Q287">
        <v>5</v>
      </c>
      <c r="R287">
        <v>0</v>
      </c>
      <c r="S287">
        <v>87</v>
      </c>
      <c r="T287">
        <v>6.9</v>
      </c>
      <c r="U287">
        <v>209</v>
      </c>
      <c r="V287" s="19" t="s">
        <v>2553</v>
      </c>
      <c r="W287" s="19" t="s">
        <v>2026</v>
      </c>
      <c r="X287">
        <v>0</v>
      </c>
      <c r="Y287">
        <v>0</v>
      </c>
      <c r="AA287">
        <v>42</v>
      </c>
      <c r="AB287">
        <v>40</v>
      </c>
      <c r="AC287">
        <v>18</v>
      </c>
      <c r="AD287">
        <v>45</v>
      </c>
      <c r="AE287" s="19" t="s">
        <v>60</v>
      </c>
    </row>
    <row r="288" spans="1:31" x14ac:dyDescent="0.2">
      <c r="A288">
        <v>281</v>
      </c>
      <c r="B288" s="19" t="s">
        <v>570</v>
      </c>
      <c r="C288">
        <v>21</v>
      </c>
      <c r="D288" s="19" t="s">
        <v>398</v>
      </c>
      <c r="E288" s="19" t="s">
        <v>348</v>
      </c>
      <c r="F288">
        <v>39</v>
      </c>
      <c r="G288">
        <v>8</v>
      </c>
      <c r="H288">
        <v>12</v>
      </c>
      <c r="I288">
        <v>20</v>
      </c>
      <c r="J288">
        <v>0</v>
      </c>
      <c r="K288">
        <v>18</v>
      </c>
      <c r="L288">
        <v>8</v>
      </c>
      <c r="M288">
        <v>0</v>
      </c>
      <c r="N288">
        <v>0</v>
      </c>
      <c r="O288">
        <v>3</v>
      </c>
      <c r="P288">
        <v>11</v>
      </c>
      <c r="Q288">
        <v>1</v>
      </c>
      <c r="R288">
        <v>0</v>
      </c>
      <c r="S288">
        <v>65</v>
      </c>
      <c r="T288">
        <v>12.3</v>
      </c>
      <c r="U288">
        <v>165</v>
      </c>
      <c r="V288" s="19" t="s">
        <v>2554</v>
      </c>
      <c r="W288" s="19" t="s">
        <v>1660</v>
      </c>
      <c r="X288">
        <v>0</v>
      </c>
      <c r="Y288">
        <v>0</v>
      </c>
      <c r="AA288">
        <v>56</v>
      </c>
      <c r="AB288">
        <v>10</v>
      </c>
      <c r="AC288">
        <v>13</v>
      </c>
      <c r="AD288">
        <v>44</v>
      </c>
      <c r="AE288" s="19" t="s">
        <v>60</v>
      </c>
    </row>
    <row r="289" spans="1:31" x14ac:dyDescent="0.2">
      <c r="A289">
        <v>282</v>
      </c>
      <c r="B289" s="19" t="s">
        <v>655</v>
      </c>
      <c r="C289">
        <v>27</v>
      </c>
      <c r="D289" s="19" t="s">
        <v>447</v>
      </c>
      <c r="E289" s="19" t="s">
        <v>325</v>
      </c>
      <c r="F289">
        <v>53</v>
      </c>
      <c r="G289">
        <v>12</v>
      </c>
      <c r="H289">
        <v>8</v>
      </c>
      <c r="I289">
        <v>20</v>
      </c>
      <c r="J289">
        <v>2</v>
      </c>
      <c r="K289">
        <v>22</v>
      </c>
      <c r="L289">
        <v>10</v>
      </c>
      <c r="M289">
        <v>0</v>
      </c>
      <c r="N289">
        <v>2</v>
      </c>
      <c r="O289">
        <v>1</v>
      </c>
      <c r="P289">
        <v>7</v>
      </c>
      <c r="Q289">
        <v>0</v>
      </c>
      <c r="R289">
        <v>1</v>
      </c>
      <c r="S289">
        <v>77</v>
      </c>
      <c r="T289">
        <v>15.6</v>
      </c>
      <c r="U289">
        <v>165</v>
      </c>
      <c r="V289" s="19" t="s">
        <v>2555</v>
      </c>
      <c r="W289" s="19" t="s">
        <v>2039</v>
      </c>
      <c r="X289">
        <v>45</v>
      </c>
      <c r="Y289">
        <v>43</v>
      </c>
      <c r="Z289">
        <v>51.1</v>
      </c>
      <c r="AA289">
        <v>18</v>
      </c>
      <c r="AB289">
        <v>40</v>
      </c>
      <c r="AC289">
        <v>11</v>
      </c>
      <c r="AD289">
        <v>43</v>
      </c>
      <c r="AE289" s="19" t="s">
        <v>60</v>
      </c>
    </row>
    <row r="290" spans="1:31" x14ac:dyDescent="0.2">
      <c r="A290">
        <v>283</v>
      </c>
      <c r="B290" s="19" t="s">
        <v>603</v>
      </c>
      <c r="C290">
        <v>23</v>
      </c>
      <c r="D290" s="19" t="s">
        <v>372</v>
      </c>
      <c r="E290" s="19" t="s">
        <v>334</v>
      </c>
      <c r="F290">
        <v>50</v>
      </c>
      <c r="G290">
        <v>5</v>
      </c>
      <c r="H290">
        <v>15</v>
      </c>
      <c r="I290">
        <v>20</v>
      </c>
      <c r="J290">
        <v>-7</v>
      </c>
      <c r="K290">
        <v>16</v>
      </c>
      <c r="L290">
        <v>3</v>
      </c>
      <c r="M290">
        <v>2</v>
      </c>
      <c r="N290">
        <v>0</v>
      </c>
      <c r="O290">
        <v>1</v>
      </c>
      <c r="P290">
        <v>10</v>
      </c>
      <c r="Q290">
        <v>5</v>
      </c>
      <c r="R290">
        <v>0</v>
      </c>
      <c r="S290">
        <v>109</v>
      </c>
      <c r="T290">
        <v>4.5999999999999996</v>
      </c>
      <c r="U290">
        <v>219</v>
      </c>
      <c r="V290" s="19" t="s">
        <v>2556</v>
      </c>
      <c r="W290" s="19" t="s">
        <v>751</v>
      </c>
      <c r="X290">
        <v>0</v>
      </c>
      <c r="Y290">
        <v>2</v>
      </c>
      <c r="Z290">
        <v>0</v>
      </c>
      <c r="AA290">
        <v>20</v>
      </c>
      <c r="AB290">
        <v>97</v>
      </c>
      <c r="AC290">
        <v>6</v>
      </c>
      <c r="AD290">
        <v>31</v>
      </c>
      <c r="AE290" s="19" t="s">
        <v>60</v>
      </c>
    </row>
    <row r="291" spans="1:31" x14ac:dyDescent="0.2">
      <c r="A291">
        <v>284</v>
      </c>
      <c r="B291" s="19" t="s">
        <v>763</v>
      </c>
      <c r="C291">
        <v>31</v>
      </c>
      <c r="D291" s="19" t="s">
        <v>380</v>
      </c>
      <c r="E291" s="19" t="s">
        <v>348</v>
      </c>
      <c r="F291">
        <v>51</v>
      </c>
      <c r="G291">
        <v>3</v>
      </c>
      <c r="H291">
        <v>17</v>
      </c>
      <c r="I291">
        <v>20</v>
      </c>
      <c r="J291">
        <v>4</v>
      </c>
      <c r="K291">
        <v>28</v>
      </c>
      <c r="L291">
        <v>2</v>
      </c>
      <c r="M291">
        <v>1</v>
      </c>
      <c r="N291">
        <v>0</v>
      </c>
      <c r="O291">
        <v>1</v>
      </c>
      <c r="P291">
        <v>14</v>
      </c>
      <c r="Q291">
        <v>3</v>
      </c>
      <c r="R291">
        <v>0</v>
      </c>
      <c r="S291">
        <v>67</v>
      </c>
      <c r="T291">
        <v>4.5</v>
      </c>
      <c r="U291">
        <v>176</v>
      </c>
      <c r="V291" s="19" t="s">
        <v>2896</v>
      </c>
      <c r="W291" s="19" t="s">
        <v>1744</v>
      </c>
      <c r="X291">
        <v>0</v>
      </c>
      <c r="Y291">
        <v>0</v>
      </c>
      <c r="AA291">
        <v>60</v>
      </c>
      <c r="AB291">
        <v>34</v>
      </c>
      <c r="AC291">
        <v>17</v>
      </c>
      <c r="AD291">
        <v>64</v>
      </c>
      <c r="AE291" s="19" t="s">
        <v>60</v>
      </c>
    </row>
    <row r="292" spans="1:31" x14ac:dyDescent="0.2">
      <c r="A292">
        <v>285</v>
      </c>
      <c r="B292" s="19" t="s">
        <v>801</v>
      </c>
      <c r="C292">
        <v>27</v>
      </c>
      <c r="D292" s="19" t="s">
        <v>436</v>
      </c>
      <c r="E292" s="19" t="s">
        <v>322</v>
      </c>
      <c r="F292">
        <v>48</v>
      </c>
      <c r="G292">
        <v>11</v>
      </c>
      <c r="H292">
        <v>9</v>
      </c>
      <c r="I292">
        <v>20</v>
      </c>
      <c r="J292">
        <v>-15</v>
      </c>
      <c r="K292">
        <v>8</v>
      </c>
      <c r="L292">
        <v>8</v>
      </c>
      <c r="M292">
        <v>3</v>
      </c>
      <c r="N292">
        <v>0</v>
      </c>
      <c r="O292">
        <v>1</v>
      </c>
      <c r="P292">
        <v>7</v>
      </c>
      <c r="Q292">
        <v>2</v>
      </c>
      <c r="R292">
        <v>0</v>
      </c>
      <c r="S292">
        <v>93</v>
      </c>
      <c r="T292">
        <v>11.8</v>
      </c>
      <c r="U292">
        <v>193</v>
      </c>
      <c r="V292" s="19" t="s">
        <v>2338</v>
      </c>
      <c r="W292" s="19" t="s">
        <v>2292</v>
      </c>
      <c r="X292">
        <v>19</v>
      </c>
      <c r="Y292">
        <v>46</v>
      </c>
      <c r="Z292">
        <v>29.2</v>
      </c>
      <c r="AA292">
        <v>19</v>
      </c>
      <c r="AB292">
        <v>14</v>
      </c>
      <c r="AC292">
        <v>10</v>
      </c>
      <c r="AD292">
        <v>35</v>
      </c>
      <c r="AE292" s="19" t="s">
        <v>60</v>
      </c>
    </row>
    <row r="293" spans="1:31" x14ac:dyDescent="0.2">
      <c r="A293">
        <v>286</v>
      </c>
      <c r="B293" s="19" t="s">
        <v>724</v>
      </c>
      <c r="C293">
        <v>27</v>
      </c>
      <c r="D293" s="19" t="s">
        <v>333</v>
      </c>
      <c r="E293" s="19" t="s">
        <v>322</v>
      </c>
      <c r="F293">
        <v>53</v>
      </c>
      <c r="G293">
        <v>7</v>
      </c>
      <c r="H293">
        <v>13</v>
      </c>
      <c r="I293">
        <v>20</v>
      </c>
      <c r="J293">
        <v>-3</v>
      </c>
      <c r="K293">
        <v>20</v>
      </c>
      <c r="L293">
        <v>6</v>
      </c>
      <c r="M293">
        <v>1</v>
      </c>
      <c r="N293">
        <v>0</v>
      </c>
      <c r="O293">
        <v>5</v>
      </c>
      <c r="P293">
        <v>11</v>
      </c>
      <c r="Q293">
        <v>2</v>
      </c>
      <c r="R293">
        <v>0</v>
      </c>
      <c r="S293">
        <v>59</v>
      </c>
      <c r="T293">
        <v>11.9</v>
      </c>
      <c r="U293">
        <v>109</v>
      </c>
      <c r="V293" s="19" t="s">
        <v>2557</v>
      </c>
      <c r="W293" s="19" t="s">
        <v>1972</v>
      </c>
      <c r="X293">
        <v>121</v>
      </c>
      <c r="Y293">
        <v>117</v>
      </c>
      <c r="Z293">
        <v>50.8</v>
      </c>
      <c r="AA293">
        <v>22</v>
      </c>
      <c r="AB293">
        <v>54</v>
      </c>
      <c r="AC293">
        <v>15</v>
      </c>
      <c r="AD293">
        <v>34</v>
      </c>
      <c r="AE293" s="19" t="s">
        <v>60</v>
      </c>
    </row>
    <row r="294" spans="1:31" x14ac:dyDescent="0.2">
      <c r="A294">
        <v>287</v>
      </c>
      <c r="B294" s="19" t="s">
        <v>895</v>
      </c>
      <c r="C294">
        <v>24</v>
      </c>
      <c r="D294" s="19" t="s">
        <v>436</v>
      </c>
      <c r="E294" s="19" t="s">
        <v>322</v>
      </c>
      <c r="F294">
        <v>50</v>
      </c>
      <c r="G294">
        <v>8</v>
      </c>
      <c r="H294">
        <v>12</v>
      </c>
      <c r="I294">
        <v>20</v>
      </c>
      <c r="J294">
        <v>-5</v>
      </c>
      <c r="K294">
        <v>14</v>
      </c>
      <c r="L294">
        <v>6</v>
      </c>
      <c r="M294">
        <v>2</v>
      </c>
      <c r="N294">
        <v>0</v>
      </c>
      <c r="O294">
        <v>1</v>
      </c>
      <c r="P294">
        <v>7</v>
      </c>
      <c r="Q294">
        <v>5</v>
      </c>
      <c r="R294">
        <v>0</v>
      </c>
      <c r="S294">
        <v>74</v>
      </c>
      <c r="T294">
        <v>10.8</v>
      </c>
      <c r="U294">
        <v>131</v>
      </c>
      <c r="V294" s="19" t="s">
        <v>2339</v>
      </c>
      <c r="W294" s="19" t="s">
        <v>751</v>
      </c>
      <c r="X294">
        <v>54</v>
      </c>
      <c r="Y294">
        <v>77</v>
      </c>
      <c r="Z294">
        <v>41.2</v>
      </c>
      <c r="AA294">
        <v>13</v>
      </c>
      <c r="AB294">
        <v>33</v>
      </c>
      <c r="AC294">
        <v>8</v>
      </c>
      <c r="AD294">
        <v>32</v>
      </c>
      <c r="AE294" s="19" t="s">
        <v>60</v>
      </c>
    </row>
    <row r="295" spans="1:31" x14ac:dyDescent="0.2">
      <c r="A295">
        <v>288</v>
      </c>
      <c r="B295" s="19" t="s">
        <v>610</v>
      </c>
      <c r="C295">
        <v>20</v>
      </c>
      <c r="D295" s="19" t="s">
        <v>948</v>
      </c>
      <c r="E295" s="19" t="s">
        <v>348</v>
      </c>
      <c r="F295">
        <v>51</v>
      </c>
      <c r="G295">
        <v>5</v>
      </c>
      <c r="H295">
        <v>15</v>
      </c>
      <c r="I295">
        <v>20</v>
      </c>
      <c r="J295">
        <v>-17</v>
      </c>
      <c r="K295">
        <v>14</v>
      </c>
      <c r="L295">
        <v>2</v>
      </c>
      <c r="M295">
        <v>3</v>
      </c>
      <c r="N295">
        <v>0</v>
      </c>
      <c r="O295">
        <v>1</v>
      </c>
      <c r="P295">
        <v>6</v>
      </c>
      <c r="Q295">
        <v>9</v>
      </c>
      <c r="R295">
        <v>0</v>
      </c>
      <c r="S295">
        <v>49</v>
      </c>
      <c r="T295">
        <v>10.199999999999999</v>
      </c>
      <c r="U295">
        <v>146</v>
      </c>
      <c r="V295" s="19" t="s">
        <v>2340</v>
      </c>
      <c r="W295" s="19" t="s">
        <v>1107</v>
      </c>
      <c r="X295">
        <v>0</v>
      </c>
      <c r="Y295">
        <v>0</v>
      </c>
      <c r="AA295">
        <v>31</v>
      </c>
      <c r="AB295">
        <v>15</v>
      </c>
      <c r="AC295">
        <v>10</v>
      </c>
      <c r="AD295">
        <v>53</v>
      </c>
      <c r="AE295" s="19" t="s">
        <v>60</v>
      </c>
    </row>
    <row r="296" spans="1:31" x14ac:dyDescent="0.2">
      <c r="A296">
        <v>288</v>
      </c>
      <c r="B296" s="19" t="s">
        <v>610</v>
      </c>
      <c r="C296">
        <v>20</v>
      </c>
      <c r="D296" s="19" t="s">
        <v>356</v>
      </c>
      <c r="E296" s="19" t="s">
        <v>348</v>
      </c>
      <c r="F296">
        <v>31</v>
      </c>
      <c r="G296">
        <v>3</v>
      </c>
      <c r="H296">
        <v>11</v>
      </c>
      <c r="I296">
        <v>14</v>
      </c>
      <c r="J296">
        <v>-9</v>
      </c>
      <c r="K296">
        <v>8</v>
      </c>
      <c r="L296">
        <v>1</v>
      </c>
      <c r="M296">
        <v>2</v>
      </c>
      <c r="N296">
        <v>0</v>
      </c>
      <c r="O296">
        <v>0</v>
      </c>
      <c r="P296">
        <v>5</v>
      </c>
      <c r="Q296">
        <v>6</v>
      </c>
      <c r="R296">
        <v>0</v>
      </c>
      <c r="S296">
        <v>31</v>
      </c>
      <c r="T296">
        <v>9.6999999999999993</v>
      </c>
      <c r="U296">
        <v>84</v>
      </c>
      <c r="V296" s="19" t="s">
        <v>1533</v>
      </c>
      <c r="W296" s="19" t="s">
        <v>1527</v>
      </c>
      <c r="X296">
        <v>0</v>
      </c>
      <c r="Y296">
        <v>0</v>
      </c>
      <c r="AA296">
        <v>15</v>
      </c>
      <c r="AB296">
        <v>9</v>
      </c>
      <c r="AC296">
        <v>5</v>
      </c>
      <c r="AD296">
        <v>32</v>
      </c>
      <c r="AE296" s="19" t="s">
        <v>60</v>
      </c>
    </row>
    <row r="297" spans="1:31" x14ac:dyDescent="0.2">
      <c r="A297">
        <v>288</v>
      </c>
      <c r="B297" s="19" t="s">
        <v>610</v>
      </c>
      <c r="C297">
        <v>20</v>
      </c>
      <c r="D297" s="19" t="s">
        <v>447</v>
      </c>
      <c r="E297" s="19" t="s">
        <v>348</v>
      </c>
      <c r="F297">
        <v>20</v>
      </c>
      <c r="G297">
        <v>2</v>
      </c>
      <c r="H297">
        <v>4</v>
      </c>
      <c r="I297">
        <v>6</v>
      </c>
      <c r="J297">
        <v>-8</v>
      </c>
      <c r="K297">
        <v>6</v>
      </c>
      <c r="L297">
        <v>1</v>
      </c>
      <c r="M297">
        <v>1</v>
      </c>
      <c r="N297">
        <v>0</v>
      </c>
      <c r="O297">
        <v>1</v>
      </c>
      <c r="P297">
        <v>1</v>
      </c>
      <c r="Q297">
        <v>3</v>
      </c>
      <c r="R297">
        <v>0</v>
      </c>
      <c r="S297">
        <v>18</v>
      </c>
      <c r="T297">
        <v>11.1</v>
      </c>
      <c r="U297">
        <v>62</v>
      </c>
      <c r="V297" s="19" t="s">
        <v>2341</v>
      </c>
      <c r="W297" s="19" t="s">
        <v>2027</v>
      </c>
      <c r="X297">
        <v>0</v>
      </c>
      <c r="Y297">
        <v>0</v>
      </c>
      <c r="AA297">
        <v>16</v>
      </c>
      <c r="AB297">
        <v>6</v>
      </c>
      <c r="AC297">
        <v>5</v>
      </c>
      <c r="AD297">
        <v>21</v>
      </c>
      <c r="AE297" s="19" t="s">
        <v>60</v>
      </c>
    </row>
    <row r="298" spans="1:31" x14ac:dyDescent="0.2">
      <c r="A298">
        <v>289</v>
      </c>
      <c r="B298" s="19" t="s">
        <v>670</v>
      </c>
      <c r="C298">
        <v>29</v>
      </c>
      <c r="D298" s="19" t="s">
        <v>416</v>
      </c>
      <c r="E298" s="19" t="s">
        <v>322</v>
      </c>
      <c r="F298">
        <v>53</v>
      </c>
      <c r="G298">
        <v>7</v>
      </c>
      <c r="H298">
        <v>12</v>
      </c>
      <c r="I298">
        <v>19</v>
      </c>
      <c r="J298">
        <v>2</v>
      </c>
      <c r="K298">
        <v>14</v>
      </c>
      <c r="L298">
        <v>7</v>
      </c>
      <c r="M298">
        <v>0</v>
      </c>
      <c r="N298">
        <v>0</v>
      </c>
      <c r="O298">
        <v>1</v>
      </c>
      <c r="P298">
        <v>12</v>
      </c>
      <c r="Q298">
        <v>0</v>
      </c>
      <c r="R298">
        <v>0</v>
      </c>
      <c r="S298">
        <v>61</v>
      </c>
      <c r="T298">
        <v>11.5</v>
      </c>
      <c r="U298">
        <v>121</v>
      </c>
      <c r="V298" s="19" t="s">
        <v>2097</v>
      </c>
      <c r="W298" s="19" t="s">
        <v>1506</v>
      </c>
      <c r="X298">
        <v>5</v>
      </c>
      <c r="Y298">
        <v>6</v>
      </c>
      <c r="Z298">
        <v>45.5</v>
      </c>
      <c r="AA298">
        <v>28</v>
      </c>
      <c r="AB298">
        <v>75</v>
      </c>
      <c r="AC298">
        <v>19</v>
      </c>
      <c r="AD298">
        <v>38</v>
      </c>
      <c r="AE298" s="19" t="s">
        <v>60</v>
      </c>
    </row>
    <row r="299" spans="1:31" x14ac:dyDescent="0.2">
      <c r="A299">
        <v>290</v>
      </c>
      <c r="B299" s="19" t="s">
        <v>672</v>
      </c>
      <c r="C299">
        <v>32</v>
      </c>
      <c r="D299" s="19" t="s">
        <v>419</v>
      </c>
      <c r="E299" s="19" t="s">
        <v>334</v>
      </c>
      <c r="F299">
        <v>46</v>
      </c>
      <c r="G299">
        <v>10</v>
      </c>
      <c r="H299">
        <v>9</v>
      </c>
      <c r="I299">
        <v>19</v>
      </c>
      <c r="J299">
        <v>4</v>
      </c>
      <c r="K299">
        <v>22</v>
      </c>
      <c r="L299">
        <v>5</v>
      </c>
      <c r="M299">
        <v>1</v>
      </c>
      <c r="N299">
        <v>4</v>
      </c>
      <c r="O299">
        <v>0</v>
      </c>
      <c r="P299">
        <v>8</v>
      </c>
      <c r="Q299">
        <v>0</v>
      </c>
      <c r="R299">
        <v>1</v>
      </c>
      <c r="S299">
        <v>58</v>
      </c>
      <c r="T299">
        <v>17.2</v>
      </c>
      <c r="U299">
        <v>126</v>
      </c>
      <c r="V299" s="19" t="s">
        <v>2558</v>
      </c>
      <c r="W299" s="19" t="s">
        <v>2004</v>
      </c>
      <c r="X299">
        <v>17</v>
      </c>
      <c r="Y299">
        <v>30</v>
      </c>
      <c r="Z299">
        <v>36.200000000000003</v>
      </c>
      <c r="AA299">
        <v>27</v>
      </c>
      <c r="AB299">
        <v>43</v>
      </c>
      <c r="AC299">
        <v>24</v>
      </c>
      <c r="AD299">
        <v>35</v>
      </c>
      <c r="AE299" s="19" t="s">
        <v>60</v>
      </c>
    </row>
    <row r="300" spans="1:31" x14ac:dyDescent="0.2">
      <c r="A300">
        <v>291</v>
      </c>
      <c r="B300" s="19" t="s">
        <v>737</v>
      </c>
      <c r="C300">
        <v>22</v>
      </c>
      <c r="D300" s="19" t="s">
        <v>343</v>
      </c>
      <c r="E300" s="19" t="s">
        <v>325</v>
      </c>
      <c r="F300">
        <v>36</v>
      </c>
      <c r="G300">
        <v>7</v>
      </c>
      <c r="H300">
        <v>12</v>
      </c>
      <c r="I300">
        <v>19</v>
      </c>
      <c r="J300">
        <v>-11</v>
      </c>
      <c r="K300">
        <v>4</v>
      </c>
      <c r="L300">
        <v>5</v>
      </c>
      <c r="M300">
        <v>2</v>
      </c>
      <c r="N300">
        <v>0</v>
      </c>
      <c r="O300">
        <v>2</v>
      </c>
      <c r="P300">
        <v>12</v>
      </c>
      <c r="Q300">
        <v>0</v>
      </c>
      <c r="R300">
        <v>0</v>
      </c>
      <c r="S300">
        <v>49</v>
      </c>
      <c r="T300">
        <v>14.3</v>
      </c>
      <c r="U300">
        <v>103</v>
      </c>
      <c r="V300" s="19" t="s">
        <v>2559</v>
      </c>
      <c r="W300" s="19" t="s">
        <v>1723</v>
      </c>
      <c r="X300">
        <v>3</v>
      </c>
      <c r="Y300">
        <v>8</v>
      </c>
      <c r="Z300">
        <v>27.3</v>
      </c>
      <c r="AA300">
        <v>16</v>
      </c>
      <c r="AB300">
        <v>10</v>
      </c>
      <c r="AC300">
        <v>9</v>
      </c>
      <c r="AD300">
        <v>15</v>
      </c>
      <c r="AE300" s="19" t="s">
        <v>60</v>
      </c>
    </row>
    <row r="301" spans="1:31" x14ac:dyDescent="0.2">
      <c r="A301">
        <v>292</v>
      </c>
      <c r="B301" s="19" t="s">
        <v>693</v>
      </c>
      <c r="C301">
        <v>29</v>
      </c>
      <c r="D301" s="19" t="s">
        <v>404</v>
      </c>
      <c r="E301" s="19" t="s">
        <v>325</v>
      </c>
      <c r="F301">
        <v>51</v>
      </c>
      <c r="G301">
        <v>10</v>
      </c>
      <c r="H301">
        <v>9</v>
      </c>
      <c r="I301">
        <v>19</v>
      </c>
      <c r="J301">
        <v>4</v>
      </c>
      <c r="K301">
        <v>20</v>
      </c>
      <c r="L301">
        <v>9</v>
      </c>
      <c r="M301">
        <v>1</v>
      </c>
      <c r="N301">
        <v>0</v>
      </c>
      <c r="O301">
        <v>0</v>
      </c>
      <c r="P301">
        <v>9</v>
      </c>
      <c r="Q301">
        <v>0</v>
      </c>
      <c r="R301">
        <v>0</v>
      </c>
      <c r="S301">
        <v>102</v>
      </c>
      <c r="T301">
        <v>9.8000000000000007</v>
      </c>
      <c r="U301">
        <v>219</v>
      </c>
      <c r="V301" s="19" t="s">
        <v>2560</v>
      </c>
      <c r="W301" s="19" t="s">
        <v>785</v>
      </c>
      <c r="X301">
        <v>8</v>
      </c>
      <c r="Y301">
        <v>9</v>
      </c>
      <c r="Z301">
        <v>47.1</v>
      </c>
      <c r="AA301">
        <v>13</v>
      </c>
      <c r="AB301">
        <v>84</v>
      </c>
      <c r="AC301">
        <v>11</v>
      </c>
      <c r="AD301">
        <v>29</v>
      </c>
      <c r="AE301" s="19" t="s">
        <v>60</v>
      </c>
    </row>
    <row r="302" spans="1:31" x14ac:dyDescent="0.2">
      <c r="A302">
        <v>293</v>
      </c>
      <c r="B302" s="19" t="s">
        <v>695</v>
      </c>
      <c r="C302">
        <v>30</v>
      </c>
      <c r="D302" s="19" t="s">
        <v>370</v>
      </c>
      <c r="E302" s="19" t="s">
        <v>339</v>
      </c>
      <c r="F302">
        <v>54</v>
      </c>
      <c r="G302">
        <v>8</v>
      </c>
      <c r="H302">
        <v>11</v>
      </c>
      <c r="I302">
        <v>19</v>
      </c>
      <c r="J302">
        <v>-2</v>
      </c>
      <c r="K302">
        <v>19</v>
      </c>
      <c r="L302">
        <v>8</v>
      </c>
      <c r="M302">
        <v>0</v>
      </c>
      <c r="N302">
        <v>0</v>
      </c>
      <c r="O302">
        <v>1</v>
      </c>
      <c r="P302">
        <v>11</v>
      </c>
      <c r="Q302">
        <v>0</v>
      </c>
      <c r="R302">
        <v>0</v>
      </c>
      <c r="S302">
        <v>64</v>
      </c>
      <c r="T302">
        <v>12.5</v>
      </c>
      <c r="U302">
        <v>119</v>
      </c>
      <c r="V302" s="19" t="s">
        <v>2561</v>
      </c>
      <c r="W302" s="19" t="s">
        <v>1718</v>
      </c>
      <c r="X302">
        <v>324</v>
      </c>
      <c r="Y302">
        <v>311</v>
      </c>
      <c r="Z302">
        <v>51</v>
      </c>
      <c r="AA302">
        <v>34</v>
      </c>
      <c r="AB302">
        <v>18</v>
      </c>
      <c r="AC302">
        <v>8</v>
      </c>
      <c r="AD302">
        <v>27</v>
      </c>
      <c r="AE302" s="19" t="s">
        <v>60</v>
      </c>
    </row>
    <row r="303" spans="1:31" x14ac:dyDescent="0.2">
      <c r="A303">
        <v>294</v>
      </c>
      <c r="B303" s="19" t="s">
        <v>743</v>
      </c>
      <c r="C303">
        <v>26</v>
      </c>
      <c r="D303" s="19" t="s">
        <v>375</v>
      </c>
      <c r="E303" s="19" t="s">
        <v>322</v>
      </c>
      <c r="F303">
        <v>51</v>
      </c>
      <c r="G303">
        <v>11</v>
      </c>
      <c r="H303">
        <v>8</v>
      </c>
      <c r="I303">
        <v>19</v>
      </c>
      <c r="J303">
        <v>4</v>
      </c>
      <c r="K303">
        <v>10</v>
      </c>
      <c r="L303">
        <v>10</v>
      </c>
      <c r="M303">
        <v>0</v>
      </c>
      <c r="N303">
        <v>1</v>
      </c>
      <c r="O303">
        <v>2</v>
      </c>
      <c r="P303">
        <v>8</v>
      </c>
      <c r="Q303">
        <v>0</v>
      </c>
      <c r="R303">
        <v>0</v>
      </c>
      <c r="S303">
        <v>78</v>
      </c>
      <c r="T303">
        <v>14.1</v>
      </c>
      <c r="U303">
        <v>167</v>
      </c>
      <c r="V303" s="19" t="s">
        <v>2342</v>
      </c>
      <c r="W303" s="19" t="s">
        <v>1658</v>
      </c>
      <c r="X303">
        <v>12</v>
      </c>
      <c r="Y303">
        <v>11</v>
      </c>
      <c r="Z303">
        <v>52.2</v>
      </c>
      <c r="AA303">
        <v>25</v>
      </c>
      <c r="AB303">
        <v>91</v>
      </c>
      <c r="AC303">
        <v>5</v>
      </c>
      <c r="AD303">
        <v>23</v>
      </c>
      <c r="AE303" s="19" t="s">
        <v>60</v>
      </c>
    </row>
    <row r="304" spans="1:31" x14ac:dyDescent="0.2">
      <c r="A304">
        <v>295</v>
      </c>
      <c r="B304" s="19" t="s">
        <v>702</v>
      </c>
      <c r="C304">
        <v>26</v>
      </c>
      <c r="D304" s="19" t="s">
        <v>365</v>
      </c>
      <c r="E304" s="19" t="s">
        <v>348</v>
      </c>
      <c r="F304">
        <v>54</v>
      </c>
      <c r="G304">
        <v>3</v>
      </c>
      <c r="H304">
        <v>16</v>
      </c>
      <c r="I304">
        <v>19</v>
      </c>
      <c r="J304">
        <v>11</v>
      </c>
      <c r="K304">
        <v>23</v>
      </c>
      <c r="L304">
        <v>3</v>
      </c>
      <c r="M304">
        <v>0</v>
      </c>
      <c r="N304">
        <v>0</v>
      </c>
      <c r="O304">
        <v>0</v>
      </c>
      <c r="P304">
        <v>16</v>
      </c>
      <c r="Q304">
        <v>0</v>
      </c>
      <c r="R304">
        <v>0</v>
      </c>
      <c r="S304">
        <v>57</v>
      </c>
      <c r="T304">
        <v>5.3</v>
      </c>
      <c r="U304">
        <v>130</v>
      </c>
      <c r="V304" s="19" t="s">
        <v>2562</v>
      </c>
      <c r="W304" s="19" t="s">
        <v>1996</v>
      </c>
      <c r="X304">
        <v>0</v>
      </c>
      <c r="Y304">
        <v>0</v>
      </c>
      <c r="AA304">
        <v>111</v>
      </c>
      <c r="AB304">
        <v>61</v>
      </c>
      <c r="AC304">
        <v>10</v>
      </c>
      <c r="AD304">
        <v>34</v>
      </c>
      <c r="AE304" s="19" t="s">
        <v>60</v>
      </c>
    </row>
    <row r="305" spans="1:31" x14ac:dyDescent="0.2">
      <c r="A305">
        <v>296</v>
      </c>
      <c r="B305" s="19" t="s">
        <v>587</v>
      </c>
      <c r="C305">
        <v>29</v>
      </c>
      <c r="D305" s="19" t="s">
        <v>372</v>
      </c>
      <c r="E305" s="19" t="s">
        <v>348</v>
      </c>
      <c r="F305">
        <v>52</v>
      </c>
      <c r="G305">
        <v>2</v>
      </c>
      <c r="H305">
        <v>17</v>
      </c>
      <c r="I305">
        <v>19</v>
      </c>
      <c r="J305">
        <v>-1</v>
      </c>
      <c r="K305">
        <v>24</v>
      </c>
      <c r="L305">
        <v>2</v>
      </c>
      <c r="M305">
        <v>0</v>
      </c>
      <c r="N305">
        <v>0</v>
      </c>
      <c r="O305">
        <v>1</v>
      </c>
      <c r="P305">
        <v>16</v>
      </c>
      <c r="Q305">
        <v>1</v>
      </c>
      <c r="R305">
        <v>0</v>
      </c>
      <c r="S305">
        <v>62</v>
      </c>
      <c r="T305">
        <v>3.2</v>
      </c>
      <c r="U305">
        <v>159</v>
      </c>
      <c r="V305" s="19" t="s">
        <v>2563</v>
      </c>
      <c r="W305" s="19" t="s">
        <v>1734</v>
      </c>
      <c r="X305">
        <v>0</v>
      </c>
      <c r="Y305">
        <v>0</v>
      </c>
      <c r="AA305">
        <v>57</v>
      </c>
      <c r="AB305">
        <v>37</v>
      </c>
      <c r="AC305">
        <v>22</v>
      </c>
      <c r="AD305">
        <v>37</v>
      </c>
      <c r="AE305" s="19" t="s">
        <v>60</v>
      </c>
    </row>
    <row r="306" spans="1:31" x14ac:dyDescent="0.2">
      <c r="A306">
        <v>297</v>
      </c>
      <c r="B306" s="19" t="s">
        <v>748</v>
      </c>
      <c r="C306">
        <v>22</v>
      </c>
      <c r="D306" s="19" t="s">
        <v>329</v>
      </c>
      <c r="E306" s="19" t="s">
        <v>322</v>
      </c>
      <c r="F306">
        <v>53</v>
      </c>
      <c r="G306">
        <v>7</v>
      </c>
      <c r="H306">
        <v>12</v>
      </c>
      <c r="I306">
        <v>19</v>
      </c>
      <c r="J306">
        <v>-3</v>
      </c>
      <c r="K306">
        <v>10</v>
      </c>
      <c r="L306">
        <v>6</v>
      </c>
      <c r="M306">
        <v>1</v>
      </c>
      <c r="N306">
        <v>0</v>
      </c>
      <c r="O306">
        <v>0</v>
      </c>
      <c r="P306">
        <v>9</v>
      </c>
      <c r="Q306">
        <v>3</v>
      </c>
      <c r="R306">
        <v>0</v>
      </c>
      <c r="S306">
        <v>69</v>
      </c>
      <c r="T306">
        <v>10.1</v>
      </c>
      <c r="U306">
        <v>129</v>
      </c>
      <c r="V306" s="19" t="s">
        <v>2564</v>
      </c>
      <c r="W306" s="19" t="s">
        <v>1714</v>
      </c>
      <c r="X306">
        <v>269</v>
      </c>
      <c r="Y306">
        <v>318</v>
      </c>
      <c r="Z306">
        <v>45.8</v>
      </c>
      <c r="AA306">
        <v>24</v>
      </c>
      <c r="AB306">
        <v>31</v>
      </c>
      <c r="AC306">
        <v>17</v>
      </c>
      <c r="AD306">
        <v>38</v>
      </c>
      <c r="AE306" s="19" t="s">
        <v>60</v>
      </c>
    </row>
    <row r="307" spans="1:31" x14ac:dyDescent="0.2">
      <c r="A307">
        <v>298</v>
      </c>
      <c r="B307" s="19" t="s">
        <v>639</v>
      </c>
      <c r="C307">
        <v>29</v>
      </c>
      <c r="D307" s="19" t="s">
        <v>372</v>
      </c>
      <c r="E307" s="19" t="s">
        <v>339</v>
      </c>
      <c r="F307">
        <v>52</v>
      </c>
      <c r="G307">
        <v>10</v>
      </c>
      <c r="H307">
        <v>9</v>
      </c>
      <c r="I307">
        <v>19</v>
      </c>
      <c r="J307">
        <v>8</v>
      </c>
      <c r="K307">
        <v>78</v>
      </c>
      <c r="L307">
        <v>10</v>
      </c>
      <c r="M307">
        <v>0</v>
      </c>
      <c r="N307">
        <v>0</v>
      </c>
      <c r="O307">
        <v>1</v>
      </c>
      <c r="P307">
        <v>9</v>
      </c>
      <c r="Q307">
        <v>0</v>
      </c>
      <c r="R307">
        <v>0</v>
      </c>
      <c r="S307">
        <v>68</v>
      </c>
      <c r="T307">
        <v>14.7</v>
      </c>
      <c r="U307">
        <v>122</v>
      </c>
      <c r="V307" s="19" t="s">
        <v>1944</v>
      </c>
      <c r="W307" s="19" t="s">
        <v>845</v>
      </c>
      <c r="X307">
        <v>3</v>
      </c>
      <c r="Y307">
        <v>7</v>
      </c>
      <c r="Z307">
        <v>30</v>
      </c>
      <c r="AA307">
        <v>19</v>
      </c>
      <c r="AB307">
        <v>135</v>
      </c>
      <c r="AC307">
        <v>6</v>
      </c>
      <c r="AD307">
        <v>35</v>
      </c>
      <c r="AE307" s="19" t="s">
        <v>60</v>
      </c>
    </row>
    <row r="308" spans="1:31" x14ac:dyDescent="0.2">
      <c r="A308">
        <v>299</v>
      </c>
      <c r="B308" s="19" t="s">
        <v>642</v>
      </c>
      <c r="C308">
        <v>28</v>
      </c>
      <c r="D308" s="19" t="s">
        <v>354</v>
      </c>
      <c r="E308" s="19" t="s">
        <v>325</v>
      </c>
      <c r="F308">
        <v>50</v>
      </c>
      <c r="G308">
        <v>5</v>
      </c>
      <c r="H308">
        <v>14</v>
      </c>
      <c r="I308">
        <v>19</v>
      </c>
      <c r="J308">
        <v>2</v>
      </c>
      <c r="K308">
        <v>45</v>
      </c>
      <c r="L308">
        <v>5</v>
      </c>
      <c r="M308">
        <v>0</v>
      </c>
      <c r="N308">
        <v>0</v>
      </c>
      <c r="O308">
        <v>1</v>
      </c>
      <c r="P308">
        <v>13</v>
      </c>
      <c r="Q308">
        <v>1</v>
      </c>
      <c r="R308">
        <v>0</v>
      </c>
      <c r="S308">
        <v>58</v>
      </c>
      <c r="T308">
        <v>8.6</v>
      </c>
      <c r="U308">
        <v>131</v>
      </c>
      <c r="V308" s="19" t="s">
        <v>2565</v>
      </c>
      <c r="W308" s="19" t="s">
        <v>1643</v>
      </c>
      <c r="X308">
        <v>7</v>
      </c>
      <c r="Y308">
        <v>6</v>
      </c>
      <c r="Z308">
        <v>53.8</v>
      </c>
      <c r="AA308">
        <v>39</v>
      </c>
      <c r="AB308">
        <v>156</v>
      </c>
      <c r="AC308">
        <v>3</v>
      </c>
      <c r="AD308">
        <v>35</v>
      </c>
      <c r="AE308" s="19" t="s">
        <v>60</v>
      </c>
    </row>
    <row r="309" spans="1:31" x14ac:dyDescent="0.2">
      <c r="A309">
        <v>300</v>
      </c>
      <c r="B309" s="19" t="s">
        <v>1055</v>
      </c>
      <c r="C309">
        <v>24</v>
      </c>
      <c r="D309" s="19" t="s">
        <v>531</v>
      </c>
      <c r="E309" s="19" t="s">
        <v>334</v>
      </c>
      <c r="F309">
        <v>36</v>
      </c>
      <c r="G309">
        <v>5</v>
      </c>
      <c r="H309">
        <v>14</v>
      </c>
      <c r="I309">
        <v>19</v>
      </c>
      <c r="J309">
        <v>3</v>
      </c>
      <c r="K309">
        <v>6</v>
      </c>
      <c r="L309">
        <v>4</v>
      </c>
      <c r="M309">
        <v>1</v>
      </c>
      <c r="N309">
        <v>0</v>
      </c>
      <c r="O309">
        <v>1</v>
      </c>
      <c r="P309">
        <v>10</v>
      </c>
      <c r="Q309">
        <v>4</v>
      </c>
      <c r="R309">
        <v>0</v>
      </c>
      <c r="S309">
        <v>52</v>
      </c>
      <c r="T309">
        <v>9.6</v>
      </c>
      <c r="U309">
        <v>95</v>
      </c>
      <c r="V309" s="19" t="s">
        <v>2007</v>
      </c>
      <c r="W309" s="19" t="s">
        <v>1784</v>
      </c>
      <c r="X309">
        <v>13</v>
      </c>
      <c r="Y309">
        <v>12</v>
      </c>
      <c r="Z309">
        <v>52</v>
      </c>
      <c r="AA309">
        <v>6</v>
      </c>
      <c r="AB309">
        <v>18</v>
      </c>
      <c r="AC309">
        <v>9</v>
      </c>
      <c r="AD309">
        <v>24</v>
      </c>
      <c r="AE309" s="19" t="s">
        <v>60</v>
      </c>
    </row>
    <row r="310" spans="1:31" x14ac:dyDescent="0.2">
      <c r="A310">
        <v>301</v>
      </c>
      <c r="B310" s="19" t="s">
        <v>757</v>
      </c>
      <c r="C310">
        <v>33</v>
      </c>
      <c r="D310" s="19" t="s">
        <v>324</v>
      </c>
      <c r="E310" s="19" t="s">
        <v>348</v>
      </c>
      <c r="F310">
        <v>38</v>
      </c>
      <c r="G310">
        <v>10</v>
      </c>
      <c r="H310">
        <v>9</v>
      </c>
      <c r="I310">
        <v>19</v>
      </c>
      <c r="J310">
        <v>-3</v>
      </c>
      <c r="K310">
        <v>16</v>
      </c>
      <c r="L310">
        <v>5</v>
      </c>
      <c r="M310">
        <v>5</v>
      </c>
      <c r="N310">
        <v>0</v>
      </c>
      <c r="O310">
        <v>2</v>
      </c>
      <c r="P310">
        <v>5</v>
      </c>
      <c r="Q310">
        <v>4</v>
      </c>
      <c r="R310">
        <v>0</v>
      </c>
      <c r="S310">
        <v>63</v>
      </c>
      <c r="T310">
        <v>15.9</v>
      </c>
      <c r="U310">
        <v>162</v>
      </c>
      <c r="V310" s="19" t="s">
        <v>2566</v>
      </c>
      <c r="W310" s="19" t="s">
        <v>2144</v>
      </c>
      <c r="X310">
        <v>0</v>
      </c>
      <c r="Y310">
        <v>0</v>
      </c>
      <c r="AA310">
        <v>52</v>
      </c>
      <c r="AB310">
        <v>29</v>
      </c>
      <c r="AC310">
        <v>9</v>
      </c>
      <c r="AD310">
        <v>55</v>
      </c>
      <c r="AE310" s="19" t="s">
        <v>60</v>
      </c>
    </row>
    <row r="311" spans="1:31" x14ac:dyDescent="0.2">
      <c r="A311">
        <v>302</v>
      </c>
      <c r="B311" s="19" t="s">
        <v>825</v>
      </c>
      <c r="C311">
        <v>31</v>
      </c>
      <c r="D311" s="19" t="s">
        <v>329</v>
      </c>
      <c r="E311" s="19" t="s">
        <v>325</v>
      </c>
      <c r="F311">
        <v>48</v>
      </c>
      <c r="G311">
        <v>10</v>
      </c>
      <c r="H311">
        <v>9</v>
      </c>
      <c r="I311">
        <v>19</v>
      </c>
      <c r="J311">
        <v>0</v>
      </c>
      <c r="K311">
        <v>14</v>
      </c>
      <c r="L311">
        <v>9</v>
      </c>
      <c r="M311">
        <v>0</v>
      </c>
      <c r="N311">
        <v>1</v>
      </c>
      <c r="O311">
        <v>2</v>
      </c>
      <c r="P311">
        <v>8</v>
      </c>
      <c r="Q311">
        <v>0</v>
      </c>
      <c r="R311">
        <v>1</v>
      </c>
      <c r="S311">
        <v>78</v>
      </c>
      <c r="T311">
        <v>12.8</v>
      </c>
      <c r="U311">
        <v>136</v>
      </c>
      <c r="V311" s="19" t="s">
        <v>2567</v>
      </c>
      <c r="W311" s="19" t="s">
        <v>1608</v>
      </c>
      <c r="X311">
        <v>2</v>
      </c>
      <c r="Y311">
        <v>7</v>
      </c>
      <c r="Z311">
        <v>22.2</v>
      </c>
      <c r="AA311">
        <v>14</v>
      </c>
      <c r="AB311">
        <v>24</v>
      </c>
      <c r="AC311">
        <v>15</v>
      </c>
      <c r="AD311">
        <v>40</v>
      </c>
      <c r="AE311" s="19" t="s">
        <v>60</v>
      </c>
    </row>
    <row r="312" spans="1:31" x14ac:dyDescent="0.2">
      <c r="A312">
        <v>303</v>
      </c>
      <c r="B312" s="19" t="s">
        <v>571</v>
      </c>
      <c r="C312">
        <v>33</v>
      </c>
      <c r="D312" s="19" t="s">
        <v>345</v>
      </c>
      <c r="E312" s="19" t="s">
        <v>334</v>
      </c>
      <c r="F312">
        <v>51</v>
      </c>
      <c r="G312">
        <v>8</v>
      </c>
      <c r="H312">
        <v>11</v>
      </c>
      <c r="I312">
        <v>19</v>
      </c>
      <c r="J312">
        <v>-3</v>
      </c>
      <c r="K312">
        <v>14</v>
      </c>
      <c r="L312">
        <v>7</v>
      </c>
      <c r="M312">
        <v>1</v>
      </c>
      <c r="N312">
        <v>0</v>
      </c>
      <c r="O312">
        <v>2</v>
      </c>
      <c r="P312">
        <v>7</v>
      </c>
      <c r="Q312">
        <v>4</v>
      </c>
      <c r="R312">
        <v>0</v>
      </c>
      <c r="S312">
        <v>70</v>
      </c>
      <c r="T312">
        <v>11.4</v>
      </c>
      <c r="U312">
        <v>125</v>
      </c>
      <c r="V312" s="19" t="s">
        <v>2568</v>
      </c>
      <c r="W312" s="19" t="s">
        <v>1755</v>
      </c>
      <c r="X312">
        <v>3</v>
      </c>
      <c r="Y312">
        <v>3</v>
      </c>
      <c r="Z312">
        <v>50</v>
      </c>
      <c r="AA312">
        <v>20</v>
      </c>
      <c r="AB312">
        <v>60</v>
      </c>
      <c r="AC312">
        <v>6</v>
      </c>
      <c r="AD312">
        <v>35</v>
      </c>
      <c r="AE312" s="19" t="s">
        <v>60</v>
      </c>
    </row>
    <row r="313" spans="1:31" x14ac:dyDescent="0.2">
      <c r="A313">
        <v>304</v>
      </c>
      <c r="B313" s="19" t="s">
        <v>887</v>
      </c>
      <c r="C313">
        <v>27</v>
      </c>
      <c r="D313" s="19" t="s">
        <v>336</v>
      </c>
      <c r="E313" s="19" t="s">
        <v>322</v>
      </c>
      <c r="F313">
        <v>46</v>
      </c>
      <c r="G313">
        <v>4</v>
      </c>
      <c r="H313">
        <v>15</v>
      </c>
      <c r="I313">
        <v>19</v>
      </c>
      <c r="J313">
        <v>4</v>
      </c>
      <c r="K313">
        <v>6</v>
      </c>
      <c r="L313">
        <v>3</v>
      </c>
      <c r="M313">
        <v>0</v>
      </c>
      <c r="N313">
        <v>1</v>
      </c>
      <c r="O313">
        <v>0</v>
      </c>
      <c r="P313">
        <v>13</v>
      </c>
      <c r="Q313">
        <v>0</v>
      </c>
      <c r="R313">
        <v>2</v>
      </c>
      <c r="S313">
        <v>46</v>
      </c>
      <c r="T313">
        <v>8.6999999999999993</v>
      </c>
      <c r="U313">
        <v>98</v>
      </c>
      <c r="V313" s="19" t="s">
        <v>2569</v>
      </c>
      <c r="W313" s="19" t="s">
        <v>876</v>
      </c>
      <c r="X313">
        <v>259</v>
      </c>
      <c r="Y313">
        <v>303</v>
      </c>
      <c r="Z313">
        <v>46.1</v>
      </c>
      <c r="AA313">
        <v>54</v>
      </c>
      <c r="AB313">
        <v>23</v>
      </c>
      <c r="AC313">
        <v>8</v>
      </c>
      <c r="AD313">
        <v>30</v>
      </c>
      <c r="AE313" s="19" t="s">
        <v>60</v>
      </c>
    </row>
    <row r="314" spans="1:31" x14ac:dyDescent="0.2">
      <c r="A314">
        <v>305</v>
      </c>
      <c r="B314" s="19" t="s">
        <v>722</v>
      </c>
      <c r="C314">
        <v>28</v>
      </c>
      <c r="D314" s="19" t="s">
        <v>375</v>
      </c>
      <c r="E314" s="19" t="s">
        <v>348</v>
      </c>
      <c r="F314">
        <v>51</v>
      </c>
      <c r="G314">
        <v>2</v>
      </c>
      <c r="H314">
        <v>17</v>
      </c>
      <c r="I314">
        <v>19</v>
      </c>
      <c r="J314">
        <v>18</v>
      </c>
      <c r="K314">
        <v>18</v>
      </c>
      <c r="L314">
        <v>2</v>
      </c>
      <c r="M314">
        <v>0</v>
      </c>
      <c r="N314">
        <v>0</v>
      </c>
      <c r="O314">
        <v>0</v>
      </c>
      <c r="P314">
        <v>17</v>
      </c>
      <c r="Q314">
        <v>0</v>
      </c>
      <c r="R314">
        <v>0</v>
      </c>
      <c r="S314">
        <v>48</v>
      </c>
      <c r="T314">
        <v>4.2</v>
      </c>
      <c r="U314">
        <v>128</v>
      </c>
      <c r="V314" s="19" t="s">
        <v>2343</v>
      </c>
      <c r="W314" s="19" t="s">
        <v>1708</v>
      </c>
      <c r="X314">
        <v>0</v>
      </c>
      <c r="Y314">
        <v>0</v>
      </c>
      <c r="AA314">
        <v>61</v>
      </c>
      <c r="AB314">
        <v>29</v>
      </c>
      <c r="AC314">
        <v>14</v>
      </c>
      <c r="AD314">
        <v>34</v>
      </c>
      <c r="AE314" s="19" t="s">
        <v>60</v>
      </c>
    </row>
    <row r="315" spans="1:31" x14ac:dyDescent="0.2">
      <c r="A315">
        <v>306</v>
      </c>
      <c r="B315" s="19" t="s">
        <v>767</v>
      </c>
      <c r="C315">
        <v>37</v>
      </c>
      <c r="D315" s="19" t="s">
        <v>345</v>
      </c>
      <c r="E315" s="19" t="s">
        <v>322</v>
      </c>
      <c r="F315">
        <v>52</v>
      </c>
      <c r="G315">
        <v>7</v>
      </c>
      <c r="H315">
        <v>12</v>
      </c>
      <c r="I315">
        <v>19</v>
      </c>
      <c r="J315">
        <v>-13</v>
      </c>
      <c r="K315">
        <v>26</v>
      </c>
      <c r="L315">
        <v>4</v>
      </c>
      <c r="M315">
        <v>3</v>
      </c>
      <c r="N315">
        <v>0</v>
      </c>
      <c r="O315">
        <v>0</v>
      </c>
      <c r="P315">
        <v>10</v>
      </c>
      <c r="Q315">
        <v>2</v>
      </c>
      <c r="R315">
        <v>0</v>
      </c>
      <c r="S315">
        <v>74</v>
      </c>
      <c r="T315">
        <v>9.5</v>
      </c>
      <c r="U315">
        <v>129</v>
      </c>
      <c r="V315" s="19" t="s">
        <v>2570</v>
      </c>
      <c r="W315" s="19" t="s">
        <v>1749</v>
      </c>
      <c r="X315">
        <v>413</v>
      </c>
      <c r="Y315">
        <v>259</v>
      </c>
      <c r="Z315">
        <v>61.5</v>
      </c>
      <c r="AA315">
        <v>24</v>
      </c>
      <c r="AB315">
        <v>14</v>
      </c>
      <c r="AC315">
        <v>16</v>
      </c>
      <c r="AD315">
        <v>37</v>
      </c>
      <c r="AE315" s="19" t="s">
        <v>60</v>
      </c>
    </row>
    <row r="316" spans="1:31" x14ac:dyDescent="0.2">
      <c r="A316">
        <v>307</v>
      </c>
      <c r="B316" s="19" t="s">
        <v>846</v>
      </c>
      <c r="C316">
        <v>22</v>
      </c>
      <c r="D316" s="19" t="s">
        <v>356</v>
      </c>
      <c r="E316" s="19" t="s">
        <v>334</v>
      </c>
      <c r="F316">
        <v>47</v>
      </c>
      <c r="G316">
        <v>7</v>
      </c>
      <c r="H316">
        <v>12</v>
      </c>
      <c r="I316">
        <v>19</v>
      </c>
      <c r="J316">
        <v>-3</v>
      </c>
      <c r="K316">
        <v>18</v>
      </c>
      <c r="L316">
        <v>7</v>
      </c>
      <c r="M316">
        <v>0</v>
      </c>
      <c r="N316">
        <v>0</v>
      </c>
      <c r="O316">
        <v>2</v>
      </c>
      <c r="P316">
        <v>10</v>
      </c>
      <c r="Q316">
        <v>2</v>
      </c>
      <c r="R316">
        <v>0</v>
      </c>
      <c r="S316">
        <v>52</v>
      </c>
      <c r="T316">
        <v>13.5</v>
      </c>
      <c r="U316">
        <v>106</v>
      </c>
      <c r="V316" s="19" t="s">
        <v>2571</v>
      </c>
      <c r="W316" s="19" t="s">
        <v>954</v>
      </c>
      <c r="X316">
        <v>191</v>
      </c>
      <c r="Y316">
        <v>296</v>
      </c>
      <c r="Z316">
        <v>39.200000000000003</v>
      </c>
      <c r="AA316">
        <v>31</v>
      </c>
      <c r="AB316">
        <v>30</v>
      </c>
      <c r="AC316">
        <v>12</v>
      </c>
      <c r="AD316">
        <v>29</v>
      </c>
      <c r="AE316" s="19" t="s">
        <v>60</v>
      </c>
    </row>
    <row r="317" spans="1:31" x14ac:dyDescent="0.2">
      <c r="A317">
        <v>308</v>
      </c>
      <c r="B317" s="19" t="s">
        <v>691</v>
      </c>
      <c r="C317">
        <v>30</v>
      </c>
      <c r="D317" s="19" t="s">
        <v>416</v>
      </c>
      <c r="E317" s="19" t="s">
        <v>348</v>
      </c>
      <c r="F317">
        <v>52</v>
      </c>
      <c r="G317">
        <v>4</v>
      </c>
      <c r="H317">
        <v>15</v>
      </c>
      <c r="I317">
        <v>19</v>
      </c>
      <c r="J317">
        <v>13</v>
      </c>
      <c r="K317">
        <v>34</v>
      </c>
      <c r="L317">
        <v>4</v>
      </c>
      <c r="M317">
        <v>0</v>
      </c>
      <c r="N317">
        <v>0</v>
      </c>
      <c r="O317">
        <v>0</v>
      </c>
      <c r="P317">
        <v>15</v>
      </c>
      <c r="Q317">
        <v>0</v>
      </c>
      <c r="R317">
        <v>0</v>
      </c>
      <c r="S317">
        <v>60</v>
      </c>
      <c r="T317">
        <v>6.7</v>
      </c>
      <c r="U317">
        <v>147</v>
      </c>
      <c r="V317" s="19" t="s">
        <v>2897</v>
      </c>
      <c r="W317" s="19" t="s">
        <v>1517</v>
      </c>
      <c r="X317">
        <v>0</v>
      </c>
      <c r="Y317">
        <v>0</v>
      </c>
      <c r="AA317">
        <v>75</v>
      </c>
      <c r="AB317">
        <v>52</v>
      </c>
      <c r="AC317">
        <v>18</v>
      </c>
      <c r="AD317">
        <v>55</v>
      </c>
      <c r="AE317" s="19" t="s">
        <v>60</v>
      </c>
    </row>
    <row r="318" spans="1:31" x14ac:dyDescent="0.2">
      <c r="A318">
        <v>309</v>
      </c>
      <c r="B318" s="19" t="s">
        <v>736</v>
      </c>
      <c r="C318">
        <v>24</v>
      </c>
      <c r="D318" s="19" t="s">
        <v>333</v>
      </c>
      <c r="E318" s="19" t="s">
        <v>322</v>
      </c>
      <c r="F318">
        <v>53</v>
      </c>
      <c r="G318">
        <v>8</v>
      </c>
      <c r="H318">
        <v>10</v>
      </c>
      <c r="I318">
        <v>18</v>
      </c>
      <c r="J318">
        <v>-4</v>
      </c>
      <c r="K318">
        <v>4</v>
      </c>
      <c r="L318">
        <v>7</v>
      </c>
      <c r="M318">
        <v>1</v>
      </c>
      <c r="N318">
        <v>0</v>
      </c>
      <c r="O318">
        <v>0</v>
      </c>
      <c r="P318">
        <v>8</v>
      </c>
      <c r="Q318">
        <v>2</v>
      </c>
      <c r="R318">
        <v>0</v>
      </c>
      <c r="S318">
        <v>87</v>
      </c>
      <c r="T318">
        <v>9.1999999999999993</v>
      </c>
      <c r="U318">
        <v>136</v>
      </c>
      <c r="V318" s="19" t="s">
        <v>2572</v>
      </c>
      <c r="W318" s="19" t="s">
        <v>2008</v>
      </c>
      <c r="X318">
        <v>76</v>
      </c>
      <c r="Y318">
        <v>98</v>
      </c>
      <c r="Z318">
        <v>43.7</v>
      </c>
      <c r="AA318">
        <v>15</v>
      </c>
      <c r="AB318">
        <v>34</v>
      </c>
      <c r="AC318">
        <v>9</v>
      </c>
      <c r="AD318">
        <v>31</v>
      </c>
      <c r="AE318" s="19" t="s">
        <v>60</v>
      </c>
    </row>
    <row r="319" spans="1:31" x14ac:dyDescent="0.2">
      <c r="A319">
        <v>310</v>
      </c>
      <c r="B319" s="19" t="s">
        <v>637</v>
      </c>
      <c r="C319">
        <v>34</v>
      </c>
      <c r="D319" s="19" t="s">
        <v>513</v>
      </c>
      <c r="E319" s="19" t="s">
        <v>348</v>
      </c>
      <c r="F319">
        <v>53</v>
      </c>
      <c r="G319">
        <v>1</v>
      </c>
      <c r="H319">
        <v>17</v>
      </c>
      <c r="I319">
        <v>18</v>
      </c>
      <c r="J319">
        <v>-21</v>
      </c>
      <c r="K319">
        <v>12</v>
      </c>
      <c r="L319">
        <v>1</v>
      </c>
      <c r="M319">
        <v>0</v>
      </c>
      <c r="N319">
        <v>0</v>
      </c>
      <c r="O319">
        <v>0</v>
      </c>
      <c r="P319">
        <v>8</v>
      </c>
      <c r="Q319">
        <v>8</v>
      </c>
      <c r="R319">
        <v>1</v>
      </c>
      <c r="S319">
        <v>66</v>
      </c>
      <c r="T319">
        <v>1.5</v>
      </c>
      <c r="U319">
        <v>170</v>
      </c>
      <c r="V319" s="19" t="s">
        <v>2573</v>
      </c>
      <c r="W319" s="19" t="s">
        <v>1998</v>
      </c>
      <c r="X319">
        <v>0</v>
      </c>
      <c r="Y319">
        <v>0</v>
      </c>
      <c r="AA319">
        <v>49</v>
      </c>
      <c r="AB319">
        <v>7</v>
      </c>
      <c r="AC319">
        <v>11</v>
      </c>
      <c r="AD319">
        <v>47</v>
      </c>
      <c r="AE319" s="19" t="s">
        <v>60</v>
      </c>
    </row>
    <row r="320" spans="1:31" x14ac:dyDescent="0.2">
      <c r="A320">
        <v>311</v>
      </c>
      <c r="B320" s="19" t="s">
        <v>705</v>
      </c>
      <c r="C320">
        <v>29</v>
      </c>
      <c r="D320" s="19" t="s">
        <v>324</v>
      </c>
      <c r="E320" s="19" t="s">
        <v>322</v>
      </c>
      <c r="F320">
        <v>41</v>
      </c>
      <c r="G320">
        <v>11</v>
      </c>
      <c r="H320">
        <v>7</v>
      </c>
      <c r="I320">
        <v>18</v>
      </c>
      <c r="J320">
        <v>-10</v>
      </c>
      <c r="K320">
        <v>14</v>
      </c>
      <c r="L320">
        <v>8</v>
      </c>
      <c r="M320">
        <v>3</v>
      </c>
      <c r="N320">
        <v>0</v>
      </c>
      <c r="O320">
        <v>2</v>
      </c>
      <c r="P320">
        <v>4</v>
      </c>
      <c r="Q320">
        <v>3</v>
      </c>
      <c r="R320">
        <v>0</v>
      </c>
      <c r="S320">
        <v>62</v>
      </c>
      <c r="T320">
        <v>17.7</v>
      </c>
      <c r="U320">
        <v>117</v>
      </c>
      <c r="V320" s="19" t="s">
        <v>2574</v>
      </c>
      <c r="W320" s="19" t="s">
        <v>1451</v>
      </c>
      <c r="X320">
        <v>72</v>
      </c>
      <c r="Y320">
        <v>86</v>
      </c>
      <c r="Z320">
        <v>45.6</v>
      </c>
      <c r="AA320">
        <v>17</v>
      </c>
      <c r="AB320">
        <v>40</v>
      </c>
      <c r="AC320">
        <v>9</v>
      </c>
      <c r="AD320">
        <v>13</v>
      </c>
      <c r="AE320" s="19" t="s">
        <v>60</v>
      </c>
    </row>
    <row r="321" spans="1:31" x14ac:dyDescent="0.2">
      <c r="A321">
        <v>312</v>
      </c>
      <c r="B321" s="19" t="s">
        <v>616</v>
      </c>
      <c r="C321">
        <v>30</v>
      </c>
      <c r="D321" s="19" t="s">
        <v>360</v>
      </c>
      <c r="E321" s="19" t="s">
        <v>348</v>
      </c>
      <c r="F321">
        <v>54</v>
      </c>
      <c r="G321">
        <v>8</v>
      </c>
      <c r="H321">
        <v>10</v>
      </c>
      <c r="I321">
        <v>18</v>
      </c>
      <c r="J321">
        <v>-12</v>
      </c>
      <c r="K321">
        <v>24</v>
      </c>
      <c r="L321">
        <v>6</v>
      </c>
      <c r="M321">
        <v>2</v>
      </c>
      <c r="N321">
        <v>0</v>
      </c>
      <c r="O321">
        <v>1</v>
      </c>
      <c r="P321">
        <v>9</v>
      </c>
      <c r="Q321">
        <v>1</v>
      </c>
      <c r="R321">
        <v>0</v>
      </c>
      <c r="S321">
        <v>80</v>
      </c>
      <c r="T321">
        <v>10</v>
      </c>
      <c r="U321">
        <v>218</v>
      </c>
      <c r="V321" s="19" t="s">
        <v>2898</v>
      </c>
      <c r="W321" s="19" t="s">
        <v>2267</v>
      </c>
      <c r="X321">
        <v>0</v>
      </c>
      <c r="Y321">
        <v>0</v>
      </c>
      <c r="AA321">
        <v>84</v>
      </c>
      <c r="AB321">
        <v>32</v>
      </c>
      <c r="AC321">
        <v>16</v>
      </c>
      <c r="AD321">
        <v>69</v>
      </c>
      <c r="AE321" s="19" t="s">
        <v>60</v>
      </c>
    </row>
    <row r="322" spans="1:31" x14ac:dyDescent="0.2">
      <c r="A322">
        <v>313</v>
      </c>
      <c r="B322" s="19" t="s">
        <v>971</v>
      </c>
      <c r="C322">
        <v>26</v>
      </c>
      <c r="D322" s="19" t="s">
        <v>398</v>
      </c>
      <c r="E322" s="19" t="s">
        <v>322</v>
      </c>
      <c r="F322">
        <v>42</v>
      </c>
      <c r="G322">
        <v>13</v>
      </c>
      <c r="H322">
        <v>5</v>
      </c>
      <c r="I322">
        <v>18</v>
      </c>
      <c r="J322">
        <v>3</v>
      </c>
      <c r="K322">
        <v>23</v>
      </c>
      <c r="L322">
        <v>12</v>
      </c>
      <c r="M322">
        <v>1</v>
      </c>
      <c r="N322">
        <v>0</v>
      </c>
      <c r="O322">
        <v>3</v>
      </c>
      <c r="P322">
        <v>4</v>
      </c>
      <c r="Q322">
        <v>1</v>
      </c>
      <c r="R322">
        <v>0</v>
      </c>
      <c r="S322">
        <v>73</v>
      </c>
      <c r="T322">
        <v>17.8</v>
      </c>
      <c r="U322">
        <v>118</v>
      </c>
      <c r="V322" s="19" t="s">
        <v>2575</v>
      </c>
      <c r="W322" s="19" t="s">
        <v>1658</v>
      </c>
      <c r="X322">
        <v>270</v>
      </c>
      <c r="Y322">
        <v>248</v>
      </c>
      <c r="Z322">
        <v>52.1</v>
      </c>
      <c r="AA322">
        <v>24</v>
      </c>
      <c r="AB322">
        <v>29</v>
      </c>
      <c r="AC322">
        <v>2</v>
      </c>
      <c r="AD322">
        <v>22</v>
      </c>
      <c r="AE322" s="19" t="s">
        <v>60</v>
      </c>
    </row>
    <row r="323" spans="1:31" x14ac:dyDescent="0.2">
      <c r="A323">
        <v>314</v>
      </c>
      <c r="B323" s="19" t="s">
        <v>706</v>
      </c>
      <c r="C323">
        <v>34</v>
      </c>
      <c r="D323" s="19" t="s">
        <v>351</v>
      </c>
      <c r="E323" s="19" t="s">
        <v>322</v>
      </c>
      <c r="F323">
        <v>51</v>
      </c>
      <c r="G323">
        <v>6</v>
      </c>
      <c r="H323">
        <v>12</v>
      </c>
      <c r="I323">
        <v>18</v>
      </c>
      <c r="J323">
        <v>3</v>
      </c>
      <c r="K323">
        <v>41</v>
      </c>
      <c r="L323">
        <v>6</v>
      </c>
      <c r="M323">
        <v>0</v>
      </c>
      <c r="N323">
        <v>0</v>
      </c>
      <c r="O323">
        <v>1</v>
      </c>
      <c r="P323">
        <v>12</v>
      </c>
      <c r="Q323">
        <v>0</v>
      </c>
      <c r="R323">
        <v>0</v>
      </c>
      <c r="S323">
        <v>72</v>
      </c>
      <c r="T323">
        <v>8.3000000000000007</v>
      </c>
      <c r="U323">
        <v>143</v>
      </c>
      <c r="V323" s="19" t="s">
        <v>2576</v>
      </c>
      <c r="W323" s="19" t="s">
        <v>919</v>
      </c>
      <c r="X323">
        <v>236</v>
      </c>
      <c r="Y323">
        <v>291</v>
      </c>
      <c r="Z323">
        <v>44.8</v>
      </c>
      <c r="AA323">
        <v>24</v>
      </c>
      <c r="AB323">
        <v>64</v>
      </c>
      <c r="AC323">
        <v>15</v>
      </c>
      <c r="AD323">
        <v>48</v>
      </c>
      <c r="AE323" s="19" t="s">
        <v>60</v>
      </c>
    </row>
    <row r="324" spans="1:31" x14ac:dyDescent="0.2">
      <c r="A324">
        <v>315</v>
      </c>
      <c r="B324" s="19" t="s">
        <v>907</v>
      </c>
      <c r="C324">
        <v>25</v>
      </c>
      <c r="D324" s="19" t="s">
        <v>404</v>
      </c>
      <c r="E324" s="19" t="s">
        <v>322</v>
      </c>
      <c r="F324">
        <v>48</v>
      </c>
      <c r="G324">
        <v>8</v>
      </c>
      <c r="H324">
        <v>10</v>
      </c>
      <c r="I324">
        <v>18</v>
      </c>
      <c r="J324">
        <v>4</v>
      </c>
      <c r="K324">
        <v>36</v>
      </c>
      <c r="L324">
        <v>4</v>
      </c>
      <c r="M324">
        <v>4</v>
      </c>
      <c r="N324">
        <v>0</v>
      </c>
      <c r="O324">
        <v>1</v>
      </c>
      <c r="P324">
        <v>9</v>
      </c>
      <c r="Q324">
        <v>1</v>
      </c>
      <c r="R324">
        <v>0</v>
      </c>
      <c r="S324">
        <v>87</v>
      </c>
      <c r="T324">
        <v>9.1999999999999993</v>
      </c>
      <c r="U324">
        <v>143</v>
      </c>
      <c r="V324" s="19" t="s">
        <v>2577</v>
      </c>
      <c r="W324" s="19" t="s">
        <v>660</v>
      </c>
      <c r="X324">
        <v>285</v>
      </c>
      <c r="Y324">
        <v>254</v>
      </c>
      <c r="Z324">
        <v>52.9</v>
      </c>
      <c r="AA324">
        <v>23</v>
      </c>
      <c r="AB324">
        <v>17</v>
      </c>
      <c r="AC324">
        <v>12</v>
      </c>
      <c r="AD324">
        <v>31</v>
      </c>
      <c r="AE324" s="19" t="s">
        <v>60</v>
      </c>
    </row>
    <row r="325" spans="1:31" x14ac:dyDescent="0.2">
      <c r="A325">
        <v>316</v>
      </c>
      <c r="B325" s="19" t="s">
        <v>883</v>
      </c>
      <c r="C325">
        <v>21</v>
      </c>
      <c r="D325" s="19" t="s">
        <v>428</v>
      </c>
      <c r="E325" s="19" t="s">
        <v>322</v>
      </c>
      <c r="F325">
        <v>40</v>
      </c>
      <c r="G325">
        <v>9</v>
      </c>
      <c r="H325">
        <v>9</v>
      </c>
      <c r="I325">
        <v>18</v>
      </c>
      <c r="J325">
        <v>9</v>
      </c>
      <c r="K325">
        <v>6</v>
      </c>
      <c r="L325">
        <v>8</v>
      </c>
      <c r="M325">
        <v>1</v>
      </c>
      <c r="N325">
        <v>0</v>
      </c>
      <c r="O325">
        <v>0</v>
      </c>
      <c r="P325">
        <v>7</v>
      </c>
      <c r="Q325">
        <v>2</v>
      </c>
      <c r="R325">
        <v>0</v>
      </c>
      <c r="S325">
        <v>41</v>
      </c>
      <c r="T325">
        <v>22</v>
      </c>
      <c r="U325">
        <v>84</v>
      </c>
      <c r="V325" s="19" t="s">
        <v>2176</v>
      </c>
      <c r="W325" s="19" t="s">
        <v>609</v>
      </c>
      <c r="X325">
        <v>55</v>
      </c>
      <c r="Y325">
        <v>151</v>
      </c>
      <c r="Z325">
        <v>26.7</v>
      </c>
      <c r="AA325">
        <v>21</v>
      </c>
      <c r="AB325">
        <v>3</v>
      </c>
      <c r="AC325">
        <v>13</v>
      </c>
      <c r="AD325">
        <v>22</v>
      </c>
      <c r="AE325" s="19" t="s">
        <v>60</v>
      </c>
    </row>
    <row r="326" spans="1:31" x14ac:dyDescent="0.2">
      <c r="A326">
        <v>317</v>
      </c>
      <c r="B326" s="19" t="s">
        <v>504</v>
      </c>
      <c r="C326">
        <v>34</v>
      </c>
      <c r="D326" s="19" t="s">
        <v>383</v>
      </c>
      <c r="E326" s="19" t="s">
        <v>334</v>
      </c>
      <c r="F326">
        <v>25</v>
      </c>
      <c r="G326">
        <v>6</v>
      </c>
      <c r="H326">
        <v>12</v>
      </c>
      <c r="I326">
        <v>18</v>
      </c>
      <c r="J326">
        <v>-2</v>
      </c>
      <c r="K326">
        <v>8</v>
      </c>
      <c r="L326">
        <v>4</v>
      </c>
      <c r="M326">
        <v>1</v>
      </c>
      <c r="N326">
        <v>1</v>
      </c>
      <c r="O326">
        <v>1</v>
      </c>
      <c r="P326">
        <v>8</v>
      </c>
      <c r="Q326">
        <v>4</v>
      </c>
      <c r="R326">
        <v>0</v>
      </c>
      <c r="S326">
        <v>71</v>
      </c>
      <c r="T326">
        <v>8.5</v>
      </c>
      <c r="U326">
        <v>126</v>
      </c>
      <c r="V326" s="19" t="s">
        <v>505</v>
      </c>
      <c r="W326" s="19" t="s">
        <v>506</v>
      </c>
      <c r="X326">
        <v>2</v>
      </c>
      <c r="Y326">
        <v>2</v>
      </c>
      <c r="Z326">
        <v>50</v>
      </c>
      <c r="AA326">
        <v>9</v>
      </c>
      <c r="AB326">
        <v>19</v>
      </c>
      <c r="AC326">
        <v>8</v>
      </c>
      <c r="AD326">
        <v>18</v>
      </c>
      <c r="AE326" s="19" t="s">
        <v>60</v>
      </c>
    </row>
    <row r="327" spans="1:31" x14ac:dyDescent="0.2">
      <c r="A327">
        <v>318</v>
      </c>
      <c r="B327" s="19" t="s">
        <v>684</v>
      </c>
      <c r="C327">
        <v>29</v>
      </c>
      <c r="D327" s="19" t="s">
        <v>380</v>
      </c>
      <c r="E327" s="19" t="s">
        <v>348</v>
      </c>
      <c r="F327">
        <v>52</v>
      </c>
      <c r="G327">
        <v>5</v>
      </c>
      <c r="H327">
        <v>13</v>
      </c>
      <c r="I327">
        <v>18</v>
      </c>
      <c r="J327">
        <v>12</v>
      </c>
      <c r="K327">
        <v>26</v>
      </c>
      <c r="L327">
        <v>5</v>
      </c>
      <c r="M327">
        <v>0</v>
      </c>
      <c r="N327">
        <v>0</v>
      </c>
      <c r="O327">
        <v>0</v>
      </c>
      <c r="P327">
        <v>11</v>
      </c>
      <c r="Q327">
        <v>2</v>
      </c>
      <c r="R327">
        <v>0</v>
      </c>
      <c r="S327">
        <v>108</v>
      </c>
      <c r="T327">
        <v>4.5999999999999996</v>
      </c>
      <c r="U327">
        <v>230</v>
      </c>
      <c r="V327" s="19" t="s">
        <v>2899</v>
      </c>
      <c r="W327" s="19" t="s">
        <v>2900</v>
      </c>
      <c r="X327">
        <v>0</v>
      </c>
      <c r="Y327">
        <v>0</v>
      </c>
      <c r="AA327">
        <v>88</v>
      </c>
      <c r="AB327">
        <v>22</v>
      </c>
      <c r="AC327">
        <v>17</v>
      </c>
      <c r="AD327">
        <v>88</v>
      </c>
      <c r="AE327" s="19" t="s">
        <v>60</v>
      </c>
    </row>
    <row r="328" spans="1:31" x14ac:dyDescent="0.2">
      <c r="A328">
        <v>319</v>
      </c>
      <c r="B328" s="19" t="s">
        <v>720</v>
      </c>
      <c r="C328">
        <v>28</v>
      </c>
      <c r="D328" s="19" t="s">
        <v>358</v>
      </c>
      <c r="E328" s="19" t="s">
        <v>322</v>
      </c>
      <c r="F328">
        <v>50</v>
      </c>
      <c r="G328">
        <v>4</v>
      </c>
      <c r="H328">
        <v>14</v>
      </c>
      <c r="I328">
        <v>18</v>
      </c>
      <c r="J328">
        <v>2</v>
      </c>
      <c r="K328">
        <v>6</v>
      </c>
      <c r="L328">
        <v>3</v>
      </c>
      <c r="M328">
        <v>1</v>
      </c>
      <c r="N328">
        <v>0</v>
      </c>
      <c r="O328">
        <v>0</v>
      </c>
      <c r="P328">
        <v>13</v>
      </c>
      <c r="Q328">
        <v>0</v>
      </c>
      <c r="R328">
        <v>1</v>
      </c>
      <c r="S328">
        <v>49</v>
      </c>
      <c r="T328">
        <v>8.1999999999999993</v>
      </c>
      <c r="U328">
        <v>104</v>
      </c>
      <c r="V328" s="19" t="s">
        <v>2578</v>
      </c>
      <c r="W328" s="19" t="s">
        <v>654</v>
      </c>
      <c r="X328">
        <v>292</v>
      </c>
      <c r="Y328">
        <v>247</v>
      </c>
      <c r="Z328">
        <v>54.2</v>
      </c>
      <c r="AA328">
        <v>23</v>
      </c>
      <c r="AB328">
        <v>53</v>
      </c>
      <c r="AC328">
        <v>16</v>
      </c>
      <c r="AD328">
        <v>41</v>
      </c>
      <c r="AE328" s="19" t="s">
        <v>60</v>
      </c>
    </row>
    <row r="329" spans="1:31" x14ac:dyDescent="0.2">
      <c r="A329">
        <v>320</v>
      </c>
      <c r="B329" s="19" t="s">
        <v>800</v>
      </c>
      <c r="C329">
        <v>20</v>
      </c>
      <c r="D329" s="19" t="s">
        <v>370</v>
      </c>
      <c r="E329" s="19" t="s">
        <v>348</v>
      </c>
      <c r="F329">
        <v>54</v>
      </c>
      <c r="G329">
        <v>6</v>
      </c>
      <c r="H329">
        <v>12</v>
      </c>
      <c r="I329">
        <v>18</v>
      </c>
      <c r="J329">
        <v>-15</v>
      </c>
      <c r="K329">
        <v>16</v>
      </c>
      <c r="L329">
        <v>5</v>
      </c>
      <c r="M329">
        <v>1</v>
      </c>
      <c r="N329">
        <v>0</v>
      </c>
      <c r="O329">
        <v>1</v>
      </c>
      <c r="P329">
        <v>6</v>
      </c>
      <c r="Q329">
        <v>6</v>
      </c>
      <c r="R329">
        <v>0</v>
      </c>
      <c r="S329">
        <v>58</v>
      </c>
      <c r="T329">
        <v>10.3</v>
      </c>
      <c r="U329">
        <v>164</v>
      </c>
      <c r="V329" s="19" t="s">
        <v>2579</v>
      </c>
      <c r="W329" s="19" t="s">
        <v>1941</v>
      </c>
      <c r="X329">
        <v>0</v>
      </c>
      <c r="Y329">
        <v>0</v>
      </c>
      <c r="AA329">
        <v>49</v>
      </c>
      <c r="AB329">
        <v>12</v>
      </c>
      <c r="AC329">
        <v>8</v>
      </c>
      <c r="AD329">
        <v>52</v>
      </c>
      <c r="AE329" s="19" t="s">
        <v>60</v>
      </c>
    </row>
    <row r="330" spans="1:31" x14ac:dyDescent="0.2">
      <c r="A330">
        <v>321</v>
      </c>
      <c r="B330" s="19" t="s">
        <v>721</v>
      </c>
      <c r="C330">
        <v>22</v>
      </c>
      <c r="D330" s="19" t="s">
        <v>327</v>
      </c>
      <c r="E330" s="19" t="s">
        <v>322</v>
      </c>
      <c r="F330">
        <v>54</v>
      </c>
      <c r="G330">
        <v>9</v>
      </c>
      <c r="H330">
        <v>9</v>
      </c>
      <c r="I330">
        <v>18</v>
      </c>
      <c r="J330">
        <v>-2</v>
      </c>
      <c r="K330">
        <v>18</v>
      </c>
      <c r="L330">
        <v>6</v>
      </c>
      <c r="M330">
        <v>2</v>
      </c>
      <c r="N330">
        <v>1</v>
      </c>
      <c r="O330">
        <v>1</v>
      </c>
      <c r="P330">
        <v>7</v>
      </c>
      <c r="Q330">
        <v>2</v>
      </c>
      <c r="R330">
        <v>0</v>
      </c>
      <c r="S330">
        <v>72</v>
      </c>
      <c r="T330">
        <v>12.5</v>
      </c>
      <c r="U330">
        <v>127</v>
      </c>
      <c r="V330" s="19" t="s">
        <v>2580</v>
      </c>
      <c r="W330" s="19" t="s">
        <v>1755</v>
      </c>
      <c r="X330">
        <v>24</v>
      </c>
      <c r="Y330">
        <v>27</v>
      </c>
      <c r="Z330">
        <v>47.1</v>
      </c>
      <c r="AA330">
        <v>25</v>
      </c>
      <c r="AB330">
        <v>9</v>
      </c>
      <c r="AC330">
        <v>19</v>
      </c>
      <c r="AD330">
        <v>43</v>
      </c>
      <c r="AE330" s="19" t="s">
        <v>60</v>
      </c>
    </row>
    <row r="331" spans="1:31" x14ac:dyDescent="0.2">
      <c r="A331">
        <v>322</v>
      </c>
      <c r="B331" s="19" t="s">
        <v>687</v>
      </c>
      <c r="C331">
        <v>34</v>
      </c>
      <c r="D331" s="19" t="s">
        <v>404</v>
      </c>
      <c r="E331" s="19" t="s">
        <v>348</v>
      </c>
      <c r="F331">
        <v>53</v>
      </c>
      <c r="G331">
        <v>4</v>
      </c>
      <c r="H331">
        <v>14</v>
      </c>
      <c r="I331">
        <v>18</v>
      </c>
      <c r="J331">
        <v>26</v>
      </c>
      <c r="K331">
        <v>10</v>
      </c>
      <c r="L331">
        <v>4</v>
      </c>
      <c r="M331">
        <v>0</v>
      </c>
      <c r="N331">
        <v>0</v>
      </c>
      <c r="O331">
        <v>1</v>
      </c>
      <c r="P331">
        <v>14</v>
      </c>
      <c r="Q331">
        <v>0</v>
      </c>
      <c r="R331">
        <v>0</v>
      </c>
      <c r="S331">
        <v>58</v>
      </c>
      <c r="T331">
        <v>6.9</v>
      </c>
      <c r="U331">
        <v>157</v>
      </c>
      <c r="V331" s="19" t="s">
        <v>2581</v>
      </c>
      <c r="W331" s="19" t="s">
        <v>2041</v>
      </c>
      <c r="X331">
        <v>0</v>
      </c>
      <c r="Y331">
        <v>0</v>
      </c>
      <c r="AA331">
        <v>57</v>
      </c>
      <c r="AB331">
        <v>50</v>
      </c>
      <c r="AC331">
        <v>12</v>
      </c>
      <c r="AD331">
        <v>53</v>
      </c>
      <c r="AE331" s="19" t="s">
        <v>60</v>
      </c>
    </row>
    <row r="332" spans="1:31" x14ac:dyDescent="0.2">
      <c r="A332">
        <v>323</v>
      </c>
      <c r="B332" s="19" t="s">
        <v>573</v>
      </c>
      <c r="C332">
        <v>33</v>
      </c>
      <c r="D332" s="19" t="s">
        <v>531</v>
      </c>
      <c r="E332" s="19" t="s">
        <v>322</v>
      </c>
      <c r="F332">
        <v>33</v>
      </c>
      <c r="G332">
        <v>9</v>
      </c>
      <c r="H332">
        <v>9</v>
      </c>
      <c r="I332">
        <v>18</v>
      </c>
      <c r="J332">
        <v>5</v>
      </c>
      <c r="K332">
        <v>8</v>
      </c>
      <c r="L332">
        <v>6</v>
      </c>
      <c r="M332">
        <v>2</v>
      </c>
      <c r="N332">
        <v>1</v>
      </c>
      <c r="O332">
        <v>2</v>
      </c>
      <c r="P332">
        <v>8</v>
      </c>
      <c r="Q332">
        <v>1</v>
      </c>
      <c r="R332">
        <v>0</v>
      </c>
      <c r="S332">
        <v>62</v>
      </c>
      <c r="T332">
        <v>14.5</v>
      </c>
      <c r="U332">
        <v>121</v>
      </c>
      <c r="V332" s="19" t="s">
        <v>2582</v>
      </c>
      <c r="W332" s="19" t="s">
        <v>2207</v>
      </c>
      <c r="X332">
        <v>24</v>
      </c>
      <c r="Y332">
        <v>14</v>
      </c>
      <c r="Z332">
        <v>63.2</v>
      </c>
      <c r="AA332">
        <v>31</v>
      </c>
      <c r="AB332">
        <v>28</v>
      </c>
      <c r="AC332">
        <v>16</v>
      </c>
      <c r="AD332">
        <v>33</v>
      </c>
      <c r="AE332" s="19" t="s">
        <v>60</v>
      </c>
    </row>
    <row r="333" spans="1:31" x14ac:dyDescent="0.2">
      <c r="A333">
        <v>324</v>
      </c>
      <c r="B333" s="19" t="s">
        <v>688</v>
      </c>
      <c r="C333">
        <v>21</v>
      </c>
      <c r="D333" s="19" t="s">
        <v>513</v>
      </c>
      <c r="E333" s="19" t="s">
        <v>334</v>
      </c>
      <c r="F333">
        <v>41</v>
      </c>
      <c r="G333">
        <v>7</v>
      </c>
      <c r="H333">
        <v>11</v>
      </c>
      <c r="I333">
        <v>18</v>
      </c>
      <c r="J333">
        <v>-7</v>
      </c>
      <c r="K333">
        <v>10</v>
      </c>
      <c r="L333">
        <v>4</v>
      </c>
      <c r="M333">
        <v>3</v>
      </c>
      <c r="N333">
        <v>0</v>
      </c>
      <c r="O333">
        <v>2</v>
      </c>
      <c r="P333">
        <v>8</v>
      </c>
      <c r="Q333">
        <v>3</v>
      </c>
      <c r="R333">
        <v>0</v>
      </c>
      <c r="S333">
        <v>86</v>
      </c>
      <c r="T333">
        <v>8.1</v>
      </c>
      <c r="U333">
        <v>193</v>
      </c>
      <c r="V333" s="19" t="s">
        <v>2583</v>
      </c>
      <c r="W333" s="19" t="s">
        <v>1494</v>
      </c>
      <c r="X333">
        <v>3</v>
      </c>
      <c r="Y333">
        <v>1</v>
      </c>
      <c r="Z333">
        <v>75</v>
      </c>
      <c r="AA333">
        <v>26</v>
      </c>
      <c r="AB333">
        <v>46</v>
      </c>
      <c r="AC333">
        <v>13</v>
      </c>
      <c r="AD333">
        <v>25</v>
      </c>
      <c r="AE333" s="19" t="s">
        <v>60</v>
      </c>
    </row>
    <row r="334" spans="1:31" x14ac:dyDescent="0.2">
      <c r="A334">
        <v>325</v>
      </c>
      <c r="B334" s="19" t="s">
        <v>666</v>
      </c>
      <c r="C334">
        <v>22</v>
      </c>
      <c r="D334" s="19" t="s">
        <v>531</v>
      </c>
      <c r="E334" s="19" t="s">
        <v>322</v>
      </c>
      <c r="F334">
        <v>52</v>
      </c>
      <c r="G334">
        <v>7</v>
      </c>
      <c r="H334">
        <v>11</v>
      </c>
      <c r="I334">
        <v>18</v>
      </c>
      <c r="J334">
        <v>0</v>
      </c>
      <c r="K334">
        <v>6</v>
      </c>
      <c r="L334">
        <v>6</v>
      </c>
      <c r="M334">
        <v>1</v>
      </c>
      <c r="N334">
        <v>0</v>
      </c>
      <c r="O334">
        <v>2</v>
      </c>
      <c r="P334">
        <v>8</v>
      </c>
      <c r="Q334">
        <v>3</v>
      </c>
      <c r="R334">
        <v>0</v>
      </c>
      <c r="S334">
        <v>77</v>
      </c>
      <c r="T334">
        <v>9.1</v>
      </c>
      <c r="U334">
        <v>138</v>
      </c>
      <c r="V334" s="19" t="s">
        <v>2336</v>
      </c>
      <c r="W334" s="19" t="s">
        <v>1951</v>
      </c>
      <c r="X334">
        <v>139</v>
      </c>
      <c r="Y334">
        <v>231</v>
      </c>
      <c r="Z334">
        <v>37.6</v>
      </c>
      <c r="AA334">
        <v>39</v>
      </c>
      <c r="AB334">
        <v>42</v>
      </c>
      <c r="AC334">
        <v>10</v>
      </c>
      <c r="AD334">
        <v>52</v>
      </c>
      <c r="AE334" s="19" t="s">
        <v>60</v>
      </c>
    </row>
    <row r="335" spans="1:31" x14ac:dyDescent="0.2">
      <c r="A335">
        <v>326</v>
      </c>
      <c r="B335" s="19" t="s">
        <v>668</v>
      </c>
      <c r="C335">
        <v>22</v>
      </c>
      <c r="D335" s="19" t="s">
        <v>336</v>
      </c>
      <c r="E335" s="19" t="s">
        <v>348</v>
      </c>
      <c r="F335">
        <v>52</v>
      </c>
      <c r="G335">
        <v>6</v>
      </c>
      <c r="H335">
        <v>12</v>
      </c>
      <c r="I335">
        <v>18</v>
      </c>
      <c r="J335">
        <v>5</v>
      </c>
      <c r="K335">
        <v>22</v>
      </c>
      <c r="L335">
        <v>5</v>
      </c>
      <c r="M335">
        <v>1</v>
      </c>
      <c r="N335">
        <v>0</v>
      </c>
      <c r="O335">
        <v>1</v>
      </c>
      <c r="P335">
        <v>10</v>
      </c>
      <c r="Q335">
        <v>2</v>
      </c>
      <c r="R335">
        <v>0</v>
      </c>
      <c r="S335">
        <v>87</v>
      </c>
      <c r="T335">
        <v>6.9</v>
      </c>
      <c r="U335">
        <v>225</v>
      </c>
      <c r="V335" s="19" t="s">
        <v>2584</v>
      </c>
      <c r="W335" s="19" t="s">
        <v>1958</v>
      </c>
      <c r="X335">
        <v>0</v>
      </c>
      <c r="Y335">
        <v>0</v>
      </c>
      <c r="AA335">
        <v>56</v>
      </c>
      <c r="AB335">
        <v>24</v>
      </c>
      <c r="AC335">
        <v>14</v>
      </c>
      <c r="AD335">
        <v>40</v>
      </c>
      <c r="AE335" s="19" t="s">
        <v>60</v>
      </c>
    </row>
    <row r="336" spans="1:31" x14ac:dyDescent="0.2">
      <c r="A336">
        <v>327</v>
      </c>
      <c r="B336" s="19" t="s">
        <v>1089</v>
      </c>
      <c r="C336">
        <v>26</v>
      </c>
      <c r="D336" s="19" t="s">
        <v>948</v>
      </c>
      <c r="E336" s="19" t="s">
        <v>322</v>
      </c>
      <c r="F336">
        <v>37</v>
      </c>
      <c r="G336">
        <v>7</v>
      </c>
      <c r="H336">
        <v>11</v>
      </c>
      <c r="I336">
        <v>18</v>
      </c>
      <c r="J336">
        <v>9</v>
      </c>
      <c r="K336">
        <v>10</v>
      </c>
      <c r="L336">
        <v>7</v>
      </c>
      <c r="M336">
        <v>0</v>
      </c>
      <c r="N336">
        <v>0</v>
      </c>
      <c r="O336">
        <v>1</v>
      </c>
      <c r="P336">
        <v>11</v>
      </c>
      <c r="Q336">
        <v>0</v>
      </c>
      <c r="R336">
        <v>0</v>
      </c>
      <c r="S336">
        <v>57</v>
      </c>
      <c r="T336">
        <v>12.3</v>
      </c>
      <c r="U336">
        <v>110</v>
      </c>
      <c r="V336" s="19" t="s">
        <v>2585</v>
      </c>
      <c r="W336" s="19" t="s">
        <v>1455</v>
      </c>
      <c r="X336">
        <v>3</v>
      </c>
      <c r="Y336">
        <v>13</v>
      </c>
      <c r="Z336">
        <v>18.8</v>
      </c>
      <c r="AA336">
        <v>12</v>
      </c>
      <c r="AB336">
        <v>39</v>
      </c>
      <c r="AC336">
        <v>5</v>
      </c>
      <c r="AD336">
        <v>15</v>
      </c>
      <c r="AE336" s="19" t="s">
        <v>60</v>
      </c>
    </row>
    <row r="337" spans="1:31" x14ac:dyDescent="0.2">
      <c r="A337">
        <v>327</v>
      </c>
      <c r="B337" s="19" t="s">
        <v>1089</v>
      </c>
      <c r="C337">
        <v>26</v>
      </c>
      <c r="D337" s="19" t="s">
        <v>513</v>
      </c>
      <c r="E337" s="19" t="s">
        <v>322</v>
      </c>
      <c r="F337">
        <v>8</v>
      </c>
      <c r="G337">
        <v>0</v>
      </c>
      <c r="H337">
        <v>1</v>
      </c>
      <c r="I337">
        <v>1</v>
      </c>
      <c r="J337">
        <v>0</v>
      </c>
      <c r="K337">
        <v>2</v>
      </c>
      <c r="L337">
        <v>0</v>
      </c>
      <c r="M337">
        <v>0</v>
      </c>
      <c r="N337">
        <v>0</v>
      </c>
      <c r="O337">
        <v>0</v>
      </c>
      <c r="P337">
        <v>1</v>
      </c>
      <c r="Q337">
        <v>0</v>
      </c>
      <c r="R337">
        <v>0</v>
      </c>
      <c r="S337">
        <v>7</v>
      </c>
      <c r="T337">
        <v>0</v>
      </c>
      <c r="U337">
        <v>13</v>
      </c>
      <c r="V337" s="19" t="s">
        <v>1090</v>
      </c>
      <c r="W337" s="19" t="s">
        <v>1091</v>
      </c>
      <c r="X337">
        <v>1</v>
      </c>
      <c r="Y337">
        <v>0</v>
      </c>
      <c r="Z337">
        <v>100</v>
      </c>
      <c r="AA337">
        <v>1</v>
      </c>
      <c r="AB337">
        <v>9</v>
      </c>
      <c r="AC337">
        <v>1</v>
      </c>
      <c r="AD337">
        <v>2</v>
      </c>
      <c r="AE337" s="19" t="s">
        <v>60</v>
      </c>
    </row>
    <row r="338" spans="1:31" x14ac:dyDescent="0.2">
      <c r="A338">
        <v>327</v>
      </c>
      <c r="B338" s="19" t="s">
        <v>1089</v>
      </c>
      <c r="C338">
        <v>26</v>
      </c>
      <c r="D338" s="19" t="s">
        <v>362</v>
      </c>
      <c r="E338" s="19" t="s">
        <v>322</v>
      </c>
      <c r="F338">
        <v>29</v>
      </c>
      <c r="G338">
        <v>7</v>
      </c>
      <c r="H338">
        <v>10</v>
      </c>
      <c r="I338">
        <v>17</v>
      </c>
      <c r="J338">
        <v>9</v>
      </c>
      <c r="K338">
        <v>8</v>
      </c>
      <c r="L338">
        <v>7</v>
      </c>
      <c r="M338">
        <v>0</v>
      </c>
      <c r="N338">
        <v>0</v>
      </c>
      <c r="O338">
        <v>1</v>
      </c>
      <c r="P338">
        <v>10</v>
      </c>
      <c r="Q338">
        <v>0</v>
      </c>
      <c r="R338">
        <v>0</v>
      </c>
      <c r="S338">
        <v>50</v>
      </c>
      <c r="T338">
        <v>14</v>
      </c>
      <c r="U338">
        <v>97</v>
      </c>
      <c r="V338" s="19" t="s">
        <v>2005</v>
      </c>
      <c r="W338" s="19" t="s">
        <v>1532</v>
      </c>
      <c r="X338">
        <v>2</v>
      </c>
      <c r="Y338">
        <v>13</v>
      </c>
      <c r="Z338">
        <v>13.3</v>
      </c>
      <c r="AA338">
        <v>11</v>
      </c>
      <c r="AB338">
        <v>30</v>
      </c>
      <c r="AC338">
        <v>4</v>
      </c>
      <c r="AD338">
        <v>13</v>
      </c>
      <c r="AE338" s="19" t="s">
        <v>60</v>
      </c>
    </row>
    <row r="339" spans="1:31" x14ac:dyDescent="0.2">
      <c r="A339">
        <v>328</v>
      </c>
      <c r="B339" s="19" t="s">
        <v>771</v>
      </c>
      <c r="C339">
        <v>31</v>
      </c>
      <c r="D339" s="19" t="s">
        <v>362</v>
      </c>
      <c r="E339" s="19" t="s">
        <v>334</v>
      </c>
      <c r="F339">
        <v>47</v>
      </c>
      <c r="G339">
        <v>11</v>
      </c>
      <c r="H339">
        <v>6</v>
      </c>
      <c r="I339">
        <v>17</v>
      </c>
      <c r="J339">
        <v>-8</v>
      </c>
      <c r="K339">
        <v>50</v>
      </c>
      <c r="L339">
        <v>9</v>
      </c>
      <c r="M339">
        <v>0</v>
      </c>
      <c r="N339">
        <v>2</v>
      </c>
      <c r="O339">
        <v>0</v>
      </c>
      <c r="P339">
        <v>5</v>
      </c>
      <c r="Q339">
        <v>0</v>
      </c>
      <c r="R339">
        <v>1</v>
      </c>
      <c r="S339">
        <v>59</v>
      </c>
      <c r="T339">
        <v>18.600000000000001</v>
      </c>
      <c r="U339">
        <v>111</v>
      </c>
      <c r="V339" s="19" t="s">
        <v>2586</v>
      </c>
      <c r="W339" s="19" t="s">
        <v>2004</v>
      </c>
      <c r="X339">
        <v>20</v>
      </c>
      <c r="Y339">
        <v>9</v>
      </c>
      <c r="Z339">
        <v>69</v>
      </c>
      <c r="AA339">
        <v>30</v>
      </c>
      <c r="AB339">
        <v>87</v>
      </c>
      <c r="AC339">
        <v>5</v>
      </c>
      <c r="AD339">
        <v>31</v>
      </c>
      <c r="AE339" s="19" t="s">
        <v>60</v>
      </c>
    </row>
    <row r="340" spans="1:31" x14ac:dyDescent="0.2">
      <c r="A340">
        <v>329</v>
      </c>
      <c r="B340" s="19" t="s">
        <v>807</v>
      </c>
      <c r="C340">
        <v>27</v>
      </c>
      <c r="D340" s="19" t="s">
        <v>345</v>
      </c>
      <c r="E340" s="19" t="s">
        <v>322</v>
      </c>
      <c r="F340">
        <v>43</v>
      </c>
      <c r="G340">
        <v>7</v>
      </c>
      <c r="H340">
        <v>10</v>
      </c>
      <c r="I340">
        <v>17</v>
      </c>
      <c r="J340">
        <v>6</v>
      </c>
      <c r="K340">
        <v>22</v>
      </c>
      <c r="L340">
        <v>5</v>
      </c>
      <c r="M340">
        <v>0</v>
      </c>
      <c r="N340">
        <v>2</v>
      </c>
      <c r="O340">
        <v>2</v>
      </c>
      <c r="P340">
        <v>10</v>
      </c>
      <c r="Q340">
        <v>0</v>
      </c>
      <c r="R340">
        <v>0</v>
      </c>
      <c r="S340">
        <v>67</v>
      </c>
      <c r="T340">
        <v>10.4</v>
      </c>
      <c r="U340">
        <v>117</v>
      </c>
      <c r="V340" s="19" t="s">
        <v>2587</v>
      </c>
      <c r="W340" s="19" t="s">
        <v>1739</v>
      </c>
      <c r="X340">
        <v>179</v>
      </c>
      <c r="Y340">
        <v>188</v>
      </c>
      <c r="Z340">
        <v>48.8</v>
      </c>
      <c r="AA340">
        <v>23</v>
      </c>
      <c r="AB340">
        <v>97</v>
      </c>
      <c r="AC340">
        <v>15</v>
      </c>
      <c r="AD340">
        <v>24</v>
      </c>
      <c r="AE340" s="19" t="s">
        <v>60</v>
      </c>
    </row>
    <row r="341" spans="1:31" x14ac:dyDescent="0.2">
      <c r="A341">
        <v>330</v>
      </c>
      <c r="B341" s="19" t="s">
        <v>673</v>
      </c>
      <c r="C341">
        <v>28</v>
      </c>
      <c r="D341" s="19" t="s">
        <v>365</v>
      </c>
      <c r="E341" s="19" t="s">
        <v>339</v>
      </c>
      <c r="F341">
        <v>54</v>
      </c>
      <c r="G341">
        <v>10</v>
      </c>
      <c r="H341">
        <v>7</v>
      </c>
      <c r="I341">
        <v>17</v>
      </c>
      <c r="J341">
        <v>1</v>
      </c>
      <c r="K341">
        <v>20</v>
      </c>
      <c r="L341">
        <v>10</v>
      </c>
      <c r="M341">
        <v>0</v>
      </c>
      <c r="N341">
        <v>0</v>
      </c>
      <c r="O341">
        <v>3</v>
      </c>
      <c r="P341">
        <v>7</v>
      </c>
      <c r="Q341">
        <v>0</v>
      </c>
      <c r="R341">
        <v>0</v>
      </c>
      <c r="S341">
        <v>115</v>
      </c>
      <c r="T341">
        <v>8.6999999999999993</v>
      </c>
      <c r="U341">
        <v>199</v>
      </c>
      <c r="V341" s="19" t="s">
        <v>1917</v>
      </c>
      <c r="W341" s="19" t="s">
        <v>1726</v>
      </c>
      <c r="X341">
        <v>15</v>
      </c>
      <c r="Y341">
        <v>18</v>
      </c>
      <c r="Z341">
        <v>45.5</v>
      </c>
      <c r="AA341">
        <v>28</v>
      </c>
      <c r="AB341">
        <v>69</v>
      </c>
      <c r="AC341">
        <v>9</v>
      </c>
      <c r="AD341">
        <v>26</v>
      </c>
      <c r="AE341" s="19" t="s">
        <v>60</v>
      </c>
    </row>
    <row r="342" spans="1:31" x14ac:dyDescent="0.2">
      <c r="A342">
        <v>331</v>
      </c>
      <c r="B342" s="19" t="s">
        <v>775</v>
      </c>
      <c r="C342">
        <v>20</v>
      </c>
      <c r="D342" s="19" t="s">
        <v>358</v>
      </c>
      <c r="E342" s="19" t="s">
        <v>334</v>
      </c>
      <c r="F342">
        <v>42</v>
      </c>
      <c r="G342">
        <v>7</v>
      </c>
      <c r="H342">
        <v>10</v>
      </c>
      <c r="I342">
        <v>17</v>
      </c>
      <c r="J342">
        <v>3</v>
      </c>
      <c r="K342">
        <v>14</v>
      </c>
      <c r="L342">
        <v>7</v>
      </c>
      <c r="M342">
        <v>0</v>
      </c>
      <c r="N342">
        <v>0</v>
      </c>
      <c r="O342">
        <v>1</v>
      </c>
      <c r="P342">
        <v>9</v>
      </c>
      <c r="Q342">
        <v>1</v>
      </c>
      <c r="R342">
        <v>0</v>
      </c>
      <c r="S342">
        <v>65</v>
      </c>
      <c r="T342">
        <v>10.8</v>
      </c>
      <c r="U342">
        <v>123</v>
      </c>
      <c r="V342" s="19" t="s">
        <v>2588</v>
      </c>
      <c r="W342" s="19" t="s">
        <v>1014</v>
      </c>
      <c r="X342">
        <v>2</v>
      </c>
      <c r="Y342">
        <v>4</v>
      </c>
      <c r="Z342">
        <v>33.299999999999997</v>
      </c>
      <c r="AA342">
        <v>23</v>
      </c>
      <c r="AB342">
        <v>45</v>
      </c>
      <c r="AC342">
        <v>6</v>
      </c>
      <c r="AD342">
        <v>41</v>
      </c>
      <c r="AE342" s="19" t="s">
        <v>60</v>
      </c>
    </row>
    <row r="343" spans="1:31" x14ac:dyDescent="0.2">
      <c r="A343">
        <v>332</v>
      </c>
      <c r="B343" s="19" t="s">
        <v>776</v>
      </c>
      <c r="C343">
        <v>27</v>
      </c>
      <c r="D343" s="19" t="s">
        <v>351</v>
      </c>
      <c r="E343" s="19" t="s">
        <v>348</v>
      </c>
      <c r="F343">
        <v>43</v>
      </c>
      <c r="G343">
        <v>3</v>
      </c>
      <c r="H343">
        <v>14</v>
      </c>
      <c r="I343">
        <v>17</v>
      </c>
      <c r="J343">
        <v>0</v>
      </c>
      <c r="K343">
        <v>57</v>
      </c>
      <c r="L343">
        <v>3</v>
      </c>
      <c r="M343">
        <v>0</v>
      </c>
      <c r="N343">
        <v>0</v>
      </c>
      <c r="O343">
        <v>2</v>
      </c>
      <c r="P343">
        <v>12</v>
      </c>
      <c r="Q343">
        <v>2</v>
      </c>
      <c r="R343">
        <v>0</v>
      </c>
      <c r="S343">
        <v>52</v>
      </c>
      <c r="T343">
        <v>5.8</v>
      </c>
      <c r="U343">
        <v>124</v>
      </c>
      <c r="V343" s="19" t="s">
        <v>2277</v>
      </c>
      <c r="W343" s="19" t="s">
        <v>1710</v>
      </c>
      <c r="X343">
        <v>0</v>
      </c>
      <c r="Y343">
        <v>0</v>
      </c>
      <c r="AA343">
        <v>45</v>
      </c>
      <c r="AB343">
        <v>53</v>
      </c>
      <c r="AC343">
        <v>14</v>
      </c>
      <c r="AD343">
        <v>37</v>
      </c>
      <c r="AE343" s="19" t="s">
        <v>60</v>
      </c>
    </row>
    <row r="344" spans="1:31" x14ac:dyDescent="0.2">
      <c r="A344">
        <v>333</v>
      </c>
      <c r="B344" s="19" t="s">
        <v>635</v>
      </c>
      <c r="C344">
        <v>32</v>
      </c>
      <c r="D344" s="19" t="s">
        <v>345</v>
      </c>
      <c r="E344" s="19" t="s">
        <v>348</v>
      </c>
      <c r="F344">
        <v>52</v>
      </c>
      <c r="G344">
        <v>3</v>
      </c>
      <c r="H344">
        <v>14</v>
      </c>
      <c r="I344">
        <v>17</v>
      </c>
      <c r="J344">
        <v>12</v>
      </c>
      <c r="K344">
        <v>32</v>
      </c>
      <c r="L344">
        <v>3</v>
      </c>
      <c r="M344">
        <v>0</v>
      </c>
      <c r="N344">
        <v>0</v>
      </c>
      <c r="O344">
        <v>0</v>
      </c>
      <c r="P344">
        <v>13</v>
      </c>
      <c r="Q344">
        <v>0</v>
      </c>
      <c r="R344">
        <v>1</v>
      </c>
      <c r="S344">
        <v>46</v>
      </c>
      <c r="T344">
        <v>6.5</v>
      </c>
      <c r="U344">
        <v>120</v>
      </c>
      <c r="V344" s="19" t="s">
        <v>2589</v>
      </c>
      <c r="W344" s="19" t="s">
        <v>2028</v>
      </c>
      <c r="X344">
        <v>0</v>
      </c>
      <c r="Y344">
        <v>0</v>
      </c>
      <c r="AA344">
        <v>81</v>
      </c>
      <c r="AB344">
        <v>78</v>
      </c>
      <c r="AC344">
        <v>18</v>
      </c>
      <c r="AD344">
        <v>52</v>
      </c>
      <c r="AE344" s="19" t="s">
        <v>60</v>
      </c>
    </row>
    <row r="345" spans="1:31" x14ac:dyDescent="0.2">
      <c r="A345">
        <v>334</v>
      </c>
      <c r="B345" s="19" t="s">
        <v>699</v>
      </c>
      <c r="C345">
        <v>25</v>
      </c>
      <c r="D345" s="19" t="s">
        <v>321</v>
      </c>
      <c r="E345" s="19" t="s">
        <v>322</v>
      </c>
      <c r="F345">
        <v>51</v>
      </c>
      <c r="G345">
        <v>8</v>
      </c>
      <c r="H345">
        <v>9</v>
      </c>
      <c r="I345">
        <v>17</v>
      </c>
      <c r="J345">
        <v>11</v>
      </c>
      <c r="K345">
        <v>18</v>
      </c>
      <c r="L345">
        <v>8</v>
      </c>
      <c r="M345">
        <v>0</v>
      </c>
      <c r="N345">
        <v>0</v>
      </c>
      <c r="O345">
        <v>0</v>
      </c>
      <c r="P345">
        <v>9</v>
      </c>
      <c r="Q345">
        <v>0</v>
      </c>
      <c r="R345">
        <v>0</v>
      </c>
      <c r="S345">
        <v>60</v>
      </c>
      <c r="T345">
        <v>13.3</v>
      </c>
      <c r="U345">
        <v>124</v>
      </c>
      <c r="V345" s="19" t="s">
        <v>2901</v>
      </c>
      <c r="W345" s="19" t="s">
        <v>1238</v>
      </c>
      <c r="X345">
        <v>365</v>
      </c>
      <c r="Y345">
        <v>251</v>
      </c>
      <c r="Z345">
        <v>59.3</v>
      </c>
      <c r="AA345">
        <v>43</v>
      </c>
      <c r="AB345">
        <v>21</v>
      </c>
      <c r="AC345">
        <v>11</v>
      </c>
      <c r="AD345">
        <v>24</v>
      </c>
      <c r="AE345" s="19" t="s">
        <v>60</v>
      </c>
    </row>
    <row r="346" spans="1:31" x14ac:dyDescent="0.2">
      <c r="A346">
        <v>335</v>
      </c>
      <c r="B346" s="19" t="s">
        <v>1101</v>
      </c>
      <c r="C346">
        <v>27</v>
      </c>
      <c r="D346" s="19" t="s">
        <v>404</v>
      </c>
      <c r="E346" s="19" t="s">
        <v>348</v>
      </c>
      <c r="F346">
        <v>32</v>
      </c>
      <c r="G346">
        <v>4</v>
      </c>
      <c r="H346">
        <v>13</v>
      </c>
      <c r="I346">
        <v>17</v>
      </c>
      <c r="J346">
        <v>-7</v>
      </c>
      <c r="K346">
        <v>26</v>
      </c>
      <c r="L346">
        <v>4</v>
      </c>
      <c r="M346">
        <v>0</v>
      </c>
      <c r="N346">
        <v>0</v>
      </c>
      <c r="O346">
        <v>2</v>
      </c>
      <c r="P346">
        <v>11</v>
      </c>
      <c r="Q346">
        <v>2</v>
      </c>
      <c r="R346">
        <v>0</v>
      </c>
      <c r="S346">
        <v>56</v>
      </c>
      <c r="T346">
        <v>7.1</v>
      </c>
      <c r="U346">
        <v>142</v>
      </c>
      <c r="V346" s="19" t="s">
        <v>2590</v>
      </c>
      <c r="W346" s="19" t="s">
        <v>2037</v>
      </c>
      <c r="X346">
        <v>0</v>
      </c>
      <c r="Y346">
        <v>0</v>
      </c>
      <c r="AA346">
        <v>56</v>
      </c>
      <c r="AB346">
        <v>17</v>
      </c>
      <c r="AC346">
        <v>7</v>
      </c>
      <c r="AD346">
        <v>39</v>
      </c>
      <c r="AE346" s="19" t="s">
        <v>60</v>
      </c>
    </row>
    <row r="347" spans="1:31" x14ac:dyDescent="0.2">
      <c r="A347">
        <v>336</v>
      </c>
      <c r="B347" s="19" t="s">
        <v>746</v>
      </c>
      <c r="C347">
        <v>22</v>
      </c>
      <c r="D347" s="19" t="s">
        <v>370</v>
      </c>
      <c r="E347" s="19" t="s">
        <v>348</v>
      </c>
      <c r="F347">
        <v>48</v>
      </c>
      <c r="G347">
        <v>6</v>
      </c>
      <c r="H347">
        <v>11</v>
      </c>
      <c r="I347">
        <v>17</v>
      </c>
      <c r="J347">
        <v>6</v>
      </c>
      <c r="K347">
        <v>54</v>
      </c>
      <c r="L347">
        <v>6</v>
      </c>
      <c r="M347">
        <v>0</v>
      </c>
      <c r="N347">
        <v>0</v>
      </c>
      <c r="O347">
        <v>2</v>
      </c>
      <c r="P347">
        <v>9</v>
      </c>
      <c r="Q347">
        <v>1</v>
      </c>
      <c r="R347">
        <v>1</v>
      </c>
      <c r="S347">
        <v>57</v>
      </c>
      <c r="T347">
        <v>10.5</v>
      </c>
      <c r="U347">
        <v>139</v>
      </c>
      <c r="V347" s="19" t="s">
        <v>2203</v>
      </c>
      <c r="W347" s="19" t="s">
        <v>1679</v>
      </c>
      <c r="X347">
        <v>0</v>
      </c>
      <c r="Y347">
        <v>0</v>
      </c>
      <c r="AA347">
        <v>104</v>
      </c>
      <c r="AB347">
        <v>63</v>
      </c>
      <c r="AC347">
        <v>18</v>
      </c>
      <c r="AD347">
        <v>56</v>
      </c>
      <c r="AE347" s="19" t="s">
        <v>60</v>
      </c>
    </row>
    <row r="348" spans="1:31" x14ac:dyDescent="0.2">
      <c r="A348">
        <v>337</v>
      </c>
      <c r="B348" s="19" t="s">
        <v>701</v>
      </c>
      <c r="C348">
        <v>32</v>
      </c>
      <c r="D348" s="19" t="s">
        <v>333</v>
      </c>
      <c r="E348" s="19" t="s">
        <v>322</v>
      </c>
      <c r="F348">
        <v>52</v>
      </c>
      <c r="G348">
        <v>2</v>
      </c>
      <c r="H348">
        <v>15</v>
      </c>
      <c r="I348">
        <v>17</v>
      </c>
      <c r="J348">
        <v>2</v>
      </c>
      <c r="K348">
        <v>14</v>
      </c>
      <c r="L348">
        <v>1</v>
      </c>
      <c r="M348">
        <v>0</v>
      </c>
      <c r="N348">
        <v>1</v>
      </c>
      <c r="O348">
        <v>0</v>
      </c>
      <c r="P348">
        <v>13</v>
      </c>
      <c r="Q348">
        <v>0</v>
      </c>
      <c r="R348">
        <v>2</v>
      </c>
      <c r="S348">
        <v>32</v>
      </c>
      <c r="T348">
        <v>6.3</v>
      </c>
      <c r="U348">
        <v>70</v>
      </c>
      <c r="V348" s="19" t="s">
        <v>2591</v>
      </c>
      <c r="W348" s="19" t="s">
        <v>2184</v>
      </c>
      <c r="X348">
        <v>205</v>
      </c>
      <c r="Y348">
        <v>174</v>
      </c>
      <c r="Z348">
        <v>54.1</v>
      </c>
      <c r="AA348">
        <v>38</v>
      </c>
      <c r="AB348">
        <v>68</v>
      </c>
      <c r="AC348">
        <v>14</v>
      </c>
      <c r="AD348">
        <v>17</v>
      </c>
      <c r="AE348" s="19" t="s">
        <v>60</v>
      </c>
    </row>
    <row r="349" spans="1:31" x14ac:dyDescent="0.2">
      <c r="A349">
        <v>338</v>
      </c>
      <c r="B349" s="19" t="s">
        <v>523</v>
      </c>
      <c r="C349">
        <v>24</v>
      </c>
      <c r="D349" s="19" t="s">
        <v>513</v>
      </c>
      <c r="E349" s="19" t="s">
        <v>322</v>
      </c>
      <c r="F349">
        <v>34</v>
      </c>
      <c r="G349">
        <v>8</v>
      </c>
      <c r="H349">
        <v>9</v>
      </c>
      <c r="I349">
        <v>17</v>
      </c>
      <c r="J349">
        <v>-13</v>
      </c>
      <c r="K349">
        <v>11</v>
      </c>
      <c r="L349">
        <v>7</v>
      </c>
      <c r="M349">
        <v>1</v>
      </c>
      <c r="N349">
        <v>0</v>
      </c>
      <c r="O349">
        <v>1</v>
      </c>
      <c r="P349">
        <v>7</v>
      </c>
      <c r="Q349">
        <v>2</v>
      </c>
      <c r="R349">
        <v>0</v>
      </c>
      <c r="S349">
        <v>79</v>
      </c>
      <c r="T349">
        <v>10.1</v>
      </c>
      <c r="U349">
        <v>151</v>
      </c>
      <c r="V349" s="19" t="s">
        <v>2090</v>
      </c>
      <c r="W349" s="19" t="s">
        <v>2032</v>
      </c>
      <c r="X349">
        <v>11</v>
      </c>
      <c r="Y349">
        <v>10</v>
      </c>
      <c r="Z349">
        <v>52.4</v>
      </c>
      <c r="AA349">
        <v>27</v>
      </c>
      <c r="AB349">
        <v>91</v>
      </c>
      <c r="AC349">
        <v>4</v>
      </c>
      <c r="AD349">
        <v>21</v>
      </c>
      <c r="AE349" s="19" t="s">
        <v>60</v>
      </c>
    </row>
    <row r="350" spans="1:31" x14ac:dyDescent="0.2">
      <c r="A350">
        <v>339</v>
      </c>
      <c r="B350" s="19" t="s">
        <v>781</v>
      </c>
      <c r="C350">
        <v>24</v>
      </c>
      <c r="D350" s="19" t="s">
        <v>333</v>
      </c>
      <c r="E350" s="19" t="s">
        <v>325</v>
      </c>
      <c r="F350">
        <v>52</v>
      </c>
      <c r="G350">
        <v>8</v>
      </c>
      <c r="H350">
        <v>9</v>
      </c>
      <c r="I350">
        <v>17</v>
      </c>
      <c r="J350">
        <v>-1</v>
      </c>
      <c r="K350">
        <v>25</v>
      </c>
      <c r="L350">
        <v>7</v>
      </c>
      <c r="M350">
        <v>1</v>
      </c>
      <c r="N350">
        <v>0</v>
      </c>
      <c r="O350">
        <v>1</v>
      </c>
      <c r="P350">
        <v>8</v>
      </c>
      <c r="Q350">
        <v>1</v>
      </c>
      <c r="R350">
        <v>0</v>
      </c>
      <c r="S350">
        <v>52</v>
      </c>
      <c r="T350">
        <v>15.4</v>
      </c>
      <c r="U350">
        <v>89</v>
      </c>
      <c r="V350" s="19" t="s">
        <v>2592</v>
      </c>
      <c r="W350" s="19" t="s">
        <v>950</v>
      </c>
      <c r="X350">
        <v>77</v>
      </c>
      <c r="Y350">
        <v>55</v>
      </c>
      <c r="Z350">
        <v>58.3</v>
      </c>
      <c r="AA350">
        <v>24</v>
      </c>
      <c r="AB350">
        <v>77</v>
      </c>
      <c r="AC350">
        <v>17</v>
      </c>
      <c r="AD350">
        <v>16</v>
      </c>
      <c r="AE350" s="19" t="s">
        <v>60</v>
      </c>
    </row>
    <row r="351" spans="1:31" x14ac:dyDescent="0.2">
      <c r="A351">
        <v>340</v>
      </c>
      <c r="B351" s="19" t="s">
        <v>756</v>
      </c>
      <c r="C351">
        <v>36</v>
      </c>
      <c r="D351" s="19" t="s">
        <v>336</v>
      </c>
      <c r="E351" s="19" t="s">
        <v>322</v>
      </c>
      <c r="F351">
        <v>53</v>
      </c>
      <c r="G351">
        <v>6</v>
      </c>
      <c r="H351">
        <v>11</v>
      </c>
      <c r="I351">
        <v>17</v>
      </c>
      <c r="J351">
        <v>0</v>
      </c>
      <c r="K351">
        <v>34</v>
      </c>
      <c r="L351">
        <v>4</v>
      </c>
      <c r="M351">
        <v>2</v>
      </c>
      <c r="N351">
        <v>0</v>
      </c>
      <c r="O351">
        <v>0</v>
      </c>
      <c r="P351">
        <v>10</v>
      </c>
      <c r="Q351">
        <v>1</v>
      </c>
      <c r="R351">
        <v>0</v>
      </c>
      <c r="S351">
        <v>95</v>
      </c>
      <c r="T351">
        <v>6.3</v>
      </c>
      <c r="U351">
        <v>167</v>
      </c>
      <c r="V351" s="19" t="s">
        <v>2219</v>
      </c>
      <c r="W351" s="19" t="s">
        <v>1494</v>
      </c>
      <c r="X351">
        <v>32</v>
      </c>
      <c r="Y351">
        <v>57</v>
      </c>
      <c r="Z351">
        <v>36</v>
      </c>
      <c r="AA351">
        <v>22</v>
      </c>
      <c r="AB351">
        <v>47</v>
      </c>
      <c r="AC351">
        <v>16</v>
      </c>
      <c r="AD351">
        <v>40</v>
      </c>
      <c r="AE351" s="19" t="s">
        <v>60</v>
      </c>
    </row>
    <row r="352" spans="1:31" x14ac:dyDescent="0.2">
      <c r="A352">
        <v>341</v>
      </c>
      <c r="B352" s="19" t="s">
        <v>714</v>
      </c>
      <c r="C352">
        <v>32</v>
      </c>
      <c r="D352" s="19" t="s">
        <v>354</v>
      </c>
      <c r="E352" s="19" t="s">
        <v>348</v>
      </c>
      <c r="F352">
        <v>40</v>
      </c>
      <c r="G352">
        <v>4</v>
      </c>
      <c r="H352">
        <v>13</v>
      </c>
      <c r="I352">
        <v>17</v>
      </c>
      <c r="J352">
        <v>-10</v>
      </c>
      <c r="K352">
        <v>40</v>
      </c>
      <c r="L352">
        <v>3</v>
      </c>
      <c r="M352">
        <v>1</v>
      </c>
      <c r="N352">
        <v>0</v>
      </c>
      <c r="O352">
        <v>2</v>
      </c>
      <c r="P352">
        <v>10</v>
      </c>
      <c r="Q352">
        <v>3</v>
      </c>
      <c r="R352">
        <v>0</v>
      </c>
      <c r="S352">
        <v>66</v>
      </c>
      <c r="T352">
        <v>6.1</v>
      </c>
      <c r="U352">
        <v>155</v>
      </c>
      <c r="V352" s="19" t="s">
        <v>2593</v>
      </c>
      <c r="W352" s="19" t="s">
        <v>1957</v>
      </c>
      <c r="X352">
        <v>0</v>
      </c>
      <c r="Y352">
        <v>0</v>
      </c>
      <c r="AA352">
        <v>69</v>
      </c>
      <c r="AB352">
        <v>6</v>
      </c>
      <c r="AC352">
        <v>14</v>
      </c>
      <c r="AD352">
        <v>44</v>
      </c>
      <c r="AE352" s="19" t="s">
        <v>60</v>
      </c>
    </row>
    <row r="353" spans="1:31" x14ac:dyDescent="0.2">
      <c r="A353">
        <v>342</v>
      </c>
      <c r="B353" s="19" t="s">
        <v>789</v>
      </c>
      <c r="C353">
        <v>26</v>
      </c>
      <c r="D353" s="19" t="s">
        <v>404</v>
      </c>
      <c r="E353" s="19" t="s">
        <v>322</v>
      </c>
      <c r="F353">
        <v>53</v>
      </c>
      <c r="G353">
        <v>6</v>
      </c>
      <c r="H353">
        <v>11</v>
      </c>
      <c r="I353">
        <v>17</v>
      </c>
      <c r="J353">
        <v>4</v>
      </c>
      <c r="K353">
        <v>52</v>
      </c>
      <c r="L353">
        <v>6</v>
      </c>
      <c r="M353">
        <v>0</v>
      </c>
      <c r="N353">
        <v>0</v>
      </c>
      <c r="O353">
        <v>1</v>
      </c>
      <c r="P353">
        <v>11</v>
      </c>
      <c r="Q353">
        <v>0</v>
      </c>
      <c r="R353">
        <v>0</v>
      </c>
      <c r="S353">
        <v>77</v>
      </c>
      <c r="T353">
        <v>7.8</v>
      </c>
      <c r="U353">
        <v>154</v>
      </c>
      <c r="V353" s="19" t="s">
        <v>2594</v>
      </c>
      <c r="W353" s="19" t="s">
        <v>2056</v>
      </c>
      <c r="X353">
        <v>275</v>
      </c>
      <c r="Y353">
        <v>265</v>
      </c>
      <c r="Z353">
        <v>50.9</v>
      </c>
      <c r="AA353">
        <v>36</v>
      </c>
      <c r="AB353">
        <v>183</v>
      </c>
      <c r="AC353">
        <v>8</v>
      </c>
      <c r="AD353">
        <v>33</v>
      </c>
      <c r="AE353" s="19" t="s">
        <v>60</v>
      </c>
    </row>
    <row r="354" spans="1:31" x14ac:dyDescent="0.2">
      <c r="A354">
        <v>343</v>
      </c>
      <c r="B354" s="19" t="s">
        <v>682</v>
      </c>
      <c r="C354">
        <v>32</v>
      </c>
      <c r="D354" s="19" t="s">
        <v>358</v>
      </c>
      <c r="E354" s="19" t="s">
        <v>348</v>
      </c>
      <c r="F354">
        <v>51</v>
      </c>
      <c r="G354">
        <v>3</v>
      </c>
      <c r="H354">
        <v>14</v>
      </c>
      <c r="I354">
        <v>17</v>
      </c>
      <c r="J354">
        <v>14</v>
      </c>
      <c r="K354">
        <v>31</v>
      </c>
      <c r="L354">
        <v>3</v>
      </c>
      <c r="M354">
        <v>0</v>
      </c>
      <c r="N354">
        <v>0</v>
      </c>
      <c r="O354">
        <v>0</v>
      </c>
      <c r="P354">
        <v>14</v>
      </c>
      <c r="Q354">
        <v>0</v>
      </c>
      <c r="R354">
        <v>0</v>
      </c>
      <c r="S354">
        <v>40</v>
      </c>
      <c r="T354">
        <v>7.5</v>
      </c>
      <c r="U354">
        <v>102</v>
      </c>
      <c r="V354" s="19" t="s">
        <v>2595</v>
      </c>
      <c r="W354" s="19" t="s">
        <v>1655</v>
      </c>
      <c r="X354">
        <v>0</v>
      </c>
      <c r="Y354">
        <v>0</v>
      </c>
      <c r="AA354">
        <v>123</v>
      </c>
      <c r="AB354">
        <v>74</v>
      </c>
      <c r="AC354">
        <v>17</v>
      </c>
      <c r="AD354">
        <v>63</v>
      </c>
      <c r="AE354" s="19" t="s">
        <v>60</v>
      </c>
    </row>
    <row r="355" spans="1:31" x14ac:dyDescent="0.2">
      <c r="A355">
        <v>344</v>
      </c>
      <c r="B355" s="19" t="s">
        <v>827</v>
      </c>
      <c r="C355">
        <v>25</v>
      </c>
      <c r="D355" s="19" t="s">
        <v>351</v>
      </c>
      <c r="E355" s="19" t="s">
        <v>348</v>
      </c>
      <c r="F355">
        <v>49</v>
      </c>
      <c r="G355">
        <v>5</v>
      </c>
      <c r="H355">
        <v>12</v>
      </c>
      <c r="I355">
        <v>17</v>
      </c>
      <c r="J355">
        <v>37</v>
      </c>
      <c r="K355">
        <v>28</v>
      </c>
      <c r="L355">
        <v>5</v>
      </c>
      <c r="M355">
        <v>0</v>
      </c>
      <c r="N355">
        <v>0</v>
      </c>
      <c r="O355">
        <v>0</v>
      </c>
      <c r="P355">
        <v>10</v>
      </c>
      <c r="Q355">
        <v>1</v>
      </c>
      <c r="R355">
        <v>1</v>
      </c>
      <c r="S355">
        <v>70</v>
      </c>
      <c r="T355">
        <v>7.1</v>
      </c>
      <c r="U355">
        <v>158</v>
      </c>
      <c r="V355" s="19" t="s">
        <v>2596</v>
      </c>
      <c r="W355" s="19" t="s">
        <v>2026</v>
      </c>
      <c r="X355">
        <v>0</v>
      </c>
      <c r="Y355">
        <v>0</v>
      </c>
      <c r="AA355">
        <v>66</v>
      </c>
      <c r="AB355">
        <v>38</v>
      </c>
      <c r="AC355">
        <v>16</v>
      </c>
      <c r="AD355">
        <v>49</v>
      </c>
      <c r="AE355" s="19" t="s">
        <v>60</v>
      </c>
    </row>
    <row r="356" spans="1:31" x14ac:dyDescent="0.2">
      <c r="A356">
        <v>345</v>
      </c>
      <c r="B356" s="19" t="s">
        <v>930</v>
      </c>
      <c r="C356">
        <v>26</v>
      </c>
      <c r="D356" s="19" t="s">
        <v>428</v>
      </c>
      <c r="E356" s="19" t="s">
        <v>322</v>
      </c>
      <c r="F356">
        <v>19</v>
      </c>
      <c r="G356">
        <v>6</v>
      </c>
      <c r="H356">
        <v>11</v>
      </c>
      <c r="I356">
        <v>17</v>
      </c>
      <c r="J356">
        <v>0</v>
      </c>
      <c r="K356">
        <v>6</v>
      </c>
      <c r="L356">
        <v>5</v>
      </c>
      <c r="M356">
        <v>1</v>
      </c>
      <c r="N356">
        <v>0</v>
      </c>
      <c r="O356">
        <v>1</v>
      </c>
      <c r="P356">
        <v>6</v>
      </c>
      <c r="Q356">
        <v>5</v>
      </c>
      <c r="R356">
        <v>0</v>
      </c>
      <c r="S356">
        <v>27</v>
      </c>
      <c r="T356">
        <v>22.2</v>
      </c>
      <c r="U356">
        <v>61</v>
      </c>
      <c r="V356" s="19" t="s">
        <v>2002</v>
      </c>
      <c r="W356" s="19" t="s">
        <v>1094</v>
      </c>
      <c r="X356">
        <v>121</v>
      </c>
      <c r="Y356">
        <v>125</v>
      </c>
      <c r="Z356">
        <v>49.2</v>
      </c>
      <c r="AA356">
        <v>11</v>
      </c>
      <c r="AB356">
        <v>6</v>
      </c>
      <c r="AC356">
        <v>3</v>
      </c>
      <c r="AD356">
        <v>9</v>
      </c>
      <c r="AE356" s="19" t="s">
        <v>60</v>
      </c>
    </row>
    <row r="357" spans="1:31" x14ac:dyDescent="0.2">
      <c r="A357">
        <v>346</v>
      </c>
      <c r="B357" s="19" t="s">
        <v>718</v>
      </c>
      <c r="C357">
        <v>30</v>
      </c>
      <c r="D357" s="19" t="s">
        <v>327</v>
      </c>
      <c r="E357" s="19" t="s">
        <v>348</v>
      </c>
      <c r="F357">
        <v>54</v>
      </c>
      <c r="G357">
        <v>7</v>
      </c>
      <c r="H357">
        <v>10</v>
      </c>
      <c r="I357">
        <v>17</v>
      </c>
      <c r="J357">
        <v>-9</v>
      </c>
      <c r="K357">
        <v>81</v>
      </c>
      <c r="L357">
        <v>7</v>
      </c>
      <c r="M357">
        <v>0</v>
      </c>
      <c r="N357">
        <v>0</v>
      </c>
      <c r="O357">
        <v>0</v>
      </c>
      <c r="P357">
        <v>8</v>
      </c>
      <c r="Q357">
        <v>0</v>
      </c>
      <c r="R357">
        <v>2</v>
      </c>
      <c r="S357">
        <v>112</v>
      </c>
      <c r="T357">
        <v>6.3</v>
      </c>
      <c r="U357">
        <v>242</v>
      </c>
      <c r="V357" s="19" t="s">
        <v>2597</v>
      </c>
      <c r="W357" s="19" t="s">
        <v>1497</v>
      </c>
      <c r="X357">
        <v>0</v>
      </c>
      <c r="Y357">
        <v>0</v>
      </c>
      <c r="AA357">
        <v>120</v>
      </c>
      <c r="AB357">
        <v>74</v>
      </c>
      <c r="AC357">
        <v>14</v>
      </c>
      <c r="AD357">
        <v>57</v>
      </c>
      <c r="AE357" s="19" t="s">
        <v>60</v>
      </c>
    </row>
    <row r="358" spans="1:31" x14ac:dyDescent="0.2">
      <c r="A358">
        <v>347</v>
      </c>
      <c r="B358" s="19" t="s">
        <v>834</v>
      </c>
      <c r="C358">
        <v>25</v>
      </c>
      <c r="D358" s="19" t="s">
        <v>365</v>
      </c>
      <c r="E358" s="19" t="s">
        <v>348</v>
      </c>
      <c r="F358">
        <v>47</v>
      </c>
      <c r="G358">
        <v>2</v>
      </c>
      <c r="H358">
        <v>15</v>
      </c>
      <c r="I358">
        <v>17</v>
      </c>
      <c r="J358">
        <v>5</v>
      </c>
      <c r="K358">
        <v>8</v>
      </c>
      <c r="L358">
        <v>2</v>
      </c>
      <c r="M358">
        <v>0</v>
      </c>
      <c r="N358">
        <v>0</v>
      </c>
      <c r="O358">
        <v>0</v>
      </c>
      <c r="P358">
        <v>15</v>
      </c>
      <c r="Q358">
        <v>0</v>
      </c>
      <c r="R358">
        <v>0</v>
      </c>
      <c r="S358">
        <v>57</v>
      </c>
      <c r="T358">
        <v>3.5</v>
      </c>
      <c r="U358">
        <v>126</v>
      </c>
      <c r="V358" s="19" t="s">
        <v>2278</v>
      </c>
      <c r="W358" s="19" t="s">
        <v>1952</v>
      </c>
      <c r="X358">
        <v>0</v>
      </c>
      <c r="Y358">
        <v>0</v>
      </c>
      <c r="AA358">
        <v>80</v>
      </c>
      <c r="AB358">
        <v>54</v>
      </c>
      <c r="AC358">
        <v>17</v>
      </c>
      <c r="AD358">
        <v>58</v>
      </c>
      <c r="AE358" s="19" t="s">
        <v>60</v>
      </c>
    </row>
    <row r="359" spans="1:31" x14ac:dyDescent="0.2">
      <c r="A359">
        <v>348</v>
      </c>
      <c r="B359" s="19" t="s">
        <v>526</v>
      </c>
      <c r="C359">
        <v>34</v>
      </c>
      <c r="D359" s="19" t="s">
        <v>333</v>
      </c>
      <c r="E359" s="19" t="s">
        <v>322</v>
      </c>
      <c r="F359">
        <v>27</v>
      </c>
      <c r="G359">
        <v>7</v>
      </c>
      <c r="H359">
        <v>10</v>
      </c>
      <c r="I359">
        <v>17</v>
      </c>
      <c r="J359">
        <v>10</v>
      </c>
      <c r="K359">
        <v>2</v>
      </c>
      <c r="L359">
        <v>6</v>
      </c>
      <c r="M359">
        <v>1</v>
      </c>
      <c r="N359">
        <v>0</v>
      </c>
      <c r="O359">
        <v>2</v>
      </c>
      <c r="P359">
        <v>7</v>
      </c>
      <c r="Q359">
        <v>3</v>
      </c>
      <c r="R359">
        <v>0</v>
      </c>
      <c r="S359">
        <v>31</v>
      </c>
      <c r="T359">
        <v>22.6</v>
      </c>
      <c r="U359">
        <v>69</v>
      </c>
      <c r="V359" s="19" t="s">
        <v>527</v>
      </c>
      <c r="W359" s="19" t="s">
        <v>528</v>
      </c>
      <c r="X359">
        <v>126</v>
      </c>
      <c r="Y359">
        <v>109</v>
      </c>
      <c r="Z359">
        <v>53.6</v>
      </c>
      <c r="AA359">
        <v>6</v>
      </c>
      <c r="AB359">
        <v>18</v>
      </c>
      <c r="AC359">
        <v>3</v>
      </c>
      <c r="AD359">
        <v>21</v>
      </c>
      <c r="AE359" s="19" t="s">
        <v>60</v>
      </c>
    </row>
    <row r="360" spans="1:31" x14ac:dyDescent="0.2">
      <c r="A360">
        <v>349</v>
      </c>
      <c r="B360" s="19" t="s">
        <v>723</v>
      </c>
      <c r="C360">
        <v>24</v>
      </c>
      <c r="D360" s="19" t="s">
        <v>416</v>
      </c>
      <c r="E360" s="19" t="s">
        <v>348</v>
      </c>
      <c r="F360">
        <v>44</v>
      </c>
      <c r="G360">
        <v>4</v>
      </c>
      <c r="H360">
        <v>13</v>
      </c>
      <c r="I360">
        <v>17</v>
      </c>
      <c r="J360">
        <v>12</v>
      </c>
      <c r="K360">
        <v>10</v>
      </c>
      <c r="L360">
        <v>4</v>
      </c>
      <c r="M360">
        <v>0</v>
      </c>
      <c r="N360">
        <v>0</v>
      </c>
      <c r="O360">
        <v>1</v>
      </c>
      <c r="P360">
        <v>13</v>
      </c>
      <c r="Q360">
        <v>0</v>
      </c>
      <c r="R360">
        <v>0</v>
      </c>
      <c r="S360">
        <v>60</v>
      </c>
      <c r="T360">
        <v>6.7</v>
      </c>
      <c r="U360">
        <v>157</v>
      </c>
      <c r="V360" s="19" t="s">
        <v>2902</v>
      </c>
      <c r="W360" s="19" t="s">
        <v>487</v>
      </c>
      <c r="X360">
        <v>0</v>
      </c>
      <c r="Y360">
        <v>0</v>
      </c>
      <c r="AA360">
        <v>32</v>
      </c>
      <c r="AB360">
        <v>33</v>
      </c>
      <c r="AC360">
        <v>11</v>
      </c>
      <c r="AD360">
        <v>33</v>
      </c>
      <c r="AE360" s="19" t="s">
        <v>60</v>
      </c>
    </row>
    <row r="361" spans="1:31" x14ac:dyDescent="0.2">
      <c r="A361">
        <v>350</v>
      </c>
      <c r="B361" s="19" t="s">
        <v>765</v>
      </c>
      <c r="C361">
        <v>27</v>
      </c>
      <c r="D361" s="19" t="s">
        <v>345</v>
      </c>
      <c r="E361" s="19" t="s">
        <v>348</v>
      </c>
      <c r="F361">
        <v>51</v>
      </c>
      <c r="G361">
        <v>8</v>
      </c>
      <c r="H361">
        <v>9</v>
      </c>
      <c r="I361">
        <v>17</v>
      </c>
      <c r="J361">
        <v>1</v>
      </c>
      <c r="K361">
        <v>95</v>
      </c>
      <c r="L361">
        <v>8</v>
      </c>
      <c r="M361">
        <v>0</v>
      </c>
      <c r="N361">
        <v>0</v>
      </c>
      <c r="O361">
        <v>1</v>
      </c>
      <c r="P361">
        <v>9</v>
      </c>
      <c r="Q361">
        <v>0</v>
      </c>
      <c r="R361">
        <v>0</v>
      </c>
      <c r="S361">
        <v>55</v>
      </c>
      <c r="T361">
        <v>14.5</v>
      </c>
      <c r="U361">
        <v>168</v>
      </c>
      <c r="V361" s="19" t="s">
        <v>2598</v>
      </c>
      <c r="W361" s="19" t="s">
        <v>738</v>
      </c>
      <c r="X361">
        <v>0</v>
      </c>
      <c r="Y361">
        <v>0</v>
      </c>
      <c r="AA361">
        <v>60</v>
      </c>
      <c r="AB361">
        <v>83</v>
      </c>
      <c r="AC361">
        <v>9</v>
      </c>
      <c r="AD361">
        <v>39</v>
      </c>
      <c r="AE361" s="19" t="s">
        <v>60</v>
      </c>
    </row>
    <row r="362" spans="1:31" x14ac:dyDescent="0.2">
      <c r="A362">
        <v>351</v>
      </c>
      <c r="B362" s="19" t="s">
        <v>770</v>
      </c>
      <c r="C362">
        <v>30</v>
      </c>
      <c r="D362" s="19" t="s">
        <v>354</v>
      </c>
      <c r="E362" s="19" t="s">
        <v>348</v>
      </c>
      <c r="F362">
        <v>53</v>
      </c>
      <c r="G362">
        <v>1</v>
      </c>
      <c r="H362">
        <v>16</v>
      </c>
      <c r="I362">
        <v>17</v>
      </c>
      <c r="J362">
        <v>16</v>
      </c>
      <c r="K362">
        <v>121</v>
      </c>
      <c r="L362">
        <v>1</v>
      </c>
      <c r="M362">
        <v>0</v>
      </c>
      <c r="N362">
        <v>0</v>
      </c>
      <c r="O362">
        <v>0</v>
      </c>
      <c r="P362">
        <v>16</v>
      </c>
      <c r="Q362">
        <v>0</v>
      </c>
      <c r="R362">
        <v>0</v>
      </c>
      <c r="S362">
        <v>65</v>
      </c>
      <c r="T362">
        <v>1.5</v>
      </c>
      <c r="U362">
        <v>167</v>
      </c>
      <c r="V362" s="19" t="s">
        <v>2599</v>
      </c>
      <c r="W362" s="19" t="s">
        <v>2239</v>
      </c>
      <c r="X362">
        <v>0</v>
      </c>
      <c r="Y362">
        <v>0</v>
      </c>
      <c r="AA362">
        <v>76</v>
      </c>
      <c r="AB362">
        <v>130</v>
      </c>
      <c r="AC362">
        <v>28</v>
      </c>
      <c r="AD362">
        <v>64</v>
      </c>
      <c r="AE362" s="19" t="s">
        <v>60</v>
      </c>
    </row>
    <row r="363" spans="1:31" x14ac:dyDescent="0.2">
      <c r="A363">
        <v>352</v>
      </c>
      <c r="B363" s="19" t="s">
        <v>773</v>
      </c>
      <c r="C363">
        <v>29</v>
      </c>
      <c r="D363" s="19" t="s">
        <v>362</v>
      </c>
      <c r="E363" s="19" t="s">
        <v>348</v>
      </c>
      <c r="F363">
        <v>53</v>
      </c>
      <c r="G363">
        <v>5</v>
      </c>
      <c r="H363">
        <v>11</v>
      </c>
      <c r="I363">
        <v>16</v>
      </c>
      <c r="J363">
        <v>-6</v>
      </c>
      <c r="K363">
        <v>22</v>
      </c>
      <c r="L363">
        <v>5</v>
      </c>
      <c r="M363">
        <v>0</v>
      </c>
      <c r="N363">
        <v>0</v>
      </c>
      <c r="O363">
        <v>0</v>
      </c>
      <c r="P363">
        <v>11</v>
      </c>
      <c r="Q363">
        <v>0</v>
      </c>
      <c r="R363">
        <v>0</v>
      </c>
      <c r="S363">
        <v>44</v>
      </c>
      <c r="T363">
        <v>11.4</v>
      </c>
      <c r="U363">
        <v>109</v>
      </c>
      <c r="V363" s="19" t="s">
        <v>2600</v>
      </c>
      <c r="W363" s="19" t="s">
        <v>2238</v>
      </c>
      <c r="X363">
        <v>0</v>
      </c>
      <c r="Y363">
        <v>0</v>
      </c>
      <c r="AA363">
        <v>119</v>
      </c>
      <c r="AB363">
        <v>24</v>
      </c>
      <c r="AC363">
        <v>22</v>
      </c>
      <c r="AD363">
        <v>42</v>
      </c>
      <c r="AE363" s="19" t="s">
        <v>60</v>
      </c>
    </row>
    <row r="364" spans="1:31" x14ac:dyDescent="0.2">
      <c r="A364">
        <v>353</v>
      </c>
      <c r="B364" s="19" t="s">
        <v>675</v>
      </c>
      <c r="C364">
        <v>36</v>
      </c>
      <c r="D364" s="19" t="s">
        <v>404</v>
      </c>
      <c r="E364" s="19" t="s">
        <v>348</v>
      </c>
      <c r="F364">
        <v>53</v>
      </c>
      <c r="G364">
        <v>2</v>
      </c>
      <c r="H364">
        <v>14</v>
      </c>
      <c r="I364">
        <v>16</v>
      </c>
      <c r="J364">
        <v>17</v>
      </c>
      <c r="K364">
        <v>33</v>
      </c>
      <c r="L364">
        <v>2</v>
      </c>
      <c r="M364">
        <v>0</v>
      </c>
      <c r="N364">
        <v>0</v>
      </c>
      <c r="O364">
        <v>0</v>
      </c>
      <c r="P364">
        <v>13</v>
      </c>
      <c r="Q364">
        <v>0</v>
      </c>
      <c r="R364">
        <v>1</v>
      </c>
      <c r="S364">
        <v>38</v>
      </c>
      <c r="T364">
        <v>5.3</v>
      </c>
      <c r="U364">
        <v>110</v>
      </c>
      <c r="V364" s="19" t="s">
        <v>2601</v>
      </c>
      <c r="W364" s="19" t="s">
        <v>1503</v>
      </c>
      <c r="X364">
        <v>0</v>
      </c>
      <c r="Y364">
        <v>0</v>
      </c>
      <c r="AA364">
        <v>104</v>
      </c>
      <c r="AB364">
        <v>55</v>
      </c>
      <c r="AC364">
        <v>8</v>
      </c>
      <c r="AD364">
        <v>59</v>
      </c>
      <c r="AE364" s="19" t="s">
        <v>60</v>
      </c>
    </row>
    <row r="365" spans="1:31" x14ac:dyDescent="0.2">
      <c r="A365">
        <v>354</v>
      </c>
      <c r="B365" s="19" t="s">
        <v>679</v>
      </c>
      <c r="C365">
        <v>32</v>
      </c>
      <c r="D365" s="19" t="s">
        <v>419</v>
      </c>
      <c r="E365" s="19" t="s">
        <v>348</v>
      </c>
      <c r="F365">
        <v>51</v>
      </c>
      <c r="G365">
        <v>2</v>
      </c>
      <c r="H365">
        <v>14</v>
      </c>
      <c r="I365">
        <v>16</v>
      </c>
      <c r="J365">
        <v>12</v>
      </c>
      <c r="K365">
        <v>19</v>
      </c>
      <c r="L365">
        <v>2</v>
      </c>
      <c r="M365">
        <v>0</v>
      </c>
      <c r="N365">
        <v>0</v>
      </c>
      <c r="O365">
        <v>0</v>
      </c>
      <c r="P365">
        <v>11</v>
      </c>
      <c r="Q365">
        <v>2</v>
      </c>
      <c r="R365">
        <v>1</v>
      </c>
      <c r="S365">
        <v>68</v>
      </c>
      <c r="T365">
        <v>2.9</v>
      </c>
      <c r="U365">
        <v>154</v>
      </c>
      <c r="V365" s="19" t="s">
        <v>2196</v>
      </c>
      <c r="W365" s="19" t="s">
        <v>2031</v>
      </c>
      <c r="X365">
        <v>0</v>
      </c>
      <c r="Y365">
        <v>0</v>
      </c>
      <c r="AA365">
        <v>54</v>
      </c>
      <c r="AB365">
        <v>60</v>
      </c>
      <c r="AC365">
        <v>7</v>
      </c>
      <c r="AD365">
        <v>50</v>
      </c>
      <c r="AE365" s="19" t="s">
        <v>60</v>
      </c>
    </row>
    <row r="366" spans="1:31" x14ac:dyDescent="0.2">
      <c r="A366">
        <v>355</v>
      </c>
      <c r="B366" s="19" t="s">
        <v>816</v>
      </c>
      <c r="C366">
        <v>25</v>
      </c>
      <c r="D366" s="19" t="s">
        <v>351</v>
      </c>
      <c r="E366" s="19" t="s">
        <v>322</v>
      </c>
      <c r="F366">
        <v>47</v>
      </c>
      <c r="G366">
        <v>6</v>
      </c>
      <c r="H366">
        <v>10</v>
      </c>
      <c r="I366">
        <v>16</v>
      </c>
      <c r="J366">
        <v>16</v>
      </c>
      <c r="K366">
        <v>29</v>
      </c>
      <c r="L366">
        <v>6</v>
      </c>
      <c r="M366">
        <v>0</v>
      </c>
      <c r="N366">
        <v>0</v>
      </c>
      <c r="O366">
        <v>1</v>
      </c>
      <c r="P366">
        <v>9</v>
      </c>
      <c r="Q366">
        <v>1</v>
      </c>
      <c r="R366">
        <v>0</v>
      </c>
      <c r="S366">
        <v>40</v>
      </c>
      <c r="T366">
        <v>15</v>
      </c>
      <c r="U366">
        <v>81</v>
      </c>
      <c r="V366" s="19" t="s">
        <v>2602</v>
      </c>
      <c r="W366" s="19" t="s">
        <v>1856</v>
      </c>
      <c r="X366">
        <v>6</v>
      </c>
      <c r="Y366">
        <v>13</v>
      </c>
      <c r="Z366">
        <v>31.6</v>
      </c>
      <c r="AA366">
        <v>19</v>
      </c>
      <c r="AB366">
        <v>47</v>
      </c>
      <c r="AC366">
        <v>11</v>
      </c>
      <c r="AD366">
        <v>38</v>
      </c>
      <c r="AE366" s="19" t="s">
        <v>60</v>
      </c>
    </row>
    <row r="367" spans="1:31" x14ac:dyDescent="0.2">
      <c r="A367">
        <v>356</v>
      </c>
      <c r="B367" s="19" t="s">
        <v>872</v>
      </c>
      <c r="C367">
        <v>23</v>
      </c>
      <c r="D367" s="19" t="s">
        <v>380</v>
      </c>
      <c r="E367" s="19" t="s">
        <v>322</v>
      </c>
      <c r="F367">
        <v>51</v>
      </c>
      <c r="G367">
        <v>5</v>
      </c>
      <c r="H367">
        <v>11</v>
      </c>
      <c r="I367">
        <v>16</v>
      </c>
      <c r="J367">
        <v>-8</v>
      </c>
      <c r="K367">
        <v>10</v>
      </c>
      <c r="L367">
        <v>5</v>
      </c>
      <c r="M367">
        <v>0</v>
      </c>
      <c r="N367">
        <v>0</v>
      </c>
      <c r="O367">
        <v>0</v>
      </c>
      <c r="P367">
        <v>10</v>
      </c>
      <c r="Q367">
        <v>1</v>
      </c>
      <c r="R367">
        <v>0</v>
      </c>
      <c r="S367">
        <v>77</v>
      </c>
      <c r="T367">
        <v>6.5</v>
      </c>
      <c r="U367">
        <v>154</v>
      </c>
      <c r="V367" s="19" t="s">
        <v>2903</v>
      </c>
      <c r="W367" s="19" t="s">
        <v>1455</v>
      </c>
      <c r="X367">
        <v>0</v>
      </c>
      <c r="Y367">
        <v>1</v>
      </c>
      <c r="Z367">
        <v>0</v>
      </c>
      <c r="AA367">
        <v>28</v>
      </c>
      <c r="AB367">
        <v>8</v>
      </c>
      <c r="AC367">
        <v>8</v>
      </c>
      <c r="AD367">
        <v>34</v>
      </c>
      <c r="AE367" s="19" t="s">
        <v>60</v>
      </c>
    </row>
    <row r="368" spans="1:31" x14ac:dyDescent="0.2">
      <c r="A368">
        <v>357</v>
      </c>
      <c r="B368" s="19" t="s">
        <v>787</v>
      </c>
      <c r="C368">
        <v>22</v>
      </c>
      <c r="D368" s="19" t="s">
        <v>360</v>
      </c>
      <c r="E368" s="19" t="s">
        <v>322</v>
      </c>
      <c r="F368">
        <v>51</v>
      </c>
      <c r="G368">
        <v>6</v>
      </c>
      <c r="H368">
        <v>10</v>
      </c>
      <c r="I368">
        <v>16</v>
      </c>
      <c r="J368">
        <v>-1</v>
      </c>
      <c r="K368">
        <v>22</v>
      </c>
      <c r="L368">
        <v>4</v>
      </c>
      <c r="M368">
        <v>2</v>
      </c>
      <c r="N368">
        <v>0</v>
      </c>
      <c r="O368">
        <v>1</v>
      </c>
      <c r="P368">
        <v>8</v>
      </c>
      <c r="Q368">
        <v>2</v>
      </c>
      <c r="R368">
        <v>0</v>
      </c>
      <c r="S368">
        <v>50</v>
      </c>
      <c r="T368">
        <v>12</v>
      </c>
      <c r="U368">
        <v>104</v>
      </c>
      <c r="V368" s="19" t="s">
        <v>2242</v>
      </c>
      <c r="W368" s="19" t="s">
        <v>1614</v>
      </c>
      <c r="X368">
        <v>218</v>
      </c>
      <c r="Y368">
        <v>210</v>
      </c>
      <c r="Z368">
        <v>50.9</v>
      </c>
      <c r="AA368">
        <v>34</v>
      </c>
      <c r="AB368">
        <v>71</v>
      </c>
      <c r="AC368">
        <v>7</v>
      </c>
      <c r="AD368">
        <v>22</v>
      </c>
      <c r="AE368" s="19" t="s">
        <v>60</v>
      </c>
    </row>
    <row r="369" spans="1:31" x14ac:dyDescent="0.2">
      <c r="A369">
        <v>358</v>
      </c>
      <c r="B369" s="19" t="s">
        <v>717</v>
      </c>
      <c r="C369">
        <v>33</v>
      </c>
      <c r="D369" s="19" t="s">
        <v>396</v>
      </c>
      <c r="E369" s="19" t="s">
        <v>339</v>
      </c>
      <c r="F369">
        <v>49</v>
      </c>
      <c r="G369">
        <v>7</v>
      </c>
      <c r="H369">
        <v>9</v>
      </c>
      <c r="I369">
        <v>16</v>
      </c>
      <c r="J369">
        <v>4</v>
      </c>
      <c r="K369">
        <v>21</v>
      </c>
      <c r="L369">
        <v>6</v>
      </c>
      <c r="M369">
        <v>0</v>
      </c>
      <c r="N369">
        <v>1</v>
      </c>
      <c r="O369">
        <v>2</v>
      </c>
      <c r="P369">
        <v>9</v>
      </c>
      <c r="Q369">
        <v>0</v>
      </c>
      <c r="R369">
        <v>0</v>
      </c>
      <c r="S369">
        <v>67</v>
      </c>
      <c r="T369">
        <v>10.4</v>
      </c>
      <c r="U369">
        <v>152</v>
      </c>
      <c r="V369" s="19" t="s">
        <v>2279</v>
      </c>
      <c r="W369" s="19" t="s">
        <v>1190</v>
      </c>
      <c r="X369">
        <v>24</v>
      </c>
      <c r="Y369">
        <v>26</v>
      </c>
      <c r="Z369">
        <v>48</v>
      </c>
      <c r="AA369">
        <v>32</v>
      </c>
      <c r="AB369">
        <v>86</v>
      </c>
      <c r="AC369">
        <v>11</v>
      </c>
      <c r="AD369">
        <v>27</v>
      </c>
      <c r="AE369" s="19" t="s">
        <v>60</v>
      </c>
    </row>
    <row r="370" spans="1:31" x14ac:dyDescent="0.2">
      <c r="A370">
        <v>359</v>
      </c>
      <c r="B370" s="19" t="s">
        <v>790</v>
      </c>
      <c r="C370">
        <v>21</v>
      </c>
      <c r="D370" s="19" t="s">
        <v>329</v>
      </c>
      <c r="E370" s="19" t="s">
        <v>322</v>
      </c>
      <c r="F370">
        <v>41</v>
      </c>
      <c r="G370">
        <v>5</v>
      </c>
      <c r="H370">
        <v>11</v>
      </c>
      <c r="I370">
        <v>16</v>
      </c>
      <c r="J370">
        <v>-15</v>
      </c>
      <c r="K370">
        <v>15</v>
      </c>
      <c r="L370">
        <v>3</v>
      </c>
      <c r="M370">
        <v>2</v>
      </c>
      <c r="N370">
        <v>0</v>
      </c>
      <c r="O370">
        <v>0</v>
      </c>
      <c r="P370">
        <v>8</v>
      </c>
      <c r="Q370">
        <v>3</v>
      </c>
      <c r="R370">
        <v>0</v>
      </c>
      <c r="S370">
        <v>49</v>
      </c>
      <c r="T370">
        <v>10.199999999999999</v>
      </c>
      <c r="U370">
        <v>89</v>
      </c>
      <c r="V370" s="19" t="s">
        <v>2603</v>
      </c>
      <c r="W370" s="19" t="s">
        <v>1639</v>
      </c>
      <c r="X370">
        <v>81</v>
      </c>
      <c r="Y370">
        <v>78</v>
      </c>
      <c r="Z370">
        <v>50.9</v>
      </c>
      <c r="AA370">
        <v>12</v>
      </c>
      <c r="AB370">
        <v>22</v>
      </c>
      <c r="AC370">
        <v>14</v>
      </c>
      <c r="AD370">
        <v>34</v>
      </c>
      <c r="AE370" s="19" t="s">
        <v>60</v>
      </c>
    </row>
    <row r="371" spans="1:31" x14ac:dyDescent="0.2">
      <c r="A371">
        <v>360</v>
      </c>
      <c r="B371" s="19" t="s">
        <v>839</v>
      </c>
      <c r="C371">
        <v>31</v>
      </c>
      <c r="D371" s="19" t="s">
        <v>460</v>
      </c>
      <c r="E371" s="19" t="s">
        <v>348</v>
      </c>
      <c r="F371">
        <v>52</v>
      </c>
      <c r="G371">
        <v>1</v>
      </c>
      <c r="H371">
        <v>15</v>
      </c>
      <c r="I371">
        <v>16</v>
      </c>
      <c r="J371">
        <v>-10</v>
      </c>
      <c r="K371">
        <v>22</v>
      </c>
      <c r="L371">
        <v>1</v>
      </c>
      <c r="M371">
        <v>0</v>
      </c>
      <c r="N371">
        <v>0</v>
      </c>
      <c r="O371">
        <v>0</v>
      </c>
      <c r="P371">
        <v>13</v>
      </c>
      <c r="Q371">
        <v>2</v>
      </c>
      <c r="R371">
        <v>0</v>
      </c>
      <c r="S371">
        <v>78</v>
      </c>
      <c r="T371">
        <v>1.3</v>
      </c>
      <c r="U371">
        <v>194</v>
      </c>
      <c r="V371" s="19" t="s">
        <v>2604</v>
      </c>
      <c r="W371" s="19" t="s">
        <v>1704</v>
      </c>
      <c r="X371">
        <v>0</v>
      </c>
      <c r="Y371">
        <v>0</v>
      </c>
      <c r="AA371">
        <v>51</v>
      </c>
      <c r="AB371">
        <v>40</v>
      </c>
      <c r="AC371">
        <v>16</v>
      </c>
      <c r="AD371">
        <v>71</v>
      </c>
      <c r="AE371" s="19" t="s">
        <v>60</v>
      </c>
    </row>
    <row r="372" spans="1:31" x14ac:dyDescent="0.2">
      <c r="A372">
        <v>361</v>
      </c>
      <c r="B372" s="19" t="s">
        <v>946</v>
      </c>
      <c r="C372">
        <v>32</v>
      </c>
      <c r="D372" s="19" t="s">
        <v>436</v>
      </c>
      <c r="E372" s="19" t="s">
        <v>348</v>
      </c>
      <c r="F372">
        <v>52</v>
      </c>
      <c r="G372">
        <v>3</v>
      </c>
      <c r="H372">
        <v>13</v>
      </c>
      <c r="I372">
        <v>16</v>
      </c>
      <c r="J372">
        <v>-30</v>
      </c>
      <c r="K372">
        <v>63</v>
      </c>
      <c r="L372">
        <v>3</v>
      </c>
      <c r="M372">
        <v>0</v>
      </c>
      <c r="N372">
        <v>0</v>
      </c>
      <c r="O372">
        <v>0</v>
      </c>
      <c r="P372">
        <v>9</v>
      </c>
      <c r="Q372">
        <v>3</v>
      </c>
      <c r="R372">
        <v>1</v>
      </c>
      <c r="S372">
        <v>116</v>
      </c>
      <c r="T372">
        <v>2.6</v>
      </c>
      <c r="U372">
        <v>278</v>
      </c>
      <c r="V372" s="19" t="s">
        <v>2344</v>
      </c>
      <c r="W372" s="19" t="s">
        <v>2345</v>
      </c>
      <c r="X372">
        <v>0</v>
      </c>
      <c r="Y372">
        <v>0</v>
      </c>
      <c r="AA372">
        <v>114</v>
      </c>
      <c r="AB372">
        <v>121</v>
      </c>
      <c r="AC372">
        <v>18</v>
      </c>
      <c r="AD372">
        <v>83</v>
      </c>
      <c r="AE372" s="19" t="s">
        <v>60</v>
      </c>
    </row>
    <row r="373" spans="1:31" x14ac:dyDescent="0.2">
      <c r="A373">
        <v>362</v>
      </c>
      <c r="B373" s="19" t="s">
        <v>730</v>
      </c>
      <c r="C373">
        <v>28</v>
      </c>
      <c r="D373" s="19" t="s">
        <v>375</v>
      </c>
      <c r="E373" s="19" t="s">
        <v>348</v>
      </c>
      <c r="F373">
        <v>51</v>
      </c>
      <c r="G373">
        <v>3</v>
      </c>
      <c r="H373">
        <v>13</v>
      </c>
      <c r="I373">
        <v>16</v>
      </c>
      <c r="J373">
        <v>4</v>
      </c>
      <c r="K373">
        <v>34</v>
      </c>
      <c r="L373">
        <v>3</v>
      </c>
      <c r="M373">
        <v>0</v>
      </c>
      <c r="N373">
        <v>0</v>
      </c>
      <c r="O373">
        <v>1</v>
      </c>
      <c r="P373">
        <v>12</v>
      </c>
      <c r="Q373">
        <v>0</v>
      </c>
      <c r="R373">
        <v>1</v>
      </c>
      <c r="S373">
        <v>47</v>
      </c>
      <c r="T373">
        <v>6.4</v>
      </c>
      <c r="U373">
        <v>106</v>
      </c>
      <c r="V373" s="19" t="s">
        <v>2346</v>
      </c>
      <c r="W373" s="19" t="s">
        <v>2043</v>
      </c>
      <c r="X373">
        <v>0</v>
      </c>
      <c r="Y373">
        <v>0</v>
      </c>
      <c r="AA373">
        <v>82</v>
      </c>
      <c r="AB373">
        <v>104</v>
      </c>
      <c r="AC373">
        <v>21</v>
      </c>
      <c r="AD373">
        <v>76</v>
      </c>
      <c r="AE373" s="19" t="s">
        <v>60</v>
      </c>
    </row>
    <row r="374" spans="1:31" x14ac:dyDescent="0.2">
      <c r="A374">
        <v>363</v>
      </c>
      <c r="B374" s="19" t="s">
        <v>692</v>
      </c>
      <c r="C374">
        <v>24</v>
      </c>
      <c r="D374" s="19" t="s">
        <v>513</v>
      </c>
      <c r="E374" s="19" t="s">
        <v>348</v>
      </c>
      <c r="F374">
        <v>52</v>
      </c>
      <c r="G374">
        <v>2</v>
      </c>
      <c r="H374">
        <v>13</v>
      </c>
      <c r="I374">
        <v>15</v>
      </c>
      <c r="J374">
        <v>0</v>
      </c>
      <c r="K374">
        <v>8</v>
      </c>
      <c r="L374">
        <v>2</v>
      </c>
      <c r="M374">
        <v>0</v>
      </c>
      <c r="N374">
        <v>0</v>
      </c>
      <c r="O374">
        <v>0</v>
      </c>
      <c r="P374">
        <v>13</v>
      </c>
      <c r="Q374">
        <v>0</v>
      </c>
      <c r="R374">
        <v>0</v>
      </c>
      <c r="S374">
        <v>66</v>
      </c>
      <c r="T374">
        <v>3</v>
      </c>
      <c r="U374">
        <v>173</v>
      </c>
      <c r="V374" s="19" t="s">
        <v>2169</v>
      </c>
      <c r="W374" s="19" t="s">
        <v>2173</v>
      </c>
      <c r="X374">
        <v>0</v>
      </c>
      <c r="Y374">
        <v>0</v>
      </c>
      <c r="AA374">
        <v>75</v>
      </c>
      <c r="AB374">
        <v>22</v>
      </c>
      <c r="AC374">
        <v>17</v>
      </c>
      <c r="AD374">
        <v>71</v>
      </c>
      <c r="AE374" s="19" t="s">
        <v>60</v>
      </c>
    </row>
    <row r="375" spans="1:31" x14ac:dyDescent="0.2">
      <c r="A375">
        <v>364</v>
      </c>
      <c r="B375" s="19" t="s">
        <v>739</v>
      </c>
      <c r="C375">
        <v>32</v>
      </c>
      <c r="D375" s="19" t="s">
        <v>356</v>
      </c>
      <c r="E375" s="19" t="s">
        <v>348</v>
      </c>
      <c r="F375">
        <v>42</v>
      </c>
      <c r="G375">
        <v>3</v>
      </c>
      <c r="H375">
        <v>12</v>
      </c>
      <c r="I375">
        <v>15</v>
      </c>
      <c r="J375">
        <v>13</v>
      </c>
      <c r="K375">
        <v>8</v>
      </c>
      <c r="L375">
        <v>3</v>
      </c>
      <c r="M375">
        <v>0</v>
      </c>
      <c r="N375">
        <v>0</v>
      </c>
      <c r="O375">
        <v>1</v>
      </c>
      <c r="P375">
        <v>11</v>
      </c>
      <c r="Q375">
        <v>1</v>
      </c>
      <c r="R375">
        <v>0</v>
      </c>
      <c r="S375">
        <v>43</v>
      </c>
      <c r="T375">
        <v>7</v>
      </c>
      <c r="U375">
        <v>111</v>
      </c>
      <c r="V375" s="19" t="s">
        <v>1914</v>
      </c>
      <c r="W375" s="19" t="s">
        <v>1830</v>
      </c>
      <c r="X375">
        <v>0</v>
      </c>
      <c r="Y375">
        <v>0</v>
      </c>
      <c r="AA375">
        <v>91</v>
      </c>
      <c r="AB375">
        <v>8</v>
      </c>
      <c r="AC375">
        <v>9</v>
      </c>
      <c r="AD375">
        <v>30</v>
      </c>
      <c r="AE375" s="19" t="s">
        <v>60</v>
      </c>
    </row>
    <row r="376" spans="1:31" x14ac:dyDescent="0.2">
      <c r="A376">
        <v>365</v>
      </c>
      <c r="B376" s="19" t="s">
        <v>810</v>
      </c>
      <c r="C376">
        <v>32</v>
      </c>
      <c r="D376" s="19" t="s">
        <v>416</v>
      </c>
      <c r="E376" s="19" t="s">
        <v>322</v>
      </c>
      <c r="F376">
        <v>52</v>
      </c>
      <c r="G376">
        <v>7</v>
      </c>
      <c r="H376">
        <v>8</v>
      </c>
      <c r="I376">
        <v>15</v>
      </c>
      <c r="J376">
        <v>7</v>
      </c>
      <c r="K376">
        <v>59</v>
      </c>
      <c r="L376">
        <v>7</v>
      </c>
      <c r="M376">
        <v>0</v>
      </c>
      <c r="N376">
        <v>0</v>
      </c>
      <c r="O376">
        <v>1</v>
      </c>
      <c r="P376">
        <v>8</v>
      </c>
      <c r="Q376">
        <v>0</v>
      </c>
      <c r="R376">
        <v>0</v>
      </c>
      <c r="S376">
        <v>42</v>
      </c>
      <c r="T376">
        <v>16.7</v>
      </c>
      <c r="U376">
        <v>80</v>
      </c>
      <c r="V376" s="19" t="s">
        <v>2271</v>
      </c>
      <c r="W376" s="19" t="s">
        <v>2075</v>
      </c>
      <c r="X376">
        <v>11</v>
      </c>
      <c r="Y376">
        <v>12</v>
      </c>
      <c r="Z376">
        <v>47.8</v>
      </c>
      <c r="AA376">
        <v>23</v>
      </c>
      <c r="AB376">
        <v>104</v>
      </c>
      <c r="AC376">
        <v>8</v>
      </c>
      <c r="AD376">
        <v>31</v>
      </c>
      <c r="AE376" s="19" t="s">
        <v>60</v>
      </c>
    </row>
    <row r="377" spans="1:31" x14ac:dyDescent="0.2">
      <c r="A377">
        <v>366</v>
      </c>
      <c r="B377" s="19" t="s">
        <v>697</v>
      </c>
      <c r="C377">
        <v>24</v>
      </c>
      <c r="D377" s="19" t="s">
        <v>329</v>
      </c>
      <c r="E377" s="19" t="s">
        <v>348</v>
      </c>
      <c r="F377">
        <v>50</v>
      </c>
      <c r="G377">
        <v>4</v>
      </c>
      <c r="H377">
        <v>11</v>
      </c>
      <c r="I377">
        <v>15</v>
      </c>
      <c r="J377">
        <v>0</v>
      </c>
      <c r="K377">
        <v>41</v>
      </c>
      <c r="L377">
        <v>3</v>
      </c>
      <c r="M377">
        <v>0</v>
      </c>
      <c r="N377">
        <v>1</v>
      </c>
      <c r="O377">
        <v>1</v>
      </c>
      <c r="P377">
        <v>10</v>
      </c>
      <c r="Q377">
        <v>0</v>
      </c>
      <c r="R377">
        <v>1</v>
      </c>
      <c r="S377">
        <v>75</v>
      </c>
      <c r="T377">
        <v>5.3</v>
      </c>
      <c r="U377">
        <v>163</v>
      </c>
      <c r="V377" s="19" t="s">
        <v>2605</v>
      </c>
      <c r="W377" s="19" t="s">
        <v>1786</v>
      </c>
      <c r="X377">
        <v>0</v>
      </c>
      <c r="Y377">
        <v>0</v>
      </c>
      <c r="AA377">
        <v>50</v>
      </c>
      <c r="AB377">
        <v>79</v>
      </c>
      <c r="AC377">
        <v>11</v>
      </c>
      <c r="AD377">
        <v>41</v>
      </c>
      <c r="AE377" s="19" t="s">
        <v>60</v>
      </c>
    </row>
    <row r="378" spans="1:31" x14ac:dyDescent="0.2">
      <c r="A378">
        <v>367</v>
      </c>
      <c r="B378" s="19" t="s">
        <v>704</v>
      </c>
      <c r="C378">
        <v>33</v>
      </c>
      <c r="D378" s="19" t="s">
        <v>362</v>
      </c>
      <c r="E378" s="19" t="s">
        <v>334</v>
      </c>
      <c r="F378">
        <v>53</v>
      </c>
      <c r="G378">
        <v>4</v>
      </c>
      <c r="H378">
        <v>11</v>
      </c>
      <c r="I378">
        <v>15</v>
      </c>
      <c r="J378">
        <v>-2</v>
      </c>
      <c r="K378">
        <v>24</v>
      </c>
      <c r="L378">
        <v>3</v>
      </c>
      <c r="M378">
        <v>1</v>
      </c>
      <c r="N378">
        <v>0</v>
      </c>
      <c r="O378">
        <v>0</v>
      </c>
      <c r="P378">
        <v>9</v>
      </c>
      <c r="Q378">
        <v>2</v>
      </c>
      <c r="R378">
        <v>0</v>
      </c>
      <c r="S378">
        <v>92</v>
      </c>
      <c r="T378">
        <v>4.3</v>
      </c>
      <c r="U378">
        <v>170</v>
      </c>
      <c r="V378" s="19" t="s">
        <v>2606</v>
      </c>
      <c r="W378" s="19" t="s">
        <v>2145</v>
      </c>
      <c r="X378">
        <v>5</v>
      </c>
      <c r="Y378">
        <v>4</v>
      </c>
      <c r="Z378">
        <v>55.6</v>
      </c>
      <c r="AA378">
        <v>10</v>
      </c>
      <c r="AB378">
        <v>57</v>
      </c>
      <c r="AC378">
        <v>9</v>
      </c>
      <c r="AD378">
        <v>25</v>
      </c>
      <c r="AE378" s="19" t="s">
        <v>60</v>
      </c>
    </row>
    <row r="379" spans="1:31" x14ac:dyDescent="0.2">
      <c r="A379">
        <v>368</v>
      </c>
      <c r="B379" s="19" t="s">
        <v>867</v>
      </c>
      <c r="C379">
        <v>26</v>
      </c>
      <c r="D379" s="19" t="s">
        <v>351</v>
      </c>
      <c r="E379" s="19" t="s">
        <v>334</v>
      </c>
      <c r="F379">
        <v>44</v>
      </c>
      <c r="G379">
        <v>8</v>
      </c>
      <c r="H379">
        <v>7</v>
      </c>
      <c r="I379">
        <v>15</v>
      </c>
      <c r="J379">
        <v>8</v>
      </c>
      <c r="K379">
        <v>12</v>
      </c>
      <c r="L379">
        <v>8</v>
      </c>
      <c r="M379">
        <v>0</v>
      </c>
      <c r="N379">
        <v>0</v>
      </c>
      <c r="O379">
        <v>2</v>
      </c>
      <c r="P379">
        <v>7</v>
      </c>
      <c r="Q379">
        <v>0</v>
      </c>
      <c r="R379">
        <v>0</v>
      </c>
      <c r="S379">
        <v>59</v>
      </c>
      <c r="T379">
        <v>13.6</v>
      </c>
      <c r="U379">
        <v>126</v>
      </c>
      <c r="V379" s="19" t="s">
        <v>2607</v>
      </c>
      <c r="W379" s="19" t="s">
        <v>1772</v>
      </c>
      <c r="X379">
        <v>16</v>
      </c>
      <c r="Y379">
        <v>27</v>
      </c>
      <c r="Z379">
        <v>37.200000000000003</v>
      </c>
      <c r="AA379">
        <v>23</v>
      </c>
      <c r="AB379">
        <v>38</v>
      </c>
      <c r="AC379">
        <v>8</v>
      </c>
      <c r="AD379">
        <v>27</v>
      </c>
      <c r="AE379" s="19" t="s">
        <v>60</v>
      </c>
    </row>
    <row r="380" spans="1:31" x14ac:dyDescent="0.2">
      <c r="A380">
        <v>369</v>
      </c>
      <c r="B380" s="19" t="s">
        <v>753</v>
      </c>
      <c r="C380">
        <v>27</v>
      </c>
      <c r="D380" s="19" t="s">
        <v>343</v>
      </c>
      <c r="E380" s="19" t="s">
        <v>322</v>
      </c>
      <c r="F380">
        <v>39</v>
      </c>
      <c r="G380">
        <v>9</v>
      </c>
      <c r="H380">
        <v>6</v>
      </c>
      <c r="I380">
        <v>15</v>
      </c>
      <c r="J380">
        <v>-4</v>
      </c>
      <c r="K380">
        <v>20</v>
      </c>
      <c r="L380">
        <v>9</v>
      </c>
      <c r="M380">
        <v>0</v>
      </c>
      <c r="N380">
        <v>0</v>
      </c>
      <c r="O380">
        <v>0</v>
      </c>
      <c r="P380">
        <v>6</v>
      </c>
      <c r="Q380">
        <v>0</v>
      </c>
      <c r="R380">
        <v>0</v>
      </c>
      <c r="S380">
        <v>46</v>
      </c>
      <c r="T380">
        <v>19.600000000000001</v>
      </c>
      <c r="U380">
        <v>81</v>
      </c>
      <c r="V380" s="19" t="s">
        <v>1890</v>
      </c>
      <c r="W380" s="19" t="s">
        <v>1743</v>
      </c>
      <c r="X380">
        <v>199</v>
      </c>
      <c r="Y380">
        <v>194</v>
      </c>
      <c r="Z380">
        <v>50.6</v>
      </c>
      <c r="AA380">
        <v>9</v>
      </c>
      <c r="AB380">
        <v>66</v>
      </c>
      <c r="AC380">
        <v>8</v>
      </c>
      <c r="AD380">
        <v>34</v>
      </c>
      <c r="AE380" s="19" t="s">
        <v>60</v>
      </c>
    </row>
    <row r="381" spans="1:31" x14ac:dyDescent="0.2">
      <c r="A381">
        <v>370</v>
      </c>
      <c r="B381" s="19" t="s">
        <v>871</v>
      </c>
      <c r="C381">
        <v>35</v>
      </c>
      <c r="D381" s="19" t="s">
        <v>416</v>
      </c>
      <c r="E381" s="19" t="s">
        <v>348</v>
      </c>
      <c r="F381">
        <v>50</v>
      </c>
      <c r="G381">
        <v>4</v>
      </c>
      <c r="H381">
        <v>11</v>
      </c>
      <c r="I381">
        <v>15</v>
      </c>
      <c r="J381">
        <v>-8</v>
      </c>
      <c r="K381">
        <v>22</v>
      </c>
      <c r="L381">
        <v>4</v>
      </c>
      <c r="M381">
        <v>0</v>
      </c>
      <c r="N381">
        <v>0</v>
      </c>
      <c r="O381">
        <v>0</v>
      </c>
      <c r="P381">
        <v>11</v>
      </c>
      <c r="Q381">
        <v>0</v>
      </c>
      <c r="R381">
        <v>0</v>
      </c>
      <c r="S381">
        <v>32</v>
      </c>
      <c r="T381">
        <v>12.5</v>
      </c>
      <c r="U381">
        <v>103</v>
      </c>
      <c r="V381" s="19" t="s">
        <v>2904</v>
      </c>
      <c r="W381" s="19" t="s">
        <v>1721</v>
      </c>
      <c r="X381">
        <v>0</v>
      </c>
      <c r="Y381">
        <v>0</v>
      </c>
      <c r="AA381">
        <v>52</v>
      </c>
      <c r="AB381">
        <v>32</v>
      </c>
      <c r="AC381">
        <v>11</v>
      </c>
      <c r="AD381">
        <v>45</v>
      </c>
      <c r="AE381" s="19" t="s">
        <v>60</v>
      </c>
    </row>
    <row r="382" spans="1:31" x14ac:dyDescent="0.2">
      <c r="A382">
        <v>371</v>
      </c>
      <c r="B382" s="19" t="s">
        <v>755</v>
      </c>
      <c r="C382">
        <v>26</v>
      </c>
      <c r="D382" s="19" t="s">
        <v>354</v>
      </c>
      <c r="E382" s="19" t="s">
        <v>322</v>
      </c>
      <c r="F382">
        <v>54</v>
      </c>
      <c r="G382">
        <v>8</v>
      </c>
      <c r="H382">
        <v>7</v>
      </c>
      <c r="I382">
        <v>15</v>
      </c>
      <c r="J382">
        <v>5</v>
      </c>
      <c r="K382">
        <v>104</v>
      </c>
      <c r="L382">
        <v>7</v>
      </c>
      <c r="M382">
        <v>0</v>
      </c>
      <c r="N382">
        <v>1</v>
      </c>
      <c r="O382">
        <v>3</v>
      </c>
      <c r="P382">
        <v>6</v>
      </c>
      <c r="Q382">
        <v>1</v>
      </c>
      <c r="R382">
        <v>0</v>
      </c>
      <c r="S382">
        <v>68</v>
      </c>
      <c r="T382">
        <v>11.8</v>
      </c>
      <c r="U382">
        <v>141</v>
      </c>
      <c r="V382" s="19" t="s">
        <v>2608</v>
      </c>
      <c r="W382" s="19" t="s">
        <v>1643</v>
      </c>
      <c r="X382">
        <v>231</v>
      </c>
      <c r="Y382">
        <v>160</v>
      </c>
      <c r="Z382">
        <v>59.1</v>
      </c>
      <c r="AA382">
        <v>44</v>
      </c>
      <c r="AB382">
        <v>145</v>
      </c>
      <c r="AC382">
        <v>20</v>
      </c>
      <c r="AD382">
        <v>28</v>
      </c>
      <c r="AE382" s="19" t="s">
        <v>60</v>
      </c>
    </row>
    <row r="383" spans="1:31" x14ac:dyDescent="0.2">
      <c r="A383">
        <v>372</v>
      </c>
      <c r="B383" s="19" t="s">
        <v>875</v>
      </c>
      <c r="C383">
        <v>33</v>
      </c>
      <c r="D383" s="19" t="s">
        <v>354</v>
      </c>
      <c r="E383" s="19" t="s">
        <v>322</v>
      </c>
      <c r="F383">
        <v>54</v>
      </c>
      <c r="G383">
        <v>4</v>
      </c>
      <c r="H383">
        <v>11</v>
      </c>
      <c r="I383">
        <v>15</v>
      </c>
      <c r="J383">
        <v>0</v>
      </c>
      <c r="K383">
        <v>39</v>
      </c>
      <c r="L383">
        <v>4</v>
      </c>
      <c r="M383">
        <v>0</v>
      </c>
      <c r="N383">
        <v>0</v>
      </c>
      <c r="O383">
        <v>0</v>
      </c>
      <c r="P383">
        <v>11</v>
      </c>
      <c r="Q383">
        <v>0</v>
      </c>
      <c r="R383">
        <v>0</v>
      </c>
      <c r="S383">
        <v>71</v>
      </c>
      <c r="T383">
        <v>5.6</v>
      </c>
      <c r="U383">
        <v>129</v>
      </c>
      <c r="V383" s="19" t="s">
        <v>2609</v>
      </c>
      <c r="W383" s="19" t="s">
        <v>2036</v>
      </c>
      <c r="X383">
        <v>237</v>
      </c>
      <c r="Y383">
        <v>251</v>
      </c>
      <c r="Z383">
        <v>48.6</v>
      </c>
      <c r="AA383">
        <v>35</v>
      </c>
      <c r="AB383">
        <v>60</v>
      </c>
      <c r="AC383">
        <v>14</v>
      </c>
      <c r="AD383">
        <v>41</v>
      </c>
      <c r="AE383" s="19" t="s">
        <v>60</v>
      </c>
    </row>
    <row r="384" spans="1:31" x14ac:dyDescent="0.2">
      <c r="A384">
        <v>373</v>
      </c>
      <c r="B384" s="19" t="s">
        <v>565</v>
      </c>
      <c r="C384">
        <v>26</v>
      </c>
      <c r="D384" s="19" t="s">
        <v>324</v>
      </c>
      <c r="E384" s="19" t="s">
        <v>322</v>
      </c>
      <c r="F384">
        <v>31</v>
      </c>
      <c r="G384">
        <v>6</v>
      </c>
      <c r="H384">
        <v>9</v>
      </c>
      <c r="I384">
        <v>15</v>
      </c>
      <c r="J384">
        <v>0</v>
      </c>
      <c r="K384">
        <v>8</v>
      </c>
      <c r="L384">
        <v>6</v>
      </c>
      <c r="M384">
        <v>0</v>
      </c>
      <c r="N384">
        <v>0</v>
      </c>
      <c r="O384">
        <v>1</v>
      </c>
      <c r="P384">
        <v>8</v>
      </c>
      <c r="Q384">
        <v>1</v>
      </c>
      <c r="R384">
        <v>0</v>
      </c>
      <c r="S384">
        <v>49</v>
      </c>
      <c r="T384">
        <v>12.2</v>
      </c>
      <c r="U384">
        <v>92</v>
      </c>
      <c r="V384" s="19" t="s">
        <v>1554</v>
      </c>
      <c r="W384" s="19" t="s">
        <v>1537</v>
      </c>
      <c r="X384">
        <v>24</v>
      </c>
      <c r="Y384">
        <v>27</v>
      </c>
      <c r="Z384">
        <v>47.1</v>
      </c>
      <c r="AA384">
        <v>8</v>
      </c>
      <c r="AB384">
        <v>30</v>
      </c>
      <c r="AC384">
        <v>5</v>
      </c>
      <c r="AD384">
        <v>27</v>
      </c>
      <c r="AE384" s="19" t="s">
        <v>60</v>
      </c>
    </row>
    <row r="385" spans="1:31" x14ac:dyDescent="0.2">
      <c r="A385">
        <v>374</v>
      </c>
      <c r="B385" s="19" t="s">
        <v>1003</v>
      </c>
      <c r="C385">
        <v>24</v>
      </c>
      <c r="D385" s="19" t="s">
        <v>345</v>
      </c>
      <c r="E385" s="19" t="s">
        <v>322</v>
      </c>
      <c r="F385">
        <v>38</v>
      </c>
      <c r="G385">
        <v>4</v>
      </c>
      <c r="H385">
        <v>11</v>
      </c>
      <c r="I385">
        <v>15</v>
      </c>
      <c r="J385">
        <v>-7</v>
      </c>
      <c r="K385">
        <v>10</v>
      </c>
      <c r="L385">
        <v>3</v>
      </c>
      <c r="M385">
        <v>1</v>
      </c>
      <c r="N385">
        <v>0</v>
      </c>
      <c r="O385">
        <v>1</v>
      </c>
      <c r="P385">
        <v>9</v>
      </c>
      <c r="Q385">
        <v>2</v>
      </c>
      <c r="R385">
        <v>0</v>
      </c>
      <c r="S385">
        <v>66</v>
      </c>
      <c r="T385">
        <v>6.1</v>
      </c>
      <c r="U385">
        <v>145</v>
      </c>
      <c r="V385" s="19" t="s">
        <v>2179</v>
      </c>
      <c r="W385" s="19" t="s">
        <v>1784</v>
      </c>
      <c r="X385">
        <v>4</v>
      </c>
      <c r="Y385">
        <v>4</v>
      </c>
      <c r="Z385">
        <v>50</v>
      </c>
      <c r="AA385">
        <v>17</v>
      </c>
      <c r="AB385">
        <v>28</v>
      </c>
      <c r="AC385">
        <v>11</v>
      </c>
      <c r="AD385">
        <v>33</v>
      </c>
      <c r="AE385" s="19" t="s">
        <v>60</v>
      </c>
    </row>
    <row r="386" spans="1:31" x14ac:dyDescent="0.2">
      <c r="A386">
        <v>375</v>
      </c>
      <c r="B386" s="19" t="s">
        <v>829</v>
      </c>
      <c r="C386">
        <v>23</v>
      </c>
      <c r="D386" s="19" t="s">
        <v>428</v>
      </c>
      <c r="E386" s="19" t="s">
        <v>348</v>
      </c>
      <c r="F386">
        <v>51</v>
      </c>
      <c r="G386">
        <v>3</v>
      </c>
      <c r="H386">
        <v>12</v>
      </c>
      <c r="I386">
        <v>15</v>
      </c>
      <c r="J386">
        <v>0</v>
      </c>
      <c r="K386">
        <v>6</v>
      </c>
      <c r="L386">
        <v>3</v>
      </c>
      <c r="M386">
        <v>0</v>
      </c>
      <c r="N386">
        <v>0</v>
      </c>
      <c r="O386">
        <v>0</v>
      </c>
      <c r="P386">
        <v>10</v>
      </c>
      <c r="Q386">
        <v>0</v>
      </c>
      <c r="R386">
        <v>2</v>
      </c>
      <c r="S386">
        <v>74</v>
      </c>
      <c r="T386">
        <v>4.0999999999999996</v>
      </c>
      <c r="U386">
        <v>166</v>
      </c>
      <c r="V386" s="19" t="s">
        <v>2610</v>
      </c>
      <c r="W386" s="19" t="s">
        <v>1998</v>
      </c>
      <c r="X386">
        <v>0</v>
      </c>
      <c r="Y386">
        <v>0</v>
      </c>
      <c r="AA386">
        <v>49</v>
      </c>
      <c r="AB386">
        <v>25</v>
      </c>
      <c r="AC386">
        <v>16</v>
      </c>
      <c r="AD386">
        <v>52</v>
      </c>
      <c r="AE386" s="19" t="s">
        <v>60</v>
      </c>
    </row>
    <row r="387" spans="1:31" x14ac:dyDescent="0.2">
      <c r="A387">
        <v>376</v>
      </c>
      <c r="B387" s="19" t="s">
        <v>940</v>
      </c>
      <c r="C387">
        <v>21</v>
      </c>
      <c r="D387" s="19" t="s">
        <v>383</v>
      </c>
      <c r="E387" s="19" t="s">
        <v>322</v>
      </c>
      <c r="F387">
        <v>40</v>
      </c>
      <c r="G387">
        <v>7</v>
      </c>
      <c r="H387">
        <v>8</v>
      </c>
      <c r="I387">
        <v>15</v>
      </c>
      <c r="J387">
        <v>-5</v>
      </c>
      <c r="K387">
        <v>16</v>
      </c>
      <c r="L387">
        <v>6</v>
      </c>
      <c r="M387">
        <v>1</v>
      </c>
      <c r="N387">
        <v>0</v>
      </c>
      <c r="O387">
        <v>2</v>
      </c>
      <c r="P387">
        <v>5</v>
      </c>
      <c r="Q387">
        <v>3</v>
      </c>
      <c r="R387">
        <v>0</v>
      </c>
      <c r="S387">
        <v>51</v>
      </c>
      <c r="T387">
        <v>13.7</v>
      </c>
      <c r="U387">
        <v>83</v>
      </c>
      <c r="V387" s="19" t="s">
        <v>2281</v>
      </c>
      <c r="W387" s="19" t="s">
        <v>1856</v>
      </c>
      <c r="X387">
        <v>96</v>
      </c>
      <c r="Y387">
        <v>166</v>
      </c>
      <c r="Z387">
        <v>36.6</v>
      </c>
      <c r="AA387">
        <v>21</v>
      </c>
      <c r="AB387">
        <v>11</v>
      </c>
      <c r="AC387">
        <v>3</v>
      </c>
      <c r="AD387">
        <v>29</v>
      </c>
      <c r="AE387" s="19" t="s">
        <v>60</v>
      </c>
    </row>
    <row r="388" spans="1:31" x14ac:dyDescent="0.2">
      <c r="A388">
        <v>377</v>
      </c>
      <c r="B388" s="19" t="s">
        <v>831</v>
      </c>
      <c r="C388">
        <v>30</v>
      </c>
      <c r="D388" s="19" t="s">
        <v>396</v>
      </c>
      <c r="E388" s="19" t="s">
        <v>339</v>
      </c>
      <c r="F388">
        <v>44</v>
      </c>
      <c r="G388">
        <v>10</v>
      </c>
      <c r="H388">
        <v>5</v>
      </c>
      <c r="I388">
        <v>15</v>
      </c>
      <c r="J388">
        <v>7</v>
      </c>
      <c r="K388">
        <v>2</v>
      </c>
      <c r="L388">
        <v>10</v>
      </c>
      <c r="M388">
        <v>0</v>
      </c>
      <c r="N388">
        <v>0</v>
      </c>
      <c r="O388">
        <v>2</v>
      </c>
      <c r="P388">
        <v>4</v>
      </c>
      <c r="Q388">
        <v>0</v>
      </c>
      <c r="R388">
        <v>1</v>
      </c>
      <c r="S388">
        <v>59</v>
      </c>
      <c r="T388">
        <v>16.899999999999999</v>
      </c>
      <c r="U388">
        <v>125</v>
      </c>
      <c r="V388" s="19" t="s">
        <v>2146</v>
      </c>
      <c r="W388" s="19" t="s">
        <v>1042</v>
      </c>
      <c r="X388">
        <v>1</v>
      </c>
      <c r="Y388">
        <v>12</v>
      </c>
      <c r="Z388">
        <v>7.7</v>
      </c>
      <c r="AA388">
        <v>7</v>
      </c>
      <c r="AB388">
        <v>60</v>
      </c>
      <c r="AC388">
        <v>7</v>
      </c>
      <c r="AD388">
        <v>16</v>
      </c>
      <c r="AE388" s="19" t="s">
        <v>60</v>
      </c>
    </row>
    <row r="389" spans="1:31" x14ac:dyDescent="0.2">
      <c r="A389">
        <v>378</v>
      </c>
      <c r="B389" s="19" t="s">
        <v>764</v>
      </c>
      <c r="C389">
        <v>25</v>
      </c>
      <c r="D389" s="19" t="s">
        <v>383</v>
      </c>
      <c r="E389" s="19" t="s">
        <v>325</v>
      </c>
      <c r="F389">
        <v>38</v>
      </c>
      <c r="G389">
        <v>4</v>
      </c>
      <c r="H389">
        <v>11</v>
      </c>
      <c r="I389">
        <v>15</v>
      </c>
      <c r="J389">
        <v>-5</v>
      </c>
      <c r="K389">
        <v>2</v>
      </c>
      <c r="L389">
        <v>4</v>
      </c>
      <c r="M389">
        <v>0</v>
      </c>
      <c r="N389">
        <v>0</v>
      </c>
      <c r="O389">
        <v>0</v>
      </c>
      <c r="P389">
        <v>6</v>
      </c>
      <c r="Q389">
        <v>5</v>
      </c>
      <c r="R389">
        <v>0</v>
      </c>
      <c r="S389">
        <v>45</v>
      </c>
      <c r="T389">
        <v>8.9</v>
      </c>
      <c r="U389">
        <v>99</v>
      </c>
      <c r="V389" s="19" t="s">
        <v>2611</v>
      </c>
      <c r="W389" s="19" t="s">
        <v>1723</v>
      </c>
      <c r="X389">
        <v>0</v>
      </c>
      <c r="Y389">
        <v>2</v>
      </c>
      <c r="Z389">
        <v>0</v>
      </c>
      <c r="AA389">
        <v>12</v>
      </c>
      <c r="AB389">
        <v>23</v>
      </c>
      <c r="AC389">
        <v>10</v>
      </c>
      <c r="AD389">
        <v>30</v>
      </c>
      <c r="AE389" s="19" t="s">
        <v>60</v>
      </c>
    </row>
    <row r="390" spans="1:31" x14ac:dyDescent="0.2">
      <c r="A390">
        <v>379</v>
      </c>
      <c r="B390" s="19" t="s">
        <v>889</v>
      </c>
      <c r="C390">
        <v>34</v>
      </c>
      <c r="D390" s="19" t="s">
        <v>343</v>
      </c>
      <c r="E390" s="19" t="s">
        <v>334</v>
      </c>
      <c r="F390">
        <v>48</v>
      </c>
      <c r="G390">
        <v>8</v>
      </c>
      <c r="H390">
        <v>7</v>
      </c>
      <c r="I390">
        <v>15</v>
      </c>
      <c r="J390">
        <v>-10</v>
      </c>
      <c r="K390">
        <v>2</v>
      </c>
      <c r="L390">
        <v>7</v>
      </c>
      <c r="M390">
        <v>1</v>
      </c>
      <c r="N390">
        <v>0</v>
      </c>
      <c r="O390">
        <v>1</v>
      </c>
      <c r="P390">
        <v>7</v>
      </c>
      <c r="Q390">
        <v>0</v>
      </c>
      <c r="R390">
        <v>0</v>
      </c>
      <c r="S390">
        <v>54</v>
      </c>
      <c r="T390">
        <v>14.8</v>
      </c>
      <c r="U390">
        <v>106</v>
      </c>
      <c r="V390" s="19" t="s">
        <v>2612</v>
      </c>
      <c r="W390" s="19" t="s">
        <v>2003</v>
      </c>
      <c r="X390">
        <v>16</v>
      </c>
      <c r="Y390">
        <v>30</v>
      </c>
      <c r="Z390">
        <v>34.799999999999997</v>
      </c>
      <c r="AA390">
        <v>9</v>
      </c>
      <c r="AB390">
        <v>19</v>
      </c>
      <c r="AC390">
        <v>9</v>
      </c>
      <c r="AD390">
        <v>49</v>
      </c>
      <c r="AE390" s="19" t="s">
        <v>60</v>
      </c>
    </row>
    <row r="391" spans="1:31" x14ac:dyDescent="0.2">
      <c r="A391">
        <v>380</v>
      </c>
      <c r="B391" s="19" t="s">
        <v>1009</v>
      </c>
      <c r="C391">
        <v>36</v>
      </c>
      <c r="D391" s="19" t="s">
        <v>356</v>
      </c>
      <c r="E391" s="19" t="s">
        <v>348</v>
      </c>
      <c r="F391">
        <v>54</v>
      </c>
      <c r="G391">
        <v>5</v>
      </c>
      <c r="H391">
        <v>10</v>
      </c>
      <c r="I391">
        <v>15</v>
      </c>
      <c r="J391">
        <v>-2</v>
      </c>
      <c r="K391">
        <v>14</v>
      </c>
      <c r="L391">
        <v>3</v>
      </c>
      <c r="M391">
        <v>2</v>
      </c>
      <c r="N391">
        <v>0</v>
      </c>
      <c r="O391">
        <v>1</v>
      </c>
      <c r="P391">
        <v>7</v>
      </c>
      <c r="Q391">
        <v>3</v>
      </c>
      <c r="R391">
        <v>0</v>
      </c>
      <c r="S391">
        <v>64</v>
      </c>
      <c r="T391">
        <v>7.8</v>
      </c>
      <c r="U391">
        <v>155</v>
      </c>
      <c r="V391" s="19" t="s">
        <v>2613</v>
      </c>
      <c r="W391" s="19" t="s">
        <v>2020</v>
      </c>
      <c r="X391">
        <v>0</v>
      </c>
      <c r="Y391">
        <v>0</v>
      </c>
      <c r="AA391">
        <v>102</v>
      </c>
      <c r="AB391">
        <v>63</v>
      </c>
      <c r="AC391">
        <v>10</v>
      </c>
      <c r="AD391">
        <v>42</v>
      </c>
      <c r="AE391" s="19" t="s">
        <v>60</v>
      </c>
    </row>
    <row r="392" spans="1:31" x14ac:dyDescent="0.2">
      <c r="A392">
        <v>381</v>
      </c>
      <c r="B392" s="19" t="s">
        <v>803</v>
      </c>
      <c r="C392">
        <v>29</v>
      </c>
      <c r="D392" s="19" t="s">
        <v>356</v>
      </c>
      <c r="E392" s="19" t="s">
        <v>322</v>
      </c>
      <c r="F392">
        <v>54</v>
      </c>
      <c r="G392">
        <v>4</v>
      </c>
      <c r="H392">
        <v>11</v>
      </c>
      <c r="I392">
        <v>15</v>
      </c>
      <c r="J392">
        <v>7</v>
      </c>
      <c r="K392">
        <v>23</v>
      </c>
      <c r="L392">
        <v>4</v>
      </c>
      <c r="M392">
        <v>0</v>
      </c>
      <c r="N392">
        <v>0</v>
      </c>
      <c r="O392">
        <v>1</v>
      </c>
      <c r="P392">
        <v>11</v>
      </c>
      <c r="Q392">
        <v>0</v>
      </c>
      <c r="R392">
        <v>0</v>
      </c>
      <c r="S392">
        <v>58</v>
      </c>
      <c r="T392">
        <v>6.9</v>
      </c>
      <c r="U392">
        <v>125</v>
      </c>
      <c r="V392" s="19" t="s">
        <v>2614</v>
      </c>
      <c r="W392" s="19" t="s">
        <v>1630</v>
      </c>
      <c r="X392">
        <v>33</v>
      </c>
      <c r="Y392">
        <v>55</v>
      </c>
      <c r="Z392">
        <v>37.5</v>
      </c>
      <c r="AA392">
        <v>30</v>
      </c>
      <c r="AB392">
        <v>267</v>
      </c>
      <c r="AC392">
        <v>17</v>
      </c>
      <c r="AD392">
        <v>39</v>
      </c>
      <c r="AE392" s="19" t="s">
        <v>60</v>
      </c>
    </row>
    <row r="393" spans="1:31" x14ac:dyDescent="0.2">
      <c r="A393">
        <v>382</v>
      </c>
      <c r="B393" s="19" t="s">
        <v>804</v>
      </c>
      <c r="C393">
        <v>20</v>
      </c>
      <c r="D393" s="19" t="s">
        <v>447</v>
      </c>
      <c r="E393" s="19" t="s">
        <v>348</v>
      </c>
      <c r="F393">
        <v>41</v>
      </c>
      <c r="G393">
        <v>3</v>
      </c>
      <c r="H393">
        <v>12</v>
      </c>
      <c r="I393">
        <v>15</v>
      </c>
      <c r="J393">
        <v>-6</v>
      </c>
      <c r="K393">
        <v>10</v>
      </c>
      <c r="L393">
        <v>3</v>
      </c>
      <c r="M393">
        <v>0</v>
      </c>
      <c r="N393">
        <v>0</v>
      </c>
      <c r="O393">
        <v>0</v>
      </c>
      <c r="P393">
        <v>9</v>
      </c>
      <c r="Q393">
        <v>3</v>
      </c>
      <c r="R393">
        <v>0</v>
      </c>
      <c r="S393">
        <v>37</v>
      </c>
      <c r="T393">
        <v>8.1</v>
      </c>
      <c r="U393">
        <v>97</v>
      </c>
      <c r="V393" s="19" t="s">
        <v>2615</v>
      </c>
      <c r="W393" s="19" t="s">
        <v>2088</v>
      </c>
      <c r="X393">
        <v>0</v>
      </c>
      <c r="Y393">
        <v>0</v>
      </c>
      <c r="AA393">
        <v>38</v>
      </c>
      <c r="AB393">
        <v>9</v>
      </c>
      <c r="AC393">
        <v>6</v>
      </c>
      <c r="AD393">
        <v>35</v>
      </c>
      <c r="AE393" s="19" t="s">
        <v>60</v>
      </c>
    </row>
    <row r="394" spans="1:31" x14ac:dyDescent="0.2">
      <c r="A394">
        <v>383</v>
      </c>
      <c r="B394" s="19" t="s">
        <v>664</v>
      </c>
      <c r="C394">
        <v>20</v>
      </c>
      <c r="D394" s="19" t="s">
        <v>460</v>
      </c>
      <c r="E394" s="19" t="s">
        <v>334</v>
      </c>
      <c r="F394">
        <v>42</v>
      </c>
      <c r="G394">
        <v>8</v>
      </c>
      <c r="H394">
        <v>7</v>
      </c>
      <c r="I394">
        <v>15</v>
      </c>
      <c r="J394">
        <v>-3</v>
      </c>
      <c r="K394">
        <v>2</v>
      </c>
      <c r="L394">
        <v>6</v>
      </c>
      <c r="M394">
        <v>2</v>
      </c>
      <c r="N394">
        <v>0</v>
      </c>
      <c r="O394">
        <v>0</v>
      </c>
      <c r="P394">
        <v>4</v>
      </c>
      <c r="Q394">
        <v>3</v>
      </c>
      <c r="R394">
        <v>0</v>
      </c>
      <c r="S394">
        <v>64</v>
      </c>
      <c r="T394">
        <v>12.5</v>
      </c>
      <c r="U394">
        <v>117</v>
      </c>
      <c r="V394" s="19" t="s">
        <v>2616</v>
      </c>
      <c r="W394" s="19" t="s">
        <v>1519</v>
      </c>
      <c r="X394">
        <v>7</v>
      </c>
      <c r="Y394">
        <v>13</v>
      </c>
      <c r="Z394">
        <v>35</v>
      </c>
      <c r="AA394">
        <v>16</v>
      </c>
      <c r="AB394">
        <v>32</v>
      </c>
      <c r="AC394">
        <v>3</v>
      </c>
      <c r="AD394">
        <v>24</v>
      </c>
      <c r="AE394" s="19" t="s">
        <v>60</v>
      </c>
    </row>
    <row r="395" spans="1:31" x14ac:dyDescent="0.2">
      <c r="A395">
        <v>384</v>
      </c>
      <c r="B395" s="19" t="s">
        <v>621</v>
      </c>
      <c r="C395">
        <v>24</v>
      </c>
      <c r="D395" s="19" t="s">
        <v>948</v>
      </c>
      <c r="E395" s="19" t="s">
        <v>322</v>
      </c>
      <c r="F395">
        <v>25</v>
      </c>
      <c r="G395">
        <v>5</v>
      </c>
      <c r="H395">
        <v>10</v>
      </c>
      <c r="I395">
        <v>15</v>
      </c>
      <c r="J395">
        <v>-11</v>
      </c>
      <c r="K395">
        <v>4</v>
      </c>
      <c r="L395">
        <v>5</v>
      </c>
      <c r="M395">
        <v>0</v>
      </c>
      <c r="N395">
        <v>0</v>
      </c>
      <c r="O395">
        <v>0</v>
      </c>
      <c r="P395">
        <v>5</v>
      </c>
      <c r="Q395">
        <v>5</v>
      </c>
      <c r="R395">
        <v>0</v>
      </c>
      <c r="S395">
        <v>36</v>
      </c>
      <c r="T395">
        <v>13.9</v>
      </c>
      <c r="U395">
        <v>76</v>
      </c>
      <c r="V395" s="19" t="s">
        <v>1729</v>
      </c>
      <c r="W395" s="19" t="s">
        <v>1605</v>
      </c>
      <c r="X395">
        <v>169</v>
      </c>
      <c r="Y395">
        <v>173</v>
      </c>
      <c r="Z395">
        <v>49.4</v>
      </c>
      <c r="AA395">
        <v>20</v>
      </c>
      <c r="AB395">
        <v>16</v>
      </c>
      <c r="AC395">
        <v>6</v>
      </c>
      <c r="AD395">
        <v>21</v>
      </c>
      <c r="AE395" s="19" t="s">
        <v>60</v>
      </c>
    </row>
    <row r="396" spans="1:31" x14ac:dyDescent="0.2">
      <c r="A396">
        <v>384</v>
      </c>
      <c r="B396" s="19" t="s">
        <v>621</v>
      </c>
      <c r="C396">
        <v>24</v>
      </c>
      <c r="D396" s="19" t="s">
        <v>356</v>
      </c>
      <c r="E396" s="19" t="s">
        <v>322</v>
      </c>
      <c r="F396">
        <v>17</v>
      </c>
      <c r="G396">
        <v>4</v>
      </c>
      <c r="H396">
        <v>9</v>
      </c>
      <c r="I396">
        <v>13</v>
      </c>
      <c r="J396">
        <v>-6</v>
      </c>
      <c r="K396">
        <v>2</v>
      </c>
      <c r="L396">
        <v>4</v>
      </c>
      <c r="M396">
        <v>0</v>
      </c>
      <c r="N396">
        <v>0</v>
      </c>
      <c r="O396">
        <v>0</v>
      </c>
      <c r="P396">
        <v>4</v>
      </c>
      <c r="Q396">
        <v>5</v>
      </c>
      <c r="R396">
        <v>0</v>
      </c>
      <c r="S396">
        <v>27</v>
      </c>
      <c r="T396">
        <v>14.8</v>
      </c>
      <c r="U396">
        <v>55</v>
      </c>
      <c r="V396" s="19" t="s">
        <v>622</v>
      </c>
      <c r="W396" s="19" t="s">
        <v>623</v>
      </c>
      <c r="X396">
        <v>107</v>
      </c>
      <c r="Y396">
        <v>113</v>
      </c>
      <c r="Z396">
        <v>48.6</v>
      </c>
      <c r="AA396">
        <v>8</v>
      </c>
      <c r="AB396">
        <v>11</v>
      </c>
      <c r="AC396">
        <v>5</v>
      </c>
      <c r="AD396">
        <v>13</v>
      </c>
      <c r="AE396" s="19" t="s">
        <v>60</v>
      </c>
    </row>
    <row r="397" spans="1:31" x14ac:dyDescent="0.2">
      <c r="A397">
        <v>384</v>
      </c>
      <c r="B397" s="19" t="s">
        <v>621</v>
      </c>
      <c r="C397">
        <v>24</v>
      </c>
      <c r="D397" s="19" t="s">
        <v>447</v>
      </c>
      <c r="E397" s="19" t="s">
        <v>322</v>
      </c>
      <c r="F397">
        <v>8</v>
      </c>
      <c r="G397">
        <v>1</v>
      </c>
      <c r="H397">
        <v>1</v>
      </c>
      <c r="I397">
        <v>2</v>
      </c>
      <c r="J397">
        <v>-5</v>
      </c>
      <c r="K397">
        <v>2</v>
      </c>
      <c r="L397">
        <v>1</v>
      </c>
      <c r="M397">
        <v>0</v>
      </c>
      <c r="N397">
        <v>0</v>
      </c>
      <c r="O397">
        <v>0</v>
      </c>
      <c r="P397">
        <v>1</v>
      </c>
      <c r="Q397">
        <v>0</v>
      </c>
      <c r="R397">
        <v>0</v>
      </c>
      <c r="S397">
        <v>9</v>
      </c>
      <c r="T397">
        <v>11.1</v>
      </c>
      <c r="U397">
        <v>21</v>
      </c>
      <c r="V397" s="19" t="s">
        <v>1730</v>
      </c>
      <c r="W397" s="19" t="s">
        <v>1613</v>
      </c>
      <c r="X397">
        <v>62</v>
      </c>
      <c r="Y397">
        <v>60</v>
      </c>
      <c r="Z397">
        <v>50.8</v>
      </c>
      <c r="AA397">
        <v>12</v>
      </c>
      <c r="AB397">
        <v>5</v>
      </c>
      <c r="AC397">
        <v>1</v>
      </c>
      <c r="AD397">
        <v>8</v>
      </c>
      <c r="AE397" s="19" t="s">
        <v>60</v>
      </c>
    </row>
    <row r="398" spans="1:31" x14ac:dyDescent="0.2">
      <c r="A398">
        <v>385</v>
      </c>
      <c r="B398" s="19" t="s">
        <v>733</v>
      </c>
      <c r="C398">
        <v>36</v>
      </c>
      <c r="D398" s="19" t="s">
        <v>333</v>
      </c>
      <c r="E398" s="19" t="s">
        <v>339</v>
      </c>
      <c r="F398">
        <v>31</v>
      </c>
      <c r="G398">
        <v>7</v>
      </c>
      <c r="H398">
        <v>7</v>
      </c>
      <c r="I398">
        <v>14</v>
      </c>
      <c r="J398">
        <v>7</v>
      </c>
      <c r="K398">
        <v>21</v>
      </c>
      <c r="L398">
        <v>7</v>
      </c>
      <c r="M398">
        <v>0</v>
      </c>
      <c r="N398">
        <v>0</v>
      </c>
      <c r="O398">
        <v>0</v>
      </c>
      <c r="P398">
        <v>7</v>
      </c>
      <c r="Q398">
        <v>0</v>
      </c>
      <c r="R398">
        <v>0</v>
      </c>
      <c r="S398">
        <v>41</v>
      </c>
      <c r="T398">
        <v>17.100000000000001</v>
      </c>
      <c r="U398">
        <v>58</v>
      </c>
      <c r="V398" s="19" t="s">
        <v>2617</v>
      </c>
      <c r="W398" s="19" t="s">
        <v>1534</v>
      </c>
      <c r="X398">
        <v>32</v>
      </c>
      <c r="Y398">
        <v>31</v>
      </c>
      <c r="Z398">
        <v>50.8</v>
      </c>
      <c r="AA398">
        <v>9</v>
      </c>
      <c r="AB398">
        <v>41</v>
      </c>
      <c r="AC398">
        <v>4</v>
      </c>
      <c r="AD398">
        <v>18</v>
      </c>
      <c r="AE398" s="19" t="s">
        <v>60</v>
      </c>
    </row>
    <row r="399" spans="1:31" x14ac:dyDescent="0.2">
      <c r="A399">
        <v>386</v>
      </c>
      <c r="B399" s="19" t="s">
        <v>809</v>
      </c>
      <c r="C399">
        <v>34</v>
      </c>
      <c r="D399" s="19" t="s">
        <v>383</v>
      </c>
      <c r="E399" s="19" t="s">
        <v>322</v>
      </c>
      <c r="F399">
        <v>53</v>
      </c>
      <c r="G399">
        <v>6</v>
      </c>
      <c r="H399">
        <v>8</v>
      </c>
      <c r="I399">
        <v>14</v>
      </c>
      <c r="J399">
        <v>0</v>
      </c>
      <c r="K399">
        <v>10</v>
      </c>
      <c r="L399">
        <v>5</v>
      </c>
      <c r="M399">
        <v>0</v>
      </c>
      <c r="N399">
        <v>1</v>
      </c>
      <c r="O399">
        <v>0</v>
      </c>
      <c r="P399">
        <v>7</v>
      </c>
      <c r="Q399">
        <v>0</v>
      </c>
      <c r="R399">
        <v>1</v>
      </c>
      <c r="S399">
        <v>39</v>
      </c>
      <c r="T399">
        <v>15.4</v>
      </c>
      <c r="U399">
        <v>81</v>
      </c>
      <c r="V399" s="19" t="s">
        <v>2905</v>
      </c>
      <c r="W399" s="19" t="s">
        <v>1627</v>
      </c>
      <c r="X399">
        <v>221</v>
      </c>
      <c r="Y399">
        <v>202</v>
      </c>
      <c r="Z399">
        <v>52.2</v>
      </c>
      <c r="AA399">
        <v>38</v>
      </c>
      <c r="AB399">
        <v>108</v>
      </c>
      <c r="AC399">
        <v>8</v>
      </c>
      <c r="AD399">
        <v>34</v>
      </c>
      <c r="AE399" s="19" t="s">
        <v>60</v>
      </c>
    </row>
    <row r="400" spans="1:31" x14ac:dyDescent="0.2">
      <c r="A400">
        <v>387</v>
      </c>
      <c r="B400" s="19" t="s">
        <v>1100</v>
      </c>
      <c r="C400">
        <v>35</v>
      </c>
      <c r="D400" s="19" t="s">
        <v>333</v>
      </c>
      <c r="E400" s="19" t="s">
        <v>322</v>
      </c>
      <c r="F400">
        <v>28</v>
      </c>
      <c r="G400">
        <v>7</v>
      </c>
      <c r="H400">
        <v>7</v>
      </c>
      <c r="I400">
        <v>14</v>
      </c>
      <c r="J400">
        <v>-6</v>
      </c>
      <c r="K400">
        <v>6</v>
      </c>
      <c r="L400">
        <v>4</v>
      </c>
      <c r="M400">
        <v>3</v>
      </c>
      <c r="N400">
        <v>0</v>
      </c>
      <c r="O400">
        <v>1</v>
      </c>
      <c r="P400">
        <v>7</v>
      </c>
      <c r="Q400">
        <v>0</v>
      </c>
      <c r="R400">
        <v>0</v>
      </c>
      <c r="S400">
        <v>41</v>
      </c>
      <c r="T400">
        <v>17.100000000000001</v>
      </c>
      <c r="U400">
        <v>82</v>
      </c>
      <c r="V400" s="19" t="s">
        <v>2619</v>
      </c>
      <c r="W400" s="19" t="s">
        <v>2010</v>
      </c>
      <c r="X400">
        <v>88</v>
      </c>
      <c r="Y400">
        <v>79</v>
      </c>
      <c r="Z400">
        <v>52.7</v>
      </c>
      <c r="AA400">
        <v>11</v>
      </c>
      <c r="AB400">
        <v>7</v>
      </c>
      <c r="AC400">
        <v>5</v>
      </c>
      <c r="AD400">
        <v>25</v>
      </c>
      <c r="AE400" s="19" t="s">
        <v>60</v>
      </c>
    </row>
    <row r="401" spans="1:31" x14ac:dyDescent="0.2">
      <c r="A401">
        <v>388</v>
      </c>
      <c r="B401" s="19" t="s">
        <v>966</v>
      </c>
      <c r="C401">
        <v>20</v>
      </c>
      <c r="D401" s="19" t="s">
        <v>513</v>
      </c>
      <c r="E401" s="19" t="s">
        <v>322</v>
      </c>
      <c r="F401">
        <v>43</v>
      </c>
      <c r="G401">
        <v>9</v>
      </c>
      <c r="H401">
        <v>5</v>
      </c>
      <c r="I401">
        <v>14</v>
      </c>
      <c r="J401">
        <v>-3</v>
      </c>
      <c r="K401">
        <v>14</v>
      </c>
      <c r="L401">
        <v>4</v>
      </c>
      <c r="M401">
        <v>5</v>
      </c>
      <c r="N401">
        <v>0</v>
      </c>
      <c r="O401">
        <v>0</v>
      </c>
      <c r="P401">
        <v>3</v>
      </c>
      <c r="Q401">
        <v>2</v>
      </c>
      <c r="R401">
        <v>0</v>
      </c>
      <c r="S401">
        <v>57</v>
      </c>
      <c r="T401">
        <v>15.8</v>
      </c>
      <c r="U401">
        <v>103</v>
      </c>
      <c r="V401" s="19" t="s">
        <v>2620</v>
      </c>
      <c r="W401" s="19" t="s">
        <v>1857</v>
      </c>
      <c r="X401">
        <v>203</v>
      </c>
      <c r="Y401">
        <v>220</v>
      </c>
      <c r="Z401">
        <v>48</v>
      </c>
      <c r="AA401">
        <v>16</v>
      </c>
      <c r="AB401">
        <v>63</v>
      </c>
      <c r="AC401">
        <v>6</v>
      </c>
      <c r="AD401">
        <v>29</v>
      </c>
      <c r="AE401" s="19" t="s">
        <v>60</v>
      </c>
    </row>
    <row r="402" spans="1:31" x14ac:dyDescent="0.2">
      <c r="A402">
        <v>389</v>
      </c>
      <c r="B402" s="19" t="s">
        <v>636</v>
      </c>
      <c r="C402">
        <v>29</v>
      </c>
      <c r="D402" s="19" t="s">
        <v>354</v>
      </c>
      <c r="E402" s="19" t="s">
        <v>322</v>
      </c>
      <c r="F402">
        <v>41</v>
      </c>
      <c r="G402">
        <v>6</v>
      </c>
      <c r="H402">
        <v>8</v>
      </c>
      <c r="I402">
        <v>14</v>
      </c>
      <c r="J402">
        <v>-5</v>
      </c>
      <c r="K402">
        <v>23</v>
      </c>
      <c r="L402">
        <v>5</v>
      </c>
      <c r="M402">
        <v>1</v>
      </c>
      <c r="N402">
        <v>0</v>
      </c>
      <c r="O402">
        <v>1</v>
      </c>
      <c r="P402">
        <v>5</v>
      </c>
      <c r="Q402">
        <v>3</v>
      </c>
      <c r="R402">
        <v>0</v>
      </c>
      <c r="S402">
        <v>78</v>
      </c>
      <c r="T402">
        <v>7.7</v>
      </c>
      <c r="U402">
        <v>135</v>
      </c>
      <c r="V402" s="19" t="s">
        <v>2621</v>
      </c>
      <c r="W402" s="19" t="s">
        <v>934</v>
      </c>
      <c r="X402">
        <v>1</v>
      </c>
      <c r="Y402">
        <v>3</v>
      </c>
      <c r="Z402">
        <v>25</v>
      </c>
      <c r="AA402">
        <v>12</v>
      </c>
      <c r="AB402">
        <v>31</v>
      </c>
      <c r="AC402">
        <v>2</v>
      </c>
      <c r="AD402">
        <v>26</v>
      </c>
      <c r="AE402" s="19" t="s">
        <v>60</v>
      </c>
    </row>
    <row r="403" spans="1:31" x14ac:dyDescent="0.2">
      <c r="A403">
        <v>390</v>
      </c>
      <c r="B403" s="19" t="s">
        <v>1046</v>
      </c>
      <c r="C403">
        <v>32</v>
      </c>
      <c r="D403" s="19" t="s">
        <v>531</v>
      </c>
      <c r="E403" s="19" t="s">
        <v>322</v>
      </c>
      <c r="F403">
        <v>39</v>
      </c>
      <c r="G403">
        <v>4</v>
      </c>
      <c r="H403">
        <v>10</v>
      </c>
      <c r="I403">
        <v>14</v>
      </c>
      <c r="J403">
        <v>6</v>
      </c>
      <c r="K403">
        <v>9</v>
      </c>
      <c r="L403">
        <v>3</v>
      </c>
      <c r="M403">
        <v>1</v>
      </c>
      <c r="N403">
        <v>0</v>
      </c>
      <c r="O403">
        <v>0</v>
      </c>
      <c r="P403">
        <v>9</v>
      </c>
      <c r="Q403">
        <v>1</v>
      </c>
      <c r="R403">
        <v>0</v>
      </c>
      <c r="S403">
        <v>40</v>
      </c>
      <c r="T403">
        <v>10</v>
      </c>
      <c r="U403">
        <v>89</v>
      </c>
      <c r="V403" s="19" t="s">
        <v>2622</v>
      </c>
      <c r="W403" s="19" t="s">
        <v>2244</v>
      </c>
      <c r="X403">
        <v>163</v>
      </c>
      <c r="Y403">
        <v>224</v>
      </c>
      <c r="Z403">
        <v>42.1</v>
      </c>
      <c r="AA403">
        <v>30</v>
      </c>
      <c r="AB403">
        <v>17</v>
      </c>
      <c r="AC403">
        <v>17</v>
      </c>
      <c r="AD403">
        <v>23</v>
      </c>
      <c r="AE403" s="19" t="s">
        <v>60</v>
      </c>
    </row>
    <row r="404" spans="1:31" x14ac:dyDescent="0.2">
      <c r="A404">
        <v>391</v>
      </c>
      <c r="B404" s="19" t="s">
        <v>782</v>
      </c>
      <c r="C404">
        <v>32</v>
      </c>
      <c r="D404" s="19" t="s">
        <v>343</v>
      </c>
      <c r="E404" s="19" t="s">
        <v>348</v>
      </c>
      <c r="F404">
        <v>45</v>
      </c>
      <c r="G404">
        <v>6</v>
      </c>
      <c r="H404">
        <v>8</v>
      </c>
      <c r="I404">
        <v>14</v>
      </c>
      <c r="J404">
        <v>0</v>
      </c>
      <c r="K404">
        <v>17</v>
      </c>
      <c r="L404">
        <v>6</v>
      </c>
      <c r="M404">
        <v>0</v>
      </c>
      <c r="N404">
        <v>0</v>
      </c>
      <c r="O404">
        <v>1</v>
      </c>
      <c r="P404">
        <v>8</v>
      </c>
      <c r="Q404">
        <v>0</v>
      </c>
      <c r="R404">
        <v>0</v>
      </c>
      <c r="S404">
        <v>59</v>
      </c>
      <c r="T404">
        <v>10.199999999999999</v>
      </c>
      <c r="U404">
        <v>119</v>
      </c>
      <c r="V404" s="19" t="s">
        <v>2623</v>
      </c>
      <c r="W404" s="19" t="s">
        <v>1962</v>
      </c>
      <c r="X404">
        <v>0</v>
      </c>
      <c r="Y404">
        <v>0</v>
      </c>
      <c r="AA404">
        <v>47</v>
      </c>
      <c r="AB404">
        <v>23</v>
      </c>
      <c r="AC404">
        <v>14</v>
      </c>
      <c r="AD404">
        <v>37</v>
      </c>
      <c r="AE404" s="19" t="s">
        <v>60</v>
      </c>
    </row>
    <row r="405" spans="1:31" x14ac:dyDescent="0.2">
      <c r="A405">
        <v>392</v>
      </c>
      <c r="B405" s="19" t="s">
        <v>824</v>
      </c>
      <c r="C405">
        <v>29</v>
      </c>
      <c r="D405" s="19" t="s">
        <v>358</v>
      </c>
      <c r="E405" s="19" t="s">
        <v>322</v>
      </c>
      <c r="F405">
        <v>46</v>
      </c>
      <c r="G405">
        <v>4</v>
      </c>
      <c r="H405">
        <v>10</v>
      </c>
      <c r="I405">
        <v>14</v>
      </c>
      <c r="J405">
        <v>3</v>
      </c>
      <c r="K405">
        <v>12</v>
      </c>
      <c r="L405">
        <v>3</v>
      </c>
      <c r="M405">
        <v>0</v>
      </c>
      <c r="N405">
        <v>1</v>
      </c>
      <c r="O405">
        <v>0</v>
      </c>
      <c r="P405">
        <v>10</v>
      </c>
      <c r="Q405">
        <v>0</v>
      </c>
      <c r="R405">
        <v>0</v>
      </c>
      <c r="S405">
        <v>48</v>
      </c>
      <c r="T405">
        <v>8.3000000000000007</v>
      </c>
      <c r="U405">
        <v>76</v>
      </c>
      <c r="V405" s="19" t="s">
        <v>2624</v>
      </c>
      <c r="W405" s="19" t="s">
        <v>1621</v>
      </c>
      <c r="X405">
        <v>38</v>
      </c>
      <c r="Y405">
        <v>33</v>
      </c>
      <c r="Z405">
        <v>53.5</v>
      </c>
      <c r="AA405">
        <v>30</v>
      </c>
      <c r="AB405">
        <v>102</v>
      </c>
      <c r="AC405">
        <v>10</v>
      </c>
      <c r="AD405">
        <v>21</v>
      </c>
      <c r="AE405" s="19" t="s">
        <v>60</v>
      </c>
    </row>
    <row r="406" spans="1:31" x14ac:dyDescent="0.2">
      <c r="A406">
        <v>393</v>
      </c>
      <c r="B406" s="19" t="s">
        <v>826</v>
      </c>
      <c r="C406">
        <v>22</v>
      </c>
      <c r="D406" s="19" t="s">
        <v>336</v>
      </c>
      <c r="E406" s="19" t="s">
        <v>348</v>
      </c>
      <c r="F406">
        <v>48</v>
      </c>
      <c r="G406">
        <v>6</v>
      </c>
      <c r="H406">
        <v>8</v>
      </c>
      <c r="I406">
        <v>14</v>
      </c>
      <c r="J406">
        <v>-3</v>
      </c>
      <c r="K406">
        <v>4</v>
      </c>
      <c r="L406">
        <v>6</v>
      </c>
      <c r="M406">
        <v>0</v>
      </c>
      <c r="N406">
        <v>0</v>
      </c>
      <c r="O406">
        <v>2</v>
      </c>
      <c r="P406">
        <v>7</v>
      </c>
      <c r="Q406">
        <v>1</v>
      </c>
      <c r="R406">
        <v>0</v>
      </c>
      <c r="S406">
        <v>50</v>
      </c>
      <c r="T406">
        <v>12</v>
      </c>
      <c r="U406">
        <v>133</v>
      </c>
      <c r="V406" s="19" t="s">
        <v>2139</v>
      </c>
      <c r="W406" s="19" t="s">
        <v>1492</v>
      </c>
      <c r="X406">
        <v>0</v>
      </c>
      <c r="Y406">
        <v>0</v>
      </c>
      <c r="AA406">
        <v>73</v>
      </c>
      <c r="AB406">
        <v>25</v>
      </c>
      <c r="AC406">
        <v>12</v>
      </c>
      <c r="AD406">
        <v>40</v>
      </c>
      <c r="AE406" s="19" t="s">
        <v>60</v>
      </c>
    </row>
    <row r="407" spans="1:31" x14ac:dyDescent="0.2">
      <c r="A407">
        <v>394</v>
      </c>
      <c r="B407" s="19" t="s">
        <v>650</v>
      </c>
      <c r="C407">
        <v>30</v>
      </c>
      <c r="D407" s="19" t="s">
        <v>419</v>
      </c>
      <c r="E407" s="19" t="s">
        <v>339</v>
      </c>
      <c r="F407">
        <v>39</v>
      </c>
      <c r="G407">
        <v>6</v>
      </c>
      <c r="H407">
        <v>8</v>
      </c>
      <c r="I407">
        <v>14</v>
      </c>
      <c r="J407">
        <v>0</v>
      </c>
      <c r="K407">
        <v>6</v>
      </c>
      <c r="L407">
        <v>5</v>
      </c>
      <c r="M407">
        <v>0</v>
      </c>
      <c r="N407">
        <v>1</v>
      </c>
      <c r="O407">
        <v>1</v>
      </c>
      <c r="P407">
        <v>7</v>
      </c>
      <c r="Q407">
        <v>0</v>
      </c>
      <c r="R407">
        <v>1</v>
      </c>
      <c r="S407">
        <v>73</v>
      </c>
      <c r="T407">
        <v>8.1999999999999993</v>
      </c>
      <c r="U407">
        <v>145</v>
      </c>
      <c r="V407" s="19" t="s">
        <v>2625</v>
      </c>
      <c r="W407" s="19" t="s">
        <v>2218</v>
      </c>
      <c r="X407">
        <v>3</v>
      </c>
      <c r="Y407">
        <v>12</v>
      </c>
      <c r="Z407">
        <v>20</v>
      </c>
      <c r="AA407">
        <v>22</v>
      </c>
      <c r="AB407">
        <v>24</v>
      </c>
      <c r="AC407">
        <v>16</v>
      </c>
      <c r="AD407">
        <v>30</v>
      </c>
      <c r="AE407" s="19" t="s">
        <v>60</v>
      </c>
    </row>
    <row r="408" spans="1:31" x14ac:dyDescent="0.2">
      <c r="A408">
        <v>395</v>
      </c>
      <c r="B408" s="19" t="s">
        <v>796</v>
      </c>
      <c r="C408">
        <v>26</v>
      </c>
      <c r="D408" s="19" t="s">
        <v>370</v>
      </c>
      <c r="E408" s="19" t="s">
        <v>322</v>
      </c>
      <c r="F408">
        <v>49</v>
      </c>
      <c r="G408">
        <v>6</v>
      </c>
      <c r="H408">
        <v>8</v>
      </c>
      <c r="I408">
        <v>14</v>
      </c>
      <c r="J408">
        <v>-3</v>
      </c>
      <c r="K408">
        <v>8</v>
      </c>
      <c r="L408">
        <v>5</v>
      </c>
      <c r="M408">
        <v>0</v>
      </c>
      <c r="N408">
        <v>1</v>
      </c>
      <c r="O408">
        <v>0</v>
      </c>
      <c r="P408">
        <v>8</v>
      </c>
      <c r="Q408">
        <v>0</v>
      </c>
      <c r="R408">
        <v>0</v>
      </c>
      <c r="S408">
        <v>55</v>
      </c>
      <c r="T408">
        <v>10.9</v>
      </c>
      <c r="U408">
        <v>113</v>
      </c>
      <c r="V408" s="19" t="s">
        <v>2626</v>
      </c>
      <c r="W408" s="19" t="s">
        <v>957</v>
      </c>
      <c r="X408">
        <v>107</v>
      </c>
      <c r="Y408">
        <v>105</v>
      </c>
      <c r="Z408">
        <v>50.5</v>
      </c>
      <c r="AA408">
        <v>40</v>
      </c>
      <c r="AB408">
        <v>52</v>
      </c>
      <c r="AC408">
        <v>7</v>
      </c>
      <c r="AD408">
        <v>24</v>
      </c>
      <c r="AE408" s="19" t="s">
        <v>60</v>
      </c>
    </row>
    <row r="409" spans="1:31" x14ac:dyDescent="0.2">
      <c r="A409">
        <v>396</v>
      </c>
      <c r="B409" s="19" t="s">
        <v>719</v>
      </c>
      <c r="C409">
        <v>30</v>
      </c>
      <c r="D409" s="19" t="s">
        <v>365</v>
      </c>
      <c r="E409" s="19" t="s">
        <v>348</v>
      </c>
      <c r="F409">
        <v>53</v>
      </c>
      <c r="G409">
        <v>1</v>
      </c>
      <c r="H409">
        <v>13</v>
      </c>
      <c r="I409">
        <v>14</v>
      </c>
      <c r="J409">
        <v>13</v>
      </c>
      <c r="K409">
        <v>10</v>
      </c>
      <c r="L409">
        <v>1</v>
      </c>
      <c r="M409">
        <v>0</v>
      </c>
      <c r="N409">
        <v>0</v>
      </c>
      <c r="O409">
        <v>0</v>
      </c>
      <c r="P409">
        <v>13</v>
      </c>
      <c r="Q409">
        <v>0</v>
      </c>
      <c r="R409">
        <v>0</v>
      </c>
      <c r="S409">
        <v>67</v>
      </c>
      <c r="T409">
        <v>1.5</v>
      </c>
      <c r="U409">
        <v>157</v>
      </c>
      <c r="V409" s="19" t="s">
        <v>2282</v>
      </c>
      <c r="W409" s="19" t="s">
        <v>1926</v>
      </c>
      <c r="X409">
        <v>0</v>
      </c>
      <c r="Y409">
        <v>0</v>
      </c>
      <c r="AA409">
        <v>106</v>
      </c>
      <c r="AB409">
        <v>75</v>
      </c>
      <c r="AC409">
        <v>8</v>
      </c>
      <c r="AD409">
        <v>47</v>
      </c>
      <c r="AE409" s="19" t="s">
        <v>60</v>
      </c>
    </row>
    <row r="410" spans="1:31" x14ac:dyDescent="0.2">
      <c r="A410">
        <v>397</v>
      </c>
      <c r="B410" s="19" t="s">
        <v>802</v>
      </c>
      <c r="C410">
        <v>26</v>
      </c>
      <c r="D410" s="19" t="s">
        <v>354</v>
      </c>
      <c r="E410" s="19" t="s">
        <v>325</v>
      </c>
      <c r="F410">
        <v>36</v>
      </c>
      <c r="G410">
        <v>8</v>
      </c>
      <c r="H410">
        <v>6</v>
      </c>
      <c r="I410">
        <v>14</v>
      </c>
      <c r="J410">
        <v>5</v>
      </c>
      <c r="K410">
        <v>32</v>
      </c>
      <c r="L410">
        <v>6</v>
      </c>
      <c r="M410">
        <v>1</v>
      </c>
      <c r="N410">
        <v>1</v>
      </c>
      <c r="O410">
        <v>0</v>
      </c>
      <c r="P410">
        <v>4</v>
      </c>
      <c r="Q410">
        <v>2</v>
      </c>
      <c r="R410">
        <v>0</v>
      </c>
      <c r="S410">
        <v>45</v>
      </c>
      <c r="T410">
        <v>17.8</v>
      </c>
      <c r="U410">
        <v>94</v>
      </c>
      <c r="V410" s="19" t="s">
        <v>2627</v>
      </c>
      <c r="W410" s="19" t="s">
        <v>1513</v>
      </c>
      <c r="X410">
        <v>3</v>
      </c>
      <c r="Y410">
        <v>4</v>
      </c>
      <c r="Z410">
        <v>42.9</v>
      </c>
      <c r="AA410">
        <v>24</v>
      </c>
      <c r="AB410">
        <v>121</v>
      </c>
      <c r="AC410">
        <v>9</v>
      </c>
      <c r="AD410">
        <v>18</v>
      </c>
      <c r="AE410" s="19" t="s">
        <v>60</v>
      </c>
    </row>
    <row r="411" spans="1:31" x14ac:dyDescent="0.2">
      <c r="A411">
        <v>398</v>
      </c>
      <c r="B411" s="19" t="s">
        <v>604</v>
      </c>
      <c r="C411">
        <v>29</v>
      </c>
      <c r="D411" s="19" t="s">
        <v>513</v>
      </c>
      <c r="E411" s="19" t="s">
        <v>325</v>
      </c>
      <c r="F411">
        <v>37</v>
      </c>
      <c r="G411">
        <v>7</v>
      </c>
      <c r="H411">
        <v>7</v>
      </c>
      <c r="I411">
        <v>14</v>
      </c>
      <c r="J411">
        <v>-3</v>
      </c>
      <c r="K411">
        <v>12</v>
      </c>
      <c r="L411">
        <v>6</v>
      </c>
      <c r="M411">
        <v>1</v>
      </c>
      <c r="N411">
        <v>0</v>
      </c>
      <c r="O411">
        <v>2</v>
      </c>
      <c r="P411">
        <v>5</v>
      </c>
      <c r="Q411">
        <v>1</v>
      </c>
      <c r="R411">
        <v>1</v>
      </c>
      <c r="S411">
        <v>62</v>
      </c>
      <c r="T411">
        <v>11.3</v>
      </c>
      <c r="U411">
        <v>114</v>
      </c>
      <c r="V411" s="19" t="s">
        <v>1678</v>
      </c>
      <c r="W411" s="19" t="s">
        <v>1620</v>
      </c>
      <c r="X411">
        <v>149</v>
      </c>
      <c r="Y411">
        <v>167</v>
      </c>
      <c r="Z411">
        <v>47.2</v>
      </c>
      <c r="AA411">
        <v>13</v>
      </c>
      <c r="AB411">
        <v>29</v>
      </c>
      <c r="AC411">
        <v>9</v>
      </c>
      <c r="AD411">
        <v>19</v>
      </c>
      <c r="AE411" s="19" t="s">
        <v>60</v>
      </c>
    </row>
    <row r="412" spans="1:31" x14ac:dyDescent="0.2">
      <c r="A412">
        <v>399</v>
      </c>
      <c r="B412" s="19" t="s">
        <v>769</v>
      </c>
      <c r="C412">
        <v>31</v>
      </c>
      <c r="D412" s="19" t="s">
        <v>396</v>
      </c>
      <c r="E412" s="19" t="s">
        <v>348</v>
      </c>
      <c r="F412">
        <v>52</v>
      </c>
      <c r="G412">
        <v>4</v>
      </c>
      <c r="H412">
        <v>10</v>
      </c>
      <c r="I412">
        <v>14</v>
      </c>
      <c r="J412">
        <v>-4</v>
      </c>
      <c r="K412">
        <v>43</v>
      </c>
      <c r="L412">
        <v>4</v>
      </c>
      <c r="M412">
        <v>0</v>
      </c>
      <c r="N412">
        <v>0</v>
      </c>
      <c r="O412">
        <v>0</v>
      </c>
      <c r="P412">
        <v>8</v>
      </c>
      <c r="Q412">
        <v>1</v>
      </c>
      <c r="R412">
        <v>1</v>
      </c>
      <c r="S412">
        <v>118</v>
      </c>
      <c r="T412">
        <v>3.4</v>
      </c>
      <c r="U412">
        <v>312</v>
      </c>
      <c r="V412" s="19" t="s">
        <v>2283</v>
      </c>
      <c r="W412" s="19" t="s">
        <v>2171</v>
      </c>
      <c r="X412">
        <v>0</v>
      </c>
      <c r="Y412">
        <v>0</v>
      </c>
      <c r="AA412">
        <v>76</v>
      </c>
      <c r="AB412">
        <v>87</v>
      </c>
      <c r="AC412">
        <v>21</v>
      </c>
      <c r="AD412">
        <v>58</v>
      </c>
      <c r="AE412" s="19" t="s">
        <v>60</v>
      </c>
    </row>
    <row r="413" spans="1:31" x14ac:dyDescent="0.2">
      <c r="A413">
        <v>400</v>
      </c>
      <c r="B413" s="19" t="s">
        <v>728</v>
      </c>
      <c r="C413">
        <v>29</v>
      </c>
      <c r="D413" s="19" t="s">
        <v>327</v>
      </c>
      <c r="E413" s="19" t="s">
        <v>348</v>
      </c>
      <c r="F413">
        <v>25</v>
      </c>
      <c r="G413">
        <v>4</v>
      </c>
      <c r="H413">
        <v>10</v>
      </c>
      <c r="I413">
        <v>14</v>
      </c>
      <c r="J413">
        <v>-7</v>
      </c>
      <c r="K413">
        <v>8</v>
      </c>
      <c r="L413">
        <v>1</v>
      </c>
      <c r="M413">
        <v>1</v>
      </c>
      <c r="N413">
        <v>2</v>
      </c>
      <c r="O413">
        <v>1</v>
      </c>
      <c r="P413">
        <v>9</v>
      </c>
      <c r="Q413">
        <v>1</v>
      </c>
      <c r="R413">
        <v>0</v>
      </c>
      <c r="S413">
        <v>43</v>
      </c>
      <c r="T413">
        <v>9.3000000000000007</v>
      </c>
      <c r="U413">
        <v>104</v>
      </c>
      <c r="V413" s="19" t="s">
        <v>2628</v>
      </c>
      <c r="W413" s="19" t="s">
        <v>1810</v>
      </c>
      <c r="X413">
        <v>0</v>
      </c>
      <c r="Y413">
        <v>0</v>
      </c>
      <c r="AA413">
        <v>43</v>
      </c>
      <c r="AB413">
        <v>7</v>
      </c>
      <c r="AC413">
        <v>10</v>
      </c>
      <c r="AD413">
        <v>31</v>
      </c>
      <c r="AE413" s="19" t="s">
        <v>60</v>
      </c>
    </row>
    <row r="414" spans="1:31" x14ac:dyDescent="0.2">
      <c r="A414">
        <v>401</v>
      </c>
      <c r="B414" s="19" t="s">
        <v>698</v>
      </c>
      <c r="C414">
        <v>36</v>
      </c>
      <c r="D414" s="19" t="s">
        <v>419</v>
      </c>
      <c r="E414" s="19" t="s">
        <v>348</v>
      </c>
      <c r="F414">
        <v>43</v>
      </c>
      <c r="G414">
        <v>3</v>
      </c>
      <c r="H414">
        <v>10</v>
      </c>
      <c r="I414">
        <v>13</v>
      </c>
      <c r="J414">
        <v>1</v>
      </c>
      <c r="K414">
        <v>26</v>
      </c>
      <c r="L414">
        <v>3</v>
      </c>
      <c r="M414">
        <v>0</v>
      </c>
      <c r="N414">
        <v>0</v>
      </c>
      <c r="O414">
        <v>0</v>
      </c>
      <c r="P414">
        <v>8</v>
      </c>
      <c r="Q414">
        <v>1</v>
      </c>
      <c r="R414">
        <v>1</v>
      </c>
      <c r="S414">
        <v>64</v>
      </c>
      <c r="T414">
        <v>4.7</v>
      </c>
      <c r="U414">
        <v>162</v>
      </c>
      <c r="V414" s="19" t="s">
        <v>2629</v>
      </c>
      <c r="W414" s="19" t="s">
        <v>2130</v>
      </c>
      <c r="X414">
        <v>0</v>
      </c>
      <c r="Y414">
        <v>0</v>
      </c>
      <c r="AA414">
        <v>48</v>
      </c>
      <c r="AB414">
        <v>22</v>
      </c>
      <c r="AC414">
        <v>12</v>
      </c>
      <c r="AD414">
        <v>55</v>
      </c>
      <c r="AE414" s="19" t="s">
        <v>60</v>
      </c>
    </row>
    <row r="415" spans="1:31" x14ac:dyDescent="0.2">
      <c r="A415">
        <v>402</v>
      </c>
      <c r="B415" s="19" t="s">
        <v>904</v>
      </c>
      <c r="C415">
        <v>35</v>
      </c>
      <c r="D415" s="19" t="s">
        <v>365</v>
      </c>
      <c r="E415" s="19" t="s">
        <v>322</v>
      </c>
      <c r="F415">
        <v>46</v>
      </c>
      <c r="G415">
        <v>2</v>
      </c>
      <c r="H415">
        <v>11</v>
      </c>
      <c r="I415">
        <v>13</v>
      </c>
      <c r="J415">
        <v>-4</v>
      </c>
      <c r="K415">
        <v>47</v>
      </c>
      <c r="L415">
        <v>2</v>
      </c>
      <c r="M415">
        <v>0</v>
      </c>
      <c r="N415">
        <v>0</v>
      </c>
      <c r="O415">
        <v>0</v>
      </c>
      <c r="P415">
        <v>11</v>
      </c>
      <c r="Q415">
        <v>0</v>
      </c>
      <c r="R415">
        <v>0</v>
      </c>
      <c r="S415">
        <v>40</v>
      </c>
      <c r="T415">
        <v>5</v>
      </c>
      <c r="U415">
        <v>77</v>
      </c>
      <c r="V415" s="19" t="s">
        <v>2630</v>
      </c>
      <c r="W415" s="19" t="s">
        <v>1879</v>
      </c>
      <c r="X415">
        <v>319</v>
      </c>
      <c r="Y415">
        <v>321</v>
      </c>
      <c r="Z415">
        <v>49.8</v>
      </c>
      <c r="AA415">
        <v>34</v>
      </c>
      <c r="AB415">
        <v>78</v>
      </c>
      <c r="AC415">
        <v>14</v>
      </c>
      <c r="AD415">
        <v>33</v>
      </c>
      <c r="AE415" s="19" t="s">
        <v>60</v>
      </c>
    </row>
    <row r="416" spans="1:31" x14ac:dyDescent="0.2">
      <c r="A416">
        <v>403</v>
      </c>
      <c r="B416" s="19" t="s">
        <v>614</v>
      </c>
      <c r="C416">
        <v>24</v>
      </c>
      <c r="D416" s="19" t="s">
        <v>406</v>
      </c>
      <c r="E416" s="19" t="s">
        <v>334</v>
      </c>
      <c r="F416">
        <v>21</v>
      </c>
      <c r="G416">
        <v>10</v>
      </c>
      <c r="H416">
        <v>3</v>
      </c>
      <c r="I416">
        <v>13</v>
      </c>
      <c r="J416">
        <v>7</v>
      </c>
      <c r="K416">
        <v>18</v>
      </c>
      <c r="L416">
        <v>7</v>
      </c>
      <c r="M416">
        <v>3</v>
      </c>
      <c r="N416">
        <v>0</v>
      </c>
      <c r="O416">
        <v>2</v>
      </c>
      <c r="P416">
        <v>3</v>
      </c>
      <c r="Q416">
        <v>0</v>
      </c>
      <c r="R416">
        <v>0</v>
      </c>
      <c r="S416">
        <v>41</v>
      </c>
      <c r="T416">
        <v>24.4</v>
      </c>
      <c r="U416">
        <v>75</v>
      </c>
      <c r="V416" s="19" t="s">
        <v>2100</v>
      </c>
      <c r="W416" s="19" t="s">
        <v>615</v>
      </c>
      <c r="X416">
        <v>1</v>
      </c>
      <c r="Y416">
        <v>1</v>
      </c>
      <c r="Z416">
        <v>50</v>
      </c>
      <c r="AA416">
        <v>18</v>
      </c>
      <c r="AB416">
        <v>20</v>
      </c>
      <c r="AC416">
        <v>8</v>
      </c>
      <c r="AD416">
        <v>11</v>
      </c>
      <c r="AE416" s="19" t="s">
        <v>60</v>
      </c>
    </row>
    <row r="417" spans="1:31" x14ac:dyDescent="0.2">
      <c r="A417">
        <v>404</v>
      </c>
      <c r="B417" s="19" t="s">
        <v>921</v>
      </c>
      <c r="C417">
        <v>28</v>
      </c>
      <c r="D417" s="19" t="s">
        <v>375</v>
      </c>
      <c r="E417" s="19" t="s">
        <v>322</v>
      </c>
      <c r="F417">
        <v>42</v>
      </c>
      <c r="G417">
        <v>6</v>
      </c>
      <c r="H417">
        <v>7</v>
      </c>
      <c r="I417">
        <v>13</v>
      </c>
      <c r="J417">
        <v>6</v>
      </c>
      <c r="K417">
        <v>21</v>
      </c>
      <c r="L417">
        <v>6</v>
      </c>
      <c r="M417">
        <v>0</v>
      </c>
      <c r="N417">
        <v>0</v>
      </c>
      <c r="O417">
        <v>1</v>
      </c>
      <c r="P417">
        <v>7</v>
      </c>
      <c r="Q417">
        <v>0</v>
      </c>
      <c r="R417">
        <v>0</v>
      </c>
      <c r="S417">
        <v>42</v>
      </c>
      <c r="T417">
        <v>14.3</v>
      </c>
      <c r="U417">
        <v>83</v>
      </c>
      <c r="V417" s="19" t="s">
        <v>2347</v>
      </c>
      <c r="W417" s="19" t="s">
        <v>1951</v>
      </c>
      <c r="X417">
        <v>185</v>
      </c>
      <c r="Y417">
        <v>170</v>
      </c>
      <c r="Z417">
        <v>52.1</v>
      </c>
      <c r="AA417">
        <v>21</v>
      </c>
      <c r="AB417">
        <v>36</v>
      </c>
      <c r="AC417">
        <v>7</v>
      </c>
      <c r="AD417">
        <v>27</v>
      </c>
      <c r="AE417" s="19" t="s">
        <v>60</v>
      </c>
    </row>
    <row r="418" spans="1:31" x14ac:dyDescent="0.2">
      <c r="A418">
        <v>405</v>
      </c>
      <c r="B418" s="19" t="s">
        <v>791</v>
      </c>
      <c r="C418">
        <v>33</v>
      </c>
      <c r="D418" s="19" t="s">
        <v>345</v>
      </c>
      <c r="E418" s="19" t="s">
        <v>322</v>
      </c>
      <c r="F418">
        <v>51</v>
      </c>
      <c r="G418">
        <v>7</v>
      </c>
      <c r="H418">
        <v>6</v>
      </c>
      <c r="I418">
        <v>13</v>
      </c>
      <c r="J418">
        <v>-8</v>
      </c>
      <c r="K418">
        <v>28</v>
      </c>
      <c r="L418">
        <v>5</v>
      </c>
      <c r="M418">
        <v>2</v>
      </c>
      <c r="N418">
        <v>0</v>
      </c>
      <c r="O418">
        <v>1</v>
      </c>
      <c r="P418">
        <v>6</v>
      </c>
      <c r="Q418">
        <v>0</v>
      </c>
      <c r="R418">
        <v>0</v>
      </c>
      <c r="S418">
        <v>65</v>
      </c>
      <c r="T418">
        <v>10.8</v>
      </c>
      <c r="U418">
        <v>129</v>
      </c>
      <c r="V418" s="19" t="s">
        <v>2631</v>
      </c>
      <c r="W418" s="19" t="s">
        <v>876</v>
      </c>
      <c r="X418">
        <v>81</v>
      </c>
      <c r="Y418">
        <v>120</v>
      </c>
      <c r="Z418">
        <v>40.299999999999997</v>
      </c>
      <c r="AA418">
        <v>31</v>
      </c>
      <c r="AB418">
        <v>64</v>
      </c>
      <c r="AC418">
        <v>6</v>
      </c>
      <c r="AD418">
        <v>40</v>
      </c>
      <c r="AE418" s="19" t="s">
        <v>60</v>
      </c>
    </row>
    <row r="419" spans="1:31" x14ac:dyDescent="0.2">
      <c r="A419">
        <v>406</v>
      </c>
      <c r="B419" s="19" t="s">
        <v>761</v>
      </c>
      <c r="C419">
        <v>28</v>
      </c>
      <c r="D419" s="19" t="s">
        <v>380</v>
      </c>
      <c r="E419" s="19" t="s">
        <v>325</v>
      </c>
      <c r="F419">
        <v>39</v>
      </c>
      <c r="G419">
        <v>5</v>
      </c>
      <c r="H419">
        <v>8</v>
      </c>
      <c r="I419">
        <v>13</v>
      </c>
      <c r="J419">
        <v>4</v>
      </c>
      <c r="K419">
        <v>62</v>
      </c>
      <c r="L419">
        <v>5</v>
      </c>
      <c r="M419">
        <v>0</v>
      </c>
      <c r="N419">
        <v>0</v>
      </c>
      <c r="O419">
        <v>1</v>
      </c>
      <c r="P419">
        <v>8</v>
      </c>
      <c r="Q419">
        <v>0</v>
      </c>
      <c r="R419">
        <v>0</v>
      </c>
      <c r="S419">
        <v>49</v>
      </c>
      <c r="T419">
        <v>10.199999999999999</v>
      </c>
      <c r="U419">
        <v>111</v>
      </c>
      <c r="V419" s="19" t="s">
        <v>2906</v>
      </c>
      <c r="W419" s="19" t="s">
        <v>1750</v>
      </c>
      <c r="X419">
        <v>2</v>
      </c>
      <c r="Y419">
        <v>4</v>
      </c>
      <c r="Z419">
        <v>33.299999999999997</v>
      </c>
      <c r="AA419">
        <v>29</v>
      </c>
      <c r="AB419">
        <v>145</v>
      </c>
      <c r="AC419">
        <v>7</v>
      </c>
      <c r="AD419">
        <v>16</v>
      </c>
      <c r="AE419" s="19" t="s">
        <v>60</v>
      </c>
    </row>
    <row r="420" spans="1:31" x14ac:dyDescent="0.2">
      <c r="A420">
        <v>407</v>
      </c>
      <c r="B420" s="19" t="s">
        <v>830</v>
      </c>
      <c r="C420">
        <v>27</v>
      </c>
      <c r="D420" s="19" t="s">
        <v>360</v>
      </c>
      <c r="E420" s="19" t="s">
        <v>334</v>
      </c>
      <c r="F420">
        <v>51</v>
      </c>
      <c r="G420">
        <v>8</v>
      </c>
      <c r="H420">
        <v>5</v>
      </c>
      <c r="I420">
        <v>13</v>
      </c>
      <c r="J420">
        <v>2</v>
      </c>
      <c r="K420">
        <v>8</v>
      </c>
      <c r="L420">
        <v>7</v>
      </c>
      <c r="M420">
        <v>0</v>
      </c>
      <c r="N420">
        <v>1</v>
      </c>
      <c r="O420">
        <v>0</v>
      </c>
      <c r="P420">
        <v>5</v>
      </c>
      <c r="Q420">
        <v>0</v>
      </c>
      <c r="R420">
        <v>0</v>
      </c>
      <c r="S420">
        <v>40</v>
      </c>
      <c r="T420">
        <v>20</v>
      </c>
      <c r="U420">
        <v>80</v>
      </c>
      <c r="V420" s="19" t="s">
        <v>2907</v>
      </c>
      <c r="W420" s="19" t="s">
        <v>1671</v>
      </c>
      <c r="X420">
        <v>1</v>
      </c>
      <c r="Y420">
        <v>12</v>
      </c>
      <c r="Z420">
        <v>7.7</v>
      </c>
      <c r="AA420">
        <v>25</v>
      </c>
      <c r="AB420">
        <v>43</v>
      </c>
      <c r="AC420">
        <v>12</v>
      </c>
      <c r="AD420">
        <v>19</v>
      </c>
      <c r="AE420" s="19" t="s">
        <v>60</v>
      </c>
    </row>
    <row r="421" spans="1:31" x14ac:dyDescent="0.2">
      <c r="A421">
        <v>408</v>
      </c>
      <c r="B421" s="19" t="s">
        <v>838</v>
      </c>
      <c r="C421">
        <v>33</v>
      </c>
      <c r="D421" s="19" t="s">
        <v>324</v>
      </c>
      <c r="E421" s="19" t="s">
        <v>339</v>
      </c>
      <c r="F421">
        <v>32</v>
      </c>
      <c r="G421">
        <v>6</v>
      </c>
      <c r="H421">
        <v>7</v>
      </c>
      <c r="I421">
        <v>13</v>
      </c>
      <c r="J421">
        <v>-8</v>
      </c>
      <c r="K421">
        <v>14</v>
      </c>
      <c r="L421">
        <v>4</v>
      </c>
      <c r="M421">
        <v>2</v>
      </c>
      <c r="N421">
        <v>0</v>
      </c>
      <c r="O421">
        <v>0</v>
      </c>
      <c r="P421">
        <v>5</v>
      </c>
      <c r="Q421">
        <v>2</v>
      </c>
      <c r="R421">
        <v>0</v>
      </c>
      <c r="S421">
        <v>56</v>
      </c>
      <c r="T421">
        <v>10.7</v>
      </c>
      <c r="U421">
        <v>117</v>
      </c>
      <c r="V421" s="19" t="s">
        <v>1907</v>
      </c>
      <c r="W421" s="19" t="s">
        <v>984</v>
      </c>
      <c r="X421">
        <v>3</v>
      </c>
      <c r="Y421">
        <v>8</v>
      </c>
      <c r="Z421">
        <v>27.3</v>
      </c>
      <c r="AA421">
        <v>11</v>
      </c>
      <c r="AB421">
        <v>17</v>
      </c>
      <c r="AC421">
        <v>10</v>
      </c>
      <c r="AD421">
        <v>27</v>
      </c>
      <c r="AE421" s="19" t="s">
        <v>60</v>
      </c>
    </row>
    <row r="422" spans="1:31" x14ac:dyDescent="0.2">
      <c r="A422">
        <v>409</v>
      </c>
      <c r="B422" s="19" t="s">
        <v>725</v>
      </c>
      <c r="C422">
        <v>31</v>
      </c>
      <c r="D422" s="19" t="s">
        <v>513</v>
      </c>
      <c r="E422" s="19" t="s">
        <v>322</v>
      </c>
      <c r="F422">
        <v>39</v>
      </c>
      <c r="G422">
        <v>3</v>
      </c>
      <c r="H422">
        <v>10</v>
      </c>
      <c r="I422">
        <v>13</v>
      </c>
      <c r="J422">
        <v>-13</v>
      </c>
      <c r="K422">
        <v>14</v>
      </c>
      <c r="L422">
        <v>3</v>
      </c>
      <c r="M422">
        <v>0</v>
      </c>
      <c r="N422">
        <v>0</v>
      </c>
      <c r="O422">
        <v>0</v>
      </c>
      <c r="P422">
        <v>9</v>
      </c>
      <c r="Q422">
        <v>1</v>
      </c>
      <c r="R422">
        <v>0</v>
      </c>
      <c r="S422">
        <v>32</v>
      </c>
      <c r="T422">
        <v>9.4</v>
      </c>
      <c r="U422">
        <v>59</v>
      </c>
      <c r="V422" s="19" t="s">
        <v>2132</v>
      </c>
      <c r="W422" s="19" t="s">
        <v>500</v>
      </c>
      <c r="X422">
        <v>163</v>
      </c>
      <c r="Y422">
        <v>181</v>
      </c>
      <c r="Z422">
        <v>47.4</v>
      </c>
      <c r="AA422">
        <v>23</v>
      </c>
      <c r="AB422">
        <v>47</v>
      </c>
      <c r="AC422">
        <v>9</v>
      </c>
      <c r="AD422">
        <v>16</v>
      </c>
      <c r="AE422" s="19" t="s">
        <v>60</v>
      </c>
    </row>
    <row r="423" spans="1:31" x14ac:dyDescent="0.2">
      <c r="A423">
        <v>410</v>
      </c>
      <c r="B423" s="19" t="s">
        <v>727</v>
      </c>
      <c r="C423">
        <v>31</v>
      </c>
      <c r="D423" s="19" t="s">
        <v>321</v>
      </c>
      <c r="E423" s="19" t="s">
        <v>348</v>
      </c>
      <c r="F423">
        <v>40</v>
      </c>
      <c r="G423">
        <v>1</v>
      </c>
      <c r="H423">
        <v>12</v>
      </c>
      <c r="I423">
        <v>13</v>
      </c>
      <c r="J423">
        <v>26</v>
      </c>
      <c r="K423">
        <v>18</v>
      </c>
      <c r="L423">
        <v>1</v>
      </c>
      <c r="M423">
        <v>0</v>
      </c>
      <c r="N423">
        <v>0</v>
      </c>
      <c r="O423">
        <v>0</v>
      </c>
      <c r="P423">
        <v>12</v>
      </c>
      <c r="Q423">
        <v>0</v>
      </c>
      <c r="R423">
        <v>0</v>
      </c>
      <c r="S423">
        <v>68</v>
      </c>
      <c r="T423">
        <v>1.5</v>
      </c>
      <c r="U423">
        <v>150</v>
      </c>
      <c r="V423" s="19" t="s">
        <v>1787</v>
      </c>
      <c r="W423" s="19" t="s">
        <v>1788</v>
      </c>
      <c r="X423">
        <v>0</v>
      </c>
      <c r="Y423">
        <v>0</v>
      </c>
      <c r="AA423">
        <v>58</v>
      </c>
      <c r="AB423">
        <v>14</v>
      </c>
      <c r="AC423">
        <v>14</v>
      </c>
      <c r="AD423">
        <v>44</v>
      </c>
      <c r="AE423" s="19" t="s">
        <v>60</v>
      </c>
    </row>
    <row r="424" spans="1:31" x14ac:dyDescent="0.2">
      <c r="A424">
        <v>411</v>
      </c>
      <c r="B424" s="19" t="s">
        <v>945</v>
      </c>
      <c r="C424">
        <v>24</v>
      </c>
      <c r="D424" s="19" t="s">
        <v>329</v>
      </c>
      <c r="E424" s="19" t="s">
        <v>348</v>
      </c>
      <c r="F424">
        <v>52</v>
      </c>
      <c r="G424">
        <v>2</v>
      </c>
      <c r="H424">
        <v>11</v>
      </c>
      <c r="I424">
        <v>13</v>
      </c>
      <c r="J424">
        <v>-12</v>
      </c>
      <c r="K424">
        <v>11</v>
      </c>
      <c r="L424">
        <v>2</v>
      </c>
      <c r="M424">
        <v>0</v>
      </c>
      <c r="N424">
        <v>0</v>
      </c>
      <c r="O424">
        <v>0</v>
      </c>
      <c r="P424">
        <v>11</v>
      </c>
      <c r="Q424">
        <v>0</v>
      </c>
      <c r="R424">
        <v>0</v>
      </c>
      <c r="S424">
        <v>54</v>
      </c>
      <c r="T424">
        <v>3.7</v>
      </c>
      <c r="U424">
        <v>144</v>
      </c>
      <c r="V424" s="19" t="s">
        <v>2632</v>
      </c>
      <c r="W424" s="19" t="s">
        <v>1789</v>
      </c>
      <c r="X424">
        <v>0</v>
      </c>
      <c r="Y424">
        <v>0</v>
      </c>
      <c r="AA424">
        <v>76</v>
      </c>
      <c r="AB424">
        <v>19</v>
      </c>
      <c r="AC424">
        <v>17</v>
      </c>
      <c r="AD424">
        <v>55</v>
      </c>
      <c r="AE424" s="19" t="s">
        <v>60</v>
      </c>
    </row>
    <row r="425" spans="1:31" x14ac:dyDescent="0.2">
      <c r="A425">
        <v>412</v>
      </c>
      <c r="B425" s="19" t="s">
        <v>1020</v>
      </c>
      <c r="C425">
        <v>22</v>
      </c>
      <c r="D425" s="19" t="s">
        <v>531</v>
      </c>
      <c r="E425" s="19" t="s">
        <v>322</v>
      </c>
      <c r="F425">
        <v>50</v>
      </c>
      <c r="G425">
        <v>3</v>
      </c>
      <c r="H425">
        <v>10</v>
      </c>
      <c r="I425">
        <v>13</v>
      </c>
      <c r="J425">
        <v>2</v>
      </c>
      <c r="K425">
        <v>15</v>
      </c>
      <c r="L425">
        <v>3</v>
      </c>
      <c r="M425">
        <v>0</v>
      </c>
      <c r="N425">
        <v>0</v>
      </c>
      <c r="O425">
        <v>0</v>
      </c>
      <c r="P425">
        <v>10</v>
      </c>
      <c r="Q425">
        <v>0</v>
      </c>
      <c r="R425">
        <v>0</v>
      </c>
      <c r="S425">
        <v>49</v>
      </c>
      <c r="T425">
        <v>6.1</v>
      </c>
      <c r="U425">
        <v>99</v>
      </c>
      <c r="V425" s="19" t="s">
        <v>2633</v>
      </c>
      <c r="W425" s="19" t="s">
        <v>1974</v>
      </c>
      <c r="X425">
        <v>0</v>
      </c>
      <c r="Y425">
        <v>5</v>
      </c>
      <c r="Z425">
        <v>0</v>
      </c>
      <c r="AA425">
        <v>25</v>
      </c>
      <c r="AB425">
        <v>46</v>
      </c>
      <c r="AC425">
        <v>11</v>
      </c>
      <c r="AD425">
        <v>23</v>
      </c>
      <c r="AE425" s="19" t="s">
        <v>60</v>
      </c>
    </row>
    <row r="426" spans="1:31" x14ac:dyDescent="0.2">
      <c r="A426">
        <v>413</v>
      </c>
      <c r="B426" s="19" t="s">
        <v>1968</v>
      </c>
      <c r="C426">
        <v>24</v>
      </c>
      <c r="D426" s="19" t="s">
        <v>948</v>
      </c>
      <c r="E426" s="19" t="s">
        <v>334</v>
      </c>
      <c r="F426">
        <v>42</v>
      </c>
      <c r="G426">
        <v>8</v>
      </c>
      <c r="H426">
        <v>5</v>
      </c>
      <c r="I426">
        <v>13</v>
      </c>
      <c r="J426">
        <v>0</v>
      </c>
      <c r="K426">
        <v>6</v>
      </c>
      <c r="L426">
        <v>8</v>
      </c>
      <c r="M426">
        <v>0</v>
      </c>
      <c r="N426">
        <v>0</v>
      </c>
      <c r="O426">
        <v>2</v>
      </c>
      <c r="P426">
        <v>5</v>
      </c>
      <c r="Q426">
        <v>0</v>
      </c>
      <c r="R426">
        <v>0</v>
      </c>
      <c r="S426">
        <v>56</v>
      </c>
      <c r="T426">
        <v>14.3</v>
      </c>
      <c r="U426">
        <v>130</v>
      </c>
      <c r="V426" s="19" t="s">
        <v>2348</v>
      </c>
      <c r="W426" s="19" t="s">
        <v>2071</v>
      </c>
      <c r="X426">
        <v>3</v>
      </c>
      <c r="Y426">
        <v>6</v>
      </c>
      <c r="Z426">
        <v>33.299999999999997</v>
      </c>
      <c r="AA426">
        <v>12</v>
      </c>
      <c r="AB426">
        <v>36</v>
      </c>
      <c r="AC426">
        <v>5</v>
      </c>
      <c r="AD426">
        <v>21</v>
      </c>
      <c r="AE426" s="19" t="s">
        <v>60</v>
      </c>
    </row>
    <row r="427" spans="1:31" x14ac:dyDescent="0.2">
      <c r="A427">
        <v>413</v>
      </c>
      <c r="B427" s="19" t="s">
        <v>1968</v>
      </c>
      <c r="C427">
        <v>24</v>
      </c>
      <c r="D427" s="19" t="s">
        <v>380</v>
      </c>
      <c r="E427" s="19" t="s">
        <v>334</v>
      </c>
      <c r="F427">
        <v>29</v>
      </c>
      <c r="G427">
        <v>3</v>
      </c>
      <c r="H427">
        <v>3</v>
      </c>
      <c r="I427">
        <v>6</v>
      </c>
      <c r="J427">
        <v>-6</v>
      </c>
      <c r="K427">
        <v>6</v>
      </c>
      <c r="L427">
        <v>3</v>
      </c>
      <c r="M427">
        <v>0</v>
      </c>
      <c r="N427">
        <v>0</v>
      </c>
      <c r="O427">
        <v>0</v>
      </c>
      <c r="P427">
        <v>3</v>
      </c>
      <c r="Q427">
        <v>0</v>
      </c>
      <c r="R427">
        <v>0</v>
      </c>
      <c r="S427">
        <v>36</v>
      </c>
      <c r="T427">
        <v>8.3000000000000007</v>
      </c>
      <c r="U427">
        <v>79</v>
      </c>
      <c r="V427" s="19" t="s">
        <v>1624</v>
      </c>
      <c r="W427" s="19" t="s">
        <v>1625</v>
      </c>
      <c r="X427">
        <v>0</v>
      </c>
      <c r="Y427">
        <v>0</v>
      </c>
      <c r="AA427">
        <v>8</v>
      </c>
      <c r="AB427">
        <v>28</v>
      </c>
      <c r="AC427">
        <v>3</v>
      </c>
      <c r="AD427">
        <v>15</v>
      </c>
      <c r="AE427" s="19" t="s">
        <v>60</v>
      </c>
    </row>
    <row r="428" spans="1:31" x14ac:dyDescent="0.2">
      <c r="A428">
        <v>413</v>
      </c>
      <c r="B428" s="19" t="s">
        <v>1968</v>
      </c>
      <c r="C428">
        <v>24</v>
      </c>
      <c r="D428" s="19" t="s">
        <v>375</v>
      </c>
      <c r="E428" s="19" t="s">
        <v>334</v>
      </c>
      <c r="F428">
        <v>13</v>
      </c>
      <c r="G428">
        <v>5</v>
      </c>
      <c r="H428">
        <v>2</v>
      </c>
      <c r="I428">
        <v>7</v>
      </c>
      <c r="J428">
        <v>6</v>
      </c>
      <c r="K428">
        <v>0</v>
      </c>
      <c r="L428">
        <v>5</v>
      </c>
      <c r="M428">
        <v>0</v>
      </c>
      <c r="N428">
        <v>0</v>
      </c>
      <c r="O428">
        <v>2</v>
      </c>
      <c r="P428">
        <v>2</v>
      </c>
      <c r="Q428">
        <v>0</v>
      </c>
      <c r="R428">
        <v>0</v>
      </c>
      <c r="S428">
        <v>20</v>
      </c>
      <c r="T428">
        <v>25</v>
      </c>
      <c r="U428">
        <v>51</v>
      </c>
      <c r="V428" s="19" t="s">
        <v>2349</v>
      </c>
      <c r="W428" s="19" t="s">
        <v>1963</v>
      </c>
      <c r="X428">
        <v>3</v>
      </c>
      <c r="Y428">
        <v>6</v>
      </c>
      <c r="Z428">
        <v>33.299999999999997</v>
      </c>
      <c r="AA428">
        <v>4</v>
      </c>
      <c r="AB428">
        <v>8</v>
      </c>
      <c r="AC428">
        <v>2</v>
      </c>
      <c r="AD428">
        <v>6</v>
      </c>
      <c r="AE428" s="19" t="s">
        <v>60</v>
      </c>
    </row>
    <row r="429" spans="1:31" x14ac:dyDescent="0.2">
      <c r="A429">
        <v>414</v>
      </c>
      <c r="B429" s="19" t="s">
        <v>847</v>
      </c>
      <c r="C429">
        <v>25</v>
      </c>
      <c r="D429" s="19" t="s">
        <v>436</v>
      </c>
      <c r="E429" s="19" t="s">
        <v>348</v>
      </c>
      <c r="F429">
        <v>51</v>
      </c>
      <c r="G429">
        <v>3</v>
      </c>
      <c r="H429">
        <v>9</v>
      </c>
      <c r="I429">
        <v>12</v>
      </c>
      <c r="J429">
        <v>11</v>
      </c>
      <c r="K429">
        <v>33</v>
      </c>
      <c r="L429">
        <v>3</v>
      </c>
      <c r="M429">
        <v>0</v>
      </c>
      <c r="N429">
        <v>0</v>
      </c>
      <c r="O429">
        <v>2</v>
      </c>
      <c r="P429">
        <v>9</v>
      </c>
      <c r="Q429">
        <v>0</v>
      </c>
      <c r="R429">
        <v>0</v>
      </c>
      <c r="S429">
        <v>44</v>
      </c>
      <c r="T429">
        <v>6.8</v>
      </c>
      <c r="U429">
        <v>101</v>
      </c>
      <c r="V429" s="19" t="s">
        <v>2350</v>
      </c>
      <c r="W429" s="19" t="s">
        <v>1939</v>
      </c>
      <c r="X429">
        <v>0</v>
      </c>
      <c r="Y429">
        <v>0</v>
      </c>
      <c r="AA429">
        <v>74</v>
      </c>
      <c r="AB429">
        <v>79</v>
      </c>
      <c r="AC429">
        <v>34</v>
      </c>
      <c r="AD429">
        <v>66</v>
      </c>
      <c r="AE429" s="19" t="s">
        <v>60</v>
      </c>
    </row>
    <row r="430" spans="1:31" x14ac:dyDescent="0.2">
      <c r="A430">
        <v>415</v>
      </c>
      <c r="B430" s="19" t="s">
        <v>964</v>
      </c>
      <c r="C430">
        <v>29</v>
      </c>
      <c r="D430" s="19" t="s">
        <v>396</v>
      </c>
      <c r="E430" s="19" t="s">
        <v>348</v>
      </c>
      <c r="F430">
        <v>45</v>
      </c>
      <c r="G430">
        <v>1</v>
      </c>
      <c r="H430">
        <v>11</v>
      </c>
      <c r="I430">
        <v>12</v>
      </c>
      <c r="J430">
        <v>14</v>
      </c>
      <c r="K430">
        <v>14</v>
      </c>
      <c r="L430">
        <v>1</v>
      </c>
      <c r="M430">
        <v>0</v>
      </c>
      <c r="N430">
        <v>0</v>
      </c>
      <c r="O430">
        <v>1</v>
      </c>
      <c r="P430">
        <v>11</v>
      </c>
      <c r="Q430">
        <v>0</v>
      </c>
      <c r="R430">
        <v>0</v>
      </c>
      <c r="S430">
        <v>61</v>
      </c>
      <c r="T430">
        <v>1.6</v>
      </c>
      <c r="U430">
        <v>165</v>
      </c>
      <c r="V430" s="19" t="s">
        <v>2284</v>
      </c>
      <c r="W430" s="19" t="s">
        <v>337</v>
      </c>
      <c r="X430">
        <v>0</v>
      </c>
      <c r="Y430">
        <v>0</v>
      </c>
      <c r="AA430">
        <v>40</v>
      </c>
      <c r="AB430">
        <v>24</v>
      </c>
      <c r="AC430">
        <v>20</v>
      </c>
      <c r="AD430">
        <v>36</v>
      </c>
      <c r="AE430" s="19" t="s">
        <v>60</v>
      </c>
    </row>
    <row r="431" spans="1:31" x14ac:dyDescent="0.2">
      <c r="A431">
        <v>416</v>
      </c>
      <c r="B431" s="19" t="s">
        <v>744</v>
      </c>
      <c r="C431">
        <v>35</v>
      </c>
      <c r="D431" s="19" t="s">
        <v>398</v>
      </c>
      <c r="E431" s="19" t="s">
        <v>348</v>
      </c>
      <c r="F431">
        <v>53</v>
      </c>
      <c r="G431">
        <v>3</v>
      </c>
      <c r="H431">
        <v>9</v>
      </c>
      <c r="I431">
        <v>12</v>
      </c>
      <c r="J431">
        <v>-11</v>
      </c>
      <c r="K431">
        <v>39</v>
      </c>
      <c r="L431">
        <v>3</v>
      </c>
      <c r="M431">
        <v>0</v>
      </c>
      <c r="N431">
        <v>0</v>
      </c>
      <c r="O431">
        <v>2</v>
      </c>
      <c r="P431">
        <v>8</v>
      </c>
      <c r="Q431">
        <v>0</v>
      </c>
      <c r="R431">
        <v>1</v>
      </c>
      <c r="S431">
        <v>39</v>
      </c>
      <c r="T431">
        <v>7.7</v>
      </c>
      <c r="U431">
        <v>86</v>
      </c>
      <c r="V431" s="19" t="s">
        <v>2634</v>
      </c>
      <c r="W431" s="19" t="s">
        <v>2170</v>
      </c>
      <c r="X431">
        <v>0</v>
      </c>
      <c r="Y431">
        <v>0</v>
      </c>
      <c r="AA431">
        <v>73</v>
      </c>
      <c r="AB431">
        <v>133</v>
      </c>
      <c r="AC431">
        <v>9</v>
      </c>
      <c r="AD431">
        <v>29</v>
      </c>
      <c r="AE431" s="19" t="s">
        <v>60</v>
      </c>
    </row>
    <row r="432" spans="1:31" x14ac:dyDescent="0.2">
      <c r="A432">
        <v>417</v>
      </c>
      <c r="B432" s="19" t="s">
        <v>777</v>
      </c>
      <c r="C432">
        <v>29</v>
      </c>
      <c r="D432" s="19" t="s">
        <v>362</v>
      </c>
      <c r="E432" s="19" t="s">
        <v>322</v>
      </c>
      <c r="F432">
        <v>39</v>
      </c>
      <c r="G432">
        <v>6</v>
      </c>
      <c r="H432">
        <v>6</v>
      </c>
      <c r="I432">
        <v>12</v>
      </c>
      <c r="J432">
        <v>-11</v>
      </c>
      <c r="K432">
        <v>8</v>
      </c>
      <c r="L432">
        <v>5</v>
      </c>
      <c r="M432">
        <v>0</v>
      </c>
      <c r="N432">
        <v>1</v>
      </c>
      <c r="O432">
        <v>1</v>
      </c>
      <c r="P432">
        <v>6</v>
      </c>
      <c r="Q432">
        <v>0</v>
      </c>
      <c r="R432">
        <v>0</v>
      </c>
      <c r="S432">
        <v>41</v>
      </c>
      <c r="T432">
        <v>14.6</v>
      </c>
      <c r="U432">
        <v>90</v>
      </c>
      <c r="V432" s="19" t="s">
        <v>2635</v>
      </c>
      <c r="W432" s="19" t="s">
        <v>959</v>
      </c>
      <c r="X432">
        <v>267</v>
      </c>
      <c r="Y432">
        <v>227</v>
      </c>
      <c r="Z432">
        <v>54</v>
      </c>
      <c r="AA432">
        <v>28</v>
      </c>
      <c r="AB432">
        <v>46</v>
      </c>
      <c r="AC432">
        <v>7</v>
      </c>
      <c r="AD432">
        <v>31</v>
      </c>
      <c r="AE432" s="19" t="s">
        <v>60</v>
      </c>
    </row>
    <row r="433" spans="1:31" x14ac:dyDescent="0.2">
      <c r="A433">
        <v>418</v>
      </c>
      <c r="B433" s="19" t="s">
        <v>862</v>
      </c>
      <c r="C433">
        <v>24</v>
      </c>
      <c r="D433" s="19" t="s">
        <v>531</v>
      </c>
      <c r="E433" s="19" t="s">
        <v>348</v>
      </c>
      <c r="F433">
        <v>37</v>
      </c>
      <c r="G433">
        <v>5</v>
      </c>
      <c r="H433">
        <v>7</v>
      </c>
      <c r="I433">
        <v>12</v>
      </c>
      <c r="J433">
        <v>3</v>
      </c>
      <c r="K433">
        <v>20</v>
      </c>
      <c r="L433">
        <v>5</v>
      </c>
      <c r="M433">
        <v>0</v>
      </c>
      <c r="N433">
        <v>0</v>
      </c>
      <c r="O433">
        <v>0</v>
      </c>
      <c r="P433">
        <v>6</v>
      </c>
      <c r="Q433">
        <v>1</v>
      </c>
      <c r="R433">
        <v>0</v>
      </c>
      <c r="S433">
        <v>26</v>
      </c>
      <c r="T433">
        <v>19.2</v>
      </c>
      <c r="U433">
        <v>67</v>
      </c>
      <c r="V433" s="19" t="s">
        <v>2636</v>
      </c>
      <c r="W433" s="19" t="s">
        <v>1609</v>
      </c>
      <c r="X433">
        <v>0</v>
      </c>
      <c r="Y433">
        <v>0</v>
      </c>
      <c r="AA433">
        <v>38</v>
      </c>
      <c r="AB433">
        <v>23</v>
      </c>
      <c r="AC433">
        <v>5</v>
      </c>
      <c r="AD433">
        <v>26</v>
      </c>
      <c r="AE433" s="19" t="s">
        <v>60</v>
      </c>
    </row>
    <row r="434" spans="1:31" x14ac:dyDescent="0.2">
      <c r="A434">
        <v>419</v>
      </c>
      <c r="B434" s="19" t="s">
        <v>815</v>
      </c>
      <c r="C434">
        <v>27</v>
      </c>
      <c r="D434" s="19" t="s">
        <v>324</v>
      </c>
      <c r="E434" s="19" t="s">
        <v>348</v>
      </c>
      <c r="F434">
        <v>51</v>
      </c>
      <c r="G434">
        <v>4</v>
      </c>
      <c r="H434">
        <v>8</v>
      </c>
      <c r="I434">
        <v>12</v>
      </c>
      <c r="J434">
        <v>-2</v>
      </c>
      <c r="K434">
        <v>16</v>
      </c>
      <c r="L434">
        <v>4</v>
      </c>
      <c r="M434">
        <v>0</v>
      </c>
      <c r="N434">
        <v>0</v>
      </c>
      <c r="O434">
        <v>0</v>
      </c>
      <c r="P434">
        <v>8</v>
      </c>
      <c r="Q434">
        <v>0</v>
      </c>
      <c r="R434">
        <v>0</v>
      </c>
      <c r="S434">
        <v>62</v>
      </c>
      <c r="T434">
        <v>6.5</v>
      </c>
      <c r="U434">
        <v>136</v>
      </c>
      <c r="V434" s="19" t="s">
        <v>2637</v>
      </c>
      <c r="W434" s="19" t="s">
        <v>1976</v>
      </c>
      <c r="X434">
        <v>0</v>
      </c>
      <c r="Y434">
        <v>0</v>
      </c>
      <c r="AA434">
        <v>97</v>
      </c>
      <c r="AB434">
        <v>87</v>
      </c>
      <c r="AC434">
        <v>19</v>
      </c>
      <c r="AD434">
        <v>58</v>
      </c>
      <c r="AE434" s="19" t="s">
        <v>60</v>
      </c>
    </row>
    <row r="435" spans="1:31" x14ac:dyDescent="0.2">
      <c r="A435">
        <v>420</v>
      </c>
      <c r="B435" s="19" t="s">
        <v>641</v>
      </c>
      <c r="C435">
        <v>35</v>
      </c>
      <c r="D435" s="19" t="s">
        <v>351</v>
      </c>
      <c r="E435" s="19" t="s">
        <v>348</v>
      </c>
      <c r="F435">
        <v>18</v>
      </c>
      <c r="G435">
        <v>0</v>
      </c>
      <c r="H435">
        <v>12</v>
      </c>
      <c r="I435">
        <v>12</v>
      </c>
      <c r="J435">
        <v>0</v>
      </c>
      <c r="K435">
        <v>6</v>
      </c>
      <c r="L435">
        <v>0</v>
      </c>
      <c r="M435">
        <v>0</v>
      </c>
      <c r="N435">
        <v>0</v>
      </c>
      <c r="O435">
        <v>0</v>
      </c>
      <c r="P435">
        <v>6</v>
      </c>
      <c r="Q435">
        <v>6</v>
      </c>
      <c r="R435">
        <v>0</v>
      </c>
      <c r="S435">
        <v>25</v>
      </c>
      <c r="T435">
        <v>0</v>
      </c>
      <c r="U435">
        <v>78</v>
      </c>
      <c r="V435" s="19" t="s">
        <v>1507</v>
      </c>
      <c r="W435" s="19" t="s">
        <v>1508</v>
      </c>
      <c r="X435">
        <v>0</v>
      </c>
      <c r="Y435">
        <v>0</v>
      </c>
      <c r="AA435">
        <v>29</v>
      </c>
      <c r="AB435">
        <v>8</v>
      </c>
      <c r="AC435">
        <v>5</v>
      </c>
      <c r="AD435">
        <v>28</v>
      </c>
      <c r="AE435" s="19" t="s">
        <v>60</v>
      </c>
    </row>
    <row r="436" spans="1:31" x14ac:dyDescent="0.2">
      <c r="A436">
        <v>421</v>
      </c>
      <c r="B436" s="19" t="s">
        <v>818</v>
      </c>
      <c r="C436">
        <v>31</v>
      </c>
      <c r="D436" s="19" t="s">
        <v>336</v>
      </c>
      <c r="E436" s="19" t="s">
        <v>339</v>
      </c>
      <c r="F436">
        <v>51</v>
      </c>
      <c r="G436">
        <v>2</v>
      </c>
      <c r="H436">
        <v>10</v>
      </c>
      <c r="I436">
        <v>12</v>
      </c>
      <c r="J436">
        <v>-5</v>
      </c>
      <c r="K436">
        <v>88</v>
      </c>
      <c r="L436">
        <v>2</v>
      </c>
      <c r="M436">
        <v>0</v>
      </c>
      <c r="N436">
        <v>0</v>
      </c>
      <c r="O436">
        <v>0</v>
      </c>
      <c r="P436">
        <v>10</v>
      </c>
      <c r="Q436">
        <v>0</v>
      </c>
      <c r="R436">
        <v>0</v>
      </c>
      <c r="S436">
        <v>27</v>
      </c>
      <c r="T436">
        <v>7.4</v>
      </c>
      <c r="U436">
        <v>61</v>
      </c>
      <c r="V436" s="19" t="s">
        <v>2638</v>
      </c>
      <c r="W436" s="19" t="s">
        <v>2110</v>
      </c>
      <c r="X436">
        <v>5</v>
      </c>
      <c r="Y436">
        <v>6</v>
      </c>
      <c r="Z436">
        <v>45.5</v>
      </c>
      <c r="AA436">
        <v>13</v>
      </c>
      <c r="AB436">
        <v>154</v>
      </c>
      <c r="AC436">
        <v>4</v>
      </c>
      <c r="AD436">
        <v>28</v>
      </c>
      <c r="AE436" s="19" t="s">
        <v>60</v>
      </c>
    </row>
    <row r="437" spans="1:31" x14ac:dyDescent="0.2">
      <c r="A437">
        <v>422</v>
      </c>
      <c r="B437" s="19" t="s">
        <v>912</v>
      </c>
      <c r="C437">
        <v>23</v>
      </c>
      <c r="D437" s="19" t="s">
        <v>329</v>
      </c>
      <c r="E437" s="19" t="s">
        <v>348</v>
      </c>
      <c r="F437">
        <v>53</v>
      </c>
      <c r="G437">
        <v>5</v>
      </c>
      <c r="H437">
        <v>7</v>
      </c>
      <c r="I437">
        <v>12</v>
      </c>
      <c r="J437">
        <v>-8</v>
      </c>
      <c r="K437">
        <v>22</v>
      </c>
      <c r="L437">
        <v>5</v>
      </c>
      <c r="M437">
        <v>0</v>
      </c>
      <c r="N437">
        <v>0</v>
      </c>
      <c r="O437">
        <v>1</v>
      </c>
      <c r="P437">
        <v>7</v>
      </c>
      <c r="Q437">
        <v>0</v>
      </c>
      <c r="R437">
        <v>0</v>
      </c>
      <c r="S437">
        <v>56</v>
      </c>
      <c r="T437">
        <v>8.9</v>
      </c>
      <c r="U437">
        <v>122</v>
      </c>
      <c r="V437" s="19" t="s">
        <v>2639</v>
      </c>
      <c r="W437" s="19" t="s">
        <v>1245</v>
      </c>
      <c r="X437">
        <v>0</v>
      </c>
      <c r="Y437">
        <v>0</v>
      </c>
      <c r="AA437">
        <v>46</v>
      </c>
      <c r="AB437">
        <v>33</v>
      </c>
      <c r="AC437">
        <v>24</v>
      </c>
      <c r="AD437">
        <v>65</v>
      </c>
      <c r="AE437" s="19" t="s">
        <v>60</v>
      </c>
    </row>
    <row r="438" spans="1:31" x14ac:dyDescent="0.2">
      <c r="A438">
        <v>423</v>
      </c>
      <c r="B438" s="19" t="s">
        <v>1056</v>
      </c>
      <c r="C438">
        <v>21</v>
      </c>
      <c r="D438" s="19" t="s">
        <v>370</v>
      </c>
      <c r="E438" s="19" t="s">
        <v>322</v>
      </c>
      <c r="F438">
        <v>53</v>
      </c>
      <c r="G438">
        <v>5</v>
      </c>
      <c r="H438">
        <v>7</v>
      </c>
      <c r="I438">
        <v>12</v>
      </c>
      <c r="J438">
        <v>-10</v>
      </c>
      <c r="K438">
        <v>29</v>
      </c>
      <c r="L438">
        <v>4</v>
      </c>
      <c r="M438">
        <v>1</v>
      </c>
      <c r="N438">
        <v>0</v>
      </c>
      <c r="O438">
        <v>0</v>
      </c>
      <c r="P438">
        <v>6</v>
      </c>
      <c r="Q438">
        <v>1</v>
      </c>
      <c r="R438">
        <v>0</v>
      </c>
      <c r="S438">
        <v>82</v>
      </c>
      <c r="T438">
        <v>6.1</v>
      </c>
      <c r="U438">
        <v>149</v>
      </c>
      <c r="V438" s="19" t="s">
        <v>2640</v>
      </c>
      <c r="W438" s="19" t="s">
        <v>1618</v>
      </c>
      <c r="X438">
        <v>146</v>
      </c>
      <c r="Y438">
        <v>146</v>
      </c>
      <c r="Z438">
        <v>50</v>
      </c>
      <c r="AA438">
        <v>33</v>
      </c>
      <c r="AB438">
        <v>121</v>
      </c>
      <c r="AC438">
        <v>7</v>
      </c>
      <c r="AD438">
        <v>34</v>
      </c>
      <c r="AE438" s="19" t="s">
        <v>60</v>
      </c>
    </row>
    <row r="439" spans="1:31" x14ac:dyDescent="0.2">
      <c r="A439">
        <v>424</v>
      </c>
      <c r="B439" s="19" t="s">
        <v>914</v>
      </c>
      <c r="C439">
        <v>25</v>
      </c>
      <c r="D439" s="19" t="s">
        <v>436</v>
      </c>
      <c r="E439" s="19" t="s">
        <v>325</v>
      </c>
      <c r="F439">
        <v>51</v>
      </c>
      <c r="G439">
        <v>5</v>
      </c>
      <c r="H439">
        <v>7</v>
      </c>
      <c r="I439">
        <v>12</v>
      </c>
      <c r="J439">
        <v>-4</v>
      </c>
      <c r="K439">
        <v>86</v>
      </c>
      <c r="L439">
        <v>5</v>
      </c>
      <c r="M439">
        <v>0</v>
      </c>
      <c r="N439">
        <v>0</v>
      </c>
      <c r="O439">
        <v>0</v>
      </c>
      <c r="P439">
        <v>6</v>
      </c>
      <c r="Q439">
        <v>1</v>
      </c>
      <c r="R439">
        <v>0</v>
      </c>
      <c r="S439">
        <v>51</v>
      </c>
      <c r="T439">
        <v>9.8000000000000007</v>
      </c>
      <c r="U439">
        <v>120</v>
      </c>
      <c r="V439" s="19" t="s">
        <v>2351</v>
      </c>
      <c r="W439" s="19" t="s">
        <v>2112</v>
      </c>
      <c r="X439">
        <v>8</v>
      </c>
      <c r="Y439">
        <v>19</v>
      </c>
      <c r="Z439">
        <v>29.6</v>
      </c>
      <c r="AA439">
        <v>31</v>
      </c>
      <c r="AB439">
        <v>187</v>
      </c>
      <c r="AC439">
        <v>9</v>
      </c>
      <c r="AD439">
        <v>21</v>
      </c>
      <c r="AE439" s="19" t="s">
        <v>60</v>
      </c>
    </row>
    <row r="440" spans="1:31" x14ac:dyDescent="0.2">
      <c r="A440">
        <v>425</v>
      </c>
      <c r="B440" s="19" t="s">
        <v>989</v>
      </c>
      <c r="C440">
        <v>28</v>
      </c>
      <c r="D440" s="19" t="s">
        <v>343</v>
      </c>
      <c r="E440" s="19" t="s">
        <v>334</v>
      </c>
      <c r="F440">
        <v>52</v>
      </c>
      <c r="G440">
        <v>4</v>
      </c>
      <c r="H440">
        <v>8</v>
      </c>
      <c r="I440">
        <v>12</v>
      </c>
      <c r="J440">
        <v>-10</v>
      </c>
      <c r="K440">
        <v>42</v>
      </c>
      <c r="L440">
        <v>4</v>
      </c>
      <c r="M440">
        <v>0</v>
      </c>
      <c r="N440">
        <v>0</v>
      </c>
      <c r="O440">
        <v>0</v>
      </c>
      <c r="P440">
        <v>8</v>
      </c>
      <c r="Q440">
        <v>0</v>
      </c>
      <c r="R440">
        <v>0</v>
      </c>
      <c r="S440">
        <v>46</v>
      </c>
      <c r="T440">
        <v>8.6999999999999993</v>
      </c>
      <c r="U440">
        <v>87</v>
      </c>
      <c r="V440" s="19" t="s">
        <v>2641</v>
      </c>
      <c r="W440" s="19" t="s">
        <v>1977</v>
      </c>
      <c r="X440">
        <v>9</v>
      </c>
      <c r="Y440">
        <v>12</v>
      </c>
      <c r="Z440">
        <v>42.9</v>
      </c>
      <c r="AA440">
        <v>28</v>
      </c>
      <c r="AB440">
        <v>177</v>
      </c>
      <c r="AC440">
        <v>2</v>
      </c>
      <c r="AD440">
        <v>22</v>
      </c>
      <c r="AE440" s="19" t="s">
        <v>60</v>
      </c>
    </row>
    <row r="441" spans="1:31" x14ac:dyDescent="0.2">
      <c r="A441">
        <v>426</v>
      </c>
      <c r="B441" s="19" t="s">
        <v>1059</v>
      </c>
      <c r="C441">
        <v>25</v>
      </c>
      <c r="D441" s="19" t="s">
        <v>343</v>
      </c>
      <c r="E441" s="19" t="s">
        <v>348</v>
      </c>
      <c r="F441">
        <v>52</v>
      </c>
      <c r="G441">
        <v>3</v>
      </c>
      <c r="H441">
        <v>9</v>
      </c>
      <c r="I441">
        <v>12</v>
      </c>
      <c r="J441">
        <v>6</v>
      </c>
      <c r="K441">
        <v>16</v>
      </c>
      <c r="L441">
        <v>3</v>
      </c>
      <c r="M441">
        <v>0</v>
      </c>
      <c r="N441">
        <v>0</v>
      </c>
      <c r="O441">
        <v>0</v>
      </c>
      <c r="P441">
        <v>9</v>
      </c>
      <c r="Q441">
        <v>0</v>
      </c>
      <c r="R441">
        <v>0</v>
      </c>
      <c r="S441">
        <v>47</v>
      </c>
      <c r="T441">
        <v>6.4</v>
      </c>
      <c r="U441">
        <v>117</v>
      </c>
      <c r="V441" s="19" t="s">
        <v>2642</v>
      </c>
      <c r="W441" s="19" t="s">
        <v>1820</v>
      </c>
      <c r="X441">
        <v>0</v>
      </c>
      <c r="Y441">
        <v>0</v>
      </c>
      <c r="AA441">
        <v>75</v>
      </c>
      <c r="AB441">
        <v>79</v>
      </c>
      <c r="AC441">
        <v>7</v>
      </c>
      <c r="AD441">
        <v>68</v>
      </c>
      <c r="AE441" s="19" t="s">
        <v>60</v>
      </c>
    </row>
    <row r="442" spans="1:31" x14ac:dyDescent="0.2">
      <c r="A442">
        <v>427</v>
      </c>
      <c r="B442" s="19" t="s">
        <v>823</v>
      </c>
      <c r="C442">
        <v>33</v>
      </c>
      <c r="D442" s="19" t="s">
        <v>531</v>
      </c>
      <c r="E442" s="19" t="s">
        <v>348</v>
      </c>
      <c r="F442">
        <v>52</v>
      </c>
      <c r="G442">
        <v>4</v>
      </c>
      <c r="H442">
        <v>8</v>
      </c>
      <c r="I442">
        <v>12</v>
      </c>
      <c r="J442">
        <v>2</v>
      </c>
      <c r="K442">
        <v>28</v>
      </c>
      <c r="L442">
        <v>4</v>
      </c>
      <c r="M442">
        <v>0</v>
      </c>
      <c r="N442">
        <v>0</v>
      </c>
      <c r="O442">
        <v>1</v>
      </c>
      <c r="P442">
        <v>8</v>
      </c>
      <c r="Q442">
        <v>0</v>
      </c>
      <c r="R442">
        <v>0</v>
      </c>
      <c r="S442">
        <v>57</v>
      </c>
      <c r="T442">
        <v>7</v>
      </c>
      <c r="U442">
        <v>120</v>
      </c>
      <c r="V442" s="19" t="s">
        <v>2643</v>
      </c>
      <c r="W442" s="19" t="s">
        <v>1731</v>
      </c>
      <c r="X442">
        <v>0</v>
      </c>
      <c r="Y442">
        <v>0</v>
      </c>
      <c r="AA442">
        <v>113</v>
      </c>
      <c r="AB442">
        <v>72</v>
      </c>
      <c r="AC442">
        <v>11</v>
      </c>
      <c r="AD442">
        <v>31</v>
      </c>
      <c r="AE442" s="19" t="s">
        <v>60</v>
      </c>
    </row>
    <row r="443" spans="1:31" x14ac:dyDescent="0.2">
      <c r="A443">
        <v>428</v>
      </c>
      <c r="B443" s="19" t="s">
        <v>1064</v>
      </c>
      <c r="C443">
        <v>32</v>
      </c>
      <c r="D443" s="19" t="s">
        <v>345</v>
      </c>
      <c r="E443" s="19" t="s">
        <v>339</v>
      </c>
      <c r="F443">
        <v>40</v>
      </c>
      <c r="G443">
        <v>4</v>
      </c>
      <c r="H443">
        <v>8</v>
      </c>
      <c r="I443">
        <v>12</v>
      </c>
      <c r="J443">
        <v>1</v>
      </c>
      <c r="K443">
        <v>17</v>
      </c>
      <c r="L443">
        <v>3</v>
      </c>
      <c r="M443">
        <v>0</v>
      </c>
      <c r="N443">
        <v>1</v>
      </c>
      <c r="O443">
        <v>1</v>
      </c>
      <c r="P443">
        <v>8</v>
      </c>
      <c r="Q443">
        <v>0</v>
      </c>
      <c r="R443">
        <v>0</v>
      </c>
      <c r="S443">
        <v>41</v>
      </c>
      <c r="T443">
        <v>9.8000000000000007</v>
      </c>
      <c r="U443">
        <v>94</v>
      </c>
      <c r="V443" s="19" t="s">
        <v>2644</v>
      </c>
      <c r="W443" s="19" t="s">
        <v>1857</v>
      </c>
      <c r="X443">
        <v>271</v>
      </c>
      <c r="Y443">
        <v>239</v>
      </c>
      <c r="Z443">
        <v>53.1</v>
      </c>
      <c r="AA443">
        <v>28</v>
      </c>
      <c r="AB443">
        <v>82</v>
      </c>
      <c r="AC443">
        <v>6</v>
      </c>
      <c r="AD443">
        <v>23</v>
      </c>
      <c r="AE443" s="19" t="s">
        <v>60</v>
      </c>
    </row>
    <row r="444" spans="1:31" x14ac:dyDescent="0.2">
      <c r="A444">
        <v>429</v>
      </c>
      <c r="B444" s="19" t="s">
        <v>716</v>
      </c>
      <c r="C444">
        <v>29</v>
      </c>
      <c r="D444" s="19" t="s">
        <v>327</v>
      </c>
      <c r="E444" s="19" t="s">
        <v>339</v>
      </c>
      <c r="F444">
        <v>47</v>
      </c>
      <c r="G444">
        <v>6</v>
      </c>
      <c r="H444">
        <v>6</v>
      </c>
      <c r="I444">
        <v>12</v>
      </c>
      <c r="J444">
        <v>-19</v>
      </c>
      <c r="K444">
        <v>34</v>
      </c>
      <c r="L444">
        <v>6</v>
      </c>
      <c r="M444">
        <v>0</v>
      </c>
      <c r="N444">
        <v>0</v>
      </c>
      <c r="O444">
        <v>1</v>
      </c>
      <c r="P444">
        <v>6</v>
      </c>
      <c r="Q444">
        <v>0</v>
      </c>
      <c r="R444">
        <v>0</v>
      </c>
      <c r="S444">
        <v>44</v>
      </c>
      <c r="T444">
        <v>13.6</v>
      </c>
      <c r="U444">
        <v>99</v>
      </c>
      <c r="V444" s="19" t="s">
        <v>2285</v>
      </c>
      <c r="W444" s="19" t="s">
        <v>1641</v>
      </c>
      <c r="X444">
        <v>2</v>
      </c>
      <c r="Y444">
        <v>4</v>
      </c>
      <c r="Z444">
        <v>33.299999999999997</v>
      </c>
      <c r="AA444">
        <v>18</v>
      </c>
      <c r="AB444">
        <v>46</v>
      </c>
      <c r="AC444">
        <v>7</v>
      </c>
      <c r="AD444">
        <v>31</v>
      </c>
      <c r="AE444" s="19" t="s">
        <v>60</v>
      </c>
    </row>
    <row r="445" spans="1:31" x14ac:dyDescent="0.2">
      <c r="A445">
        <v>430</v>
      </c>
      <c r="B445" s="19" t="s">
        <v>788</v>
      </c>
      <c r="C445">
        <v>35</v>
      </c>
      <c r="D445" s="19" t="s">
        <v>460</v>
      </c>
      <c r="E445" s="19" t="s">
        <v>322</v>
      </c>
      <c r="F445">
        <v>33</v>
      </c>
      <c r="G445">
        <v>9</v>
      </c>
      <c r="H445">
        <v>3</v>
      </c>
      <c r="I445">
        <v>12</v>
      </c>
      <c r="J445">
        <v>-19</v>
      </c>
      <c r="K445">
        <v>6</v>
      </c>
      <c r="L445">
        <v>5</v>
      </c>
      <c r="M445">
        <v>4</v>
      </c>
      <c r="N445">
        <v>0</v>
      </c>
      <c r="O445">
        <v>1</v>
      </c>
      <c r="P445">
        <v>3</v>
      </c>
      <c r="Q445">
        <v>0</v>
      </c>
      <c r="R445">
        <v>0</v>
      </c>
      <c r="S445">
        <v>73</v>
      </c>
      <c r="T445">
        <v>12.3</v>
      </c>
      <c r="U445">
        <v>149</v>
      </c>
      <c r="V445" s="19" t="s">
        <v>2645</v>
      </c>
      <c r="W445" s="19" t="s">
        <v>1781</v>
      </c>
      <c r="X445">
        <v>9</v>
      </c>
      <c r="Y445">
        <v>10</v>
      </c>
      <c r="Z445">
        <v>47.4</v>
      </c>
      <c r="AA445">
        <v>5</v>
      </c>
      <c r="AB445">
        <v>47</v>
      </c>
      <c r="AC445">
        <v>6</v>
      </c>
      <c r="AD445">
        <v>38</v>
      </c>
      <c r="AE445" s="19" t="s">
        <v>60</v>
      </c>
    </row>
    <row r="446" spans="1:31" x14ac:dyDescent="0.2">
      <c r="A446">
        <v>431</v>
      </c>
      <c r="B446" s="19" t="s">
        <v>652</v>
      </c>
      <c r="C446">
        <v>25</v>
      </c>
      <c r="D446" s="19" t="s">
        <v>362</v>
      </c>
      <c r="E446" s="19" t="s">
        <v>322</v>
      </c>
      <c r="F446">
        <v>17</v>
      </c>
      <c r="G446">
        <v>6</v>
      </c>
      <c r="H446">
        <v>6</v>
      </c>
      <c r="I446">
        <v>12</v>
      </c>
      <c r="J446">
        <v>7</v>
      </c>
      <c r="K446">
        <v>8</v>
      </c>
      <c r="L446">
        <v>5</v>
      </c>
      <c r="M446">
        <v>1</v>
      </c>
      <c r="N446">
        <v>0</v>
      </c>
      <c r="O446">
        <v>2</v>
      </c>
      <c r="P446">
        <v>6</v>
      </c>
      <c r="Q446">
        <v>0</v>
      </c>
      <c r="R446">
        <v>0</v>
      </c>
      <c r="S446">
        <v>24</v>
      </c>
      <c r="T446">
        <v>25</v>
      </c>
      <c r="U446">
        <v>41</v>
      </c>
      <c r="V446" s="19" t="s">
        <v>653</v>
      </c>
      <c r="W446" s="19" t="s">
        <v>654</v>
      </c>
      <c r="X446">
        <v>37</v>
      </c>
      <c r="Y446">
        <v>52</v>
      </c>
      <c r="Z446">
        <v>41.6</v>
      </c>
      <c r="AA446">
        <v>5</v>
      </c>
      <c r="AB446">
        <v>26</v>
      </c>
      <c r="AC446">
        <v>1</v>
      </c>
      <c r="AD446">
        <v>4</v>
      </c>
      <c r="AE446" s="19" t="s">
        <v>60</v>
      </c>
    </row>
    <row r="447" spans="1:31" x14ac:dyDescent="0.2">
      <c r="A447">
        <v>432</v>
      </c>
      <c r="B447" s="19" t="s">
        <v>762</v>
      </c>
      <c r="C447">
        <v>32</v>
      </c>
      <c r="D447" s="19" t="s">
        <v>513</v>
      </c>
      <c r="E447" s="19" t="s">
        <v>348</v>
      </c>
      <c r="F447">
        <v>53</v>
      </c>
      <c r="G447">
        <v>0</v>
      </c>
      <c r="H447">
        <v>12</v>
      </c>
      <c r="I447">
        <v>12</v>
      </c>
      <c r="J447">
        <v>-10</v>
      </c>
      <c r="K447">
        <v>16</v>
      </c>
      <c r="L447">
        <v>0</v>
      </c>
      <c r="M447">
        <v>0</v>
      </c>
      <c r="N447">
        <v>0</v>
      </c>
      <c r="O447">
        <v>0</v>
      </c>
      <c r="P447">
        <v>12</v>
      </c>
      <c r="Q447">
        <v>0</v>
      </c>
      <c r="R447">
        <v>0</v>
      </c>
      <c r="S447">
        <v>67</v>
      </c>
      <c r="T447">
        <v>0</v>
      </c>
      <c r="U447">
        <v>164</v>
      </c>
      <c r="V447" s="19" t="s">
        <v>2646</v>
      </c>
      <c r="W447" s="19" t="s">
        <v>2024</v>
      </c>
      <c r="X447">
        <v>0</v>
      </c>
      <c r="Y447">
        <v>0</v>
      </c>
      <c r="AA447">
        <v>132</v>
      </c>
      <c r="AB447">
        <v>59</v>
      </c>
      <c r="AC447">
        <v>23</v>
      </c>
      <c r="AD447">
        <v>62</v>
      </c>
      <c r="AE447" s="19" t="s">
        <v>60</v>
      </c>
    </row>
    <row r="448" spans="1:31" x14ac:dyDescent="0.2">
      <c r="A448">
        <v>433</v>
      </c>
      <c r="B448" s="19" t="s">
        <v>685</v>
      </c>
      <c r="C448">
        <v>23</v>
      </c>
      <c r="D448" s="19" t="s">
        <v>447</v>
      </c>
      <c r="E448" s="19" t="s">
        <v>322</v>
      </c>
      <c r="F448">
        <v>42</v>
      </c>
      <c r="G448">
        <v>3</v>
      </c>
      <c r="H448">
        <v>9</v>
      </c>
      <c r="I448">
        <v>12</v>
      </c>
      <c r="J448">
        <v>1</v>
      </c>
      <c r="K448">
        <v>18</v>
      </c>
      <c r="L448">
        <v>3</v>
      </c>
      <c r="M448">
        <v>0</v>
      </c>
      <c r="N448">
        <v>0</v>
      </c>
      <c r="O448">
        <v>1</v>
      </c>
      <c r="P448">
        <v>9</v>
      </c>
      <c r="Q448">
        <v>0</v>
      </c>
      <c r="R448">
        <v>0</v>
      </c>
      <c r="S448">
        <v>42</v>
      </c>
      <c r="T448">
        <v>7.1</v>
      </c>
      <c r="U448">
        <v>98</v>
      </c>
      <c r="V448" s="19" t="s">
        <v>2647</v>
      </c>
      <c r="W448" s="19" t="s">
        <v>1146</v>
      </c>
      <c r="X448">
        <v>286</v>
      </c>
      <c r="Y448">
        <v>184</v>
      </c>
      <c r="Z448">
        <v>60.9</v>
      </c>
      <c r="AA448">
        <v>9</v>
      </c>
      <c r="AB448">
        <v>98</v>
      </c>
      <c r="AC448">
        <v>8</v>
      </c>
      <c r="AD448">
        <v>24</v>
      </c>
      <c r="AE448" s="19" t="s">
        <v>60</v>
      </c>
    </row>
    <row r="449" spans="1:31" x14ac:dyDescent="0.2">
      <c r="A449">
        <v>434</v>
      </c>
      <c r="B449" s="19" t="s">
        <v>835</v>
      </c>
      <c r="C449">
        <v>25</v>
      </c>
      <c r="D449" s="19" t="s">
        <v>447</v>
      </c>
      <c r="E449" s="19" t="s">
        <v>325</v>
      </c>
      <c r="F449">
        <v>48</v>
      </c>
      <c r="G449">
        <v>10</v>
      </c>
      <c r="H449">
        <v>2</v>
      </c>
      <c r="I449">
        <v>12</v>
      </c>
      <c r="J449">
        <v>-7</v>
      </c>
      <c r="K449">
        <v>20</v>
      </c>
      <c r="L449">
        <v>10</v>
      </c>
      <c r="M449">
        <v>0</v>
      </c>
      <c r="N449">
        <v>0</v>
      </c>
      <c r="O449">
        <v>0</v>
      </c>
      <c r="P449">
        <v>1</v>
      </c>
      <c r="Q449">
        <v>1</v>
      </c>
      <c r="R449">
        <v>0</v>
      </c>
      <c r="S449">
        <v>48</v>
      </c>
      <c r="T449">
        <v>20.8</v>
      </c>
      <c r="U449">
        <v>85</v>
      </c>
      <c r="V449" s="19" t="s">
        <v>2352</v>
      </c>
      <c r="W449" s="19" t="s">
        <v>1676</v>
      </c>
      <c r="X449">
        <v>117</v>
      </c>
      <c r="Y449">
        <v>159</v>
      </c>
      <c r="Z449">
        <v>42.4</v>
      </c>
      <c r="AA449">
        <v>27</v>
      </c>
      <c r="AB449">
        <v>19</v>
      </c>
      <c r="AC449">
        <v>5</v>
      </c>
      <c r="AD449">
        <v>24</v>
      </c>
      <c r="AE449" s="19" t="s">
        <v>60</v>
      </c>
    </row>
    <row r="450" spans="1:31" x14ac:dyDescent="0.2">
      <c r="A450">
        <v>435</v>
      </c>
      <c r="B450" s="19" t="s">
        <v>891</v>
      </c>
      <c r="C450">
        <v>29</v>
      </c>
      <c r="D450" s="19" t="s">
        <v>404</v>
      </c>
      <c r="E450" s="19" t="s">
        <v>322</v>
      </c>
      <c r="F450">
        <v>52</v>
      </c>
      <c r="G450">
        <v>4</v>
      </c>
      <c r="H450">
        <v>8</v>
      </c>
      <c r="I450">
        <v>12</v>
      </c>
      <c r="J450">
        <v>-7</v>
      </c>
      <c r="K450">
        <v>18</v>
      </c>
      <c r="L450">
        <v>3</v>
      </c>
      <c r="M450">
        <v>0</v>
      </c>
      <c r="N450">
        <v>1</v>
      </c>
      <c r="O450">
        <v>0</v>
      </c>
      <c r="P450">
        <v>7</v>
      </c>
      <c r="Q450">
        <v>0</v>
      </c>
      <c r="R450">
        <v>1</v>
      </c>
      <c r="S450">
        <v>46</v>
      </c>
      <c r="T450">
        <v>8.6999999999999993</v>
      </c>
      <c r="U450">
        <v>111</v>
      </c>
      <c r="V450" s="19" t="s">
        <v>2648</v>
      </c>
      <c r="W450" s="19" t="s">
        <v>1975</v>
      </c>
      <c r="X450">
        <v>410</v>
      </c>
      <c r="Y450">
        <v>351</v>
      </c>
      <c r="Z450">
        <v>53.9</v>
      </c>
      <c r="AA450">
        <v>39</v>
      </c>
      <c r="AB450">
        <v>27</v>
      </c>
      <c r="AC450">
        <v>9</v>
      </c>
      <c r="AD450">
        <v>33</v>
      </c>
      <c r="AE450" s="19" t="s">
        <v>60</v>
      </c>
    </row>
    <row r="451" spans="1:31" x14ac:dyDescent="0.2">
      <c r="A451">
        <v>436</v>
      </c>
      <c r="B451" s="19" t="s">
        <v>894</v>
      </c>
      <c r="C451">
        <v>24</v>
      </c>
      <c r="D451" s="19" t="s">
        <v>419</v>
      </c>
      <c r="E451" s="19" t="s">
        <v>322</v>
      </c>
      <c r="F451">
        <v>49</v>
      </c>
      <c r="G451">
        <v>3</v>
      </c>
      <c r="H451">
        <v>9</v>
      </c>
      <c r="I451">
        <v>12</v>
      </c>
      <c r="J451">
        <v>-4</v>
      </c>
      <c r="K451">
        <v>19</v>
      </c>
      <c r="L451">
        <v>3</v>
      </c>
      <c r="M451">
        <v>0</v>
      </c>
      <c r="N451">
        <v>0</v>
      </c>
      <c r="O451">
        <v>0</v>
      </c>
      <c r="P451">
        <v>9</v>
      </c>
      <c r="Q451">
        <v>0</v>
      </c>
      <c r="R451">
        <v>0</v>
      </c>
      <c r="S451">
        <v>56</v>
      </c>
      <c r="T451">
        <v>5.4</v>
      </c>
      <c r="U451">
        <v>115</v>
      </c>
      <c r="V451" s="19" t="s">
        <v>2286</v>
      </c>
      <c r="W451" s="19" t="s">
        <v>1831</v>
      </c>
      <c r="X451">
        <v>235</v>
      </c>
      <c r="Y451">
        <v>187</v>
      </c>
      <c r="Z451">
        <v>55.7</v>
      </c>
      <c r="AA451">
        <v>25</v>
      </c>
      <c r="AB451">
        <v>29</v>
      </c>
      <c r="AC451">
        <v>11</v>
      </c>
      <c r="AD451">
        <v>22</v>
      </c>
      <c r="AE451" s="19" t="s">
        <v>60</v>
      </c>
    </row>
    <row r="452" spans="1:31" x14ac:dyDescent="0.2">
      <c r="A452">
        <v>437</v>
      </c>
      <c r="B452" s="19" t="s">
        <v>665</v>
      </c>
      <c r="C452">
        <v>30</v>
      </c>
      <c r="D452" s="19" t="s">
        <v>380</v>
      </c>
      <c r="E452" s="19" t="s">
        <v>339</v>
      </c>
      <c r="F452">
        <v>33</v>
      </c>
      <c r="G452">
        <v>8</v>
      </c>
      <c r="H452">
        <v>4</v>
      </c>
      <c r="I452">
        <v>12</v>
      </c>
      <c r="J452">
        <v>-6</v>
      </c>
      <c r="K452">
        <v>16</v>
      </c>
      <c r="L452">
        <v>8</v>
      </c>
      <c r="M452">
        <v>0</v>
      </c>
      <c r="N452">
        <v>0</v>
      </c>
      <c r="O452">
        <v>1</v>
      </c>
      <c r="P452">
        <v>3</v>
      </c>
      <c r="Q452">
        <v>0</v>
      </c>
      <c r="R452">
        <v>1</v>
      </c>
      <c r="S452">
        <v>51</v>
      </c>
      <c r="T452">
        <v>15.7</v>
      </c>
      <c r="U452">
        <v>90</v>
      </c>
      <c r="V452" s="19" t="s">
        <v>2908</v>
      </c>
      <c r="W452" s="19" t="s">
        <v>1754</v>
      </c>
      <c r="X452">
        <v>1</v>
      </c>
      <c r="Y452">
        <v>7</v>
      </c>
      <c r="Z452">
        <v>12.5</v>
      </c>
      <c r="AA452">
        <v>9</v>
      </c>
      <c r="AB452">
        <v>41</v>
      </c>
      <c r="AC452">
        <v>4</v>
      </c>
      <c r="AD452">
        <v>23</v>
      </c>
      <c r="AE452" s="19" t="s">
        <v>60</v>
      </c>
    </row>
    <row r="453" spans="1:31" x14ac:dyDescent="0.2">
      <c r="A453">
        <v>438</v>
      </c>
      <c r="B453" s="19" t="s">
        <v>932</v>
      </c>
      <c r="C453">
        <v>34</v>
      </c>
      <c r="D453" s="19" t="s">
        <v>948</v>
      </c>
      <c r="E453" s="19" t="s">
        <v>339</v>
      </c>
      <c r="F453">
        <v>52</v>
      </c>
      <c r="G453">
        <v>5</v>
      </c>
      <c r="H453">
        <v>7</v>
      </c>
      <c r="I453">
        <v>12</v>
      </c>
      <c r="J453">
        <v>-4</v>
      </c>
      <c r="K453">
        <v>12</v>
      </c>
      <c r="L453">
        <v>4</v>
      </c>
      <c r="M453">
        <v>1</v>
      </c>
      <c r="N453">
        <v>0</v>
      </c>
      <c r="O453">
        <v>0</v>
      </c>
      <c r="P453">
        <v>6</v>
      </c>
      <c r="Q453">
        <v>1</v>
      </c>
      <c r="R453">
        <v>0</v>
      </c>
      <c r="S453">
        <v>55</v>
      </c>
      <c r="T453">
        <v>9.1</v>
      </c>
      <c r="U453">
        <v>110</v>
      </c>
      <c r="V453" s="19" t="s">
        <v>2909</v>
      </c>
      <c r="W453" s="19" t="s">
        <v>1739</v>
      </c>
      <c r="X453">
        <v>6</v>
      </c>
      <c r="Y453">
        <v>8</v>
      </c>
      <c r="Z453">
        <v>42.9</v>
      </c>
      <c r="AA453">
        <v>42</v>
      </c>
      <c r="AB453">
        <v>91</v>
      </c>
      <c r="AC453">
        <v>7</v>
      </c>
      <c r="AD453">
        <v>26</v>
      </c>
      <c r="AE453" s="19" t="s">
        <v>60</v>
      </c>
    </row>
    <row r="454" spans="1:31" x14ac:dyDescent="0.2">
      <c r="A454">
        <v>438</v>
      </c>
      <c r="B454" s="19" t="s">
        <v>932</v>
      </c>
      <c r="C454">
        <v>34</v>
      </c>
      <c r="D454" s="19" t="s">
        <v>398</v>
      </c>
      <c r="E454" s="19" t="s">
        <v>339</v>
      </c>
      <c r="F454">
        <v>51</v>
      </c>
      <c r="G454">
        <v>4</v>
      </c>
      <c r="H454">
        <v>6</v>
      </c>
      <c r="I454">
        <v>10</v>
      </c>
      <c r="J454">
        <v>-5</v>
      </c>
      <c r="K454">
        <v>12</v>
      </c>
      <c r="L454">
        <v>4</v>
      </c>
      <c r="M454">
        <v>0</v>
      </c>
      <c r="N454">
        <v>0</v>
      </c>
      <c r="O454">
        <v>0</v>
      </c>
      <c r="P454">
        <v>5</v>
      </c>
      <c r="Q454">
        <v>1</v>
      </c>
      <c r="R454">
        <v>0</v>
      </c>
      <c r="S454">
        <v>53</v>
      </c>
      <c r="T454">
        <v>7.5</v>
      </c>
      <c r="U454">
        <v>108</v>
      </c>
      <c r="V454" s="19" t="s">
        <v>2356</v>
      </c>
      <c r="W454" s="19" t="s">
        <v>884</v>
      </c>
      <c r="X454">
        <v>6</v>
      </c>
      <c r="Y454">
        <v>8</v>
      </c>
      <c r="Z454">
        <v>42.9</v>
      </c>
      <c r="AA454">
        <v>41</v>
      </c>
      <c r="AB454">
        <v>89</v>
      </c>
      <c r="AC454">
        <v>7</v>
      </c>
      <c r="AD454">
        <v>26</v>
      </c>
      <c r="AE454" s="19" t="s">
        <v>60</v>
      </c>
    </row>
    <row r="455" spans="1:31" x14ac:dyDescent="0.2">
      <c r="A455">
        <v>438</v>
      </c>
      <c r="B455" s="19" t="s">
        <v>932</v>
      </c>
      <c r="C455">
        <v>34</v>
      </c>
      <c r="D455" s="19" t="s">
        <v>383</v>
      </c>
      <c r="E455" s="19" t="s">
        <v>339</v>
      </c>
      <c r="F455">
        <v>1</v>
      </c>
      <c r="G455">
        <v>1</v>
      </c>
      <c r="H455">
        <v>1</v>
      </c>
      <c r="I455">
        <v>2</v>
      </c>
      <c r="J455">
        <v>1</v>
      </c>
      <c r="K455">
        <v>0</v>
      </c>
      <c r="L455">
        <v>0</v>
      </c>
      <c r="M455">
        <v>1</v>
      </c>
      <c r="N455">
        <v>0</v>
      </c>
      <c r="O455">
        <v>0</v>
      </c>
      <c r="P455">
        <v>1</v>
      </c>
      <c r="Q455">
        <v>0</v>
      </c>
      <c r="R455">
        <v>0</v>
      </c>
      <c r="S455">
        <v>2</v>
      </c>
      <c r="T455">
        <v>50</v>
      </c>
      <c r="U455">
        <v>2</v>
      </c>
      <c r="V455" s="19" t="s">
        <v>1918</v>
      </c>
      <c r="W455" s="19" t="s">
        <v>1918</v>
      </c>
      <c r="X455">
        <v>0</v>
      </c>
      <c r="Y455">
        <v>0</v>
      </c>
      <c r="AA455">
        <v>1</v>
      </c>
      <c r="AB455">
        <v>2</v>
      </c>
      <c r="AC455">
        <v>0</v>
      </c>
      <c r="AD455">
        <v>0</v>
      </c>
      <c r="AE455" s="19" t="s">
        <v>60</v>
      </c>
    </row>
    <row r="456" spans="1:31" x14ac:dyDescent="0.2">
      <c r="A456">
        <v>439</v>
      </c>
      <c r="B456" s="19" t="s">
        <v>902</v>
      </c>
      <c r="C456">
        <v>32</v>
      </c>
      <c r="D456" s="19" t="s">
        <v>948</v>
      </c>
      <c r="E456" s="19" t="s">
        <v>322</v>
      </c>
      <c r="F456">
        <v>47</v>
      </c>
      <c r="G456">
        <v>2</v>
      </c>
      <c r="H456">
        <v>10</v>
      </c>
      <c r="I456">
        <v>12</v>
      </c>
      <c r="J456">
        <v>-1</v>
      </c>
      <c r="K456">
        <v>18</v>
      </c>
      <c r="L456">
        <v>2</v>
      </c>
      <c r="M456">
        <v>0</v>
      </c>
      <c r="N456">
        <v>0</v>
      </c>
      <c r="O456">
        <v>0</v>
      </c>
      <c r="P456">
        <v>9</v>
      </c>
      <c r="Q456">
        <v>0</v>
      </c>
      <c r="R456">
        <v>1</v>
      </c>
      <c r="S456">
        <v>67</v>
      </c>
      <c r="T456">
        <v>3</v>
      </c>
      <c r="U456">
        <v>128</v>
      </c>
      <c r="V456" s="19" t="s">
        <v>2649</v>
      </c>
      <c r="W456" s="19" t="s">
        <v>2029</v>
      </c>
      <c r="X456">
        <v>366</v>
      </c>
      <c r="Y456">
        <v>304</v>
      </c>
      <c r="Z456">
        <v>54.6</v>
      </c>
      <c r="AA456">
        <v>25</v>
      </c>
      <c r="AB456">
        <v>36</v>
      </c>
      <c r="AC456">
        <v>7</v>
      </c>
      <c r="AD456">
        <v>38</v>
      </c>
      <c r="AE456" s="19" t="s">
        <v>60</v>
      </c>
    </row>
    <row r="457" spans="1:31" x14ac:dyDescent="0.2">
      <c r="A457">
        <v>439</v>
      </c>
      <c r="B457" s="19" t="s">
        <v>902</v>
      </c>
      <c r="C457">
        <v>32</v>
      </c>
      <c r="D457" s="19" t="s">
        <v>419</v>
      </c>
      <c r="E457" s="19" t="s">
        <v>322</v>
      </c>
      <c r="F457">
        <v>30</v>
      </c>
      <c r="G457">
        <v>0</v>
      </c>
      <c r="H457">
        <v>5</v>
      </c>
      <c r="I457">
        <v>5</v>
      </c>
      <c r="J457">
        <v>3</v>
      </c>
      <c r="K457">
        <v>6</v>
      </c>
      <c r="L457">
        <v>0</v>
      </c>
      <c r="M457">
        <v>0</v>
      </c>
      <c r="N457">
        <v>0</v>
      </c>
      <c r="O457">
        <v>0</v>
      </c>
      <c r="P457">
        <v>4</v>
      </c>
      <c r="Q457">
        <v>0</v>
      </c>
      <c r="R457">
        <v>1</v>
      </c>
      <c r="S457">
        <v>42</v>
      </c>
      <c r="T457">
        <v>0</v>
      </c>
      <c r="U457">
        <v>88</v>
      </c>
      <c r="V457" s="19" t="s">
        <v>1520</v>
      </c>
      <c r="W457" s="19" t="s">
        <v>1521</v>
      </c>
      <c r="X457">
        <v>219</v>
      </c>
      <c r="Y457">
        <v>195</v>
      </c>
      <c r="Z457">
        <v>52.9</v>
      </c>
      <c r="AA457">
        <v>11</v>
      </c>
      <c r="AB457">
        <v>22</v>
      </c>
      <c r="AC457">
        <v>4</v>
      </c>
      <c r="AD457">
        <v>25</v>
      </c>
      <c r="AE457" s="19" t="s">
        <v>60</v>
      </c>
    </row>
    <row r="458" spans="1:31" x14ac:dyDescent="0.2">
      <c r="A458">
        <v>439</v>
      </c>
      <c r="B458" s="19" t="s">
        <v>902</v>
      </c>
      <c r="C458">
        <v>32</v>
      </c>
      <c r="D458" s="19" t="s">
        <v>362</v>
      </c>
      <c r="E458" s="19" t="s">
        <v>322</v>
      </c>
      <c r="F458">
        <v>17</v>
      </c>
      <c r="G458">
        <v>2</v>
      </c>
      <c r="H458">
        <v>5</v>
      </c>
      <c r="I458">
        <v>7</v>
      </c>
      <c r="J458">
        <v>-4</v>
      </c>
      <c r="K458">
        <v>12</v>
      </c>
      <c r="L458">
        <v>2</v>
      </c>
      <c r="M458">
        <v>0</v>
      </c>
      <c r="N458">
        <v>0</v>
      </c>
      <c r="O458">
        <v>0</v>
      </c>
      <c r="P458">
        <v>5</v>
      </c>
      <c r="Q458">
        <v>0</v>
      </c>
      <c r="R458">
        <v>0</v>
      </c>
      <c r="S458">
        <v>25</v>
      </c>
      <c r="T458">
        <v>8</v>
      </c>
      <c r="U458">
        <v>40</v>
      </c>
      <c r="V458" s="19" t="s">
        <v>2650</v>
      </c>
      <c r="W458" s="19" t="s">
        <v>1027</v>
      </c>
      <c r="X458">
        <v>147</v>
      </c>
      <c r="Y458">
        <v>109</v>
      </c>
      <c r="Z458">
        <v>57.4</v>
      </c>
      <c r="AA458">
        <v>14</v>
      </c>
      <c r="AB458">
        <v>14</v>
      </c>
      <c r="AC458">
        <v>3</v>
      </c>
      <c r="AD458">
        <v>13</v>
      </c>
      <c r="AE458" s="19" t="s">
        <v>60</v>
      </c>
    </row>
    <row r="459" spans="1:31" x14ac:dyDescent="0.2">
      <c r="A459">
        <v>440</v>
      </c>
      <c r="B459" s="19" t="s">
        <v>955</v>
      </c>
      <c r="C459">
        <v>34</v>
      </c>
      <c r="D459" s="19" t="s">
        <v>375</v>
      </c>
      <c r="E459" s="19" t="s">
        <v>322</v>
      </c>
      <c r="F459">
        <v>38</v>
      </c>
      <c r="G459">
        <v>4</v>
      </c>
      <c r="H459">
        <v>7</v>
      </c>
      <c r="I459">
        <v>11</v>
      </c>
      <c r="J459">
        <v>6</v>
      </c>
      <c r="K459">
        <v>17</v>
      </c>
      <c r="L459">
        <v>4</v>
      </c>
      <c r="M459">
        <v>0</v>
      </c>
      <c r="N459">
        <v>0</v>
      </c>
      <c r="O459">
        <v>0</v>
      </c>
      <c r="P459">
        <v>7</v>
      </c>
      <c r="Q459">
        <v>0</v>
      </c>
      <c r="R459">
        <v>0</v>
      </c>
      <c r="S459">
        <v>45</v>
      </c>
      <c r="T459">
        <v>8.9</v>
      </c>
      <c r="U459">
        <v>84</v>
      </c>
      <c r="V459" s="19" t="s">
        <v>2353</v>
      </c>
      <c r="W459" s="19" t="s">
        <v>1963</v>
      </c>
      <c r="X459">
        <v>167</v>
      </c>
      <c r="Y459">
        <v>140</v>
      </c>
      <c r="Z459">
        <v>54.4</v>
      </c>
      <c r="AA459">
        <v>29</v>
      </c>
      <c r="AB459">
        <v>42</v>
      </c>
      <c r="AC459">
        <v>6</v>
      </c>
      <c r="AD459">
        <v>9</v>
      </c>
      <c r="AE459" s="19" t="s">
        <v>60</v>
      </c>
    </row>
    <row r="460" spans="1:31" x14ac:dyDescent="0.2">
      <c r="A460">
        <v>441</v>
      </c>
      <c r="B460" s="19" t="s">
        <v>806</v>
      </c>
      <c r="C460">
        <v>23</v>
      </c>
      <c r="D460" s="19" t="s">
        <v>406</v>
      </c>
      <c r="E460" s="19" t="s">
        <v>348</v>
      </c>
      <c r="F460">
        <v>40</v>
      </c>
      <c r="G460">
        <v>1</v>
      </c>
      <c r="H460">
        <v>10</v>
      </c>
      <c r="I460">
        <v>11</v>
      </c>
      <c r="J460">
        <v>11</v>
      </c>
      <c r="K460">
        <v>16</v>
      </c>
      <c r="L460">
        <v>1</v>
      </c>
      <c r="M460">
        <v>0</v>
      </c>
      <c r="N460">
        <v>0</v>
      </c>
      <c r="O460">
        <v>0</v>
      </c>
      <c r="P460">
        <v>9</v>
      </c>
      <c r="Q460">
        <v>1</v>
      </c>
      <c r="R460">
        <v>0</v>
      </c>
      <c r="S460">
        <v>26</v>
      </c>
      <c r="T460">
        <v>3.8</v>
      </c>
      <c r="U460">
        <v>88</v>
      </c>
      <c r="V460" s="19" t="s">
        <v>2651</v>
      </c>
      <c r="W460" s="19" t="s">
        <v>1696</v>
      </c>
      <c r="X460">
        <v>0</v>
      </c>
      <c r="Y460">
        <v>0</v>
      </c>
      <c r="AA460">
        <v>39</v>
      </c>
      <c r="AB460">
        <v>46</v>
      </c>
      <c r="AC460">
        <v>5</v>
      </c>
      <c r="AD460">
        <v>28</v>
      </c>
      <c r="AE460" s="19" t="s">
        <v>60</v>
      </c>
    </row>
    <row r="461" spans="1:31" x14ac:dyDescent="0.2">
      <c r="A461">
        <v>442</v>
      </c>
      <c r="B461" s="19" t="s">
        <v>732</v>
      </c>
      <c r="C461">
        <v>30</v>
      </c>
      <c r="D461" s="19" t="s">
        <v>370</v>
      </c>
      <c r="E461" s="19" t="s">
        <v>322</v>
      </c>
      <c r="F461">
        <v>44</v>
      </c>
      <c r="G461">
        <v>5</v>
      </c>
      <c r="H461">
        <v>6</v>
      </c>
      <c r="I461">
        <v>11</v>
      </c>
      <c r="J461">
        <v>0</v>
      </c>
      <c r="K461">
        <v>28</v>
      </c>
      <c r="L461">
        <v>5</v>
      </c>
      <c r="M461">
        <v>0</v>
      </c>
      <c r="N461">
        <v>0</v>
      </c>
      <c r="O461">
        <v>2</v>
      </c>
      <c r="P461">
        <v>6</v>
      </c>
      <c r="Q461">
        <v>0</v>
      </c>
      <c r="R461">
        <v>0</v>
      </c>
      <c r="S461">
        <v>43</v>
      </c>
      <c r="T461">
        <v>11.6</v>
      </c>
      <c r="U461">
        <v>81</v>
      </c>
      <c r="V461" s="19" t="s">
        <v>2618</v>
      </c>
      <c r="W461" s="19" t="s">
        <v>1505</v>
      </c>
      <c r="X461">
        <v>5</v>
      </c>
      <c r="Y461">
        <v>14</v>
      </c>
      <c r="Z461">
        <v>26.3</v>
      </c>
      <c r="AA461">
        <v>19</v>
      </c>
      <c r="AB461">
        <v>56</v>
      </c>
      <c r="AC461">
        <v>0</v>
      </c>
      <c r="AD461">
        <v>19</v>
      </c>
      <c r="AE461" s="19" t="s">
        <v>60</v>
      </c>
    </row>
    <row r="462" spans="1:31" x14ac:dyDescent="0.2">
      <c r="A462">
        <v>443</v>
      </c>
      <c r="B462" s="19" t="s">
        <v>808</v>
      </c>
      <c r="C462">
        <v>21</v>
      </c>
      <c r="D462" s="19" t="s">
        <v>321</v>
      </c>
      <c r="E462" s="19" t="s">
        <v>322</v>
      </c>
      <c r="F462">
        <v>38</v>
      </c>
      <c r="G462">
        <v>5</v>
      </c>
      <c r="H462">
        <v>6</v>
      </c>
      <c r="I462">
        <v>11</v>
      </c>
      <c r="J462">
        <v>7</v>
      </c>
      <c r="K462">
        <v>8</v>
      </c>
      <c r="L462">
        <v>5</v>
      </c>
      <c r="M462">
        <v>0</v>
      </c>
      <c r="N462">
        <v>0</v>
      </c>
      <c r="O462">
        <v>3</v>
      </c>
      <c r="P462">
        <v>6</v>
      </c>
      <c r="Q462">
        <v>0</v>
      </c>
      <c r="R462">
        <v>0</v>
      </c>
      <c r="S462">
        <v>45</v>
      </c>
      <c r="T462">
        <v>11.1</v>
      </c>
      <c r="U462">
        <v>81</v>
      </c>
      <c r="V462" s="19" t="s">
        <v>2910</v>
      </c>
      <c r="W462" s="19" t="s">
        <v>1091</v>
      </c>
      <c r="X462">
        <v>12</v>
      </c>
      <c r="Y462">
        <v>19</v>
      </c>
      <c r="Z462">
        <v>38.700000000000003</v>
      </c>
      <c r="AA462">
        <v>11</v>
      </c>
      <c r="AB462">
        <v>29</v>
      </c>
      <c r="AC462">
        <v>4</v>
      </c>
      <c r="AD462">
        <v>14</v>
      </c>
      <c r="AE462" s="19" t="s">
        <v>60</v>
      </c>
    </row>
    <row r="463" spans="1:31" x14ac:dyDescent="0.2">
      <c r="A463">
        <v>444</v>
      </c>
      <c r="B463" s="19" t="s">
        <v>853</v>
      </c>
      <c r="C463">
        <v>31</v>
      </c>
      <c r="D463" s="19" t="s">
        <v>396</v>
      </c>
      <c r="E463" s="19" t="s">
        <v>339</v>
      </c>
      <c r="F463">
        <v>41</v>
      </c>
      <c r="G463">
        <v>6</v>
      </c>
      <c r="H463">
        <v>5</v>
      </c>
      <c r="I463">
        <v>11</v>
      </c>
      <c r="J463">
        <v>5</v>
      </c>
      <c r="K463">
        <v>14</v>
      </c>
      <c r="L463">
        <v>6</v>
      </c>
      <c r="M463">
        <v>0</v>
      </c>
      <c r="N463">
        <v>0</v>
      </c>
      <c r="O463">
        <v>2</v>
      </c>
      <c r="P463">
        <v>5</v>
      </c>
      <c r="Q463">
        <v>0</v>
      </c>
      <c r="R463">
        <v>0</v>
      </c>
      <c r="S463">
        <v>50</v>
      </c>
      <c r="T463">
        <v>12</v>
      </c>
      <c r="U463">
        <v>103</v>
      </c>
      <c r="V463" s="19" t="s">
        <v>2287</v>
      </c>
      <c r="W463" s="19" t="s">
        <v>1974</v>
      </c>
      <c r="X463">
        <v>1</v>
      </c>
      <c r="Y463">
        <v>4</v>
      </c>
      <c r="Z463">
        <v>20</v>
      </c>
      <c r="AA463">
        <v>10</v>
      </c>
      <c r="AB463">
        <v>98</v>
      </c>
      <c r="AC463">
        <v>10</v>
      </c>
      <c r="AD463">
        <v>14</v>
      </c>
      <c r="AE463" s="19" t="s">
        <v>60</v>
      </c>
    </row>
    <row r="464" spans="1:31" x14ac:dyDescent="0.2">
      <c r="A464">
        <v>445</v>
      </c>
      <c r="B464" s="19" t="s">
        <v>901</v>
      </c>
      <c r="C464">
        <v>20</v>
      </c>
      <c r="D464" s="19" t="s">
        <v>531</v>
      </c>
      <c r="E464" s="19" t="s">
        <v>325</v>
      </c>
      <c r="F464">
        <v>39</v>
      </c>
      <c r="G464">
        <v>5</v>
      </c>
      <c r="H464">
        <v>6</v>
      </c>
      <c r="I464">
        <v>11</v>
      </c>
      <c r="J464">
        <v>-3</v>
      </c>
      <c r="K464">
        <v>16</v>
      </c>
      <c r="L464">
        <v>4</v>
      </c>
      <c r="M464">
        <v>1</v>
      </c>
      <c r="N464">
        <v>0</v>
      </c>
      <c r="O464">
        <v>2</v>
      </c>
      <c r="P464">
        <v>5</v>
      </c>
      <c r="Q464">
        <v>1</v>
      </c>
      <c r="R464">
        <v>0</v>
      </c>
      <c r="S464">
        <v>44</v>
      </c>
      <c r="T464">
        <v>11.4</v>
      </c>
      <c r="U464">
        <v>93</v>
      </c>
      <c r="V464" s="19" t="s">
        <v>2652</v>
      </c>
      <c r="W464" s="19" t="s">
        <v>972</v>
      </c>
      <c r="X464">
        <v>39</v>
      </c>
      <c r="Y464">
        <v>57</v>
      </c>
      <c r="Z464">
        <v>40.6</v>
      </c>
      <c r="AA464">
        <v>21</v>
      </c>
      <c r="AB464">
        <v>4</v>
      </c>
      <c r="AC464">
        <v>8</v>
      </c>
      <c r="AD464">
        <v>20</v>
      </c>
      <c r="AE464" s="19" t="s">
        <v>60</v>
      </c>
    </row>
    <row r="465" spans="1:31" x14ac:dyDescent="0.2">
      <c r="A465">
        <v>446</v>
      </c>
      <c r="B465" s="19" t="s">
        <v>1580</v>
      </c>
      <c r="C465">
        <v>20</v>
      </c>
      <c r="D465" s="19" t="s">
        <v>324</v>
      </c>
      <c r="E465" s="19" t="s">
        <v>339</v>
      </c>
      <c r="F465">
        <v>15</v>
      </c>
      <c r="G465">
        <v>3</v>
      </c>
      <c r="H465">
        <v>8</v>
      </c>
      <c r="I465">
        <v>11</v>
      </c>
      <c r="J465">
        <v>2</v>
      </c>
      <c r="K465">
        <v>2</v>
      </c>
      <c r="L465">
        <v>2</v>
      </c>
      <c r="M465">
        <v>1</v>
      </c>
      <c r="N465">
        <v>0</v>
      </c>
      <c r="O465">
        <v>1</v>
      </c>
      <c r="P465">
        <v>6</v>
      </c>
      <c r="Q465">
        <v>2</v>
      </c>
      <c r="R465">
        <v>0</v>
      </c>
      <c r="S465">
        <v>27</v>
      </c>
      <c r="T465">
        <v>11.1</v>
      </c>
      <c r="U465">
        <v>49</v>
      </c>
      <c r="V465" s="19" t="s">
        <v>2147</v>
      </c>
      <c r="W465" s="19" t="s">
        <v>1524</v>
      </c>
      <c r="X465">
        <v>0</v>
      </c>
      <c r="Y465">
        <v>0</v>
      </c>
      <c r="AA465">
        <v>5</v>
      </c>
      <c r="AB465">
        <v>9</v>
      </c>
      <c r="AC465">
        <v>0</v>
      </c>
      <c r="AD465">
        <v>15</v>
      </c>
      <c r="AE465" s="19" t="s">
        <v>60</v>
      </c>
    </row>
    <row r="466" spans="1:31" x14ac:dyDescent="0.2">
      <c r="A466">
        <v>447</v>
      </c>
      <c r="B466" s="19" t="s">
        <v>774</v>
      </c>
      <c r="C466">
        <v>34</v>
      </c>
      <c r="D466" s="19" t="s">
        <v>370</v>
      </c>
      <c r="E466" s="19" t="s">
        <v>348</v>
      </c>
      <c r="F466">
        <v>54</v>
      </c>
      <c r="G466">
        <v>4</v>
      </c>
      <c r="H466">
        <v>7</v>
      </c>
      <c r="I466">
        <v>11</v>
      </c>
      <c r="J466">
        <v>1</v>
      </c>
      <c r="K466">
        <v>48</v>
      </c>
      <c r="L466">
        <v>4</v>
      </c>
      <c r="M466">
        <v>0</v>
      </c>
      <c r="N466">
        <v>0</v>
      </c>
      <c r="O466">
        <v>0</v>
      </c>
      <c r="P466">
        <v>7</v>
      </c>
      <c r="Q466">
        <v>0</v>
      </c>
      <c r="R466">
        <v>0</v>
      </c>
      <c r="S466">
        <v>64</v>
      </c>
      <c r="T466">
        <v>6.3</v>
      </c>
      <c r="U466">
        <v>161</v>
      </c>
      <c r="V466" s="19" t="s">
        <v>2653</v>
      </c>
      <c r="W466" s="19" t="s">
        <v>1502</v>
      </c>
      <c r="X466">
        <v>0</v>
      </c>
      <c r="Y466">
        <v>0</v>
      </c>
      <c r="AA466">
        <v>113</v>
      </c>
      <c r="AB466">
        <v>109</v>
      </c>
      <c r="AC466">
        <v>20</v>
      </c>
      <c r="AD466">
        <v>57</v>
      </c>
      <c r="AE466" s="19" t="s">
        <v>60</v>
      </c>
    </row>
    <row r="467" spans="1:31" x14ac:dyDescent="0.2">
      <c r="A467">
        <v>448</v>
      </c>
      <c r="B467" s="19" t="s">
        <v>741</v>
      </c>
      <c r="C467">
        <v>25</v>
      </c>
      <c r="D467" s="19" t="s">
        <v>324</v>
      </c>
      <c r="E467" s="19" t="s">
        <v>322</v>
      </c>
      <c r="F467">
        <v>42</v>
      </c>
      <c r="G467">
        <v>2</v>
      </c>
      <c r="H467">
        <v>9</v>
      </c>
      <c r="I467">
        <v>11</v>
      </c>
      <c r="J467">
        <v>-15</v>
      </c>
      <c r="K467">
        <v>18</v>
      </c>
      <c r="L467">
        <v>1</v>
      </c>
      <c r="M467">
        <v>0</v>
      </c>
      <c r="N467">
        <v>1</v>
      </c>
      <c r="O467">
        <v>0</v>
      </c>
      <c r="P467">
        <v>8</v>
      </c>
      <c r="Q467">
        <v>0</v>
      </c>
      <c r="R467">
        <v>1</v>
      </c>
      <c r="S467">
        <v>44</v>
      </c>
      <c r="T467">
        <v>4.5</v>
      </c>
      <c r="U467">
        <v>86</v>
      </c>
      <c r="V467" s="19" t="s">
        <v>1826</v>
      </c>
      <c r="W467" s="19" t="s">
        <v>1555</v>
      </c>
      <c r="X467">
        <v>267</v>
      </c>
      <c r="Y467">
        <v>244</v>
      </c>
      <c r="Z467">
        <v>52.3</v>
      </c>
      <c r="AA467">
        <v>36</v>
      </c>
      <c r="AB467">
        <v>117</v>
      </c>
      <c r="AC467">
        <v>7</v>
      </c>
      <c r="AD467">
        <v>24</v>
      </c>
      <c r="AE467" s="19" t="s">
        <v>60</v>
      </c>
    </row>
    <row r="468" spans="1:31" x14ac:dyDescent="0.2">
      <c r="A468">
        <v>449</v>
      </c>
      <c r="B468" s="19" t="s">
        <v>965</v>
      </c>
      <c r="C468">
        <v>30</v>
      </c>
      <c r="D468" s="19" t="s">
        <v>329</v>
      </c>
      <c r="E468" s="19" t="s">
        <v>322</v>
      </c>
      <c r="F468">
        <v>39</v>
      </c>
      <c r="G468">
        <v>6</v>
      </c>
      <c r="H468">
        <v>5</v>
      </c>
      <c r="I468">
        <v>11</v>
      </c>
      <c r="J468">
        <v>-6</v>
      </c>
      <c r="K468">
        <v>10</v>
      </c>
      <c r="L468">
        <v>5</v>
      </c>
      <c r="M468">
        <v>0</v>
      </c>
      <c r="N468">
        <v>1</v>
      </c>
      <c r="O468">
        <v>1</v>
      </c>
      <c r="P468">
        <v>4</v>
      </c>
      <c r="Q468">
        <v>0</v>
      </c>
      <c r="R468">
        <v>1</v>
      </c>
      <c r="S468">
        <v>49</v>
      </c>
      <c r="T468">
        <v>12.2</v>
      </c>
      <c r="U468">
        <v>101</v>
      </c>
      <c r="V468" s="19" t="s">
        <v>2654</v>
      </c>
      <c r="W468" s="19" t="s">
        <v>1726</v>
      </c>
      <c r="X468">
        <v>295</v>
      </c>
      <c r="Y468">
        <v>293</v>
      </c>
      <c r="Z468">
        <v>50.2</v>
      </c>
      <c r="AA468">
        <v>28</v>
      </c>
      <c r="AB468">
        <v>44</v>
      </c>
      <c r="AC468">
        <v>7</v>
      </c>
      <c r="AD468">
        <v>26</v>
      </c>
      <c r="AE468" s="19" t="s">
        <v>60</v>
      </c>
    </row>
    <row r="469" spans="1:31" x14ac:dyDescent="0.2">
      <c r="A469">
        <v>450</v>
      </c>
      <c r="B469" s="19" t="s">
        <v>859</v>
      </c>
      <c r="C469">
        <v>34</v>
      </c>
      <c r="D469" s="19" t="s">
        <v>419</v>
      </c>
      <c r="E469" s="19" t="s">
        <v>348</v>
      </c>
      <c r="F469">
        <v>51</v>
      </c>
      <c r="G469">
        <v>1</v>
      </c>
      <c r="H469">
        <v>10</v>
      </c>
      <c r="I469">
        <v>11</v>
      </c>
      <c r="J469">
        <v>3</v>
      </c>
      <c r="K469">
        <v>14</v>
      </c>
      <c r="L469">
        <v>1</v>
      </c>
      <c r="M469">
        <v>0</v>
      </c>
      <c r="N469">
        <v>0</v>
      </c>
      <c r="O469">
        <v>0</v>
      </c>
      <c r="P469">
        <v>9</v>
      </c>
      <c r="Q469">
        <v>0</v>
      </c>
      <c r="R469">
        <v>1</v>
      </c>
      <c r="S469">
        <v>50</v>
      </c>
      <c r="T469">
        <v>2</v>
      </c>
      <c r="U469">
        <v>124</v>
      </c>
      <c r="V469" s="19" t="s">
        <v>2655</v>
      </c>
      <c r="W469" s="19" t="s">
        <v>1527</v>
      </c>
      <c r="X469">
        <v>0</v>
      </c>
      <c r="Y469">
        <v>0</v>
      </c>
      <c r="AA469">
        <v>65</v>
      </c>
      <c r="AB469">
        <v>23</v>
      </c>
      <c r="AC469">
        <v>12</v>
      </c>
      <c r="AD469">
        <v>61</v>
      </c>
      <c r="AE469" s="19" t="s">
        <v>60</v>
      </c>
    </row>
    <row r="470" spans="1:31" x14ac:dyDescent="0.2">
      <c r="A470">
        <v>451</v>
      </c>
      <c r="B470" s="19" t="s">
        <v>1105</v>
      </c>
      <c r="C470">
        <v>27</v>
      </c>
      <c r="D470" s="19" t="s">
        <v>321</v>
      </c>
      <c r="E470" s="19" t="s">
        <v>348</v>
      </c>
      <c r="F470">
        <v>36</v>
      </c>
      <c r="G470">
        <v>3</v>
      </c>
      <c r="H470">
        <v>8</v>
      </c>
      <c r="I470">
        <v>11</v>
      </c>
      <c r="J470">
        <v>12</v>
      </c>
      <c r="K470">
        <v>15</v>
      </c>
      <c r="L470">
        <v>3</v>
      </c>
      <c r="M470">
        <v>0</v>
      </c>
      <c r="N470">
        <v>0</v>
      </c>
      <c r="O470">
        <v>1</v>
      </c>
      <c r="P470">
        <v>8</v>
      </c>
      <c r="Q470">
        <v>0</v>
      </c>
      <c r="R470">
        <v>0</v>
      </c>
      <c r="S470">
        <v>28</v>
      </c>
      <c r="T470">
        <v>10.7</v>
      </c>
      <c r="U470">
        <v>103</v>
      </c>
      <c r="V470" s="19" t="s">
        <v>2911</v>
      </c>
      <c r="W470" s="19" t="s">
        <v>1958</v>
      </c>
      <c r="X470">
        <v>0</v>
      </c>
      <c r="Y470">
        <v>0</v>
      </c>
      <c r="AA470">
        <v>32</v>
      </c>
      <c r="AB470">
        <v>13</v>
      </c>
      <c r="AC470">
        <v>8</v>
      </c>
      <c r="AD470">
        <v>34</v>
      </c>
      <c r="AE470" s="19" t="s">
        <v>60</v>
      </c>
    </row>
    <row r="471" spans="1:31" x14ac:dyDescent="0.2">
      <c r="A471">
        <v>452</v>
      </c>
      <c r="B471" s="19" t="s">
        <v>865</v>
      </c>
      <c r="C471">
        <v>32</v>
      </c>
      <c r="D471" s="19" t="s">
        <v>351</v>
      </c>
      <c r="E471" s="19" t="s">
        <v>322</v>
      </c>
      <c r="F471">
        <v>44</v>
      </c>
      <c r="G471">
        <v>6</v>
      </c>
      <c r="H471">
        <v>5</v>
      </c>
      <c r="I471">
        <v>11</v>
      </c>
      <c r="J471">
        <v>1</v>
      </c>
      <c r="K471">
        <v>18</v>
      </c>
      <c r="L471">
        <v>6</v>
      </c>
      <c r="M471">
        <v>0</v>
      </c>
      <c r="N471">
        <v>0</v>
      </c>
      <c r="O471">
        <v>0</v>
      </c>
      <c r="P471">
        <v>5</v>
      </c>
      <c r="Q471">
        <v>0</v>
      </c>
      <c r="R471">
        <v>0</v>
      </c>
      <c r="S471">
        <v>55</v>
      </c>
      <c r="T471">
        <v>10.9</v>
      </c>
      <c r="U471">
        <v>105</v>
      </c>
      <c r="V471" s="19" t="s">
        <v>2656</v>
      </c>
      <c r="W471" s="19" t="s">
        <v>2088</v>
      </c>
      <c r="X471">
        <v>39</v>
      </c>
      <c r="Y471">
        <v>70</v>
      </c>
      <c r="Z471">
        <v>35.799999999999997</v>
      </c>
      <c r="AA471">
        <v>26</v>
      </c>
      <c r="AB471">
        <v>115</v>
      </c>
      <c r="AC471">
        <v>3</v>
      </c>
      <c r="AD471">
        <v>21</v>
      </c>
      <c r="AE471" s="19" t="s">
        <v>60</v>
      </c>
    </row>
    <row r="472" spans="1:31" x14ac:dyDescent="0.2">
      <c r="A472">
        <v>453</v>
      </c>
      <c r="B472" s="19" t="s">
        <v>975</v>
      </c>
      <c r="C472">
        <v>32</v>
      </c>
      <c r="D472" s="19" t="s">
        <v>329</v>
      </c>
      <c r="E472" s="19" t="s">
        <v>348</v>
      </c>
      <c r="F472">
        <v>53</v>
      </c>
      <c r="G472">
        <v>0</v>
      </c>
      <c r="H472">
        <v>11</v>
      </c>
      <c r="I472">
        <v>11</v>
      </c>
      <c r="J472">
        <v>-1</v>
      </c>
      <c r="K472">
        <v>24</v>
      </c>
      <c r="L472">
        <v>0</v>
      </c>
      <c r="M472">
        <v>0</v>
      </c>
      <c r="N472">
        <v>0</v>
      </c>
      <c r="O472">
        <v>0</v>
      </c>
      <c r="P472">
        <v>7</v>
      </c>
      <c r="Q472">
        <v>3</v>
      </c>
      <c r="R472">
        <v>1</v>
      </c>
      <c r="S472">
        <v>53</v>
      </c>
      <c r="T472">
        <v>0</v>
      </c>
      <c r="U472">
        <v>126</v>
      </c>
      <c r="V472" s="19" t="s">
        <v>2657</v>
      </c>
      <c r="W472" s="19" t="s">
        <v>2201</v>
      </c>
      <c r="X472">
        <v>0</v>
      </c>
      <c r="Y472">
        <v>0</v>
      </c>
      <c r="AA472">
        <v>38</v>
      </c>
      <c r="AB472">
        <v>22</v>
      </c>
      <c r="AC472">
        <v>16</v>
      </c>
      <c r="AD472">
        <v>36</v>
      </c>
      <c r="AE472" s="19" t="s">
        <v>60</v>
      </c>
    </row>
    <row r="473" spans="1:31" x14ac:dyDescent="0.2">
      <c r="A473">
        <v>454</v>
      </c>
      <c r="B473" s="19" t="s">
        <v>817</v>
      </c>
      <c r="C473">
        <v>27</v>
      </c>
      <c r="D473" s="19" t="s">
        <v>460</v>
      </c>
      <c r="E473" s="19" t="s">
        <v>348</v>
      </c>
      <c r="F473">
        <v>41</v>
      </c>
      <c r="G473">
        <v>2</v>
      </c>
      <c r="H473">
        <v>9</v>
      </c>
      <c r="I473">
        <v>11</v>
      </c>
      <c r="J473">
        <v>-11</v>
      </c>
      <c r="K473">
        <v>34</v>
      </c>
      <c r="L473">
        <v>2</v>
      </c>
      <c r="M473">
        <v>0</v>
      </c>
      <c r="N473">
        <v>0</v>
      </c>
      <c r="O473">
        <v>1</v>
      </c>
      <c r="P473">
        <v>8</v>
      </c>
      <c r="Q473">
        <v>0</v>
      </c>
      <c r="R473">
        <v>1</v>
      </c>
      <c r="S473">
        <v>32</v>
      </c>
      <c r="T473">
        <v>6.3</v>
      </c>
      <c r="U473">
        <v>93</v>
      </c>
      <c r="V473" s="19" t="s">
        <v>2220</v>
      </c>
      <c r="W473" s="19" t="s">
        <v>1725</v>
      </c>
      <c r="X473">
        <v>0</v>
      </c>
      <c r="Y473">
        <v>0</v>
      </c>
      <c r="AA473">
        <v>37</v>
      </c>
      <c r="AB473">
        <v>54</v>
      </c>
      <c r="AC473">
        <v>11</v>
      </c>
      <c r="AD473">
        <v>31</v>
      </c>
      <c r="AE473" s="19" t="s">
        <v>60</v>
      </c>
    </row>
    <row r="474" spans="1:31" x14ac:dyDescent="0.2">
      <c r="A474">
        <v>455</v>
      </c>
      <c r="B474" s="19" t="s">
        <v>749</v>
      </c>
      <c r="C474">
        <v>24</v>
      </c>
      <c r="D474" s="19" t="s">
        <v>336</v>
      </c>
      <c r="E474" s="19" t="s">
        <v>348</v>
      </c>
      <c r="F474">
        <v>47</v>
      </c>
      <c r="G474">
        <v>2</v>
      </c>
      <c r="H474">
        <v>9</v>
      </c>
      <c r="I474">
        <v>11</v>
      </c>
      <c r="J474">
        <v>-10</v>
      </c>
      <c r="K474">
        <v>18</v>
      </c>
      <c r="L474">
        <v>2</v>
      </c>
      <c r="M474">
        <v>0</v>
      </c>
      <c r="N474">
        <v>0</v>
      </c>
      <c r="O474">
        <v>0</v>
      </c>
      <c r="P474">
        <v>7</v>
      </c>
      <c r="Q474">
        <v>0</v>
      </c>
      <c r="R474">
        <v>2</v>
      </c>
      <c r="S474">
        <v>32</v>
      </c>
      <c r="T474">
        <v>6.3</v>
      </c>
      <c r="U474">
        <v>104</v>
      </c>
      <c r="V474" s="19" t="s">
        <v>2658</v>
      </c>
      <c r="W474" s="19" t="s">
        <v>1616</v>
      </c>
      <c r="X474">
        <v>0</v>
      </c>
      <c r="Y474">
        <v>0</v>
      </c>
      <c r="AA474">
        <v>67</v>
      </c>
      <c r="AB474">
        <v>54</v>
      </c>
      <c r="AC474">
        <v>22</v>
      </c>
      <c r="AD474">
        <v>37</v>
      </c>
      <c r="AE474" s="19" t="s">
        <v>60</v>
      </c>
    </row>
    <row r="475" spans="1:31" x14ac:dyDescent="0.2">
      <c r="A475">
        <v>456</v>
      </c>
      <c r="B475" s="19" t="s">
        <v>909</v>
      </c>
      <c r="C475">
        <v>23</v>
      </c>
      <c r="D475" s="19" t="s">
        <v>351</v>
      </c>
      <c r="E475" s="19" t="s">
        <v>322</v>
      </c>
      <c r="F475">
        <v>36</v>
      </c>
      <c r="G475">
        <v>4</v>
      </c>
      <c r="H475">
        <v>7</v>
      </c>
      <c r="I475">
        <v>11</v>
      </c>
      <c r="J475">
        <v>0</v>
      </c>
      <c r="K475">
        <v>4</v>
      </c>
      <c r="L475">
        <v>4</v>
      </c>
      <c r="M475">
        <v>0</v>
      </c>
      <c r="N475">
        <v>0</v>
      </c>
      <c r="O475">
        <v>0</v>
      </c>
      <c r="P475">
        <v>7</v>
      </c>
      <c r="Q475">
        <v>0</v>
      </c>
      <c r="R475">
        <v>0</v>
      </c>
      <c r="S475">
        <v>40</v>
      </c>
      <c r="T475">
        <v>10</v>
      </c>
      <c r="U475">
        <v>91</v>
      </c>
      <c r="V475" s="19" t="s">
        <v>2659</v>
      </c>
      <c r="W475" s="19" t="s">
        <v>797</v>
      </c>
      <c r="X475">
        <v>101</v>
      </c>
      <c r="Y475">
        <v>110</v>
      </c>
      <c r="Z475">
        <v>47.9</v>
      </c>
      <c r="AA475">
        <v>13</v>
      </c>
      <c r="AB475">
        <v>50</v>
      </c>
      <c r="AC475">
        <v>9</v>
      </c>
      <c r="AD475">
        <v>33</v>
      </c>
      <c r="AE475" s="19" t="s">
        <v>60</v>
      </c>
    </row>
    <row r="476" spans="1:31" x14ac:dyDescent="0.2">
      <c r="A476">
        <v>457</v>
      </c>
      <c r="B476" s="19" t="s">
        <v>985</v>
      </c>
      <c r="C476">
        <v>31</v>
      </c>
      <c r="D476" s="19" t="s">
        <v>396</v>
      </c>
      <c r="E476" s="19" t="s">
        <v>322</v>
      </c>
      <c r="F476">
        <v>40</v>
      </c>
      <c r="G476">
        <v>4</v>
      </c>
      <c r="H476">
        <v>7</v>
      </c>
      <c r="I476">
        <v>11</v>
      </c>
      <c r="J476">
        <v>5</v>
      </c>
      <c r="K476">
        <v>12</v>
      </c>
      <c r="L476">
        <v>4</v>
      </c>
      <c r="M476">
        <v>0</v>
      </c>
      <c r="N476">
        <v>0</v>
      </c>
      <c r="O476">
        <v>2</v>
      </c>
      <c r="P476">
        <v>6</v>
      </c>
      <c r="Q476">
        <v>1</v>
      </c>
      <c r="R476">
        <v>0</v>
      </c>
      <c r="S476">
        <v>36</v>
      </c>
      <c r="T476">
        <v>11.1</v>
      </c>
      <c r="U476">
        <v>78</v>
      </c>
      <c r="V476" s="19" t="s">
        <v>2222</v>
      </c>
      <c r="W476" s="19" t="s">
        <v>1860</v>
      </c>
      <c r="X476">
        <v>227</v>
      </c>
      <c r="Y476">
        <v>183</v>
      </c>
      <c r="Z476">
        <v>55.4</v>
      </c>
      <c r="AA476">
        <v>28</v>
      </c>
      <c r="AB476">
        <v>26</v>
      </c>
      <c r="AC476">
        <v>8</v>
      </c>
      <c r="AD476">
        <v>24</v>
      </c>
      <c r="AE476" s="19" t="s">
        <v>60</v>
      </c>
    </row>
    <row r="477" spans="1:31" x14ac:dyDescent="0.2">
      <c r="A477">
        <v>458</v>
      </c>
      <c r="B477" s="19" t="s">
        <v>783</v>
      </c>
      <c r="C477">
        <v>28</v>
      </c>
      <c r="D477" s="19" t="s">
        <v>513</v>
      </c>
      <c r="E477" s="19" t="s">
        <v>334</v>
      </c>
      <c r="F477">
        <v>38</v>
      </c>
      <c r="G477">
        <v>2</v>
      </c>
      <c r="H477">
        <v>9</v>
      </c>
      <c r="I477">
        <v>11</v>
      </c>
      <c r="J477">
        <v>-3</v>
      </c>
      <c r="K477">
        <v>4</v>
      </c>
      <c r="L477">
        <v>1</v>
      </c>
      <c r="M477">
        <v>0</v>
      </c>
      <c r="N477">
        <v>1</v>
      </c>
      <c r="O477">
        <v>1</v>
      </c>
      <c r="P477">
        <v>9</v>
      </c>
      <c r="Q477">
        <v>0</v>
      </c>
      <c r="R477">
        <v>0</v>
      </c>
      <c r="S477">
        <v>29</v>
      </c>
      <c r="T477">
        <v>6.9</v>
      </c>
      <c r="U477">
        <v>65</v>
      </c>
      <c r="V477" s="19" t="s">
        <v>2660</v>
      </c>
      <c r="W477" s="19" t="s">
        <v>1773</v>
      </c>
      <c r="X477">
        <v>4</v>
      </c>
      <c r="Y477">
        <v>11</v>
      </c>
      <c r="Z477">
        <v>26.7</v>
      </c>
      <c r="AA477">
        <v>28</v>
      </c>
      <c r="AB477">
        <v>82</v>
      </c>
      <c r="AC477">
        <v>10</v>
      </c>
      <c r="AD477">
        <v>22</v>
      </c>
      <c r="AE477" s="19" t="s">
        <v>60</v>
      </c>
    </row>
    <row r="478" spans="1:31" x14ac:dyDescent="0.2">
      <c r="A478">
        <v>459</v>
      </c>
      <c r="B478" s="19" t="s">
        <v>915</v>
      </c>
      <c r="C478">
        <v>27</v>
      </c>
      <c r="D478" s="19" t="s">
        <v>345</v>
      </c>
      <c r="E478" s="19" t="s">
        <v>339</v>
      </c>
      <c r="F478">
        <v>36</v>
      </c>
      <c r="G478">
        <v>5</v>
      </c>
      <c r="H478">
        <v>6</v>
      </c>
      <c r="I478">
        <v>11</v>
      </c>
      <c r="J478">
        <v>1</v>
      </c>
      <c r="K478">
        <v>12</v>
      </c>
      <c r="L478">
        <v>5</v>
      </c>
      <c r="M478">
        <v>0</v>
      </c>
      <c r="N478">
        <v>0</v>
      </c>
      <c r="O478">
        <v>1</v>
      </c>
      <c r="P478">
        <v>6</v>
      </c>
      <c r="Q478">
        <v>0</v>
      </c>
      <c r="R478">
        <v>0</v>
      </c>
      <c r="S478">
        <v>43</v>
      </c>
      <c r="T478">
        <v>11.6</v>
      </c>
      <c r="U478">
        <v>79</v>
      </c>
      <c r="V478" s="19" t="s">
        <v>2661</v>
      </c>
      <c r="W478" s="19" t="s">
        <v>2077</v>
      </c>
      <c r="X478">
        <v>0</v>
      </c>
      <c r="Y478">
        <v>0</v>
      </c>
      <c r="AA478">
        <v>6</v>
      </c>
      <c r="AB478">
        <v>115</v>
      </c>
      <c r="AC478">
        <v>9</v>
      </c>
      <c r="AD478">
        <v>13</v>
      </c>
      <c r="AE478" s="19" t="s">
        <v>60</v>
      </c>
    </row>
    <row r="479" spans="1:31" x14ac:dyDescent="0.2">
      <c r="A479">
        <v>460</v>
      </c>
      <c r="B479" s="19" t="s">
        <v>1067</v>
      </c>
      <c r="C479">
        <v>27</v>
      </c>
      <c r="D479" s="19" t="s">
        <v>531</v>
      </c>
      <c r="E479" s="19" t="s">
        <v>325</v>
      </c>
      <c r="F479">
        <v>31</v>
      </c>
      <c r="G479">
        <v>5</v>
      </c>
      <c r="H479">
        <v>6</v>
      </c>
      <c r="I479">
        <v>11</v>
      </c>
      <c r="J479">
        <v>0</v>
      </c>
      <c r="K479">
        <v>4</v>
      </c>
      <c r="L479">
        <v>5</v>
      </c>
      <c r="M479">
        <v>0</v>
      </c>
      <c r="N479">
        <v>0</v>
      </c>
      <c r="O479">
        <v>1</v>
      </c>
      <c r="P479">
        <v>6</v>
      </c>
      <c r="Q479">
        <v>0</v>
      </c>
      <c r="R479">
        <v>0</v>
      </c>
      <c r="S479">
        <v>40</v>
      </c>
      <c r="T479">
        <v>12.5</v>
      </c>
      <c r="U479">
        <v>77</v>
      </c>
      <c r="V479" s="19" t="s">
        <v>2206</v>
      </c>
      <c r="W479" s="19" t="s">
        <v>1971</v>
      </c>
      <c r="X479">
        <v>125</v>
      </c>
      <c r="Y479">
        <v>109</v>
      </c>
      <c r="Z479">
        <v>53.4</v>
      </c>
      <c r="AA479">
        <v>8</v>
      </c>
      <c r="AB479">
        <v>36</v>
      </c>
      <c r="AC479">
        <v>4</v>
      </c>
      <c r="AD479">
        <v>14</v>
      </c>
      <c r="AE479" s="19" t="s">
        <v>60</v>
      </c>
    </row>
    <row r="480" spans="1:31" x14ac:dyDescent="0.2">
      <c r="A480">
        <v>461</v>
      </c>
      <c r="B480" s="19" t="s">
        <v>885</v>
      </c>
      <c r="C480">
        <v>30</v>
      </c>
      <c r="D480" s="19" t="s">
        <v>351</v>
      </c>
      <c r="E480" s="19" t="s">
        <v>339</v>
      </c>
      <c r="F480">
        <v>32</v>
      </c>
      <c r="G480">
        <v>5</v>
      </c>
      <c r="H480">
        <v>6</v>
      </c>
      <c r="I480">
        <v>11</v>
      </c>
      <c r="J480">
        <v>-8</v>
      </c>
      <c r="K480">
        <v>18</v>
      </c>
      <c r="L480">
        <v>5</v>
      </c>
      <c r="M480">
        <v>0</v>
      </c>
      <c r="N480">
        <v>0</v>
      </c>
      <c r="O480">
        <v>1</v>
      </c>
      <c r="P480">
        <v>5</v>
      </c>
      <c r="Q480">
        <v>1</v>
      </c>
      <c r="R480">
        <v>0</v>
      </c>
      <c r="S480">
        <v>43</v>
      </c>
      <c r="T480">
        <v>11.6</v>
      </c>
      <c r="U480">
        <v>86</v>
      </c>
      <c r="V480" s="19" t="s">
        <v>2662</v>
      </c>
      <c r="W480" s="19" t="s">
        <v>1790</v>
      </c>
      <c r="X480">
        <v>185</v>
      </c>
      <c r="Y480">
        <v>160</v>
      </c>
      <c r="Z480">
        <v>53.6</v>
      </c>
      <c r="AA480">
        <v>15</v>
      </c>
      <c r="AB480">
        <v>39</v>
      </c>
      <c r="AC480">
        <v>7</v>
      </c>
      <c r="AD480">
        <v>18</v>
      </c>
      <c r="AE480" s="19" t="s">
        <v>60</v>
      </c>
    </row>
    <row r="481" spans="1:31" x14ac:dyDescent="0.2">
      <c r="A481">
        <v>462</v>
      </c>
      <c r="B481" s="19" t="s">
        <v>768</v>
      </c>
      <c r="C481">
        <v>31</v>
      </c>
      <c r="D481" s="19" t="s">
        <v>513</v>
      </c>
      <c r="E481" s="19" t="s">
        <v>322</v>
      </c>
      <c r="F481">
        <v>34</v>
      </c>
      <c r="G481">
        <v>4</v>
      </c>
      <c r="H481">
        <v>7</v>
      </c>
      <c r="I481">
        <v>11</v>
      </c>
      <c r="J481">
        <v>-3</v>
      </c>
      <c r="K481">
        <v>22</v>
      </c>
      <c r="L481">
        <v>4</v>
      </c>
      <c r="M481">
        <v>0</v>
      </c>
      <c r="N481">
        <v>0</v>
      </c>
      <c r="O481">
        <v>1</v>
      </c>
      <c r="P481">
        <v>7</v>
      </c>
      <c r="Q481">
        <v>0</v>
      </c>
      <c r="R481">
        <v>0</v>
      </c>
      <c r="S481">
        <v>33</v>
      </c>
      <c r="T481">
        <v>12.1</v>
      </c>
      <c r="U481">
        <v>58</v>
      </c>
      <c r="V481" s="19" t="s">
        <v>2663</v>
      </c>
      <c r="W481" s="19" t="s">
        <v>856</v>
      </c>
      <c r="X481">
        <v>48</v>
      </c>
      <c r="Y481">
        <v>37</v>
      </c>
      <c r="Z481">
        <v>56.5</v>
      </c>
      <c r="AA481">
        <v>25</v>
      </c>
      <c r="AB481">
        <v>132</v>
      </c>
      <c r="AC481">
        <v>3</v>
      </c>
      <c r="AD481">
        <v>17</v>
      </c>
      <c r="AE481" s="19" t="s">
        <v>60</v>
      </c>
    </row>
    <row r="482" spans="1:31" x14ac:dyDescent="0.2">
      <c r="A482">
        <v>463</v>
      </c>
      <c r="B482" s="19" t="s">
        <v>844</v>
      </c>
      <c r="C482">
        <v>27</v>
      </c>
      <c r="D482" s="19" t="s">
        <v>404</v>
      </c>
      <c r="E482" s="19" t="s">
        <v>334</v>
      </c>
      <c r="F482">
        <v>31</v>
      </c>
      <c r="G482">
        <v>5</v>
      </c>
      <c r="H482">
        <v>6</v>
      </c>
      <c r="I482">
        <v>11</v>
      </c>
      <c r="J482">
        <v>7</v>
      </c>
      <c r="K482">
        <v>10</v>
      </c>
      <c r="L482">
        <v>5</v>
      </c>
      <c r="M482">
        <v>0</v>
      </c>
      <c r="N482">
        <v>0</v>
      </c>
      <c r="O482">
        <v>1</v>
      </c>
      <c r="P482">
        <v>6</v>
      </c>
      <c r="Q482">
        <v>0</v>
      </c>
      <c r="R482">
        <v>0</v>
      </c>
      <c r="S482">
        <v>24</v>
      </c>
      <c r="T482">
        <v>20.8</v>
      </c>
      <c r="U482">
        <v>42</v>
      </c>
      <c r="V482" s="19" t="s">
        <v>2664</v>
      </c>
      <c r="W482" s="19" t="s">
        <v>1974</v>
      </c>
      <c r="X482">
        <v>11</v>
      </c>
      <c r="Y482">
        <v>19</v>
      </c>
      <c r="Z482">
        <v>36.700000000000003</v>
      </c>
      <c r="AA482">
        <v>9</v>
      </c>
      <c r="AB482">
        <v>18</v>
      </c>
      <c r="AC482">
        <v>3</v>
      </c>
      <c r="AD482">
        <v>10</v>
      </c>
      <c r="AE482" s="19" t="s">
        <v>60</v>
      </c>
    </row>
    <row r="483" spans="1:31" x14ac:dyDescent="0.2">
      <c r="A483">
        <v>464</v>
      </c>
      <c r="B483" s="19" t="s">
        <v>849</v>
      </c>
      <c r="C483">
        <v>25</v>
      </c>
      <c r="D483" s="19" t="s">
        <v>948</v>
      </c>
      <c r="E483" s="19" t="s">
        <v>334</v>
      </c>
      <c r="F483">
        <v>32</v>
      </c>
      <c r="G483">
        <v>5</v>
      </c>
      <c r="H483">
        <v>6</v>
      </c>
      <c r="I483">
        <v>11</v>
      </c>
      <c r="J483">
        <v>-4</v>
      </c>
      <c r="K483">
        <v>6</v>
      </c>
      <c r="L483">
        <v>3</v>
      </c>
      <c r="M483">
        <v>2</v>
      </c>
      <c r="N483">
        <v>0</v>
      </c>
      <c r="O483">
        <v>1</v>
      </c>
      <c r="P483">
        <v>6</v>
      </c>
      <c r="Q483">
        <v>0</v>
      </c>
      <c r="R483">
        <v>0</v>
      </c>
      <c r="S483">
        <v>38</v>
      </c>
      <c r="T483">
        <v>13.2</v>
      </c>
      <c r="U483">
        <v>77</v>
      </c>
      <c r="V483" s="19" t="s">
        <v>2665</v>
      </c>
      <c r="W483" s="19" t="s">
        <v>2216</v>
      </c>
      <c r="X483">
        <v>1</v>
      </c>
      <c r="Y483">
        <v>1</v>
      </c>
      <c r="Z483">
        <v>50</v>
      </c>
      <c r="AA483">
        <v>6</v>
      </c>
      <c r="AB483">
        <v>21</v>
      </c>
      <c r="AC483">
        <v>4</v>
      </c>
      <c r="AD483">
        <v>28</v>
      </c>
      <c r="AE483" s="19" t="s">
        <v>60</v>
      </c>
    </row>
    <row r="484" spans="1:31" x14ac:dyDescent="0.2">
      <c r="A484">
        <v>464</v>
      </c>
      <c r="B484" s="19" t="s">
        <v>849</v>
      </c>
      <c r="C484">
        <v>25</v>
      </c>
      <c r="D484" s="19" t="s">
        <v>370</v>
      </c>
      <c r="E484" s="19" t="s">
        <v>334</v>
      </c>
      <c r="F484">
        <v>15</v>
      </c>
      <c r="G484">
        <v>2</v>
      </c>
      <c r="H484">
        <v>4</v>
      </c>
      <c r="I484">
        <v>6</v>
      </c>
      <c r="J484">
        <v>-3</v>
      </c>
      <c r="K484">
        <v>6</v>
      </c>
      <c r="L484">
        <v>1</v>
      </c>
      <c r="M484">
        <v>1</v>
      </c>
      <c r="N484">
        <v>0</v>
      </c>
      <c r="O484">
        <v>0</v>
      </c>
      <c r="P484">
        <v>4</v>
      </c>
      <c r="Q484">
        <v>0</v>
      </c>
      <c r="R484">
        <v>0</v>
      </c>
      <c r="S484">
        <v>20</v>
      </c>
      <c r="T484">
        <v>10</v>
      </c>
      <c r="U484">
        <v>44</v>
      </c>
      <c r="V484" s="19" t="s">
        <v>1536</v>
      </c>
      <c r="W484" s="19" t="s">
        <v>797</v>
      </c>
      <c r="X484">
        <v>0</v>
      </c>
      <c r="Y484">
        <v>0</v>
      </c>
      <c r="AA484">
        <v>3</v>
      </c>
      <c r="AB484">
        <v>10</v>
      </c>
      <c r="AC484">
        <v>1</v>
      </c>
      <c r="AD484">
        <v>14</v>
      </c>
      <c r="AE484" s="19" t="s">
        <v>60</v>
      </c>
    </row>
    <row r="485" spans="1:31" x14ac:dyDescent="0.2">
      <c r="A485">
        <v>464</v>
      </c>
      <c r="B485" s="19" t="s">
        <v>849</v>
      </c>
      <c r="C485">
        <v>25</v>
      </c>
      <c r="D485" s="19" t="s">
        <v>513</v>
      </c>
      <c r="E485" s="19" t="s">
        <v>334</v>
      </c>
      <c r="F485">
        <v>17</v>
      </c>
      <c r="G485">
        <v>3</v>
      </c>
      <c r="H485">
        <v>2</v>
      </c>
      <c r="I485">
        <v>5</v>
      </c>
      <c r="J485">
        <v>-1</v>
      </c>
      <c r="K485">
        <v>0</v>
      </c>
      <c r="L485">
        <v>2</v>
      </c>
      <c r="M485">
        <v>1</v>
      </c>
      <c r="N485">
        <v>0</v>
      </c>
      <c r="O485">
        <v>1</v>
      </c>
      <c r="P485">
        <v>2</v>
      </c>
      <c r="Q485">
        <v>0</v>
      </c>
      <c r="R485">
        <v>0</v>
      </c>
      <c r="S485">
        <v>18</v>
      </c>
      <c r="T485">
        <v>16.7</v>
      </c>
      <c r="U485">
        <v>33</v>
      </c>
      <c r="V485" s="19" t="s">
        <v>2666</v>
      </c>
      <c r="W485" s="19" t="s">
        <v>772</v>
      </c>
      <c r="X485">
        <v>1</v>
      </c>
      <c r="Y485">
        <v>1</v>
      </c>
      <c r="Z485">
        <v>50</v>
      </c>
      <c r="AA485">
        <v>3</v>
      </c>
      <c r="AB485">
        <v>11</v>
      </c>
      <c r="AC485">
        <v>3</v>
      </c>
      <c r="AD485">
        <v>14</v>
      </c>
      <c r="AE485" s="19" t="s">
        <v>60</v>
      </c>
    </row>
    <row r="486" spans="1:31" x14ac:dyDescent="0.2">
      <c r="A486">
        <v>465</v>
      </c>
      <c r="B486" s="19" t="s">
        <v>1150</v>
      </c>
      <c r="C486">
        <v>30</v>
      </c>
      <c r="D486" s="19" t="s">
        <v>406</v>
      </c>
      <c r="E486" s="19" t="s">
        <v>322</v>
      </c>
      <c r="F486">
        <v>42</v>
      </c>
      <c r="G486">
        <v>3</v>
      </c>
      <c r="H486">
        <v>7</v>
      </c>
      <c r="I486">
        <v>10</v>
      </c>
      <c r="J486">
        <v>-1</v>
      </c>
      <c r="K486">
        <v>22</v>
      </c>
      <c r="L486">
        <v>2</v>
      </c>
      <c r="M486">
        <v>0</v>
      </c>
      <c r="N486">
        <v>1</v>
      </c>
      <c r="O486">
        <v>0</v>
      </c>
      <c r="P486">
        <v>6</v>
      </c>
      <c r="Q486">
        <v>0</v>
      </c>
      <c r="R486">
        <v>1</v>
      </c>
      <c r="S486">
        <v>43</v>
      </c>
      <c r="T486">
        <v>7</v>
      </c>
      <c r="U486">
        <v>88</v>
      </c>
      <c r="V486" s="19" t="s">
        <v>2101</v>
      </c>
      <c r="W486" s="19" t="s">
        <v>2044</v>
      </c>
      <c r="X486">
        <v>158</v>
      </c>
      <c r="Y486">
        <v>145</v>
      </c>
      <c r="Z486">
        <v>52.1</v>
      </c>
      <c r="AA486">
        <v>24</v>
      </c>
      <c r="AB486">
        <v>49</v>
      </c>
      <c r="AC486">
        <v>11</v>
      </c>
      <c r="AD486">
        <v>14</v>
      </c>
      <c r="AE486" s="19" t="s">
        <v>60</v>
      </c>
    </row>
    <row r="487" spans="1:31" x14ac:dyDescent="0.2">
      <c r="A487">
        <v>466</v>
      </c>
      <c r="B487" s="19" t="s">
        <v>897</v>
      </c>
      <c r="C487">
        <v>29</v>
      </c>
      <c r="D487" s="19" t="s">
        <v>372</v>
      </c>
      <c r="E487" s="19" t="s">
        <v>348</v>
      </c>
      <c r="F487">
        <v>43</v>
      </c>
      <c r="G487">
        <v>3</v>
      </c>
      <c r="H487">
        <v>7</v>
      </c>
      <c r="I487">
        <v>10</v>
      </c>
      <c r="J487">
        <v>-6</v>
      </c>
      <c r="K487">
        <v>26</v>
      </c>
      <c r="L487">
        <v>2</v>
      </c>
      <c r="M487">
        <v>1</v>
      </c>
      <c r="N487">
        <v>0</v>
      </c>
      <c r="O487">
        <v>1</v>
      </c>
      <c r="P487">
        <v>6</v>
      </c>
      <c r="Q487">
        <v>1</v>
      </c>
      <c r="R487">
        <v>0</v>
      </c>
      <c r="S487">
        <v>43</v>
      </c>
      <c r="T487">
        <v>7</v>
      </c>
      <c r="U487">
        <v>91</v>
      </c>
      <c r="V487" s="19" t="s">
        <v>2667</v>
      </c>
      <c r="W487" s="19" t="s">
        <v>1162</v>
      </c>
      <c r="X487">
        <v>0</v>
      </c>
      <c r="Y487">
        <v>0</v>
      </c>
      <c r="AA487">
        <v>32</v>
      </c>
      <c r="AB487">
        <v>54</v>
      </c>
      <c r="AC487">
        <v>18</v>
      </c>
      <c r="AD487">
        <v>24</v>
      </c>
      <c r="AE487" s="19" t="s">
        <v>60</v>
      </c>
    </row>
    <row r="488" spans="1:31" x14ac:dyDescent="0.2">
      <c r="A488">
        <v>467</v>
      </c>
      <c r="B488" s="19" t="s">
        <v>855</v>
      </c>
      <c r="C488">
        <v>26</v>
      </c>
      <c r="D488" s="19" t="s">
        <v>398</v>
      </c>
      <c r="E488" s="19" t="s">
        <v>322</v>
      </c>
      <c r="F488">
        <v>50</v>
      </c>
      <c r="G488">
        <v>5</v>
      </c>
      <c r="H488">
        <v>5</v>
      </c>
      <c r="I488">
        <v>10</v>
      </c>
      <c r="J488">
        <v>-13</v>
      </c>
      <c r="K488">
        <v>17</v>
      </c>
      <c r="L488">
        <v>5</v>
      </c>
      <c r="M488">
        <v>0</v>
      </c>
      <c r="N488">
        <v>0</v>
      </c>
      <c r="O488">
        <v>1</v>
      </c>
      <c r="P488">
        <v>4</v>
      </c>
      <c r="Q488">
        <v>1</v>
      </c>
      <c r="R488">
        <v>0</v>
      </c>
      <c r="S488">
        <v>44</v>
      </c>
      <c r="T488">
        <v>11.4</v>
      </c>
      <c r="U488">
        <v>100</v>
      </c>
      <c r="V488" s="19" t="s">
        <v>2668</v>
      </c>
      <c r="W488" s="19" t="s">
        <v>1627</v>
      </c>
      <c r="X488">
        <v>32</v>
      </c>
      <c r="Y488">
        <v>30</v>
      </c>
      <c r="Z488">
        <v>51.6</v>
      </c>
      <c r="AA488">
        <v>16</v>
      </c>
      <c r="AB488">
        <v>131</v>
      </c>
      <c r="AC488">
        <v>7</v>
      </c>
      <c r="AD488">
        <v>20</v>
      </c>
      <c r="AE488" s="19" t="s">
        <v>60</v>
      </c>
    </row>
    <row r="489" spans="1:31" x14ac:dyDescent="0.2">
      <c r="A489">
        <v>468</v>
      </c>
      <c r="B489" s="19" t="s">
        <v>1034</v>
      </c>
      <c r="C489">
        <v>25</v>
      </c>
      <c r="D489" s="19" t="s">
        <v>351</v>
      </c>
      <c r="E489" s="19" t="s">
        <v>348</v>
      </c>
      <c r="F489">
        <v>32</v>
      </c>
      <c r="G489">
        <v>1</v>
      </c>
      <c r="H489">
        <v>9</v>
      </c>
      <c r="I489">
        <v>10</v>
      </c>
      <c r="J489">
        <v>8</v>
      </c>
      <c r="K489">
        <v>40</v>
      </c>
      <c r="L489">
        <v>1</v>
      </c>
      <c r="M489">
        <v>0</v>
      </c>
      <c r="N489">
        <v>0</v>
      </c>
      <c r="O489">
        <v>0</v>
      </c>
      <c r="P489">
        <v>8</v>
      </c>
      <c r="Q489">
        <v>0</v>
      </c>
      <c r="R489">
        <v>1</v>
      </c>
      <c r="S489">
        <v>41</v>
      </c>
      <c r="T489">
        <v>2.4</v>
      </c>
      <c r="U489">
        <v>93</v>
      </c>
      <c r="V489" s="19" t="s">
        <v>2669</v>
      </c>
      <c r="W489" s="19" t="s">
        <v>2104</v>
      </c>
      <c r="X489">
        <v>0</v>
      </c>
      <c r="Y489">
        <v>0</v>
      </c>
      <c r="AA489">
        <v>31</v>
      </c>
      <c r="AB489">
        <v>36</v>
      </c>
      <c r="AC489">
        <v>5</v>
      </c>
      <c r="AD489">
        <v>16</v>
      </c>
      <c r="AE489" s="19" t="s">
        <v>60</v>
      </c>
    </row>
    <row r="490" spans="1:31" x14ac:dyDescent="0.2">
      <c r="A490">
        <v>469</v>
      </c>
      <c r="B490" s="19" t="s">
        <v>861</v>
      </c>
      <c r="C490">
        <v>25</v>
      </c>
      <c r="D490" s="19" t="s">
        <v>327</v>
      </c>
      <c r="E490" s="19" t="s">
        <v>348</v>
      </c>
      <c r="F490">
        <v>49</v>
      </c>
      <c r="G490">
        <v>1</v>
      </c>
      <c r="H490">
        <v>9</v>
      </c>
      <c r="I490">
        <v>10</v>
      </c>
      <c r="J490">
        <v>6</v>
      </c>
      <c r="K490">
        <v>14</v>
      </c>
      <c r="L490">
        <v>1</v>
      </c>
      <c r="M490">
        <v>0</v>
      </c>
      <c r="N490">
        <v>0</v>
      </c>
      <c r="O490">
        <v>1</v>
      </c>
      <c r="P490">
        <v>9</v>
      </c>
      <c r="Q490">
        <v>0</v>
      </c>
      <c r="R490">
        <v>0</v>
      </c>
      <c r="S490">
        <v>29</v>
      </c>
      <c r="T490">
        <v>3.4</v>
      </c>
      <c r="U490">
        <v>74</v>
      </c>
      <c r="V490" s="19" t="s">
        <v>2670</v>
      </c>
      <c r="W490" s="19" t="s">
        <v>1942</v>
      </c>
      <c r="X490">
        <v>0</v>
      </c>
      <c r="Y490">
        <v>0</v>
      </c>
      <c r="AA490">
        <v>86</v>
      </c>
      <c r="AB490">
        <v>71</v>
      </c>
      <c r="AC490">
        <v>11</v>
      </c>
      <c r="AD490">
        <v>38</v>
      </c>
      <c r="AE490" s="19" t="s">
        <v>60</v>
      </c>
    </row>
    <row r="491" spans="1:31" x14ac:dyDescent="0.2">
      <c r="A491">
        <v>470</v>
      </c>
      <c r="B491" s="19" t="s">
        <v>1104</v>
      </c>
      <c r="C491">
        <v>34</v>
      </c>
      <c r="D491" s="19" t="s">
        <v>356</v>
      </c>
      <c r="E491" s="19" t="s">
        <v>339</v>
      </c>
      <c r="F491">
        <v>44</v>
      </c>
      <c r="G491">
        <v>6</v>
      </c>
      <c r="H491">
        <v>4</v>
      </c>
      <c r="I491">
        <v>10</v>
      </c>
      <c r="J491">
        <v>-12</v>
      </c>
      <c r="K491">
        <v>49</v>
      </c>
      <c r="L491">
        <v>4</v>
      </c>
      <c r="M491">
        <v>2</v>
      </c>
      <c r="N491">
        <v>0</v>
      </c>
      <c r="O491">
        <v>0</v>
      </c>
      <c r="P491">
        <v>4</v>
      </c>
      <c r="Q491">
        <v>0</v>
      </c>
      <c r="R491">
        <v>0</v>
      </c>
      <c r="S491">
        <v>51</v>
      </c>
      <c r="T491">
        <v>11.8</v>
      </c>
      <c r="U491">
        <v>87</v>
      </c>
      <c r="V491" s="19" t="s">
        <v>2671</v>
      </c>
      <c r="W491" s="19" t="s">
        <v>978</v>
      </c>
      <c r="X491">
        <v>8</v>
      </c>
      <c r="Y491">
        <v>9</v>
      </c>
      <c r="Z491">
        <v>47.1</v>
      </c>
      <c r="AA491">
        <v>37</v>
      </c>
      <c r="AB491">
        <v>140</v>
      </c>
      <c r="AC491">
        <v>7</v>
      </c>
      <c r="AD491">
        <v>22</v>
      </c>
      <c r="AE491" s="19" t="s">
        <v>60</v>
      </c>
    </row>
    <row r="492" spans="1:31" x14ac:dyDescent="0.2">
      <c r="A492">
        <v>471</v>
      </c>
      <c r="B492" s="19" t="s">
        <v>864</v>
      </c>
      <c r="C492">
        <v>38</v>
      </c>
      <c r="D492" s="19" t="s">
        <v>329</v>
      </c>
      <c r="E492" s="19" t="s">
        <v>339</v>
      </c>
      <c r="F492">
        <v>31</v>
      </c>
      <c r="G492">
        <v>2</v>
      </c>
      <c r="H492">
        <v>8</v>
      </c>
      <c r="I492">
        <v>10</v>
      </c>
      <c r="J492">
        <v>2</v>
      </c>
      <c r="K492">
        <v>23</v>
      </c>
      <c r="L492">
        <v>2</v>
      </c>
      <c r="M492">
        <v>0</v>
      </c>
      <c r="N492">
        <v>0</v>
      </c>
      <c r="O492">
        <v>0</v>
      </c>
      <c r="P492">
        <v>5</v>
      </c>
      <c r="Q492">
        <v>2</v>
      </c>
      <c r="R492">
        <v>1</v>
      </c>
      <c r="S492">
        <v>26</v>
      </c>
      <c r="T492">
        <v>7.7</v>
      </c>
      <c r="U492">
        <v>44</v>
      </c>
      <c r="V492" s="19" t="s">
        <v>2672</v>
      </c>
      <c r="W492" s="19" t="s">
        <v>1984</v>
      </c>
      <c r="X492">
        <v>142</v>
      </c>
      <c r="Y492">
        <v>149</v>
      </c>
      <c r="Z492">
        <v>48.8</v>
      </c>
      <c r="AA492">
        <v>25</v>
      </c>
      <c r="AB492">
        <v>76</v>
      </c>
      <c r="AC492">
        <v>2</v>
      </c>
      <c r="AD492">
        <v>19</v>
      </c>
      <c r="AE492" s="19" t="s">
        <v>60</v>
      </c>
    </row>
    <row r="493" spans="1:31" x14ac:dyDescent="0.2">
      <c r="A493">
        <v>472</v>
      </c>
      <c r="B493" s="19" t="s">
        <v>973</v>
      </c>
      <c r="C493">
        <v>22</v>
      </c>
      <c r="D493" s="19" t="s">
        <v>406</v>
      </c>
      <c r="E493" s="19" t="s">
        <v>334</v>
      </c>
      <c r="F493">
        <v>38</v>
      </c>
      <c r="G493">
        <v>3</v>
      </c>
      <c r="H493">
        <v>7</v>
      </c>
      <c r="I493">
        <v>10</v>
      </c>
      <c r="J493">
        <v>-6</v>
      </c>
      <c r="K493">
        <v>40</v>
      </c>
      <c r="L493">
        <v>3</v>
      </c>
      <c r="M493">
        <v>0</v>
      </c>
      <c r="N493">
        <v>0</v>
      </c>
      <c r="O493">
        <v>0</v>
      </c>
      <c r="P493">
        <v>7</v>
      </c>
      <c r="Q493">
        <v>0</v>
      </c>
      <c r="R493">
        <v>0</v>
      </c>
      <c r="S493">
        <v>21</v>
      </c>
      <c r="T493">
        <v>14.3</v>
      </c>
      <c r="U493">
        <v>50</v>
      </c>
      <c r="V493" s="19" t="s">
        <v>2912</v>
      </c>
      <c r="W493" s="19" t="s">
        <v>2071</v>
      </c>
      <c r="X493">
        <v>4</v>
      </c>
      <c r="Y493">
        <v>1</v>
      </c>
      <c r="Z493">
        <v>80</v>
      </c>
      <c r="AA493">
        <v>10</v>
      </c>
      <c r="AB493">
        <v>61</v>
      </c>
      <c r="AC493">
        <v>8</v>
      </c>
      <c r="AD493">
        <v>27</v>
      </c>
      <c r="AE493" s="19" t="s">
        <v>60</v>
      </c>
    </row>
    <row r="494" spans="1:31" x14ac:dyDescent="0.2">
      <c r="A494">
        <v>473</v>
      </c>
      <c r="B494" s="19" t="s">
        <v>866</v>
      </c>
      <c r="C494">
        <v>35</v>
      </c>
      <c r="D494" s="19" t="s">
        <v>336</v>
      </c>
      <c r="E494" s="19" t="s">
        <v>348</v>
      </c>
      <c r="F494">
        <v>40</v>
      </c>
      <c r="G494">
        <v>1</v>
      </c>
      <c r="H494">
        <v>9</v>
      </c>
      <c r="I494">
        <v>10</v>
      </c>
      <c r="J494">
        <v>-3</v>
      </c>
      <c r="K494">
        <v>26</v>
      </c>
      <c r="L494">
        <v>1</v>
      </c>
      <c r="M494">
        <v>0</v>
      </c>
      <c r="N494">
        <v>0</v>
      </c>
      <c r="O494">
        <v>0</v>
      </c>
      <c r="P494">
        <v>9</v>
      </c>
      <c r="Q494">
        <v>0</v>
      </c>
      <c r="R494">
        <v>0</v>
      </c>
      <c r="S494">
        <v>47</v>
      </c>
      <c r="T494">
        <v>2.1</v>
      </c>
      <c r="U494">
        <v>126</v>
      </c>
      <c r="V494" s="19" t="s">
        <v>2673</v>
      </c>
      <c r="W494" s="19" t="s">
        <v>1863</v>
      </c>
      <c r="X494">
        <v>0</v>
      </c>
      <c r="Y494">
        <v>0</v>
      </c>
      <c r="AA494">
        <v>66</v>
      </c>
      <c r="AB494">
        <v>139</v>
      </c>
      <c r="AC494">
        <v>8</v>
      </c>
      <c r="AD494">
        <v>34</v>
      </c>
      <c r="AE494" s="19" t="s">
        <v>60</v>
      </c>
    </row>
    <row r="495" spans="1:31" x14ac:dyDescent="0.2">
      <c r="A495">
        <v>474</v>
      </c>
      <c r="B495" s="19" t="s">
        <v>1108</v>
      </c>
      <c r="C495">
        <v>23</v>
      </c>
      <c r="D495" s="19" t="s">
        <v>416</v>
      </c>
      <c r="E495" s="19" t="s">
        <v>322</v>
      </c>
      <c r="F495">
        <v>21</v>
      </c>
      <c r="G495">
        <v>3</v>
      </c>
      <c r="H495">
        <v>7</v>
      </c>
      <c r="I495">
        <v>10</v>
      </c>
      <c r="J495">
        <v>1</v>
      </c>
      <c r="K495">
        <v>0</v>
      </c>
      <c r="L495">
        <v>3</v>
      </c>
      <c r="M495">
        <v>0</v>
      </c>
      <c r="N495">
        <v>0</v>
      </c>
      <c r="O495">
        <v>0</v>
      </c>
      <c r="P495">
        <v>4</v>
      </c>
      <c r="Q495">
        <v>3</v>
      </c>
      <c r="R495">
        <v>0</v>
      </c>
      <c r="S495">
        <v>24</v>
      </c>
      <c r="T495">
        <v>12.5</v>
      </c>
      <c r="U495">
        <v>42</v>
      </c>
      <c r="V495" s="19" t="s">
        <v>2354</v>
      </c>
      <c r="W495" s="19" t="s">
        <v>2355</v>
      </c>
      <c r="X495">
        <v>23</v>
      </c>
      <c r="Y495">
        <v>37</v>
      </c>
      <c r="Z495">
        <v>38.299999999999997</v>
      </c>
      <c r="AA495">
        <v>7</v>
      </c>
      <c r="AB495">
        <v>24</v>
      </c>
      <c r="AC495">
        <v>1</v>
      </c>
      <c r="AD495">
        <v>13</v>
      </c>
      <c r="AE495" s="19" t="s">
        <v>60</v>
      </c>
    </row>
    <row r="496" spans="1:31" x14ac:dyDescent="0.2">
      <c r="A496">
        <v>475</v>
      </c>
      <c r="B496" s="19" t="s">
        <v>750</v>
      </c>
      <c r="C496">
        <v>35</v>
      </c>
      <c r="D496" s="19" t="s">
        <v>327</v>
      </c>
      <c r="E496" s="19" t="s">
        <v>322</v>
      </c>
      <c r="F496">
        <v>43</v>
      </c>
      <c r="G496">
        <v>2</v>
      </c>
      <c r="H496">
        <v>8</v>
      </c>
      <c r="I496">
        <v>10</v>
      </c>
      <c r="J496">
        <v>-9</v>
      </c>
      <c r="K496">
        <v>12</v>
      </c>
      <c r="L496">
        <v>2</v>
      </c>
      <c r="M496">
        <v>0</v>
      </c>
      <c r="N496">
        <v>0</v>
      </c>
      <c r="O496">
        <v>0</v>
      </c>
      <c r="P496">
        <v>4</v>
      </c>
      <c r="Q496">
        <v>3</v>
      </c>
      <c r="R496">
        <v>1</v>
      </c>
      <c r="S496">
        <v>63</v>
      </c>
      <c r="T496">
        <v>3.2</v>
      </c>
      <c r="U496">
        <v>114</v>
      </c>
      <c r="V496" s="19" t="s">
        <v>1827</v>
      </c>
      <c r="W496" s="19" t="s">
        <v>1339</v>
      </c>
      <c r="X496">
        <v>235</v>
      </c>
      <c r="Y496">
        <v>194</v>
      </c>
      <c r="Z496">
        <v>54.8</v>
      </c>
      <c r="AA496">
        <v>57</v>
      </c>
      <c r="AB496">
        <v>24</v>
      </c>
      <c r="AC496">
        <v>10</v>
      </c>
      <c r="AD496">
        <v>29</v>
      </c>
      <c r="AE496" s="19" t="s">
        <v>60</v>
      </c>
    </row>
    <row r="497" spans="1:31" x14ac:dyDescent="0.2">
      <c r="A497">
        <v>476</v>
      </c>
      <c r="B497" s="19" t="s">
        <v>784</v>
      </c>
      <c r="C497">
        <v>29</v>
      </c>
      <c r="D497" s="19" t="s">
        <v>358</v>
      </c>
      <c r="E497" s="19" t="s">
        <v>322</v>
      </c>
      <c r="F497">
        <v>36</v>
      </c>
      <c r="G497">
        <v>6</v>
      </c>
      <c r="H497">
        <v>4</v>
      </c>
      <c r="I497">
        <v>10</v>
      </c>
      <c r="J497">
        <v>-2</v>
      </c>
      <c r="K497">
        <v>25</v>
      </c>
      <c r="L497">
        <v>6</v>
      </c>
      <c r="M497">
        <v>0</v>
      </c>
      <c r="N497">
        <v>0</v>
      </c>
      <c r="O497">
        <v>2</v>
      </c>
      <c r="P497">
        <v>4</v>
      </c>
      <c r="Q497">
        <v>0</v>
      </c>
      <c r="R497">
        <v>0</v>
      </c>
      <c r="S497">
        <v>32</v>
      </c>
      <c r="T497">
        <v>18.8</v>
      </c>
      <c r="U497">
        <v>56</v>
      </c>
      <c r="V497" s="19" t="s">
        <v>1697</v>
      </c>
      <c r="W497" s="19" t="s">
        <v>910</v>
      </c>
      <c r="X497">
        <v>2</v>
      </c>
      <c r="Y497">
        <v>12</v>
      </c>
      <c r="Z497">
        <v>14.3</v>
      </c>
      <c r="AA497">
        <v>26</v>
      </c>
      <c r="AB497">
        <v>127</v>
      </c>
      <c r="AC497">
        <v>7</v>
      </c>
      <c r="AD497">
        <v>13</v>
      </c>
      <c r="AE497" s="19" t="s">
        <v>60</v>
      </c>
    </row>
    <row r="498" spans="1:31" x14ac:dyDescent="0.2">
      <c r="A498">
        <v>477</v>
      </c>
      <c r="B498" s="19" t="s">
        <v>988</v>
      </c>
      <c r="C498">
        <v>24</v>
      </c>
      <c r="D498" s="19" t="s">
        <v>416</v>
      </c>
      <c r="E498" s="19" t="s">
        <v>348</v>
      </c>
      <c r="F498">
        <v>48</v>
      </c>
      <c r="G498">
        <v>1</v>
      </c>
      <c r="H498">
        <v>9</v>
      </c>
      <c r="I498">
        <v>10</v>
      </c>
      <c r="J498">
        <v>-5</v>
      </c>
      <c r="K498">
        <v>22</v>
      </c>
      <c r="L498">
        <v>1</v>
      </c>
      <c r="M498">
        <v>0</v>
      </c>
      <c r="N498">
        <v>0</v>
      </c>
      <c r="O498">
        <v>0</v>
      </c>
      <c r="P498">
        <v>8</v>
      </c>
      <c r="Q498">
        <v>0</v>
      </c>
      <c r="R498">
        <v>1</v>
      </c>
      <c r="S498">
        <v>56</v>
      </c>
      <c r="T498">
        <v>1.8</v>
      </c>
      <c r="U498">
        <v>128</v>
      </c>
      <c r="V498" s="19" t="s">
        <v>2913</v>
      </c>
      <c r="W498" s="19" t="s">
        <v>2023</v>
      </c>
      <c r="X498">
        <v>0</v>
      </c>
      <c r="Y498">
        <v>0</v>
      </c>
      <c r="AA498">
        <v>69</v>
      </c>
      <c r="AB498">
        <v>85</v>
      </c>
      <c r="AC498">
        <v>21</v>
      </c>
      <c r="AD498">
        <v>48</v>
      </c>
      <c r="AE498" s="19" t="s">
        <v>60</v>
      </c>
    </row>
    <row r="499" spans="1:31" x14ac:dyDescent="0.2">
      <c r="A499">
        <v>478</v>
      </c>
      <c r="B499" s="19" t="s">
        <v>1061</v>
      </c>
      <c r="C499">
        <v>31</v>
      </c>
      <c r="D499" s="19" t="s">
        <v>358</v>
      </c>
      <c r="E499" s="19" t="s">
        <v>322</v>
      </c>
      <c r="F499">
        <v>35</v>
      </c>
      <c r="G499">
        <v>8</v>
      </c>
      <c r="H499">
        <v>2</v>
      </c>
      <c r="I499">
        <v>10</v>
      </c>
      <c r="J499">
        <v>-2</v>
      </c>
      <c r="K499">
        <v>10</v>
      </c>
      <c r="L499">
        <v>6</v>
      </c>
      <c r="M499">
        <v>0</v>
      </c>
      <c r="N499">
        <v>2</v>
      </c>
      <c r="O499">
        <v>1</v>
      </c>
      <c r="P499">
        <v>2</v>
      </c>
      <c r="Q499">
        <v>0</v>
      </c>
      <c r="R499">
        <v>0</v>
      </c>
      <c r="S499">
        <v>43</v>
      </c>
      <c r="T499">
        <v>18.600000000000001</v>
      </c>
      <c r="U499">
        <v>78</v>
      </c>
      <c r="V499" s="19" t="s">
        <v>2674</v>
      </c>
      <c r="W499" s="19" t="s">
        <v>2042</v>
      </c>
      <c r="X499">
        <v>238</v>
      </c>
      <c r="Y499">
        <v>177</v>
      </c>
      <c r="Z499">
        <v>57.3</v>
      </c>
      <c r="AA499">
        <v>26</v>
      </c>
      <c r="AB499">
        <v>64</v>
      </c>
      <c r="AC499">
        <v>10</v>
      </c>
      <c r="AD499">
        <v>28</v>
      </c>
      <c r="AE499" s="19" t="s">
        <v>60</v>
      </c>
    </row>
    <row r="500" spans="1:31" x14ac:dyDescent="0.2">
      <c r="A500">
        <v>479</v>
      </c>
      <c r="B500" s="19" t="s">
        <v>928</v>
      </c>
      <c r="C500">
        <v>30</v>
      </c>
      <c r="D500" s="19" t="s">
        <v>356</v>
      </c>
      <c r="E500" s="19" t="s">
        <v>348</v>
      </c>
      <c r="F500">
        <v>47</v>
      </c>
      <c r="G500">
        <v>1</v>
      </c>
      <c r="H500">
        <v>9</v>
      </c>
      <c r="I500">
        <v>10</v>
      </c>
      <c r="J500">
        <v>-2</v>
      </c>
      <c r="K500">
        <v>57</v>
      </c>
      <c r="L500">
        <v>1</v>
      </c>
      <c r="M500">
        <v>0</v>
      </c>
      <c r="N500">
        <v>0</v>
      </c>
      <c r="O500">
        <v>0</v>
      </c>
      <c r="P500">
        <v>9</v>
      </c>
      <c r="Q500">
        <v>0</v>
      </c>
      <c r="R500">
        <v>0</v>
      </c>
      <c r="S500">
        <v>40</v>
      </c>
      <c r="T500">
        <v>2.5</v>
      </c>
      <c r="U500">
        <v>93</v>
      </c>
      <c r="V500" s="19" t="s">
        <v>2675</v>
      </c>
      <c r="W500" s="19" t="s">
        <v>1674</v>
      </c>
      <c r="X500">
        <v>0</v>
      </c>
      <c r="Y500">
        <v>0</v>
      </c>
      <c r="AA500">
        <v>67</v>
      </c>
      <c r="AB500">
        <v>63</v>
      </c>
      <c r="AC500">
        <v>5</v>
      </c>
      <c r="AD500">
        <v>30</v>
      </c>
      <c r="AE500" s="19" t="s">
        <v>60</v>
      </c>
    </row>
    <row r="501" spans="1:31" x14ac:dyDescent="0.2">
      <c r="A501">
        <v>480</v>
      </c>
      <c r="B501" s="19" t="s">
        <v>933</v>
      </c>
      <c r="C501">
        <v>33</v>
      </c>
      <c r="D501" s="19" t="s">
        <v>345</v>
      </c>
      <c r="E501" s="19" t="s">
        <v>339</v>
      </c>
      <c r="F501">
        <v>46</v>
      </c>
      <c r="G501">
        <v>7</v>
      </c>
      <c r="H501">
        <v>3</v>
      </c>
      <c r="I501">
        <v>10</v>
      </c>
      <c r="J501">
        <v>4</v>
      </c>
      <c r="K501">
        <v>23</v>
      </c>
      <c r="L501">
        <v>7</v>
      </c>
      <c r="M501">
        <v>0</v>
      </c>
      <c r="N501">
        <v>0</v>
      </c>
      <c r="O501">
        <v>2</v>
      </c>
      <c r="P501">
        <v>3</v>
      </c>
      <c r="Q501">
        <v>0</v>
      </c>
      <c r="R501">
        <v>0</v>
      </c>
      <c r="S501">
        <v>41</v>
      </c>
      <c r="T501">
        <v>17.100000000000001</v>
      </c>
      <c r="U501">
        <v>78</v>
      </c>
      <c r="V501" s="19" t="s">
        <v>2676</v>
      </c>
      <c r="W501" s="19" t="s">
        <v>836</v>
      </c>
      <c r="X501">
        <v>4</v>
      </c>
      <c r="Y501">
        <v>14</v>
      </c>
      <c r="Z501">
        <v>22.2</v>
      </c>
      <c r="AA501">
        <v>24</v>
      </c>
      <c r="AB501">
        <v>61</v>
      </c>
      <c r="AC501">
        <v>5</v>
      </c>
      <c r="AD501">
        <v>24</v>
      </c>
      <c r="AE501" s="19" t="s">
        <v>60</v>
      </c>
    </row>
    <row r="502" spans="1:31" x14ac:dyDescent="0.2">
      <c r="A502">
        <v>481</v>
      </c>
      <c r="B502" s="19" t="s">
        <v>936</v>
      </c>
      <c r="C502">
        <v>29</v>
      </c>
      <c r="D502" s="19" t="s">
        <v>447</v>
      </c>
      <c r="E502" s="19" t="s">
        <v>348</v>
      </c>
      <c r="F502">
        <v>53</v>
      </c>
      <c r="G502">
        <v>1</v>
      </c>
      <c r="H502">
        <v>9</v>
      </c>
      <c r="I502">
        <v>10</v>
      </c>
      <c r="J502">
        <v>-5</v>
      </c>
      <c r="K502">
        <v>56</v>
      </c>
      <c r="L502">
        <v>1</v>
      </c>
      <c r="M502">
        <v>0</v>
      </c>
      <c r="N502">
        <v>0</v>
      </c>
      <c r="O502">
        <v>0</v>
      </c>
      <c r="P502">
        <v>9</v>
      </c>
      <c r="Q502">
        <v>0</v>
      </c>
      <c r="R502">
        <v>0</v>
      </c>
      <c r="S502">
        <v>44</v>
      </c>
      <c r="T502">
        <v>2.2999999999999998</v>
      </c>
      <c r="U502">
        <v>122</v>
      </c>
      <c r="V502" s="19" t="s">
        <v>2677</v>
      </c>
      <c r="W502" s="19" t="s">
        <v>1915</v>
      </c>
      <c r="X502">
        <v>0</v>
      </c>
      <c r="Y502">
        <v>0</v>
      </c>
      <c r="AA502">
        <v>88</v>
      </c>
      <c r="AB502">
        <v>46</v>
      </c>
      <c r="AC502">
        <v>10</v>
      </c>
      <c r="AD502">
        <v>55</v>
      </c>
      <c r="AE502" s="19" t="s">
        <v>60</v>
      </c>
    </row>
    <row r="503" spans="1:31" x14ac:dyDescent="0.2">
      <c r="A503">
        <v>482</v>
      </c>
      <c r="B503" s="19" t="s">
        <v>1081</v>
      </c>
      <c r="C503">
        <v>24</v>
      </c>
      <c r="D503" s="19" t="s">
        <v>360</v>
      </c>
      <c r="E503" s="19" t="s">
        <v>348</v>
      </c>
      <c r="F503">
        <v>44</v>
      </c>
      <c r="G503">
        <v>4</v>
      </c>
      <c r="H503">
        <v>6</v>
      </c>
      <c r="I503">
        <v>10</v>
      </c>
      <c r="J503">
        <v>-4</v>
      </c>
      <c r="K503">
        <v>28</v>
      </c>
      <c r="L503">
        <v>4</v>
      </c>
      <c r="M503">
        <v>0</v>
      </c>
      <c r="N503">
        <v>0</v>
      </c>
      <c r="O503">
        <v>1</v>
      </c>
      <c r="P503">
        <v>6</v>
      </c>
      <c r="Q503">
        <v>0</v>
      </c>
      <c r="R503">
        <v>0</v>
      </c>
      <c r="S503">
        <v>46</v>
      </c>
      <c r="T503">
        <v>8.6999999999999993</v>
      </c>
      <c r="U503">
        <v>130</v>
      </c>
      <c r="V503" s="19" t="s">
        <v>2914</v>
      </c>
      <c r="W503" s="19" t="s">
        <v>1661</v>
      </c>
      <c r="X503">
        <v>0</v>
      </c>
      <c r="Y503">
        <v>0</v>
      </c>
      <c r="AA503">
        <v>54</v>
      </c>
      <c r="AB503">
        <v>69</v>
      </c>
      <c r="AC503">
        <v>2</v>
      </c>
      <c r="AD503">
        <v>28</v>
      </c>
      <c r="AE503" s="19" t="s">
        <v>60</v>
      </c>
    </row>
    <row r="504" spans="1:31" x14ac:dyDescent="0.2">
      <c r="A504">
        <v>483</v>
      </c>
      <c r="B504" s="19" t="s">
        <v>888</v>
      </c>
      <c r="C504">
        <v>24</v>
      </c>
      <c r="D504" s="19" t="s">
        <v>360</v>
      </c>
      <c r="E504" s="19" t="s">
        <v>348</v>
      </c>
      <c r="F504">
        <v>54</v>
      </c>
      <c r="G504">
        <v>2</v>
      </c>
      <c r="H504">
        <v>8</v>
      </c>
      <c r="I504">
        <v>10</v>
      </c>
      <c r="J504">
        <v>-15</v>
      </c>
      <c r="K504">
        <v>16</v>
      </c>
      <c r="L504">
        <v>2</v>
      </c>
      <c r="M504">
        <v>0</v>
      </c>
      <c r="N504">
        <v>0</v>
      </c>
      <c r="O504">
        <v>0</v>
      </c>
      <c r="P504">
        <v>8</v>
      </c>
      <c r="Q504">
        <v>0</v>
      </c>
      <c r="R504">
        <v>0</v>
      </c>
      <c r="S504">
        <v>69</v>
      </c>
      <c r="T504">
        <v>2.9</v>
      </c>
      <c r="U504">
        <v>168</v>
      </c>
      <c r="V504" s="19" t="s">
        <v>2915</v>
      </c>
      <c r="W504" s="19" t="s">
        <v>1825</v>
      </c>
      <c r="X504">
        <v>0</v>
      </c>
      <c r="Y504">
        <v>0</v>
      </c>
      <c r="AA504">
        <v>89</v>
      </c>
      <c r="AB504">
        <v>118</v>
      </c>
      <c r="AC504">
        <v>16</v>
      </c>
      <c r="AD504">
        <v>56</v>
      </c>
      <c r="AE504" s="19" t="s">
        <v>60</v>
      </c>
    </row>
    <row r="505" spans="1:31" x14ac:dyDescent="0.2">
      <c r="A505">
        <v>484</v>
      </c>
      <c r="B505" s="19" t="s">
        <v>1011</v>
      </c>
      <c r="C505">
        <v>31</v>
      </c>
      <c r="D505" s="19" t="s">
        <v>948</v>
      </c>
      <c r="E505" s="19" t="s">
        <v>348</v>
      </c>
      <c r="F505">
        <v>40</v>
      </c>
      <c r="G505">
        <v>2</v>
      </c>
      <c r="H505">
        <v>8</v>
      </c>
      <c r="I505">
        <v>10</v>
      </c>
      <c r="J505">
        <v>6</v>
      </c>
      <c r="K505">
        <v>16</v>
      </c>
      <c r="L505">
        <v>2</v>
      </c>
      <c r="M505">
        <v>0</v>
      </c>
      <c r="N505">
        <v>0</v>
      </c>
      <c r="O505">
        <v>0</v>
      </c>
      <c r="P505">
        <v>8</v>
      </c>
      <c r="Q505">
        <v>0</v>
      </c>
      <c r="R505">
        <v>0</v>
      </c>
      <c r="S505">
        <v>38</v>
      </c>
      <c r="T505">
        <v>5.3</v>
      </c>
      <c r="U505">
        <v>108</v>
      </c>
      <c r="V505" s="19" t="s">
        <v>2678</v>
      </c>
      <c r="W505" s="19" t="s">
        <v>1725</v>
      </c>
      <c r="X505">
        <v>0</v>
      </c>
      <c r="Y505">
        <v>0</v>
      </c>
      <c r="AA505">
        <v>44</v>
      </c>
      <c r="AB505">
        <v>19</v>
      </c>
      <c r="AC505">
        <v>11</v>
      </c>
      <c r="AD505">
        <v>45</v>
      </c>
      <c r="AE505" s="19" t="s">
        <v>60</v>
      </c>
    </row>
    <row r="506" spans="1:31" x14ac:dyDescent="0.2">
      <c r="A506">
        <v>484</v>
      </c>
      <c r="B506" s="19" t="s">
        <v>1011</v>
      </c>
      <c r="C506">
        <v>31</v>
      </c>
      <c r="D506" s="19" t="s">
        <v>327</v>
      </c>
      <c r="E506" s="19" t="s">
        <v>348</v>
      </c>
      <c r="F506">
        <v>6</v>
      </c>
      <c r="G506">
        <v>0</v>
      </c>
      <c r="H506">
        <v>0</v>
      </c>
      <c r="I506">
        <v>0</v>
      </c>
      <c r="J506">
        <v>0</v>
      </c>
      <c r="K506">
        <v>8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3</v>
      </c>
      <c r="T506">
        <v>0</v>
      </c>
      <c r="U506">
        <v>9</v>
      </c>
      <c r="V506" s="19" t="s">
        <v>1013</v>
      </c>
      <c r="W506" s="19" t="s">
        <v>1014</v>
      </c>
      <c r="X506">
        <v>0</v>
      </c>
      <c r="Y506">
        <v>0</v>
      </c>
      <c r="AA506">
        <v>3</v>
      </c>
      <c r="AB506">
        <v>2</v>
      </c>
      <c r="AC506">
        <v>2</v>
      </c>
      <c r="AD506">
        <v>8</v>
      </c>
      <c r="AE506" s="19" t="s">
        <v>60</v>
      </c>
    </row>
    <row r="507" spans="1:31" x14ac:dyDescent="0.2">
      <c r="A507">
        <v>484</v>
      </c>
      <c r="B507" s="19" t="s">
        <v>1011</v>
      </c>
      <c r="C507">
        <v>31</v>
      </c>
      <c r="D507" s="19" t="s">
        <v>358</v>
      </c>
      <c r="E507" s="19" t="s">
        <v>348</v>
      </c>
      <c r="F507">
        <v>34</v>
      </c>
      <c r="G507">
        <v>2</v>
      </c>
      <c r="H507">
        <v>8</v>
      </c>
      <c r="I507">
        <v>10</v>
      </c>
      <c r="J507">
        <v>6</v>
      </c>
      <c r="K507">
        <v>8</v>
      </c>
      <c r="L507">
        <v>2</v>
      </c>
      <c r="M507">
        <v>0</v>
      </c>
      <c r="N507">
        <v>0</v>
      </c>
      <c r="O507">
        <v>0</v>
      </c>
      <c r="P507">
        <v>8</v>
      </c>
      <c r="Q507">
        <v>0</v>
      </c>
      <c r="R507">
        <v>0</v>
      </c>
      <c r="S507">
        <v>35</v>
      </c>
      <c r="T507">
        <v>5.7</v>
      </c>
      <c r="U507">
        <v>99</v>
      </c>
      <c r="V507" s="19" t="s">
        <v>2679</v>
      </c>
      <c r="W507" s="19" t="s">
        <v>1792</v>
      </c>
      <c r="X507">
        <v>0</v>
      </c>
      <c r="Y507">
        <v>0</v>
      </c>
      <c r="AA507">
        <v>41</v>
      </c>
      <c r="AB507">
        <v>17</v>
      </c>
      <c r="AC507">
        <v>9</v>
      </c>
      <c r="AD507">
        <v>37</v>
      </c>
      <c r="AE507" s="19" t="s">
        <v>60</v>
      </c>
    </row>
    <row r="508" spans="1:31" x14ac:dyDescent="0.2">
      <c r="A508">
        <v>485</v>
      </c>
      <c r="B508" s="19" t="s">
        <v>1017</v>
      </c>
      <c r="C508">
        <v>25</v>
      </c>
      <c r="D508" s="19" t="s">
        <v>513</v>
      </c>
      <c r="E508" s="19" t="s">
        <v>348</v>
      </c>
      <c r="F508">
        <v>48</v>
      </c>
      <c r="G508">
        <v>2</v>
      </c>
      <c r="H508">
        <v>8</v>
      </c>
      <c r="I508">
        <v>10</v>
      </c>
      <c r="J508">
        <v>-8</v>
      </c>
      <c r="K508">
        <v>51</v>
      </c>
      <c r="L508">
        <v>2</v>
      </c>
      <c r="M508">
        <v>0</v>
      </c>
      <c r="N508">
        <v>0</v>
      </c>
      <c r="O508">
        <v>0</v>
      </c>
      <c r="P508">
        <v>8</v>
      </c>
      <c r="Q508">
        <v>0</v>
      </c>
      <c r="R508">
        <v>0</v>
      </c>
      <c r="S508">
        <v>51</v>
      </c>
      <c r="T508">
        <v>3.9</v>
      </c>
      <c r="U508">
        <v>112</v>
      </c>
      <c r="V508" s="19" t="s">
        <v>2680</v>
      </c>
      <c r="W508" s="19" t="s">
        <v>1741</v>
      </c>
      <c r="X508">
        <v>0</v>
      </c>
      <c r="Y508">
        <v>0</v>
      </c>
      <c r="AA508">
        <v>34</v>
      </c>
      <c r="AB508">
        <v>71</v>
      </c>
      <c r="AC508">
        <v>7</v>
      </c>
      <c r="AD508">
        <v>39</v>
      </c>
      <c r="AE508" s="19" t="s">
        <v>60</v>
      </c>
    </row>
    <row r="509" spans="1:31" x14ac:dyDescent="0.2">
      <c r="A509">
        <v>486</v>
      </c>
      <c r="B509" s="19" t="s">
        <v>766</v>
      </c>
      <c r="C509">
        <v>26</v>
      </c>
      <c r="D509" s="19" t="s">
        <v>948</v>
      </c>
      <c r="E509" s="19" t="s">
        <v>348</v>
      </c>
      <c r="F509">
        <v>53</v>
      </c>
      <c r="G509">
        <v>2</v>
      </c>
      <c r="H509">
        <v>8</v>
      </c>
      <c r="I509">
        <v>10</v>
      </c>
      <c r="J509">
        <v>-5</v>
      </c>
      <c r="K509">
        <v>14</v>
      </c>
      <c r="L509">
        <v>2</v>
      </c>
      <c r="M509">
        <v>0</v>
      </c>
      <c r="N509">
        <v>0</v>
      </c>
      <c r="O509">
        <v>0</v>
      </c>
      <c r="P509">
        <v>7</v>
      </c>
      <c r="Q509">
        <v>0</v>
      </c>
      <c r="R509">
        <v>1</v>
      </c>
      <c r="S509">
        <v>52</v>
      </c>
      <c r="T509">
        <v>3.8</v>
      </c>
      <c r="U509">
        <v>113</v>
      </c>
      <c r="V509" s="19" t="s">
        <v>2681</v>
      </c>
      <c r="W509" s="19" t="s">
        <v>1719</v>
      </c>
      <c r="X509">
        <v>0</v>
      </c>
      <c r="Y509">
        <v>0</v>
      </c>
      <c r="AA509">
        <v>53</v>
      </c>
      <c r="AB509">
        <v>13</v>
      </c>
      <c r="AC509">
        <v>16</v>
      </c>
      <c r="AD509">
        <v>55</v>
      </c>
      <c r="AE509" s="19" t="s">
        <v>60</v>
      </c>
    </row>
    <row r="510" spans="1:31" x14ac:dyDescent="0.2">
      <c r="A510">
        <v>486</v>
      </c>
      <c r="B510" s="19" t="s">
        <v>766</v>
      </c>
      <c r="C510">
        <v>26</v>
      </c>
      <c r="D510" s="19" t="s">
        <v>460</v>
      </c>
      <c r="E510" s="19" t="s">
        <v>348</v>
      </c>
      <c r="F510">
        <v>30</v>
      </c>
      <c r="G510">
        <v>1</v>
      </c>
      <c r="H510">
        <v>8</v>
      </c>
      <c r="I510">
        <v>9</v>
      </c>
      <c r="J510">
        <v>-1</v>
      </c>
      <c r="K510">
        <v>10</v>
      </c>
      <c r="L510">
        <v>1</v>
      </c>
      <c r="M510">
        <v>0</v>
      </c>
      <c r="N510">
        <v>0</v>
      </c>
      <c r="O510">
        <v>0</v>
      </c>
      <c r="P510">
        <v>7</v>
      </c>
      <c r="Q510">
        <v>0</v>
      </c>
      <c r="R510">
        <v>1</v>
      </c>
      <c r="S510">
        <v>30</v>
      </c>
      <c r="T510">
        <v>3.3</v>
      </c>
      <c r="U510">
        <v>67</v>
      </c>
      <c r="V510" s="19" t="s">
        <v>1535</v>
      </c>
      <c r="W510" s="19" t="s">
        <v>1328</v>
      </c>
      <c r="X510">
        <v>0</v>
      </c>
      <c r="Y510">
        <v>0</v>
      </c>
      <c r="AA510">
        <v>25</v>
      </c>
      <c r="AB510">
        <v>5</v>
      </c>
      <c r="AC510">
        <v>9</v>
      </c>
      <c r="AD510">
        <v>22</v>
      </c>
      <c r="AE510" s="19" t="s">
        <v>60</v>
      </c>
    </row>
    <row r="511" spans="1:31" x14ac:dyDescent="0.2">
      <c r="A511">
        <v>486</v>
      </c>
      <c r="B511" s="19" t="s">
        <v>766</v>
      </c>
      <c r="C511">
        <v>26</v>
      </c>
      <c r="D511" s="19" t="s">
        <v>327</v>
      </c>
      <c r="E511" s="19" t="s">
        <v>348</v>
      </c>
      <c r="F511">
        <v>23</v>
      </c>
      <c r="G511">
        <v>1</v>
      </c>
      <c r="H511">
        <v>0</v>
      </c>
      <c r="I511">
        <v>1</v>
      </c>
      <c r="J511">
        <v>-4</v>
      </c>
      <c r="K511">
        <v>4</v>
      </c>
      <c r="L511">
        <v>1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22</v>
      </c>
      <c r="T511">
        <v>4.5</v>
      </c>
      <c r="U511">
        <v>46</v>
      </c>
      <c r="V511" s="19" t="s">
        <v>2682</v>
      </c>
      <c r="W511" s="19" t="s">
        <v>1572</v>
      </c>
      <c r="X511">
        <v>0</v>
      </c>
      <c r="Y511">
        <v>0</v>
      </c>
      <c r="AA511">
        <v>28</v>
      </c>
      <c r="AB511">
        <v>8</v>
      </c>
      <c r="AC511">
        <v>7</v>
      </c>
      <c r="AD511">
        <v>33</v>
      </c>
      <c r="AE511" s="19" t="s">
        <v>60</v>
      </c>
    </row>
    <row r="512" spans="1:31" x14ac:dyDescent="0.2">
      <c r="A512">
        <v>487</v>
      </c>
      <c r="B512" s="19" t="s">
        <v>805</v>
      </c>
      <c r="C512">
        <v>26</v>
      </c>
      <c r="D512" s="19" t="s">
        <v>419</v>
      </c>
      <c r="E512" s="19" t="s">
        <v>348</v>
      </c>
      <c r="F512">
        <v>51</v>
      </c>
      <c r="G512">
        <v>2</v>
      </c>
      <c r="H512">
        <v>7</v>
      </c>
      <c r="I512">
        <v>9</v>
      </c>
      <c r="J512">
        <v>4</v>
      </c>
      <c r="K512">
        <v>14</v>
      </c>
      <c r="L512">
        <v>2</v>
      </c>
      <c r="M512">
        <v>0</v>
      </c>
      <c r="N512">
        <v>0</v>
      </c>
      <c r="O512">
        <v>0</v>
      </c>
      <c r="P512">
        <v>7</v>
      </c>
      <c r="Q512">
        <v>0</v>
      </c>
      <c r="R512">
        <v>0</v>
      </c>
      <c r="S512">
        <v>41</v>
      </c>
      <c r="T512">
        <v>4.9000000000000004</v>
      </c>
      <c r="U512">
        <v>111</v>
      </c>
      <c r="V512" s="19" t="s">
        <v>2683</v>
      </c>
      <c r="W512" s="19" t="s">
        <v>1748</v>
      </c>
      <c r="X512">
        <v>0</v>
      </c>
      <c r="Y512">
        <v>0</v>
      </c>
      <c r="AA512">
        <v>76</v>
      </c>
      <c r="AB512">
        <v>57</v>
      </c>
      <c r="AC512">
        <v>8</v>
      </c>
      <c r="AD512">
        <v>38</v>
      </c>
      <c r="AE512" s="19" t="s">
        <v>60</v>
      </c>
    </row>
    <row r="513" spans="1:31" x14ac:dyDescent="0.2">
      <c r="A513">
        <v>488</v>
      </c>
      <c r="B513" s="19" t="s">
        <v>898</v>
      </c>
      <c r="C513">
        <v>24</v>
      </c>
      <c r="D513" s="19" t="s">
        <v>321</v>
      </c>
      <c r="E513" s="19" t="s">
        <v>322</v>
      </c>
      <c r="F513">
        <v>38</v>
      </c>
      <c r="G513">
        <v>1</v>
      </c>
      <c r="H513">
        <v>8</v>
      </c>
      <c r="I513">
        <v>9</v>
      </c>
      <c r="J513">
        <v>7</v>
      </c>
      <c r="K513">
        <v>10</v>
      </c>
      <c r="L513">
        <v>1</v>
      </c>
      <c r="M513">
        <v>0</v>
      </c>
      <c r="N513">
        <v>0</v>
      </c>
      <c r="O513">
        <v>0</v>
      </c>
      <c r="P513">
        <v>8</v>
      </c>
      <c r="Q513">
        <v>0</v>
      </c>
      <c r="R513">
        <v>0</v>
      </c>
      <c r="S513">
        <v>22</v>
      </c>
      <c r="T513">
        <v>4.5</v>
      </c>
      <c r="U513">
        <v>48</v>
      </c>
      <c r="V513" s="19" t="s">
        <v>2916</v>
      </c>
      <c r="W513" s="19" t="s">
        <v>2917</v>
      </c>
      <c r="X513">
        <v>59</v>
      </c>
      <c r="Y513">
        <v>80</v>
      </c>
      <c r="Z513">
        <v>42.4</v>
      </c>
      <c r="AA513">
        <v>18</v>
      </c>
      <c r="AB513">
        <v>34</v>
      </c>
      <c r="AC513">
        <v>5</v>
      </c>
      <c r="AD513">
        <v>18</v>
      </c>
      <c r="AE513" s="19" t="s">
        <v>60</v>
      </c>
    </row>
    <row r="514" spans="1:31" x14ac:dyDescent="0.2">
      <c r="A514">
        <v>489</v>
      </c>
      <c r="B514" s="19" t="s">
        <v>900</v>
      </c>
      <c r="C514">
        <v>32</v>
      </c>
      <c r="D514" s="19" t="s">
        <v>360</v>
      </c>
      <c r="E514" s="19" t="s">
        <v>322</v>
      </c>
      <c r="F514">
        <v>37</v>
      </c>
      <c r="G514">
        <v>4</v>
      </c>
      <c r="H514">
        <v>5</v>
      </c>
      <c r="I514">
        <v>9</v>
      </c>
      <c r="J514">
        <v>-4</v>
      </c>
      <c r="K514">
        <v>8</v>
      </c>
      <c r="L514">
        <v>4</v>
      </c>
      <c r="M514">
        <v>0</v>
      </c>
      <c r="N514">
        <v>0</v>
      </c>
      <c r="O514">
        <v>0</v>
      </c>
      <c r="P514">
        <v>5</v>
      </c>
      <c r="Q514">
        <v>0</v>
      </c>
      <c r="R514">
        <v>0</v>
      </c>
      <c r="S514">
        <v>37</v>
      </c>
      <c r="T514">
        <v>10.8</v>
      </c>
      <c r="U514">
        <v>92</v>
      </c>
      <c r="V514" s="19" t="s">
        <v>2918</v>
      </c>
      <c r="W514" s="19" t="s">
        <v>1666</v>
      </c>
      <c r="X514">
        <v>23</v>
      </c>
      <c r="Y514">
        <v>18</v>
      </c>
      <c r="Z514">
        <v>56.1</v>
      </c>
      <c r="AA514">
        <v>17</v>
      </c>
      <c r="AB514">
        <v>27</v>
      </c>
      <c r="AC514">
        <v>10</v>
      </c>
      <c r="AD514">
        <v>17</v>
      </c>
      <c r="AE514" s="19" t="s">
        <v>60</v>
      </c>
    </row>
    <row r="515" spans="1:31" x14ac:dyDescent="0.2">
      <c r="A515">
        <v>490</v>
      </c>
      <c r="B515" s="19" t="s">
        <v>852</v>
      </c>
      <c r="C515">
        <v>33</v>
      </c>
      <c r="D515" s="19" t="s">
        <v>360</v>
      </c>
      <c r="E515" s="19" t="s">
        <v>322</v>
      </c>
      <c r="F515">
        <v>54</v>
      </c>
      <c r="G515">
        <v>3</v>
      </c>
      <c r="H515">
        <v>6</v>
      </c>
      <c r="I515">
        <v>9</v>
      </c>
      <c r="J515">
        <v>-1</v>
      </c>
      <c r="K515">
        <v>46</v>
      </c>
      <c r="L515">
        <v>3</v>
      </c>
      <c r="M515">
        <v>0</v>
      </c>
      <c r="N515">
        <v>0</v>
      </c>
      <c r="O515">
        <v>0</v>
      </c>
      <c r="P515">
        <v>5</v>
      </c>
      <c r="Q515">
        <v>0</v>
      </c>
      <c r="R515">
        <v>1</v>
      </c>
      <c r="S515">
        <v>54</v>
      </c>
      <c r="T515">
        <v>5.6</v>
      </c>
      <c r="U515">
        <v>108</v>
      </c>
      <c r="V515" s="19" t="s">
        <v>2919</v>
      </c>
      <c r="W515" s="19" t="s">
        <v>1839</v>
      </c>
      <c r="X515">
        <v>194</v>
      </c>
      <c r="Y515">
        <v>166</v>
      </c>
      <c r="Z515">
        <v>53.9</v>
      </c>
      <c r="AA515">
        <v>26</v>
      </c>
      <c r="AB515">
        <v>78</v>
      </c>
      <c r="AC515">
        <v>10</v>
      </c>
      <c r="AD515">
        <v>21</v>
      </c>
      <c r="AE515" s="19" t="s">
        <v>60</v>
      </c>
    </row>
    <row r="516" spans="1:31" x14ac:dyDescent="0.2">
      <c r="A516">
        <v>491</v>
      </c>
      <c r="B516" s="19" t="s">
        <v>857</v>
      </c>
      <c r="C516">
        <v>23</v>
      </c>
      <c r="D516" s="19" t="s">
        <v>329</v>
      </c>
      <c r="E516" s="19" t="s">
        <v>322</v>
      </c>
      <c r="F516">
        <v>49</v>
      </c>
      <c r="G516">
        <v>3</v>
      </c>
      <c r="H516">
        <v>6</v>
      </c>
      <c r="I516">
        <v>9</v>
      </c>
      <c r="J516">
        <v>-14</v>
      </c>
      <c r="K516">
        <v>45</v>
      </c>
      <c r="L516">
        <v>2</v>
      </c>
      <c r="M516">
        <v>1</v>
      </c>
      <c r="N516">
        <v>0</v>
      </c>
      <c r="O516">
        <v>1</v>
      </c>
      <c r="P516">
        <v>5</v>
      </c>
      <c r="Q516">
        <v>1</v>
      </c>
      <c r="R516">
        <v>0</v>
      </c>
      <c r="S516">
        <v>48</v>
      </c>
      <c r="T516">
        <v>6.3</v>
      </c>
      <c r="U516">
        <v>103</v>
      </c>
      <c r="V516" s="19" t="s">
        <v>2221</v>
      </c>
      <c r="W516" s="19" t="s">
        <v>1451</v>
      </c>
      <c r="X516">
        <v>26</v>
      </c>
      <c r="Y516">
        <v>45</v>
      </c>
      <c r="Z516">
        <v>36.6</v>
      </c>
      <c r="AA516">
        <v>26</v>
      </c>
      <c r="AB516">
        <v>172</v>
      </c>
      <c r="AC516">
        <v>13</v>
      </c>
      <c r="AD516">
        <v>25</v>
      </c>
      <c r="AE516" s="19" t="s">
        <v>60</v>
      </c>
    </row>
    <row r="517" spans="1:31" x14ac:dyDescent="0.2">
      <c r="A517">
        <v>492</v>
      </c>
      <c r="B517" s="19" t="s">
        <v>1049</v>
      </c>
      <c r="C517">
        <v>32</v>
      </c>
      <c r="D517" s="19" t="s">
        <v>324</v>
      </c>
      <c r="E517" s="19" t="s">
        <v>334</v>
      </c>
      <c r="F517">
        <v>51</v>
      </c>
      <c r="G517">
        <v>4</v>
      </c>
      <c r="H517">
        <v>5</v>
      </c>
      <c r="I517">
        <v>9</v>
      </c>
      <c r="J517">
        <v>-11</v>
      </c>
      <c r="K517">
        <v>30</v>
      </c>
      <c r="L517">
        <v>4</v>
      </c>
      <c r="M517">
        <v>0</v>
      </c>
      <c r="N517">
        <v>0</v>
      </c>
      <c r="O517">
        <v>0</v>
      </c>
      <c r="P517">
        <v>5</v>
      </c>
      <c r="Q517">
        <v>0</v>
      </c>
      <c r="R517">
        <v>0</v>
      </c>
      <c r="S517">
        <v>45</v>
      </c>
      <c r="T517">
        <v>8.9</v>
      </c>
      <c r="U517">
        <v>79</v>
      </c>
      <c r="V517" s="19" t="s">
        <v>2684</v>
      </c>
      <c r="W517" s="19" t="s">
        <v>2288</v>
      </c>
      <c r="X517">
        <v>10</v>
      </c>
      <c r="Y517">
        <v>19</v>
      </c>
      <c r="Z517">
        <v>34.5</v>
      </c>
      <c r="AA517">
        <v>40</v>
      </c>
      <c r="AB517">
        <v>76</v>
      </c>
      <c r="AC517">
        <v>7</v>
      </c>
      <c r="AD517">
        <v>22</v>
      </c>
      <c r="AE517" s="19" t="s">
        <v>60</v>
      </c>
    </row>
    <row r="518" spans="1:31" x14ac:dyDescent="0.2">
      <c r="A518">
        <v>493</v>
      </c>
      <c r="B518" s="19" t="s">
        <v>1345</v>
      </c>
      <c r="C518">
        <v>28</v>
      </c>
      <c r="D518" s="19" t="s">
        <v>406</v>
      </c>
      <c r="E518" s="19" t="s">
        <v>334</v>
      </c>
      <c r="F518">
        <v>25</v>
      </c>
      <c r="G518">
        <v>7</v>
      </c>
      <c r="H518">
        <v>2</v>
      </c>
      <c r="I518">
        <v>9</v>
      </c>
      <c r="J518">
        <v>3</v>
      </c>
      <c r="K518">
        <v>8</v>
      </c>
      <c r="L518">
        <v>7</v>
      </c>
      <c r="M518">
        <v>0</v>
      </c>
      <c r="N518">
        <v>0</v>
      </c>
      <c r="O518">
        <v>1</v>
      </c>
      <c r="P518">
        <v>2</v>
      </c>
      <c r="Q518">
        <v>0</v>
      </c>
      <c r="R518">
        <v>0</v>
      </c>
      <c r="S518">
        <v>29</v>
      </c>
      <c r="T518">
        <v>24.1</v>
      </c>
      <c r="U518">
        <v>55</v>
      </c>
      <c r="V518" s="19" t="s">
        <v>2920</v>
      </c>
      <c r="W518" s="19" t="s">
        <v>1742</v>
      </c>
      <c r="X518">
        <v>2</v>
      </c>
      <c r="Y518">
        <v>2</v>
      </c>
      <c r="Z518">
        <v>50</v>
      </c>
      <c r="AA518">
        <v>14</v>
      </c>
      <c r="AB518">
        <v>76</v>
      </c>
      <c r="AC518">
        <v>4</v>
      </c>
      <c r="AD518">
        <v>11</v>
      </c>
      <c r="AE518" s="19" t="s">
        <v>60</v>
      </c>
    </row>
    <row r="519" spans="1:31" x14ac:dyDescent="0.2">
      <c r="A519">
        <v>494</v>
      </c>
      <c r="B519" s="19" t="s">
        <v>873</v>
      </c>
      <c r="C519">
        <v>26</v>
      </c>
      <c r="D519" s="19" t="s">
        <v>354</v>
      </c>
      <c r="E519" s="19" t="s">
        <v>348</v>
      </c>
      <c r="F519">
        <v>33</v>
      </c>
      <c r="G519">
        <v>0</v>
      </c>
      <c r="H519">
        <v>9</v>
      </c>
      <c r="I519">
        <v>9</v>
      </c>
      <c r="J519">
        <v>3</v>
      </c>
      <c r="K519">
        <v>12</v>
      </c>
      <c r="L519">
        <v>0</v>
      </c>
      <c r="M519">
        <v>0</v>
      </c>
      <c r="N519">
        <v>0</v>
      </c>
      <c r="O519">
        <v>0</v>
      </c>
      <c r="P519">
        <v>7</v>
      </c>
      <c r="Q519">
        <v>2</v>
      </c>
      <c r="R519">
        <v>0</v>
      </c>
      <c r="S519">
        <v>30</v>
      </c>
      <c r="T519">
        <v>0</v>
      </c>
      <c r="U519">
        <v>90</v>
      </c>
      <c r="V519" s="19" t="s">
        <v>2685</v>
      </c>
      <c r="W519" s="19" t="s">
        <v>1638</v>
      </c>
      <c r="X519">
        <v>0</v>
      </c>
      <c r="Y519">
        <v>0</v>
      </c>
      <c r="AA519">
        <v>26</v>
      </c>
      <c r="AB519">
        <v>19</v>
      </c>
      <c r="AC519">
        <v>5</v>
      </c>
      <c r="AD519">
        <v>41</v>
      </c>
      <c r="AE519" s="19" t="s">
        <v>60</v>
      </c>
    </row>
    <row r="520" spans="1:31" x14ac:dyDescent="0.2">
      <c r="A520">
        <v>495</v>
      </c>
      <c r="B520" s="19" t="s">
        <v>1054</v>
      </c>
      <c r="C520">
        <v>28</v>
      </c>
      <c r="D520" s="19" t="s">
        <v>406</v>
      </c>
      <c r="E520" s="19" t="s">
        <v>348</v>
      </c>
      <c r="F520">
        <v>38</v>
      </c>
      <c r="G520">
        <v>1</v>
      </c>
      <c r="H520">
        <v>8</v>
      </c>
      <c r="I520">
        <v>9</v>
      </c>
      <c r="J520">
        <v>5</v>
      </c>
      <c r="K520">
        <v>15</v>
      </c>
      <c r="L520">
        <v>1</v>
      </c>
      <c r="M520">
        <v>0</v>
      </c>
      <c r="N520">
        <v>0</v>
      </c>
      <c r="O520">
        <v>0</v>
      </c>
      <c r="P520">
        <v>8</v>
      </c>
      <c r="Q520">
        <v>0</v>
      </c>
      <c r="R520">
        <v>0</v>
      </c>
      <c r="S520">
        <v>20</v>
      </c>
      <c r="T520">
        <v>5</v>
      </c>
      <c r="U520">
        <v>63</v>
      </c>
      <c r="V520" s="19" t="s">
        <v>2921</v>
      </c>
      <c r="W520" s="19" t="s">
        <v>876</v>
      </c>
      <c r="X520">
        <v>0</v>
      </c>
      <c r="Y520">
        <v>0</v>
      </c>
      <c r="AA520">
        <v>29</v>
      </c>
      <c r="AB520">
        <v>78</v>
      </c>
      <c r="AC520">
        <v>7</v>
      </c>
      <c r="AD520">
        <v>36</v>
      </c>
      <c r="AE520" s="19" t="s">
        <v>60</v>
      </c>
    </row>
    <row r="521" spans="1:31" x14ac:dyDescent="0.2">
      <c r="A521">
        <v>496</v>
      </c>
      <c r="B521" s="19" t="s">
        <v>1112</v>
      </c>
      <c r="C521">
        <v>29</v>
      </c>
      <c r="D521" s="19" t="s">
        <v>327</v>
      </c>
      <c r="E521" s="19" t="s">
        <v>334</v>
      </c>
      <c r="F521">
        <v>15</v>
      </c>
      <c r="G521">
        <v>3</v>
      </c>
      <c r="H521">
        <v>6</v>
      </c>
      <c r="I521">
        <v>9</v>
      </c>
      <c r="J521">
        <v>5</v>
      </c>
      <c r="K521">
        <v>2</v>
      </c>
      <c r="L521">
        <v>3</v>
      </c>
      <c r="M521">
        <v>0</v>
      </c>
      <c r="N521">
        <v>0</v>
      </c>
      <c r="O521">
        <v>0</v>
      </c>
      <c r="P521">
        <v>6</v>
      </c>
      <c r="Q521">
        <v>0</v>
      </c>
      <c r="R521">
        <v>0</v>
      </c>
      <c r="S521">
        <v>26</v>
      </c>
      <c r="T521">
        <v>11.5</v>
      </c>
      <c r="U521">
        <v>39</v>
      </c>
      <c r="V521" s="19" t="s">
        <v>2686</v>
      </c>
      <c r="W521" s="19" t="s">
        <v>1658</v>
      </c>
      <c r="X521">
        <v>0</v>
      </c>
      <c r="Y521">
        <v>1</v>
      </c>
      <c r="Z521">
        <v>0</v>
      </c>
      <c r="AA521">
        <v>5</v>
      </c>
      <c r="AB521">
        <v>29</v>
      </c>
      <c r="AC521">
        <v>1</v>
      </c>
      <c r="AD521">
        <v>13</v>
      </c>
      <c r="AE521" s="19" t="s">
        <v>60</v>
      </c>
    </row>
    <row r="522" spans="1:31" x14ac:dyDescent="0.2">
      <c r="A522">
        <v>497</v>
      </c>
      <c r="B522" s="19" t="s">
        <v>1060</v>
      </c>
      <c r="C522">
        <v>23</v>
      </c>
      <c r="D522" s="19" t="s">
        <v>436</v>
      </c>
      <c r="E522" s="19" t="s">
        <v>348</v>
      </c>
      <c r="F522">
        <v>38</v>
      </c>
      <c r="G522">
        <v>4</v>
      </c>
      <c r="H522">
        <v>5</v>
      </c>
      <c r="I522">
        <v>9</v>
      </c>
      <c r="J522">
        <v>-7</v>
      </c>
      <c r="K522">
        <v>28</v>
      </c>
      <c r="L522">
        <v>4</v>
      </c>
      <c r="M522">
        <v>0</v>
      </c>
      <c r="N522">
        <v>0</v>
      </c>
      <c r="O522">
        <v>1</v>
      </c>
      <c r="P522">
        <v>4</v>
      </c>
      <c r="Q522">
        <v>0</v>
      </c>
      <c r="R522">
        <v>1</v>
      </c>
      <c r="S522">
        <v>41</v>
      </c>
      <c r="T522">
        <v>9.8000000000000007</v>
      </c>
      <c r="U522">
        <v>91</v>
      </c>
      <c r="V522" s="19" t="s">
        <v>2105</v>
      </c>
      <c r="W522" s="19" t="s">
        <v>2099</v>
      </c>
      <c r="X522">
        <v>0</v>
      </c>
      <c r="Y522">
        <v>0</v>
      </c>
      <c r="AA522">
        <v>62</v>
      </c>
      <c r="AB522">
        <v>49</v>
      </c>
      <c r="AC522">
        <v>4</v>
      </c>
      <c r="AD522">
        <v>35</v>
      </c>
      <c r="AE522" s="19" t="s">
        <v>60</v>
      </c>
    </row>
    <row r="523" spans="1:31" x14ac:dyDescent="0.2">
      <c r="A523">
        <v>498</v>
      </c>
      <c r="B523" s="19" t="s">
        <v>993</v>
      </c>
      <c r="C523">
        <v>26</v>
      </c>
      <c r="D523" s="19" t="s">
        <v>324</v>
      </c>
      <c r="E523" s="19" t="s">
        <v>348</v>
      </c>
      <c r="F523">
        <v>39</v>
      </c>
      <c r="G523">
        <v>0</v>
      </c>
      <c r="H523">
        <v>9</v>
      </c>
      <c r="I523">
        <v>9</v>
      </c>
      <c r="J523">
        <v>-7</v>
      </c>
      <c r="K523">
        <v>27</v>
      </c>
      <c r="L523">
        <v>0</v>
      </c>
      <c r="M523">
        <v>0</v>
      </c>
      <c r="N523">
        <v>0</v>
      </c>
      <c r="O523">
        <v>0</v>
      </c>
      <c r="P523">
        <v>7</v>
      </c>
      <c r="Q523">
        <v>2</v>
      </c>
      <c r="R523">
        <v>0</v>
      </c>
      <c r="S523">
        <v>28</v>
      </c>
      <c r="T523">
        <v>0</v>
      </c>
      <c r="U523">
        <v>88</v>
      </c>
      <c r="V523" s="19" t="s">
        <v>2687</v>
      </c>
      <c r="W523" s="19" t="s">
        <v>994</v>
      </c>
      <c r="X523">
        <v>0</v>
      </c>
      <c r="Y523">
        <v>0</v>
      </c>
      <c r="AA523">
        <v>79</v>
      </c>
      <c r="AB523">
        <v>34</v>
      </c>
      <c r="AC523">
        <v>5</v>
      </c>
      <c r="AD523">
        <v>42</v>
      </c>
      <c r="AE523" s="19" t="s">
        <v>60</v>
      </c>
    </row>
    <row r="524" spans="1:31" x14ac:dyDescent="0.2">
      <c r="A524">
        <v>499</v>
      </c>
      <c r="B524" s="19" t="s">
        <v>1063</v>
      </c>
      <c r="C524">
        <v>27</v>
      </c>
      <c r="D524" s="19" t="s">
        <v>531</v>
      </c>
      <c r="E524" s="19" t="s">
        <v>348</v>
      </c>
      <c r="F524">
        <v>52</v>
      </c>
      <c r="G524">
        <v>2</v>
      </c>
      <c r="H524">
        <v>7</v>
      </c>
      <c r="I524">
        <v>9</v>
      </c>
      <c r="J524">
        <v>16</v>
      </c>
      <c r="K524">
        <v>54</v>
      </c>
      <c r="L524">
        <v>2</v>
      </c>
      <c r="M524">
        <v>0</v>
      </c>
      <c r="N524">
        <v>0</v>
      </c>
      <c r="O524">
        <v>1</v>
      </c>
      <c r="P524">
        <v>6</v>
      </c>
      <c r="Q524">
        <v>0</v>
      </c>
      <c r="R524">
        <v>1</v>
      </c>
      <c r="S524">
        <v>37</v>
      </c>
      <c r="T524">
        <v>5.4</v>
      </c>
      <c r="U524">
        <v>123</v>
      </c>
      <c r="V524" s="19" t="s">
        <v>2688</v>
      </c>
      <c r="W524" s="19" t="s">
        <v>1952</v>
      </c>
      <c r="X524">
        <v>0</v>
      </c>
      <c r="Y524">
        <v>1</v>
      </c>
      <c r="Z524">
        <v>0</v>
      </c>
      <c r="AA524">
        <v>90</v>
      </c>
      <c r="AB524">
        <v>33</v>
      </c>
      <c r="AC524">
        <v>11</v>
      </c>
      <c r="AD524">
        <v>63</v>
      </c>
      <c r="AE524" s="19" t="s">
        <v>60</v>
      </c>
    </row>
    <row r="525" spans="1:31" x14ac:dyDescent="0.2">
      <c r="A525">
        <v>500</v>
      </c>
      <c r="B525" s="19" t="s">
        <v>927</v>
      </c>
      <c r="C525">
        <v>30</v>
      </c>
      <c r="D525" s="19" t="s">
        <v>460</v>
      </c>
      <c r="E525" s="19" t="s">
        <v>334</v>
      </c>
      <c r="F525">
        <v>51</v>
      </c>
      <c r="G525">
        <v>2</v>
      </c>
      <c r="H525">
        <v>7</v>
      </c>
      <c r="I525">
        <v>9</v>
      </c>
      <c r="J525">
        <v>-13</v>
      </c>
      <c r="K525">
        <v>67</v>
      </c>
      <c r="L525">
        <v>1</v>
      </c>
      <c r="M525">
        <v>0</v>
      </c>
      <c r="N525">
        <v>1</v>
      </c>
      <c r="O525">
        <v>0</v>
      </c>
      <c r="P525">
        <v>7</v>
      </c>
      <c r="Q525">
        <v>0</v>
      </c>
      <c r="R525">
        <v>0</v>
      </c>
      <c r="S525">
        <v>72</v>
      </c>
      <c r="T525">
        <v>2.8</v>
      </c>
      <c r="U525">
        <v>130</v>
      </c>
      <c r="V525" s="19" t="s">
        <v>2689</v>
      </c>
      <c r="W525" s="19" t="s">
        <v>1940</v>
      </c>
      <c r="X525">
        <v>378</v>
      </c>
      <c r="Y525">
        <v>328</v>
      </c>
      <c r="Z525">
        <v>53.5</v>
      </c>
      <c r="AA525">
        <v>49</v>
      </c>
      <c r="AB525">
        <v>145</v>
      </c>
      <c r="AC525">
        <v>15</v>
      </c>
      <c r="AD525">
        <v>29</v>
      </c>
      <c r="AE525" s="19" t="s">
        <v>60</v>
      </c>
    </row>
    <row r="526" spans="1:31" x14ac:dyDescent="0.2">
      <c r="A526">
        <v>501</v>
      </c>
      <c r="B526" s="19" t="s">
        <v>1069</v>
      </c>
      <c r="C526">
        <v>32</v>
      </c>
      <c r="D526" s="19" t="s">
        <v>329</v>
      </c>
      <c r="E526" s="19" t="s">
        <v>348</v>
      </c>
      <c r="F526">
        <v>53</v>
      </c>
      <c r="G526">
        <v>2</v>
      </c>
      <c r="H526">
        <v>7</v>
      </c>
      <c r="I526">
        <v>9</v>
      </c>
      <c r="J526">
        <v>-4</v>
      </c>
      <c r="K526">
        <v>44</v>
      </c>
      <c r="L526">
        <v>2</v>
      </c>
      <c r="M526">
        <v>0</v>
      </c>
      <c r="N526">
        <v>0</v>
      </c>
      <c r="O526">
        <v>0</v>
      </c>
      <c r="P526">
        <v>7</v>
      </c>
      <c r="Q526">
        <v>0</v>
      </c>
      <c r="R526">
        <v>0</v>
      </c>
      <c r="S526">
        <v>48</v>
      </c>
      <c r="T526">
        <v>4.2</v>
      </c>
      <c r="U526">
        <v>108</v>
      </c>
      <c r="V526" s="19" t="s">
        <v>2690</v>
      </c>
      <c r="W526" s="19" t="s">
        <v>2091</v>
      </c>
      <c r="X526">
        <v>0</v>
      </c>
      <c r="Y526">
        <v>0</v>
      </c>
      <c r="AA526">
        <v>79</v>
      </c>
      <c r="AB526">
        <v>52</v>
      </c>
      <c r="AC526">
        <v>12</v>
      </c>
      <c r="AD526">
        <v>43</v>
      </c>
      <c r="AE526" s="19" t="s">
        <v>60</v>
      </c>
    </row>
    <row r="527" spans="1:31" x14ac:dyDescent="0.2">
      <c r="A527">
        <v>502</v>
      </c>
      <c r="B527" s="19" t="s">
        <v>792</v>
      </c>
      <c r="C527">
        <v>24</v>
      </c>
      <c r="D527" s="19" t="s">
        <v>336</v>
      </c>
      <c r="E527" s="19" t="s">
        <v>322</v>
      </c>
      <c r="F527">
        <v>29</v>
      </c>
      <c r="G527">
        <v>1</v>
      </c>
      <c r="H527">
        <v>8</v>
      </c>
      <c r="I527">
        <v>9</v>
      </c>
      <c r="J527">
        <v>-2</v>
      </c>
      <c r="K527">
        <v>8</v>
      </c>
      <c r="L527">
        <v>1</v>
      </c>
      <c r="M527">
        <v>0</v>
      </c>
      <c r="N527">
        <v>0</v>
      </c>
      <c r="O527">
        <v>1</v>
      </c>
      <c r="P527">
        <v>8</v>
      </c>
      <c r="Q527">
        <v>0</v>
      </c>
      <c r="R527">
        <v>0</v>
      </c>
      <c r="S527">
        <v>31</v>
      </c>
      <c r="T527">
        <v>3.2</v>
      </c>
      <c r="U527">
        <v>69</v>
      </c>
      <c r="V527" s="19" t="s">
        <v>1965</v>
      </c>
      <c r="W527" s="19" t="s">
        <v>950</v>
      </c>
      <c r="X527">
        <v>11</v>
      </c>
      <c r="Y527">
        <v>17</v>
      </c>
      <c r="Z527">
        <v>39.299999999999997</v>
      </c>
      <c r="AA527">
        <v>8</v>
      </c>
      <c r="AB527">
        <v>53</v>
      </c>
      <c r="AC527">
        <v>1</v>
      </c>
      <c r="AD527">
        <v>14</v>
      </c>
      <c r="AE527" s="19" t="s">
        <v>60</v>
      </c>
    </row>
    <row r="528" spans="1:31" x14ac:dyDescent="0.2">
      <c r="A528">
        <v>503</v>
      </c>
      <c r="B528" s="19" t="s">
        <v>1071</v>
      </c>
      <c r="C528">
        <v>23</v>
      </c>
      <c r="D528" s="19" t="s">
        <v>396</v>
      </c>
      <c r="E528" s="19" t="s">
        <v>348</v>
      </c>
      <c r="F528">
        <v>37</v>
      </c>
      <c r="G528">
        <v>1</v>
      </c>
      <c r="H528">
        <v>8</v>
      </c>
      <c r="I528">
        <v>9</v>
      </c>
      <c r="J528">
        <v>5</v>
      </c>
      <c r="K528">
        <v>6</v>
      </c>
      <c r="L528">
        <v>1</v>
      </c>
      <c r="M528">
        <v>0</v>
      </c>
      <c r="N528">
        <v>0</v>
      </c>
      <c r="O528">
        <v>0</v>
      </c>
      <c r="P528">
        <v>8</v>
      </c>
      <c r="Q528">
        <v>0</v>
      </c>
      <c r="R528">
        <v>0</v>
      </c>
      <c r="S528">
        <v>43</v>
      </c>
      <c r="T528">
        <v>2.2999999999999998</v>
      </c>
      <c r="U528">
        <v>121</v>
      </c>
      <c r="V528" s="19" t="s">
        <v>2289</v>
      </c>
      <c r="W528" s="19" t="s">
        <v>2095</v>
      </c>
      <c r="X528">
        <v>0</v>
      </c>
      <c r="Y528">
        <v>0</v>
      </c>
      <c r="AA528">
        <v>21</v>
      </c>
      <c r="AB528">
        <v>9</v>
      </c>
      <c r="AC528">
        <v>5</v>
      </c>
      <c r="AD528">
        <v>31</v>
      </c>
      <c r="AE528" s="19" t="s">
        <v>60</v>
      </c>
    </row>
    <row r="529" spans="1:31" x14ac:dyDescent="0.2">
      <c r="A529">
        <v>504</v>
      </c>
      <c r="B529" s="19" t="s">
        <v>935</v>
      </c>
      <c r="C529">
        <v>27</v>
      </c>
      <c r="D529" s="19" t="s">
        <v>354</v>
      </c>
      <c r="E529" s="19" t="s">
        <v>348</v>
      </c>
      <c r="F529">
        <v>53</v>
      </c>
      <c r="G529">
        <v>4</v>
      </c>
      <c r="H529">
        <v>5</v>
      </c>
      <c r="I529">
        <v>9</v>
      </c>
      <c r="J529">
        <v>-12</v>
      </c>
      <c r="K529">
        <v>18</v>
      </c>
      <c r="L529">
        <v>4</v>
      </c>
      <c r="M529">
        <v>0</v>
      </c>
      <c r="N529">
        <v>0</v>
      </c>
      <c r="O529">
        <v>0</v>
      </c>
      <c r="P529">
        <v>5</v>
      </c>
      <c r="Q529">
        <v>0</v>
      </c>
      <c r="R529">
        <v>0</v>
      </c>
      <c r="S529">
        <v>58</v>
      </c>
      <c r="T529">
        <v>6.9</v>
      </c>
      <c r="U529">
        <v>147</v>
      </c>
      <c r="V529" s="19" t="s">
        <v>2691</v>
      </c>
      <c r="W529" s="19" t="s">
        <v>1929</v>
      </c>
      <c r="X529">
        <v>0</v>
      </c>
      <c r="Y529">
        <v>0</v>
      </c>
      <c r="AA529">
        <v>96</v>
      </c>
      <c r="AB529">
        <v>63</v>
      </c>
      <c r="AC529">
        <v>9</v>
      </c>
      <c r="AD529">
        <v>46</v>
      </c>
      <c r="AE529" s="19" t="s">
        <v>60</v>
      </c>
    </row>
    <row r="530" spans="1:31" x14ac:dyDescent="0.2">
      <c r="A530">
        <v>505</v>
      </c>
      <c r="B530" s="19" t="s">
        <v>1076</v>
      </c>
      <c r="C530">
        <v>31</v>
      </c>
      <c r="D530" s="19" t="s">
        <v>383</v>
      </c>
      <c r="E530" s="19" t="s">
        <v>348</v>
      </c>
      <c r="F530">
        <v>53</v>
      </c>
      <c r="G530">
        <v>3</v>
      </c>
      <c r="H530">
        <v>6</v>
      </c>
      <c r="I530">
        <v>9</v>
      </c>
      <c r="J530">
        <v>7</v>
      </c>
      <c r="K530">
        <v>26</v>
      </c>
      <c r="L530">
        <v>3</v>
      </c>
      <c r="M530">
        <v>0</v>
      </c>
      <c r="N530">
        <v>0</v>
      </c>
      <c r="O530">
        <v>2</v>
      </c>
      <c r="P530">
        <v>5</v>
      </c>
      <c r="Q530">
        <v>0</v>
      </c>
      <c r="R530">
        <v>1</v>
      </c>
      <c r="S530">
        <v>78</v>
      </c>
      <c r="T530">
        <v>3.8</v>
      </c>
      <c r="U530">
        <v>204</v>
      </c>
      <c r="V530" s="19" t="s">
        <v>2922</v>
      </c>
      <c r="W530" s="19" t="s">
        <v>1010</v>
      </c>
      <c r="X530">
        <v>0</v>
      </c>
      <c r="Y530">
        <v>0</v>
      </c>
      <c r="AA530">
        <v>91</v>
      </c>
      <c r="AB530">
        <v>35</v>
      </c>
      <c r="AC530">
        <v>25</v>
      </c>
      <c r="AD530">
        <v>50</v>
      </c>
      <c r="AE530" s="19" t="s">
        <v>60</v>
      </c>
    </row>
    <row r="531" spans="1:31" x14ac:dyDescent="0.2">
      <c r="A531">
        <v>506</v>
      </c>
      <c r="B531" s="19" t="s">
        <v>794</v>
      </c>
      <c r="C531">
        <v>33</v>
      </c>
      <c r="D531" s="19" t="s">
        <v>333</v>
      </c>
      <c r="E531" s="19" t="s">
        <v>348</v>
      </c>
      <c r="F531">
        <v>47</v>
      </c>
      <c r="G531">
        <v>2</v>
      </c>
      <c r="H531">
        <v>7</v>
      </c>
      <c r="I531">
        <v>9</v>
      </c>
      <c r="J531">
        <v>-1</v>
      </c>
      <c r="K531">
        <v>47</v>
      </c>
      <c r="L531">
        <v>2</v>
      </c>
      <c r="M531">
        <v>0</v>
      </c>
      <c r="N531">
        <v>0</v>
      </c>
      <c r="O531">
        <v>0</v>
      </c>
      <c r="P531">
        <v>7</v>
      </c>
      <c r="Q531">
        <v>0</v>
      </c>
      <c r="R531">
        <v>0</v>
      </c>
      <c r="S531">
        <v>50</v>
      </c>
      <c r="T531">
        <v>4</v>
      </c>
      <c r="U531">
        <v>111</v>
      </c>
      <c r="V531" s="19" t="s">
        <v>2128</v>
      </c>
      <c r="W531" s="19" t="s">
        <v>1664</v>
      </c>
      <c r="X531">
        <v>0</v>
      </c>
      <c r="Y531">
        <v>0</v>
      </c>
      <c r="AA531">
        <v>69</v>
      </c>
      <c r="AB531">
        <v>77</v>
      </c>
      <c r="AC531">
        <v>9</v>
      </c>
      <c r="AD531">
        <v>39</v>
      </c>
      <c r="AE531" s="19" t="s">
        <v>60</v>
      </c>
    </row>
    <row r="532" spans="1:31" x14ac:dyDescent="0.2">
      <c r="A532">
        <v>507</v>
      </c>
      <c r="B532" s="19" t="s">
        <v>1132</v>
      </c>
      <c r="C532">
        <v>26</v>
      </c>
      <c r="D532" s="19" t="s">
        <v>324</v>
      </c>
      <c r="E532" s="19" t="s">
        <v>325</v>
      </c>
      <c r="F532">
        <v>14</v>
      </c>
      <c r="G532">
        <v>8</v>
      </c>
      <c r="H532">
        <v>1</v>
      </c>
      <c r="I532">
        <v>9</v>
      </c>
      <c r="J532">
        <v>3</v>
      </c>
      <c r="K532">
        <v>8</v>
      </c>
      <c r="L532">
        <v>4</v>
      </c>
      <c r="M532">
        <v>4</v>
      </c>
      <c r="N532">
        <v>0</v>
      </c>
      <c r="O532">
        <v>2</v>
      </c>
      <c r="P532">
        <v>1</v>
      </c>
      <c r="Q532">
        <v>0</v>
      </c>
      <c r="R532">
        <v>0</v>
      </c>
      <c r="S532">
        <v>32</v>
      </c>
      <c r="T532">
        <v>25</v>
      </c>
      <c r="U532">
        <v>48</v>
      </c>
      <c r="V532" s="19" t="s">
        <v>2692</v>
      </c>
      <c r="W532" s="19" t="s">
        <v>1955</v>
      </c>
      <c r="X532">
        <v>7</v>
      </c>
      <c r="Y532">
        <v>4</v>
      </c>
      <c r="Z532">
        <v>63.6</v>
      </c>
      <c r="AA532">
        <v>3</v>
      </c>
      <c r="AB532">
        <v>29</v>
      </c>
      <c r="AC532">
        <v>2</v>
      </c>
      <c r="AD532">
        <v>7</v>
      </c>
      <c r="AE532" s="19" t="s">
        <v>60</v>
      </c>
    </row>
    <row r="533" spans="1:31" x14ac:dyDescent="0.2">
      <c r="A533">
        <v>508</v>
      </c>
      <c r="B533" s="19" t="s">
        <v>837</v>
      </c>
      <c r="C533">
        <v>33</v>
      </c>
      <c r="D533" s="19" t="s">
        <v>360</v>
      </c>
      <c r="E533" s="19" t="s">
        <v>339</v>
      </c>
      <c r="F533">
        <v>37</v>
      </c>
      <c r="G533">
        <v>1</v>
      </c>
      <c r="H533">
        <v>8</v>
      </c>
      <c r="I533">
        <v>9</v>
      </c>
      <c r="J533">
        <v>-4</v>
      </c>
      <c r="K533">
        <v>8</v>
      </c>
      <c r="L533">
        <v>1</v>
      </c>
      <c r="M533">
        <v>0</v>
      </c>
      <c r="N533">
        <v>0</v>
      </c>
      <c r="O533">
        <v>0</v>
      </c>
      <c r="P533">
        <v>6</v>
      </c>
      <c r="Q533">
        <v>2</v>
      </c>
      <c r="R533">
        <v>0</v>
      </c>
      <c r="S533">
        <v>55</v>
      </c>
      <c r="T533">
        <v>1.8</v>
      </c>
      <c r="U533">
        <v>113</v>
      </c>
      <c r="V533" s="19" t="s">
        <v>1745</v>
      </c>
      <c r="W533" s="19" t="s">
        <v>1662</v>
      </c>
      <c r="X533">
        <v>8</v>
      </c>
      <c r="Y533">
        <v>6</v>
      </c>
      <c r="Z533">
        <v>57.1</v>
      </c>
      <c r="AA533">
        <v>25</v>
      </c>
      <c r="AB533">
        <v>17</v>
      </c>
      <c r="AC533">
        <v>13</v>
      </c>
      <c r="AD533">
        <v>26</v>
      </c>
      <c r="AE533" s="19" t="s">
        <v>60</v>
      </c>
    </row>
    <row r="534" spans="1:31" x14ac:dyDescent="0.2">
      <c r="A534">
        <v>509</v>
      </c>
      <c r="B534" s="19" t="s">
        <v>1141</v>
      </c>
      <c r="C534">
        <v>30</v>
      </c>
      <c r="D534" s="19" t="s">
        <v>356</v>
      </c>
      <c r="E534" s="19" t="s">
        <v>322</v>
      </c>
      <c r="F534">
        <v>32</v>
      </c>
      <c r="G534">
        <v>3</v>
      </c>
      <c r="H534">
        <v>6</v>
      </c>
      <c r="I534">
        <v>9</v>
      </c>
      <c r="J534">
        <v>0</v>
      </c>
      <c r="K534">
        <v>8</v>
      </c>
      <c r="L534">
        <v>3</v>
      </c>
      <c r="M534">
        <v>0</v>
      </c>
      <c r="N534">
        <v>0</v>
      </c>
      <c r="O534">
        <v>0</v>
      </c>
      <c r="P534">
        <v>6</v>
      </c>
      <c r="Q534">
        <v>0</v>
      </c>
      <c r="R534">
        <v>0</v>
      </c>
      <c r="S534">
        <v>29</v>
      </c>
      <c r="T534">
        <v>10.3</v>
      </c>
      <c r="U534">
        <v>51</v>
      </c>
      <c r="V534" s="19" t="s">
        <v>2693</v>
      </c>
      <c r="W534" s="19" t="s">
        <v>832</v>
      </c>
      <c r="X534">
        <v>167</v>
      </c>
      <c r="Y534">
        <v>132</v>
      </c>
      <c r="Z534">
        <v>55.9</v>
      </c>
      <c r="AA534">
        <v>13</v>
      </c>
      <c r="AB534">
        <v>34</v>
      </c>
      <c r="AC534">
        <v>6</v>
      </c>
      <c r="AD534">
        <v>13</v>
      </c>
      <c r="AE534" s="19" t="s">
        <v>60</v>
      </c>
    </row>
    <row r="535" spans="1:31" x14ac:dyDescent="0.2">
      <c r="A535">
        <v>510</v>
      </c>
      <c r="B535" s="19" t="s">
        <v>1016</v>
      </c>
      <c r="C535">
        <v>22</v>
      </c>
      <c r="D535" s="19" t="s">
        <v>460</v>
      </c>
      <c r="E535" s="19" t="s">
        <v>322</v>
      </c>
      <c r="F535">
        <v>49</v>
      </c>
      <c r="G535">
        <v>2</v>
      </c>
      <c r="H535">
        <v>7</v>
      </c>
      <c r="I535">
        <v>9</v>
      </c>
      <c r="J535">
        <v>-8</v>
      </c>
      <c r="K535">
        <v>14</v>
      </c>
      <c r="L535">
        <v>1</v>
      </c>
      <c r="M535">
        <v>0</v>
      </c>
      <c r="N535">
        <v>1</v>
      </c>
      <c r="O535">
        <v>0</v>
      </c>
      <c r="P535">
        <v>7</v>
      </c>
      <c r="Q535">
        <v>0</v>
      </c>
      <c r="R535">
        <v>0</v>
      </c>
      <c r="S535">
        <v>55</v>
      </c>
      <c r="T535">
        <v>3.6</v>
      </c>
      <c r="U535">
        <v>106</v>
      </c>
      <c r="V535" s="19" t="s">
        <v>2694</v>
      </c>
      <c r="W535" s="19" t="s">
        <v>1809</v>
      </c>
      <c r="X535">
        <v>159</v>
      </c>
      <c r="Y535">
        <v>197</v>
      </c>
      <c r="Z535">
        <v>44.7</v>
      </c>
      <c r="AA535">
        <v>20</v>
      </c>
      <c r="AB535">
        <v>41</v>
      </c>
      <c r="AC535">
        <v>9</v>
      </c>
      <c r="AD535">
        <v>28</v>
      </c>
      <c r="AE535" s="19" t="s">
        <v>60</v>
      </c>
    </row>
    <row r="536" spans="1:31" x14ac:dyDescent="0.2">
      <c r="A536">
        <v>511</v>
      </c>
      <c r="B536" s="19" t="s">
        <v>956</v>
      </c>
      <c r="C536">
        <v>25</v>
      </c>
      <c r="D536" s="19" t="s">
        <v>333</v>
      </c>
      <c r="E536" s="19" t="s">
        <v>322</v>
      </c>
      <c r="F536">
        <v>43</v>
      </c>
      <c r="G536">
        <v>4</v>
      </c>
      <c r="H536">
        <v>4</v>
      </c>
      <c r="I536">
        <v>8</v>
      </c>
      <c r="J536">
        <v>4</v>
      </c>
      <c r="K536">
        <v>6</v>
      </c>
      <c r="L536">
        <v>3</v>
      </c>
      <c r="M536">
        <v>0</v>
      </c>
      <c r="N536">
        <v>1</v>
      </c>
      <c r="O536">
        <v>1</v>
      </c>
      <c r="P536">
        <v>4</v>
      </c>
      <c r="Q536">
        <v>0</v>
      </c>
      <c r="R536">
        <v>0</v>
      </c>
      <c r="S536">
        <v>24</v>
      </c>
      <c r="T536">
        <v>16.7</v>
      </c>
      <c r="U536">
        <v>47</v>
      </c>
      <c r="V536" s="19" t="s">
        <v>2695</v>
      </c>
      <c r="W536" s="19" t="s">
        <v>1746</v>
      </c>
      <c r="X536">
        <v>12</v>
      </c>
      <c r="Y536">
        <v>14</v>
      </c>
      <c r="Z536">
        <v>46.2</v>
      </c>
      <c r="AA536">
        <v>22</v>
      </c>
      <c r="AB536">
        <v>17</v>
      </c>
      <c r="AC536">
        <v>8</v>
      </c>
      <c r="AD536">
        <v>28</v>
      </c>
      <c r="AE536" s="19" t="s">
        <v>60</v>
      </c>
    </row>
    <row r="537" spans="1:31" x14ac:dyDescent="0.2">
      <c r="A537">
        <v>512</v>
      </c>
      <c r="B537" s="19" t="s">
        <v>1629</v>
      </c>
      <c r="C537">
        <v>20</v>
      </c>
      <c r="D537" s="19" t="s">
        <v>406</v>
      </c>
      <c r="E537" s="19" t="s">
        <v>322</v>
      </c>
      <c r="F537">
        <v>18</v>
      </c>
      <c r="G537">
        <v>2</v>
      </c>
      <c r="H537">
        <v>6</v>
      </c>
      <c r="I537">
        <v>8</v>
      </c>
      <c r="J537">
        <v>-2</v>
      </c>
      <c r="K537">
        <v>8</v>
      </c>
      <c r="L537">
        <v>1</v>
      </c>
      <c r="M537">
        <v>1</v>
      </c>
      <c r="N537">
        <v>0</v>
      </c>
      <c r="O537">
        <v>0</v>
      </c>
      <c r="P537">
        <v>5</v>
      </c>
      <c r="Q537">
        <v>1</v>
      </c>
      <c r="R537">
        <v>0</v>
      </c>
      <c r="S537">
        <v>21</v>
      </c>
      <c r="T537">
        <v>9.5</v>
      </c>
      <c r="U537">
        <v>38</v>
      </c>
      <c r="V537" s="19" t="s">
        <v>2050</v>
      </c>
      <c r="W537" s="19" t="s">
        <v>643</v>
      </c>
      <c r="X537">
        <v>3</v>
      </c>
      <c r="Y537">
        <v>5</v>
      </c>
      <c r="Z537">
        <v>37.5</v>
      </c>
      <c r="AA537">
        <v>10</v>
      </c>
      <c r="AB537">
        <v>12</v>
      </c>
      <c r="AC537">
        <v>1</v>
      </c>
      <c r="AD537">
        <v>9</v>
      </c>
      <c r="AE537" s="19" t="s">
        <v>60</v>
      </c>
    </row>
    <row r="538" spans="1:31" x14ac:dyDescent="0.2">
      <c r="A538">
        <v>513</v>
      </c>
      <c r="B538" s="19" t="s">
        <v>854</v>
      </c>
      <c r="C538">
        <v>32</v>
      </c>
      <c r="D538" s="19" t="s">
        <v>419</v>
      </c>
      <c r="E538" s="19" t="s">
        <v>348</v>
      </c>
      <c r="F538">
        <v>51</v>
      </c>
      <c r="G538">
        <v>1</v>
      </c>
      <c r="H538">
        <v>7</v>
      </c>
      <c r="I538">
        <v>8</v>
      </c>
      <c r="J538">
        <v>-3</v>
      </c>
      <c r="K538">
        <v>8</v>
      </c>
      <c r="L538">
        <v>1</v>
      </c>
      <c r="M538">
        <v>0</v>
      </c>
      <c r="N538">
        <v>0</v>
      </c>
      <c r="O538">
        <v>0</v>
      </c>
      <c r="P538">
        <v>6</v>
      </c>
      <c r="Q538">
        <v>0</v>
      </c>
      <c r="R538">
        <v>1</v>
      </c>
      <c r="S538">
        <v>39</v>
      </c>
      <c r="T538">
        <v>2.6</v>
      </c>
      <c r="U538">
        <v>119</v>
      </c>
      <c r="V538" s="19" t="s">
        <v>2696</v>
      </c>
      <c r="W538" s="19" t="s">
        <v>479</v>
      </c>
      <c r="X538">
        <v>0</v>
      </c>
      <c r="Y538">
        <v>0</v>
      </c>
      <c r="AA538">
        <v>62</v>
      </c>
      <c r="AB538">
        <v>21</v>
      </c>
      <c r="AC538">
        <v>11</v>
      </c>
      <c r="AD538">
        <v>40</v>
      </c>
      <c r="AE538" s="19" t="s">
        <v>60</v>
      </c>
    </row>
    <row r="539" spans="1:31" x14ac:dyDescent="0.2">
      <c r="A539">
        <v>514</v>
      </c>
      <c r="B539" s="19" t="s">
        <v>1098</v>
      </c>
      <c r="C539">
        <v>19</v>
      </c>
      <c r="D539" s="19" t="s">
        <v>324</v>
      </c>
      <c r="E539" s="19" t="s">
        <v>348</v>
      </c>
      <c r="F539">
        <v>42</v>
      </c>
      <c r="G539">
        <v>1</v>
      </c>
      <c r="H539">
        <v>7</v>
      </c>
      <c r="I539">
        <v>8</v>
      </c>
      <c r="J539">
        <v>-4</v>
      </c>
      <c r="K539">
        <v>14</v>
      </c>
      <c r="L539">
        <v>1</v>
      </c>
      <c r="M539">
        <v>0</v>
      </c>
      <c r="N539">
        <v>0</v>
      </c>
      <c r="O539">
        <v>0</v>
      </c>
      <c r="P539">
        <v>7</v>
      </c>
      <c r="Q539">
        <v>0</v>
      </c>
      <c r="R539">
        <v>0</v>
      </c>
      <c r="S539">
        <v>38</v>
      </c>
      <c r="T539">
        <v>2.6</v>
      </c>
      <c r="U539">
        <v>94</v>
      </c>
      <c r="V539" s="19" t="s">
        <v>2697</v>
      </c>
      <c r="W539" s="19" t="s">
        <v>1783</v>
      </c>
      <c r="X539">
        <v>0</v>
      </c>
      <c r="Y539">
        <v>0</v>
      </c>
      <c r="AA539">
        <v>37</v>
      </c>
      <c r="AB539">
        <v>38</v>
      </c>
      <c r="AC539">
        <v>10</v>
      </c>
      <c r="AD539">
        <v>44</v>
      </c>
      <c r="AE539" s="19" t="s">
        <v>60</v>
      </c>
    </row>
    <row r="540" spans="1:31" x14ac:dyDescent="0.2">
      <c r="A540">
        <v>515</v>
      </c>
      <c r="B540" s="19" t="s">
        <v>860</v>
      </c>
      <c r="C540">
        <v>36</v>
      </c>
      <c r="D540" s="19" t="s">
        <v>416</v>
      </c>
      <c r="E540" s="19" t="s">
        <v>322</v>
      </c>
      <c r="F540">
        <v>39</v>
      </c>
      <c r="G540">
        <v>2</v>
      </c>
      <c r="H540">
        <v>6</v>
      </c>
      <c r="I540">
        <v>8</v>
      </c>
      <c r="J540">
        <v>0</v>
      </c>
      <c r="K540">
        <v>6</v>
      </c>
      <c r="L540">
        <v>1</v>
      </c>
      <c r="M540">
        <v>0</v>
      </c>
      <c r="N540">
        <v>1</v>
      </c>
      <c r="O540">
        <v>0</v>
      </c>
      <c r="P540">
        <v>6</v>
      </c>
      <c r="Q540">
        <v>0</v>
      </c>
      <c r="R540">
        <v>0</v>
      </c>
      <c r="S540">
        <v>36</v>
      </c>
      <c r="T540">
        <v>5.6</v>
      </c>
      <c r="U540">
        <v>76</v>
      </c>
      <c r="V540" s="19" t="s">
        <v>2923</v>
      </c>
      <c r="W540" s="19" t="s">
        <v>1626</v>
      </c>
      <c r="X540">
        <v>199</v>
      </c>
      <c r="Y540">
        <v>140</v>
      </c>
      <c r="Z540">
        <v>58.7</v>
      </c>
      <c r="AA540">
        <v>22</v>
      </c>
      <c r="AB540">
        <v>30</v>
      </c>
      <c r="AC540">
        <v>4</v>
      </c>
      <c r="AD540">
        <v>21</v>
      </c>
      <c r="AE540" s="19" t="s">
        <v>60</v>
      </c>
    </row>
    <row r="541" spans="1:31" x14ac:dyDescent="0.2">
      <c r="A541">
        <v>516</v>
      </c>
      <c r="B541" s="19" t="s">
        <v>863</v>
      </c>
      <c r="C541">
        <v>29</v>
      </c>
      <c r="D541" s="19" t="s">
        <v>419</v>
      </c>
      <c r="E541" s="19" t="s">
        <v>339</v>
      </c>
      <c r="F541">
        <v>42</v>
      </c>
      <c r="G541">
        <v>6</v>
      </c>
      <c r="H541">
        <v>2</v>
      </c>
      <c r="I541">
        <v>8</v>
      </c>
      <c r="J541">
        <v>-4</v>
      </c>
      <c r="K541">
        <v>14</v>
      </c>
      <c r="L541">
        <v>6</v>
      </c>
      <c r="M541">
        <v>0</v>
      </c>
      <c r="N541">
        <v>0</v>
      </c>
      <c r="O541">
        <v>1</v>
      </c>
      <c r="P541">
        <v>2</v>
      </c>
      <c r="Q541">
        <v>0</v>
      </c>
      <c r="R541">
        <v>0</v>
      </c>
      <c r="S541">
        <v>70</v>
      </c>
      <c r="T541">
        <v>8.6</v>
      </c>
      <c r="U541">
        <v>148</v>
      </c>
      <c r="V541" s="19" t="s">
        <v>2698</v>
      </c>
      <c r="W541" s="19" t="s">
        <v>1978</v>
      </c>
      <c r="X541">
        <v>8</v>
      </c>
      <c r="Y541">
        <v>14</v>
      </c>
      <c r="Z541">
        <v>36.4</v>
      </c>
      <c r="AA541">
        <v>9</v>
      </c>
      <c r="AB541">
        <v>45</v>
      </c>
      <c r="AC541">
        <v>11</v>
      </c>
      <c r="AD541">
        <v>47</v>
      </c>
      <c r="AE541" s="19" t="s">
        <v>60</v>
      </c>
    </row>
    <row r="542" spans="1:31" x14ac:dyDescent="0.2">
      <c r="A542">
        <v>517</v>
      </c>
      <c r="B542" s="19" t="s">
        <v>908</v>
      </c>
      <c r="C542">
        <v>31</v>
      </c>
      <c r="D542" s="19" t="s">
        <v>356</v>
      </c>
      <c r="E542" s="19" t="s">
        <v>322</v>
      </c>
      <c r="F542">
        <v>40</v>
      </c>
      <c r="G542">
        <v>2</v>
      </c>
      <c r="H542">
        <v>6</v>
      </c>
      <c r="I542">
        <v>8</v>
      </c>
      <c r="J542">
        <v>-6</v>
      </c>
      <c r="K542">
        <v>6</v>
      </c>
      <c r="L542">
        <v>2</v>
      </c>
      <c r="M542">
        <v>0</v>
      </c>
      <c r="N542">
        <v>0</v>
      </c>
      <c r="O542">
        <v>1</v>
      </c>
      <c r="P542">
        <v>4</v>
      </c>
      <c r="Q542">
        <v>2</v>
      </c>
      <c r="R542">
        <v>0</v>
      </c>
      <c r="S542">
        <v>37</v>
      </c>
      <c r="T542">
        <v>5.4</v>
      </c>
      <c r="U542">
        <v>83</v>
      </c>
      <c r="V542" s="19" t="s">
        <v>2699</v>
      </c>
      <c r="W542" s="19" t="s">
        <v>1418</v>
      </c>
      <c r="X542">
        <v>18</v>
      </c>
      <c r="Y542">
        <v>17</v>
      </c>
      <c r="Z542">
        <v>51.4</v>
      </c>
      <c r="AA542">
        <v>15</v>
      </c>
      <c r="AB542">
        <v>25</v>
      </c>
      <c r="AC542">
        <v>13</v>
      </c>
      <c r="AD542">
        <v>33</v>
      </c>
      <c r="AE542" s="19" t="s">
        <v>60</v>
      </c>
    </row>
    <row r="543" spans="1:31" x14ac:dyDescent="0.2">
      <c r="A543">
        <v>518</v>
      </c>
      <c r="B543" s="19" t="s">
        <v>911</v>
      </c>
      <c r="C543">
        <v>33</v>
      </c>
      <c r="D543" s="19" t="s">
        <v>327</v>
      </c>
      <c r="E543" s="19" t="s">
        <v>322</v>
      </c>
      <c r="F543">
        <v>38</v>
      </c>
      <c r="G543">
        <v>1</v>
      </c>
      <c r="H543">
        <v>7</v>
      </c>
      <c r="I543">
        <v>8</v>
      </c>
      <c r="J543">
        <v>-5</v>
      </c>
      <c r="K543">
        <v>18</v>
      </c>
      <c r="L543">
        <v>1</v>
      </c>
      <c r="M543">
        <v>0</v>
      </c>
      <c r="N543">
        <v>0</v>
      </c>
      <c r="O543">
        <v>0</v>
      </c>
      <c r="P543">
        <v>6</v>
      </c>
      <c r="Q543">
        <v>0</v>
      </c>
      <c r="R543">
        <v>1</v>
      </c>
      <c r="S543">
        <v>24</v>
      </c>
      <c r="T543">
        <v>4.2</v>
      </c>
      <c r="U543">
        <v>51</v>
      </c>
      <c r="V543" s="19" t="s">
        <v>2700</v>
      </c>
      <c r="W543" s="19" t="s">
        <v>1681</v>
      </c>
      <c r="X543">
        <v>7</v>
      </c>
      <c r="Y543">
        <v>12</v>
      </c>
      <c r="Z543">
        <v>36.799999999999997</v>
      </c>
      <c r="AA543">
        <v>12</v>
      </c>
      <c r="AB543">
        <v>10</v>
      </c>
      <c r="AC543">
        <v>5</v>
      </c>
      <c r="AD543">
        <v>12</v>
      </c>
      <c r="AE543" s="19" t="s">
        <v>60</v>
      </c>
    </row>
    <row r="544" spans="1:31" x14ac:dyDescent="0.2">
      <c r="A544">
        <v>519</v>
      </c>
      <c r="B544" s="19" t="s">
        <v>916</v>
      </c>
      <c r="C544">
        <v>25</v>
      </c>
      <c r="D544" s="19" t="s">
        <v>396</v>
      </c>
      <c r="E544" s="19" t="s">
        <v>322</v>
      </c>
      <c r="F544">
        <v>31</v>
      </c>
      <c r="G544">
        <v>2</v>
      </c>
      <c r="H544">
        <v>6</v>
      </c>
      <c r="I544">
        <v>8</v>
      </c>
      <c r="J544">
        <v>2</v>
      </c>
      <c r="K544">
        <v>8</v>
      </c>
      <c r="L544">
        <v>2</v>
      </c>
      <c r="M544">
        <v>0</v>
      </c>
      <c r="N544">
        <v>0</v>
      </c>
      <c r="O544">
        <v>0</v>
      </c>
      <c r="P544">
        <v>6</v>
      </c>
      <c r="Q544">
        <v>0</v>
      </c>
      <c r="R544">
        <v>0</v>
      </c>
      <c r="S544">
        <v>35</v>
      </c>
      <c r="T544">
        <v>5.7</v>
      </c>
      <c r="U544">
        <v>62</v>
      </c>
      <c r="V544" s="19" t="s">
        <v>2290</v>
      </c>
      <c r="W544" s="19" t="s">
        <v>1973</v>
      </c>
      <c r="X544">
        <v>96</v>
      </c>
      <c r="Y544">
        <v>103</v>
      </c>
      <c r="Z544">
        <v>48.2</v>
      </c>
      <c r="AA544">
        <v>13</v>
      </c>
      <c r="AB544">
        <v>51</v>
      </c>
      <c r="AC544">
        <v>2</v>
      </c>
      <c r="AD544">
        <v>21</v>
      </c>
      <c r="AE544" s="19" t="s">
        <v>60</v>
      </c>
    </row>
    <row r="545" spans="1:31" x14ac:dyDescent="0.2">
      <c r="A545">
        <v>520</v>
      </c>
      <c r="B545" s="19" t="s">
        <v>920</v>
      </c>
      <c r="C545">
        <v>23</v>
      </c>
      <c r="D545" s="19" t="s">
        <v>365</v>
      </c>
      <c r="E545" s="19" t="s">
        <v>322</v>
      </c>
      <c r="F545">
        <v>51</v>
      </c>
      <c r="G545">
        <v>1</v>
      </c>
      <c r="H545">
        <v>7</v>
      </c>
      <c r="I545">
        <v>8</v>
      </c>
      <c r="J545">
        <v>1</v>
      </c>
      <c r="K545">
        <v>12</v>
      </c>
      <c r="L545">
        <v>1</v>
      </c>
      <c r="M545">
        <v>0</v>
      </c>
      <c r="N545">
        <v>0</v>
      </c>
      <c r="O545">
        <v>0</v>
      </c>
      <c r="P545">
        <v>7</v>
      </c>
      <c r="Q545">
        <v>0</v>
      </c>
      <c r="R545">
        <v>0</v>
      </c>
      <c r="S545">
        <v>37</v>
      </c>
      <c r="T545">
        <v>2.7</v>
      </c>
      <c r="U545">
        <v>71</v>
      </c>
      <c r="V545" s="19" t="s">
        <v>2701</v>
      </c>
      <c r="W545" s="19" t="s">
        <v>1601</v>
      </c>
      <c r="X545">
        <v>77</v>
      </c>
      <c r="Y545">
        <v>120</v>
      </c>
      <c r="Z545">
        <v>39.1</v>
      </c>
      <c r="AA545">
        <v>14</v>
      </c>
      <c r="AB545">
        <v>30</v>
      </c>
      <c r="AC545">
        <v>5</v>
      </c>
      <c r="AD545">
        <v>21</v>
      </c>
      <c r="AE545" s="19" t="s">
        <v>60</v>
      </c>
    </row>
    <row r="546" spans="1:31" x14ac:dyDescent="0.2">
      <c r="A546">
        <v>521</v>
      </c>
      <c r="B546" s="19" t="s">
        <v>992</v>
      </c>
      <c r="C546">
        <v>28</v>
      </c>
      <c r="D546" s="19" t="s">
        <v>343</v>
      </c>
      <c r="E546" s="19" t="s">
        <v>348</v>
      </c>
      <c r="F546">
        <v>38</v>
      </c>
      <c r="G546">
        <v>0</v>
      </c>
      <c r="H546">
        <v>8</v>
      </c>
      <c r="I546">
        <v>8</v>
      </c>
      <c r="J546">
        <v>4</v>
      </c>
      <c r="K546">
        <v>46</v>
      </c>
      <c r="L546">
        <v>0</v>
      </c>
      <c r="M546">
        <v>0</v>
      </c>
      <c r="N546">
        <v>0</v>
      </c>
      <c r="O546">
        <v>0</v>
      </c>
      <c r="P546">
        <v>8</v>
      </c>
      <c r="Q546">
        <v>0</v>
      </c>
      <c r="R546">
        <v>0</v>
      </c>
      <c r="S546">
        <v>37</v>
      </c>
      <c r="T546">
        <v>0</v>
      </c>
      <c r="U546">
        <v>102</v>
      </c>
      <c r="V546" s="19" t="s">
        <v>2702</v>
      </c>
      <c r="W546" s="19" t="s">
        <v>522</v>
      </c>
      <c r="X546">
        <v>0</v>
      </c>
      <c r="Y546">
        <v>0</v>
      </c>
      <c r="AA546">
        <v>61</v>
      </c>
      <c r="AB546">
        <v>144</v>
      </c>
      <c r="AC546">
        <v>7</v>
      </c>
      <c r="AD546">
        <v>27</v>
      </c>
      <c r="AE546" s="19" t="s">
        <v>60</v>
      </c>
    </row>
    <row r="547" spans="1:31" x14ac:dyDescent="0.2">
      <c r="A547">
        <v>522</v>
      </c>
      <c r="B547" s="19" t="s">
        <v>925</v>
      </c>
      <c r="C547">
        <v>27</v>
      </c>
      <c r="D547" s="19" t="s">
        <v>428</v>
      </c>
      <c r="E547" s="19" t="s">
        <v>339</v>
      </c>
      <c r="F547">
        <v>51</v>
      </c>
      <c r="G547">
        <v>4</v>
      </c>
      <c r="H547">
        <v>4</v>
      </c>
      <c r="I547">
        <v>8</v>
      </c>
      <c r="J547">
        <v>-6</v>
      </c>
      <c r="K547">
        <v>20</v>
      </c>
      <c r="L547">
        <v>3</v>
      </c>
      <c r="M547">
        <v>0</v>
      </c>
      <c r="N547">
        <v>1</v>
      </c>
      <c r="O547">
        <v>0</v>
      </c>
      <c r="P547">
        <v>4</v>
      </c>
      <c r="Q547">
        <v>0</v>
      </c>
      <c r="R547">
        <v>0</v>
      </c>
      <c r="S547">
        <v>45</v>
      </c>
      <c r="T547">
        <v>8.9</v>
      </c>
      <c r="U547">
        <v>79</v>
      </c>
      <c r="V547" s="19" t="s">
        <v>2703</v>
      </c>
      <c r="W547" s="19" t="s">
        <v>1891</v>
      </c>
      <c r="X547">
        <v>4</v>
      </c>
      <c r="Y547">
        <v>8</v>
      </c>
      <c r="Z547">
        <v>33.299999999999997</v>
      </c>
      <c r="AA547">
        <v>53</v>
      </c>
      <c r="AB547">
        <v>181</v>
      </c>
      <c r="AC547">
        <v>7</v>
      </c>
      <c r="AD547">
        <v>22</v>
      </c>
      <c r="AE547" s="19" t="s">
        <v>60</v>
      </c>
    </row>
    <row r="548" spans="1:31" x14ac:dyDescent="0.2">
      <c r="A548">
        <v>523</v>
      </c>
      <c r="B548" s="19" t="s">
        <v>880</v>
      </c>
      <c r="C548">
        <v>36</v>
      </c>
      <c r="D548" s="19" t="s">
        <v>351</v>
      </c>
      <c r="E548" s="19" t="s">
        <v>348</v>
      </c>
      <c r="F548">
        <v>18</v>
      </c>
      <c r="G548">
        <v>4</v>
      </c>
      <c r="H548">
        <v>4</v>
      </c>
      <c r="I548">
        <v>8</v>
      </c>
      <c r="J548">
        <v>1</v>
      </c>
      <c r="K548">
        <v>0</v>
      </c>
      <c r="L548">
        <v>4</v>
      </c>
      <c r="M548">
        <v>0</v>
      </c>
      <c r="N548">
        <v>0</v>
      </c>
      <c r="O548">
        <v>0</v>
      </c>
      <c r="P548">
        <v>4</v>
      </c>
      <c r="Q548">
        <v>0</v>
      </c>
      <c r="R548">
        <v>0</v>
      </c>
      <c r="S548">
        <v>17</v>
      </c>
      <c r="T548">
        <v>23.5</v>
      </c>
      <c r="U548">
        <v>48</v>
      </c>
      <c r="V548" s="19" t="s">
        <v>1656</v>
      </c>
      <c r="W548" s="19" t="s">
        <v>340</v>
      </c>
      <c r="X548">
        <v>0</v>
      </c>
      <c r="Y548">
        <v>0</v>
      </c>
      <c r="AA548">
        <v>29</v>
      </c>
      <c r="AB548">
        <v>9</v>
      </c>
      <c r="AC548">
        <v>7</v>
      </c>
      <c r="AD548">
        <v>19</v>
      </c>
      <c r="AE548" s="19" t="s">
        <v>60</v>
      </c>
    </row>
    <row r="549" spans="1:31" x14ac:dyDescent="0.2">
      <c r="A549">
        <v>524</v>
      </c>
      <c r="B549" s="19" t="s">
        <v>999</v>
      </c>
      <c r="C549">
        <v>29</v>
      </c>
      <c r="D549" s="19" t="s">
        <v>372</v>
      </c>
      <c r="E549" s="19" t="s">
        <v>348</v>
      </c>
      <c r="F549">
        <v>52</v>
      </c>
      <c r="G549">
        <v>1</v>
      </c>
      <c r="H549">
        <v>7</v>
      </c>
      <c r="I549">
        <v>8</v>
      </c>
      <c r="J549">
        <v>5</v>
      </c>
      <c r="K549">
        <v>37</v>
      </c>
      <c r="L549">
        <v>1</v>
      </c>
      <c r="M549">
        <v>0</v>
      </c>
      <c r="N549">
        <v>0</v>
      </c>
      <c r="O549">
        <v>0</v>
      </c>
      <c r="P549">
        <v>7</v>
      </c>
      <c r="Q549">
        <v>0</v>
      </c>
      <c r="R549">
        <v>0</v>
      </c>
      <c r="S549">
        <v>52</v>
      </c>
      <c r="T549">
        <v>1.9</v>
      </c>
      <c r="U549">
        <v>128</v>
      </c>
      <c r="V549" s="19" t="s">
        <v>2704</v>
      </c>
      <c r="W549" s="19" t="s">
        <v>1706</v>
      </c>
      <c r="X549">
        <v>0</v>
      </c>
      <c r="Y549">
        <v>0</v>
      </c>
      <c r="AA549">
        <v>57</v>
      </c>
      <c r="AB549">
        <v>85</v>
      </c>
      <c r="AC549">
        <v>15</v>
      </c>
      <c r="AD549">
        <v>54</v>
      </c>
      <c r="AE549" s="19" t="s">
        <v>60</v>
      </c>
    </row>
    <row r="550" spans="1:31" x14ac:dyDescent="0.2">
      <c r="A550">
        <v>525</v>
      </c>
      <c r="B550" s="19" t="s">
        <v>1000</v>
      </c>
      <c r="C550">
        <v>24</v>
      </c>
      <c r="D550" s="19" t="s">
        <v>336</v>
      </c>
      <c r="E550" s="19" t="s">
        <v>348</v>
      </c>
      <c r="F550">
        <v>38</v>
      </c>
      <c r="G550">
        <v>2</v>
      </c>
      <c r="H550">
        <v>6</v>
      </c>
      <c r="I550">
        <v>8</v>
      </c>
      <c r="J550">
        <v>-1</v>
      </c>
      <c r="K550">
        <v>18</v>
      </c>
      <c r="L550">
        <v>2</v>
      </c>
      <c r="M550">
        <v>0</v>
      </c>
      <c r="N550">
        <v>0</v>
      </c>
      <c r="O550">
        <v>1</v>
      </c>
      <c r="P550">
        <v>5</v>
      </c>
      <c r="Q550">
        <v>0</v>
      </c>
      <c r="R550">
        <v>1</v>
      </c>
      <c r="S550">
        <v>36</v>
      </c>
      <c r="T550">
        <v>5.6</v>
      </c>
      <c r="U550">
        <v>104</v>
      </c>
      <c r="V550" s="19" t="s">
        <v>2705</v>
      </c>
      <c r="W550" s="19" t="s">
        <v>1741</v>
      </c>
      <c r="X550">
        <v>0</v>
      </c>
      <c r="Y550">
        <v>0</v>
      </c>
      <c r="AA550">
        <v>60</v>
      </c>
      <c r="AB550">
        <v>15</v>
      </c>
      <c r="AC550">
        <v>13</v>
      </c>
      <c r="AD550">
        <v>29</v>
      </c>
      <c r="AE550" s="19" t="s">
        <v>60</v>
      </c>
    </row>
    <row r="551" spans="1:31" x14ac:dyDescent="0.2">
      <c r="A551">
        <v>526</v>
      </c>
      <c r="B551" s="19" t="s">
        <v>828</v>
      </c>
      <c r="C551">
        <v>35</v>
      </c>
      <c r="D551" s="19" t="s">
        <v>447</v>
      </c>
      <c r="E551" s="19" t="s">
        <v>348</v>
      </c>
      <c r="F551">
        <v>53</v>
      </c>
      <c r="G551">
        <v>1</v>
      </c>
      <c r="H551">
        <v>7</v>
      </c>
      <c r="I551">
        <v>8</v>
      </c>
      <c r="J551">
        <v>-22</v>
      </c>
      <c r="K551">
        <v>38</v>
      </c>
      <c r="L551">
        <v>1</v>
      </c>
      <c r="M551">
        <v>0</v>
      </c>
      <c r="N551">
        <v>0</v>
      </c>
      <c r="O551">
        <v>0</v>
      </c>
      <c r="P551">
        <v>7</v>
      </c>
      <c r="Q551">
        <v>0</v>
      </c>
      <c r="R551">
        <v>0</v>
      </c>
      <c r="S551">
        <v>65</v>
      </c>
      <c r="T551">
        <v>1.5</v>
      </c>
      <c r="U551">
        <v>151</v>
      </c>
      <c r="V551" s="19" t="s">
        <v>2706</v>
      </c>
      <c r="W551" s="19" t="s">
        <v>2072</v>
      </c>
      <c r="X551">
        <v>0</v>
      </c>
      <c r="Y551">
        <v>0</v>
      </c>
      <c r="AA551">
        <v>88</v>
      </c>
      <c r="AB551">
        <v>62</v>
      </c>
      <c r="AC551">
        <v>20</v>
      </c>
      <c r="AD551">
        <v>55</v>
      </c>
      <c r="AE551" s="19" t="s">
        <v>60</v>
      </c>
    </row>
    <row r="552" spans="1:31" x14ac:dyDescent="0.2">
      <c r="A552">
        <v>527</v>
      </c>
      <c r="B552" s="19" t="s">
        <v>882</v>
      </c>
      <c r="C552">
        <v>36</v>
      </c>
      <c r="D552" s="19" t="s">
        <v>345</v>
      </c>
      <c r="E552" s="19" t="s">
        <v>334</v>
      </c>
      <c r="F552">
        <v>32</v>
      </c>
      <c r="G552">
        <v>0</v>
      </c>
      <c r="H552">
        <v>8</v>
      </c>
      <c r="I552">
        <v>8</v>
      </c>
      <c r="J552">
        <v>-4</v>
      </c>
      <c r="K552">
        <v>4</v>
      </c>
      <c r="L552">
        <v>0</v>
      </c>
      <c r="M552">
        <v>0</v>
      </c>
      <c r="N552">
        <v>0</v>
      </c>
      <c r="O552">
        <v>0</v>
      </c>
      <c r="P552">
        <v>3</v>
      </c>
      <c r="Q552">
        <v>5</v>
      </c>
      <c r="R552">
        <v>0</v>
      </c>
      <c r="S552">
        <v>41</v>
      </c>
      <c r="T552">
        <v>0</v>
      </c>
      <c r="U552">
        <v>80</v>
      </c>
      <c r="V552" s="19" t="s">
        <v>2181</v>
      </c>
      <c r="W552" s="19" t="s">
        <v>1785</v>
      </c>
      <c r="X552">
        <v>7</v>
      </c>
      <c r="Y552">
        <v>11</v>
      </c>
      <c r="Z552">
        <v>38.9</v>
      </c>
      <c r="AA552">
        <v>14</v>
      </c>
      <c r="AB552">
        <v>19</v>
      </c>
      <c r="AC552">
        <v>10</v>
      </c>
      <c r="AD552">
        <v>15</v>
      </c>
      <c r="AE552" s="19" t="s">
        <v>60</v>
      </c>
    </row>
    <row r="553" spans="1:31" x14ac:dyDescent="0.2">
      <c r="A553">
        <v>528</v>
      </c>
      <c r="B553" s="19" t="s">
        <v>931</v>
      </c>
      <c r="C553">
        <v>33</v>
      </c>
      <c r="D553" s="19" t="s">
        <v>531</v>
      </c>
      <c r="E553" s="19" t="s">
        <v>348</v>
      </c>
      <c r="F553">
        <v>50</v>
      </c>
      <c r="G553">
        <v>3</v>
      </c>
      <c r="H553">
        <v>5</v>
      </c>
      <c r="I553">
        <v>8</v>
      </c>
      <c r="J553">
        <v>8</v>
      </c>
      <c r="K553">
        <v>14</v>
      </c>
      <c r="L553">
        <v>3</v>
      </c>
      <c r="M553">
        <v>0</v>
      </c>
      <c r="N553">
        <v>0</v>
      </c>
      <c r="O553">
        <v>1</v>
      </c>
      <c r="P553">
        <v>5</v>
      </c>
      <c r="Q553">
        <v>0</v>
      </c>
      <c r="R553">
        <v>0</v>
      </c>
      <c r="S553">
        <v>49</v>
      </c>
      <c r="T553">
        <v>6.1</v>
      </c>
      <c r="U553">
        <v>102</v>
      </c>
      <c r="V553" s="19" t="s">
        <v>2707</v>
      </c>
      <c r="W553" s="19" t="s">
        <v>1721</v>
      </c>
      <c r="X553">
        <v>0</v>
      </c>
      <c r="Y553">
        <v>0</v>
      </c>
      <c r="AA553">
        <v>75</v>
      </c>
      <c r="AB553">
        <v>66</v>
      </c>
      <c r="AC553">
        <v>16</v>
      </c>
      <c r="AD553">
        <v>48</v>
      </c>
      <c r="AE553" s="19" t="s">
        <v>60</v>
      </c>
    </row>
    <row r="554" spans="1:31" x14ac:dyDescent="0.2">
      <c r="A554">
        <v>529</v>
      </c>
      <c r="B554" s="19" t="s">
        <v>1002</v>
      </c>
      <c r="C554">
        <v>27</v>
      </c>
      <c r="D554" s="19" t="s">
        <v>460</v>
      </c>
      <c r="E554" s="19" t="s">
        <v>348</v>
      </c>
      <c r="F554">
        <v>49</v>
      </c>
      <c r="G554">
        <v>3</v>
      </c>
      <c r="H554">
        <v>5</v>
      </c>
      <c r="I554">
        <v>8</v>
      </c>
      <c r="J554">
        <v>-12</v>
      </c>
      <c r="K554">
        <v>14</v>
      </c>
      <c r="L554">
        <v>3</v>
      </c>
      <c r="M554">
        <v>0</v>
      </c>
      <c r="N554">
        <v>0</v>
      </c>
      <c r="O554">
        <v>0</v>
      </c>
      <c r="P554">
        <v>5</v>
      </c>
      <c r="Q554">
        <v>0</v>
      </c>
      <c r="R554">
        <v>0</v>
      </c>
      <c r="S554">
        <v>50</v>
      </c>
      <c r="T554">
        <v>6</v>
      </c>
      <c r="U554">
        <v>125</v>
      </c>
      <c r="V554" s="19" t="s">
        <v>2018</v>
      </c>
      <c r="W554" s="19" t="s">
        <v>2069</v>
      </c>
      <c r="X554">
        <v>0</v>
      </c>
      <c r="Y554">
        <v>0</v>
      </c>
      <c r="AA554">
        <v>52</v>
      </c>
      <c r="AB554">
        <v>23</v>
      </c>
      <c r="AC554">
        <v>11</v>
      </c>
      <c r="AD554">
        <v>55</v>
      </c>
      <c r="AE554" s="19" t="s">
        <v>60</v>
      </c>
    </row>
    <row r="555" spans="1:31" x14ac:dyDescent="0.2">
      <c r="A555">
        <v>530</v>
      </c>
      <c r="B555" s="19" t="s">
        <v>1239</v>
      </c>
      <c r="C555">
        <v>20</v>
      </c>
      <c r="D555" s="19" t="s">
        <v>360</v>
      </c>
      <c r="E555" s="19" t="s">
        <v>334</v>
      </c>
      <c r="F555">
        <v>21</v>
      </c>
      <c r="G555">
        <v>3</v>
      </c>
      <c r="H555">
        <v>5</v>
      </c>
      <c r="I555">
        <v>8</v>
      </c>
      <c r="J555">
        <v>-1</v>
      </c>
      <c r="K555">
        <v>4</v>
      </c>
      <c r="L555">
        <v>2</v>
      </c>
      <c r="M555">
        <v>1</v>
      </c>
      <c r="N555">
        <v>0</v>
      </c>
      <c r="O555">
        <v>0</v>
      </c>
      <c r="P555">
        <v>4</v>
      </c>
      <c r="Q555">
        <v>1</v>
      </c>
      <c r="R555">
        <v>0</v>
      </c>
      <c r="S555">
        <v>23</v>
      </c>
      <c r="T555">
        <v>13</v>
      </c>
      <c r="U555">
        <v>50</v>
      </c>
      <c r="V555" s="19" t="s">
        <v>2924</v>
      </c>
      <c r="W555" s="19" t="s">
        <v>1190</v>
      </c>
      <c r="X555">
        <v>3</v>
      </c>
      <c r="Y555">
        <v>1</v>
      </c>
      <c r="Z555">
        <v>75</v>
      </c>
      <c r="AA555">
        <v>14</v>
      </c>
      <c r="AB555">
        <v>18</v>
      </c>
      <c r="AC555">
        <v>5</v>
      </c>
      <c r="AD555">
        <v>15</v>
      </c>
      <c r="AE555" s="19" t="s">
        <v>60</v>
      </c>
    </row>
    <row r="556" spans="1:31" x14ac:dyDescent="0.2">
      <c r="A556">
        <v>531</v>
      </c>
      <c r="B556" s="19" t="s">
        <v>886</v>
      </c>
      <c r="C556">
        <v>38</v>
      </c>
      <c r="D556" s="19" t="s">
        <v>372</v>
      </c>
      <c r="E556" s="19" t="s">
        <v>348</v>
      </c>
      <c r="F556">
        <v>50</v>
      </c>
      <c r="G556">
        <v>0</v>
      </c>
      <c r="H556">
        <v>8</v>
      </c>
      <c r="I556">
        <v>8</v>
      </c>
      <c r="J556">
        <v>-6</v>
      </c>
      <c r="K556">
        <v>18</v>
      </c>
      <c r="L556">
        <v>0</v>
      </c>
      <c r="M556">
        <v>0</v>
      </c>
      <c r="N556">
        <v>0</v>
      </c>
      <c r="O556">
        <v>0</v>
      </c>
      <c r="P556">
        <v>6</v>
      </c>
      <c r="Q556">
        <v>2</v>
      </c>
      <c r="R556">
        <v>0</v>
      </c>
      <c r="S556">
        <v>39</v>
      </c>
      <c r="T556">
        <v>0</v>
      </c>
      <c r="U556">
        <v>114</v>
      </c>
      <c r="V556" s="19" t="s">
        <v>2708</v>
      </c>
      <c r="W556" s="19" t="s">
        <v>1238</v>
      </c>
      <c r="X556">
        <v>0</v>
      </c>
      <c r="Y556">
        <v>0</v>
      </c>
      <c r="AA556">
        <v>52</v>
      </c>
      <c r="AB556">
        <v>46</v>
      </c>
      <c r="AC556">
        <v>1</v>
      </c>
      <c r="AD556">
        <v>41</v>
      </c>
      <c r="AE556" s="19" t="s">
        <v>60</v>
      </c>
    </row>
    <row r="557" spans="1:31" x14ac:dyDescent="0.2">
      <c r="A557">
        <v>532</v>
      </c>
      <c r="B557" s="19" t="s">
        <v>937</v>
      </c>
      <c r="C557">
        <v>30</v>
      </c>
      <c r="D557" s="19" t="s">
        <v>345</v>
      </c>
      <c r="E557" s="19" t="s">
        <v>348</v>
      </c>
      <c r="F557">
        <v>40</v>
      </c>
      <c r="G557">
        <v>2</v>
      </c>
      <c r="H557">
        <v>6</v>
      </c>
      <c r="I557">
        <v>8</v>
      </c>
      <c r="J557">
        <v>-1</v>
      </c>
      <c r="K557">
        <v>19</v>
      </c>
      <c r="L557">
        <v>1</v>
      </c>
      <c r="M557">
        <v>1</v>
      </c>
      <c r="N557">
        <v>0</v>
      </c>
      <c r="O557">
        <v>1</v>
      </c>
      <c r="P557">
        <v>5</v>
      </c>
      <c r="Q557">
        <v>1</v>
      </c>
      <c r="R557">
        <v>0</v>
      </c>
      <c r="S557">
        <v>76</v>
      </c>
      <c r="T557">
        <v>2.6</v>
      </c>
      <c r="U557">
        <v>174</v>
      </c>
      <c r="V557" s="19" t="s">
        <v>1969</v>
      </c>
      <c r="W557" s="19" t="s">
        <v>1716</v>
      </c>
      <c r="X557">
        <v>0</v>
      </c>
      <c r="Y557">
        <v>0</v>
      </c>
      <c r="AA557">
        <v>64</v>
      </c>
      <c r="AB557">
        <v>84</v>
      </c>
      <c r="AC557">
        <v>11</v>
      </c>
      <c r="AD557">
        <v>47</v>
      </c>
      <c r="AE557" s="19" t="s">
        <v>60</v>
      </c>
    </row>
    <row r="558" spans="1:31" x14ac:dyDescent="0.2">
      <c r="A558">
        <v>533</v>
      </c>
      <c r="B558" s="19" t="s">
        <v>798</v>
      </c>
      <c r="C558">
        <v>21</v>
      </c>
      <c r="D558" s="19" t="s">
        <v>329</v>
      </c>
      <c r="E558" s="19" t="s">
        <v>348</v>
      </c>
      <c r="F558">
        <v>28</v>
      </c>
      <c r="G558">
        <v>1</v>
      </c>
      <c r="H558">
        <v>7</v>
      </c>
      <c r="I558">
        <v>8</v>
      </c>
      <c r="J558">
        <v>0</v>
      </c>
      <c r="K558">
        <v>28</v>
      </c>
      <c r="L558">
        <v>1</v>
      </c>
      <c r="M558">
        <v>0</v>
      </c>
      <c r="N558">
        <v>0</v>
      </c>
      <c r="O558">
        <v>0</v>
      </c>
      <c r="P558">
        <v>7</v>
      </c>
      <c r="Q558">
        <v>0</v>
      </c>
      <c r="R558">
        <v>0</v>
      </c>
      <c r="S558">
        <v>39</v>
      </c>
      <c r="T558">
        <v>2.6</v>
      </c>
      <c r="U558">
        <v>114</v>
      </c>
      <c r="V558" s="19" t="s">
        <v>799</v>
      </c>
      <c r="W558" s="19" t="s">
        <v>738</v>
      </c>
      <c r="X558">
        <v>0</v>
      </c>
      <c r="Y558">
        <v>0</v>
      </c>
      <c r="AA558">
        <v>29</v>
      </c>
      <c r="AB558">
        <v>26</v>
      </c>
      <c r="AC558">
        <v>4</v>
      </c>
      <c r="AD558">
        <v>37</v>
      </c>
      <c r="AE558" s="19" t="s">
        <v>60</v>
      </c>
    </row>
    <row r="559" spans="1:31" x14ac:dyDescent="0.2">
      <c r="A559">
        <v>534</v>
      </c>
      <c r="B559" s="19" t="s">
        <v>1007</v>
      </c>
      <c r="C559">
        <v>27</v>
      </c>
      <c r="D559" s="19" t="s">
        <v>345</v>
      </c>
      <c r="E559" s="19" t="s">
        <v>348</v>
      </c>
      <c r="F559">
        <v>36</v>
      </c>
      <c r="G559">
        <v>0</v>
      </c>
      <c r="H559">
        <v>8</v>
      </c>
      <c r="I559">
        <v>8</v>
      </c>
      <c r="J559">
        <v>-1</v>
      </c>
      <c r="K559">
        <v>8</v>
      </c>
      <c r="L559">
        <v>0</v>
      </c>
      <c r="M559">
        <v>0</v>
      </c>
      <c r="N559">
        <v>0</v>
      </c>
      <c r="O559">
        <v>0</v>
      </c>
      <c r="P559">
        <v>8</v>
      </c>
      <c r="Q559">
        <v>0</v>
      </c>
      <c r="R559">
        <v>0</v>
      </c>
      <c r="S559">
        <v>46</v>
      </c>
      <c r="T559">
        <v>0</v>
      </c>
      <c r="U559">
        <v>123</v>
      </c>
      <c r="V559" s="19" t="s">
        <v>2709</v>
      </c>
      <c r="W559" s="19" t="s">
        <v>1753</v>
      </c>
      <c r="X559">
        <v>0</v>
      </c>
      <c r="Y559">
        <v>0</v>
      </c>
      <c r="AA559">
        <v>61</v>
      </c>
      <c r="AB559">
        <v>31</v>
      </c>
      <c r="AC559">
        <v>16</v>
      </c>
      <c r="AD559">
        <v>36</v>
      </c>
      <c r="AE559" s="19" t="s">
        <v>60</v>
      </c>
    </row>
    <row r="560" spans="1:31" x14ac:dyDescent="0.2">
      <c r="A560">
        <v>535</v>
      </c>
      <c r="B560" s="19" t="s">
        <v>1084</v>
      </c>
      <c r="C560">
        <v>30</v>
      </c>
      <c r="D560" s="19" t="s">
        <v>460</v>
      </c>
      <c r="E560" s="19" t="s">
        <v>325</v>
      </c>
      <c r="F560">
        <v>33</v>
      </c>
      <c r="G560">
        <v>6</v>
      </c>
      <c r="H560">
        <v>2</v>
      </c>
      <c r="I560">
        <v>8</v>
      </c>
      <c r="J560">
        <v>-6</v>
      </c>
      <c r="K560">
        <v>25</v>
      </c>
      <c r="L560">
        <v>6</v>
      </c>
      <c r="M560">
        <v>0</v>
      </c>
      <c r="N560">
        <v>0</v>
      </c>
      <c r="O560">
        <v>1</v>
      </c>
      <c r="P560">
        <v>1</v>
      </c>
      <c r="Q560">
        <v>0</v>
      </c>
      <c r="R560">
        <v>1</v>
      </c>
      <c r="S560">
        <v>50</v>
      </c>
      <c r="T560">
        <v>12</v>
      </c>
      <c r="U560">
        <v>96</v>
      </c>
      <c r="V560" s="19" t="s">
        <v>2710</v>
      </c>
      <c r="W560" s="19" t="s">
        <v>1940</v>
      </c>
      <c r="X560">
        <v>2</v>
      </c>
      <c r="Y560">
        <v>10</v>
      </c>
      <c r="Z560">
        <v>16.7</v>
      </c>
      <c r="AA560">
        <v>7</v>
      </c>
      <c r="AB560">
        <v>100</v>
      </c>
      <c r="AC560">
        <v>8</v>
      </c>
      <c r="AD560">
        <v>12</v>
      </c>
      <c r="AE560" s="19" t="s">
        <v>60</v>
      </c>
    </row>
    <row r="561" spans="1:31" x14ac:dyDescent="0.2">
      <c r="A561">
        <v>536</v>
      </c>
      <c r="B561" s="19" t="s">
        <v>890</v>
      </c>
      <c r="C561">
        <v>31</v>
      </c>
      <c r="D561" s="19" t="s">
        <v>948</v>
      </c>
      <c r="E561" s="19" t="s">
        <v>348</v>
      </c>
      <c r="F561">
        <v>47</v>
      </c>
      <c r="G561">
        <v>3</v>
      </c>
      <c r="H561">
        <v>5</v>
      </c>
      <c r="I561">
        <v>8</v>
      </c>
      <c r="J561">
        <v>4</v>
      </c>
      <c r="K561">
        <v>18</v>
      </c>
      <c r="L561">
        <v>3</v>
      </c>
      <c r="M561">
        <v>0</v>
      </c>
      <c r="N561">
        <v>0</v>
      </c>
      <c r="O561">
        <v>0</v>
      </c>
      <c r="P561">
        <v>5</v>
      </c>
      <c r="Q561">
        <v>0</v>
      </c>
      <c r="R561">
        <v>0</v>
      </c>
      <c r="S561">
        <v>41</v>
      </c>
      <c r="T561">
        <v>7.3</v>
      </c>
      <c r="U561">
        <v>97</v>
      </c>
      <c r="V561" s="19" t="s">
        <v>2925</v>
      </c>
      <c r="W561" s="19" t="s">
        <v>522</v>
      </c>
      <c r="X561">
        <v>0</v>
      </c>
      <c r="Y561">
        <v>0</v>
      </c>
      <c r="AA561">
        <v>67</v>
      </c>
      <c r="AB561">
        <v>73</v>
      </c>
      <c r="AC561">
        <v>14</v>
      </c>
      <c r="AD561">
        <v>51</v>
      </c>
      <c r="AE561" s="19" t="s">
        <v>60</v>
      </c>
    </row>
    <row r="562" spans="1:31" x14ac:dyDescent="0.2">
      <c r="A562">
        <v>536</v>
      </c>
      <c r="B562" s="19" t="s">
        <v>890</v>
      </c>
      <c r="C562">
        <v>31</v>
      </c>
      <c r="D562" s="19" t="s">
        <v>360</v>
      </c>
      <c r="E562" s="19" t="s">
        <v>348</v>
      </c>
      <c r="F562">
        <v>46</v>
      </c>
      <c r="G562">
        <v>3</v>
      </c>
      <c r="H562">
        <v>5</v>
      </c>
      <c r="I562">
        <v>8</v>
      </c>
      <c r="J562">
        <v>4</v>
      </c>
      <c r="K562">
        <v>18</v>
      </c>
      <c r="L562">
        <v>3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39</v>
      </c>
      <c r="T562">
        <v>7.7</v>
      </c>
      <c r="U562">
        <v>94</v>
      </c>
      <c r="V562" s="19" t="s">
        <v>2092</v>
      </c>
      <c r="W562" s="19" t="s">
        <v>574</v>
      </c>
      <c r="X562">
        <v>0</v>
      </c>
      <c r="Y562">
        <v>0</v>
      </c>
      <c r="AA562">
        <v>66</v>
      </c>
      <c r="AB562">
        <v>71</v>
      </c>
      <c r="AC562">
        <v>14</v>
      </c>
      <c r="AD562">
        <v>49</v>
      </c>
      <c r="AE562" s="19" t="s">
        <v>60</v>
      </c>
    </row>
    <row r="563" spans="1:31" x14ac:dyDescent="0.2">
      <c r="A563">
        <v>536</v>
      </c>
      <c r="B563" s="19" t="s">
        <v>890</v>
      </c>
      <c r="C563">
        <v>31</v>
      </c>
      <c r="D563" s="19" t="s">
        <v>383</v>
      </c>
      <c r="E563" s="19" t="s">
        <v>348</v>
      </c>
      <c r="F563">
        <v>1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2</v>
      </c>
      <c r="T563">
        <v>0</v>
      </c>
      <c r="U563">
        <v>3</v>
      </c>
      <c r="V563" s="19" t="s">
        <v>472</v>
      </c>
      <c r="W563" s="19" t="s">
        <v>472</v>
      </c>
      <c r="X563">
        <v>0</v>
      </c>
      <c r="Y563">
        <v>0</v>
      </c>
      <c r="AA563">
        <v>1</v>
      </c>
      <c r="AB563">
        <v>2</v>
      </c>
      <c r="AC563">
        <v>0</v>
      </c>
      <c r="AD563">
        <v>2</v>
      </c>
      <c r="AE563" s="19" t="s">
        <v>60</v>
      </c>
    </row>
    <row r="564" spans="1:31" x14ac:dyDescent="0.2">
      <c r="A564">
        <v>537</v>
      </c>
      <c r="B564" s="19" t="s">
        <v>1590</v>
      </c>
      <c r="C564">
        <v>20</v>
      </c>
      <c r="D564" s="19" t="s">
        <v>513</v>
      </c>
      <c r="E564" s="19" t="s">
        <v>322</v>
      </c>
      <c r="F564">
        <v>18</v>
      </c>
      <c r="G564">
        <v>1</v>
      </c>
      <c r="H564">
        <v>7</v>
      </c>
      <c r="I564">
        <v>8</v>
      </c>
      <c r="J564">
        <v>4</v>
      </c>
      <c r="K564">
        <v>0</v>
      </c>
      <c r="L564">
        <v>1</v>
      </c>
      <c r="M564">
        <v>0</v>
      </c>
      <c r="N564">
        <v>0</v>
      </c>
      <c r="O564">
        <v>0</v>
      </c>
      <c r="P564">
        <v>6</v>
      </c>
      <c r="Q564">
        <v>0</v>
      </c>
      <c r="R564">
        <v>1</v>
      </c>
      <c r="S564">
        <v>17</v>
      </c>
      <c r="T564">
        <v>5.9</v>
      </c>
      <c r="U564">
        <v>42</v>
      </c>
      <c r="V564" s="19" t="s">
        <v>2291</v>
      </c>
      <c r="W564" s="19" t="s">
        <v>2056</v>
      </c>
      <c r="X564">
        <v>4</v>
      </c>
      <c r="Y564">
        <v>6</v>
      </c>
      <c r="Z564">
        <v>40</v>
      </c>
      <c r="AA564">
        <v>10</v>
      </c>
      <c r="AB564">
        <v>33</v>
      </c>
      <c r="AC564">
        <v>2</v>
      </c>
      <c r="AD564">
        <v>8</v>
      </c>
      <c r="AE564" s="19" t="s">
        <v>60</v>
      </c>
    </row>
    <row r="565" spans="1:31" x14ac:dyDescent="0.2">
      <c r="A565">
        <v>538</v>
      </c>
      <c r="B565" s="19" t="s">
        <v>941</v>
      </c>
      <c r="C565">
        <v>32</v>
      </c>
      <c r="D565" s="19" t="s">
        <v>336</v>
      </c>
      <c r="E565" s="19" t="s">
        <v>322</v>
      </c>
      <c r="F565">
        <v>32</v>
      </c>
      <c r="G565">
        <v>3</v>
      </c>
      <c r="H565">
        <v>5</v>
      </c>
      <c r="I565">
        <v>8</v>
      </c>
      <c r="J565">
        <v>-7</v>
      </c>
      <c r="K565">
        <v>27</v>
      </c>
      <c r="L565">
        <v>2</v>
      </c>
      <c r="M565">
        <v>1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35</v>
      </c>
      <c r="T565">
        <v>8.6</v>
      </c>
      <c r="U565">
        <v>81</v>
      </c>
      <c r="V565" s="19" t="s">
        <v>2711</v>
      </c>
      <c r="W565" s="19" t="s">
        <v>2038</v>
      </c>
      <c r="X565">
        <v>91</v>
      </c>
      <c r="Y565">
        <v>103</v>
      </c>
      <c r="Z565">
        <v>46.9</v>
      </c>
      <c r="AA565">
        <v>7</v>
      </c>
      <c r="AB565">
        <v>16</v>
      </c>
      <c r="AC565">
        <v>5</v>
      </c>
      <c r="AD565">
        <v>19</v>
      </c>
      <c r="AE565" s="19" t="s">
        <v>60</v>
      </c>
    </row>
    <row r="566" spans="1:31" x14ac:dyDescent="0.2">
      <c r="A566">
        <v>539</v>
      </c>
      <c r="B566" s="19" t="s">
        <v>1088</v>
      </c>
      <c r="C566">
        <v>25</v>
      </c>
      <c r="D566" s="19" t="s">
        <v>460</v>
      </c>
      <c r="E566" s="19" t="s">
        <v>348</v>
      </c>
      <c r="F566">
        <v>38</v>
      </c>
      <c r="G566">
        <v>1</v>
      </c>
      <c r="H566">
        <v>7</v>
      </c>
      <c r="I566">
        <v>8</v>
      </c>
      <c r="J566">
        <v>-3</v>
      </c>
      <c r="K566">
        <v>18</v>
      </c>
      <c r="L566">
        <v>1</v>
      </c>
      <c r="M566">
        <v>0</v>
      </c>
      <c r="N566">
        <v>0</v>
      </c>
      <c r="O566">
        <v>0</v>
      </c>
      <c r="P566">
        <v>7</v>
      </c>
      <c r="Q566">
        <v>0</v>
      </c>
      <c r="R566">
        <v>0</v>
      </c>
      <c r="S566">
        <v>37</v>
      </c>
      <c r="T566">
        <v>2.7</v>
      </c>
      <c r="U566">
        <v>82</v>
      </c>
      <c r="V566" s="19" t="s">
        <v>2712</v>
      </c>
      <c r="W566" s="19" t="s">
        <v>1661</v>
      </c>
      <c r="X566">
        <v>0</v>
      </c>
      <c r="Y566">
        <v>0</v>
      </c>
      <c r="AA566">
        <v>31</v>
      </c>
      <c r="AB566">
        <v>14</v>
      </c>
      <c r="AC566">
        <v>9</v>
      </c>
      <c r="AD566">
        <v>31</v>
      </c>
      <c r="AE566" s="19" t="s">
        <v>60</v>
      </c>
    </row>
    <row r="567" spans="1:31" x14ac:dyDescent="0.2">
      <c r="A567">
        <v>540</v>
      </c>
      <c r="B567" s="19" t="s">
        <v>1087</v>
      </c>
      <c r="C567">
        <v>29</v>
      </c>
      <c r="D567" s="19" t="s">
        <v>948</v>
      </c>
      <c r="E567" s="19" t="s">
        <v>348</v>
      </c>
      <c r="F567">
        <v>51</v>
      </c>
      <c r="G567">
        <v>2</v>
      </c>
      <c r="H567">
        <v>6</v>
      </c>
      <c r="I567">
        <v>8</v>
      </c>
      <c r="J567">
        <v>-8</v>
      </c>
      <c r="K567">
        <v>20</v>
      </c>
      <c r="L567">
        <v>2</v>
      </c>
      <c r="M567">
        <v>0</v>
      </c>
      <c r="N567">
        <v>0</v>
      </c>
      <c r="O567">
        <v>0</v>
      </c>
      <c r="P567">
        <v>6</v>
      </c>
      <c r="Q567">
        <v>0</v>
      </c>
      <c r="R567">
        <v>0</v>
      </c>
      <c r="S567">
        <v>39</v>
      </c>
      <c r="T567">
        <v>5.0999999999999996</v>
      </c>
      <c r="U567">
        <v>118</v>
      </c>
      <c r="V567" s="19" t="s">
        <v>2357</v>
      </c>
      <c r="W567" s="19" t="s">
        <v>1953</v>
      </c>
      <c r="X567">
        <v>0</v>
      </c>
      <c r="Y567">
        <v>0</v>
      </c>
      <c r="AA567">
        <v>71</v>
      </c>
      <c r="AB567">
        <v>81</v>
      </c>
      <c r="AC567">
        <v>9</v>
      </c>
      <c r="AD567">
        <v>40</v>
      </c>
      <c r="AE567" s="19" t="s">
        <v>60</v>
      </c>
    </row>
    <row r="568" spans="1:31" x14ac:dyDescent="0.2">
      <c r="A568">
        <v>540</v>
      </c>
      <c r="B568" s="19" t="s">
        <v>1087</v>
      </c>
      <c r="C568">
        <v>29</v>
      </c>
      <c r="D568" s="19" t="s">
        <v>343</v>
      </c>
      <c r="E568" s="19" t="s">
        <v>348</v>
      </c>
      <c r="F568">
        <v>47</v>
      </c>
      <c r="G568">
        <v>2</v>
      </c>
      <c r="H568">
        <v>5</v>
      </c>
      <c r="I568">
        <v>7</v>
      </c>
      <c r="J568">
        <v>-8</v>
      </c>
      <c r="K568">
        <v>20</v>
      </c>
      <c r="L568">
        <v>2</v>
      </c>
      <c r="M568">
        <v>0</v>
      </c>
      <c r="N568">
        <v>0</v>
      </c>
      <c r="O568">
        <v>0</v>
      </c>
      <c r="P568">
        <v>5</v>
      </c>
      <c r="Q568">
        <v>0</v>
      </c>
      <c r="R568">
        <v>0</v>
      </c>
      <c r="S568">
        <v>33</v>
      </c>
      <c r="T568">
        <v>6.1</v>
      </c>
      <c r="U568">
        <v>105</v>
      </c>
      <c r="V568" s="19" t="s">
        <v>2108</v>
      </c>
      <c r="W568" s="19" t="s">
        <v>1768</v>
      </c>
      <c r="X568">
        <v>0</v>
      </c>
      <c r="Y568">
        <v>0</v>
      </c>
      <c r="AA568">
        <v>63</v>
      </c>
      <c r="AB568">
        <v>73</v>
      </c>
      <c r="AC568">
        <v>9</v>
      </c>
      <c r="AD568">
        <v>35</v>
      </c>
      <c r="AE568" s="19" t="s">
        <v>60</v>
      </c>
    </row>
    <row r="569" spans="1:31" x14ac:dyDescent="0.2">
      <c r="A569">
        <v>540</v>
      </c>
      <c r="B569" s="19" t="s">
        <v>1087</v>
      </c>
      <c r="C569">
        <v>29</v>
      </c>
      <c r="D569" s="19" t="s">
        <v>436</v>
      </c>
      <c r="E569" s="19" t="s">
        <v>348</v>
      </c>
      <c r="F569">
        <v>4</v>
      </c>
      <c r="G569">
        <v>0</v>
      </c>
      <c r="H569">
        <v>1</v>
      </c>
      <c r="I569">
        <v>1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1</v>
      </c>
      <c r="Q569">
        <v>0</v>
      </c>
      <c r="R569">
        <v>0</v>
      </c>
      <c r="S569">
        <v>6</v>
      </c>
      <c r="T569">
        <v>0</v>
      </c>
      <c r="U569">
        <v>13</v>
      </c>
      <c r="V569" s="19" t="s">
        <v>2358</v>
      </c>
      <c r="W569" s="19" t="s">
        <v>1946</v>
      </c>
      <c r="X569">
        <v>0</v>
      </c>
      <c r="Y569">
        <v>0</v>
      </c>
      <c r="AA569">
        <v>8</v>
      </c>
      <c r="AB569">
        <v>8</v>
      </c>
      <c r="AC569">
        <v>0</v>
      </c>
      <c r="AD569">
        <v>5</v>
      </c>
      <c r="AE569" s="19" t="s">
        <v>60</v>
      </c>
    </row>
    <row r="570" spans="1:31" x14ac:dyDescent="0.2">
      <c r="A570">
        <v>541</v>
      </c>
      <c r="B570" s="19" t="s">
        <v>1028</v>
      </c>
      <c r="C570">
        <v>29</v>
      </c>
      <c r="D570" s="19" t="s">
        <v>948</v>
      </c>
      <c r="E570" s="19" t="s">
        <v>339</v>
      </c>
      <c r="F570">
        <v>21</v>
      </c>
      <c r="G570">
        <v>3</v>
      </c>
      <c r="H570">
        <v>5</v>
      </c>
      <c r="I570">
        <v>8</v>
      </c>
      <c r="J570">
        <v>2</v>
      </c>
      <c r="K570">
        <v>10</v>
      </c>
      <c r="L570">
        <v>3</v>
      </c>
      <c r="M570">
        <v>0</v>
      </c>
      <c r="N570">
        <v>0</v>
      </c>
      <c r="O570">
        <v>0</v>
      </c>
      <c r="P570">
        <v>5</v>
      </c>
      <c r="Q570">
        <v>0</v>
      </c>
      <c r="R570">
        <v>0</v>
      </c>
      <c r="S570">
        <v>18</v>
      </c>
      <c r="T570">
        <v>16.7</v>
      </c>
      <c r="U570">
        <v>28</v>
      </c>
      <c r="V570" s="19" t="s">
        <v>2045</v>
      </c>
      <c r="W570" s="19" t="s">
        <v>1318</v>
      </c>
      <c r="X570">
        <v>1</v>
      </c>
      <c r="Y570">
        <v>2</v>
      </c>
      <c r="Z570">
        <v>33.299999999999997</v>
      </c>
      <c r="AA570">
        <v>12</v>
      </c>
      <c r="AB570">
        <v>78</v>
      </c>
      <c r="AC570">
        <v>4</v>
      </c>
      <c r="AD570">
        <v>2</v>
      </c>
      <c r="AE570" s="19" t="s">
        <v>60</v>
      </c>
    </row>
    <row r="571" spans="1:31" x14ac:dyDescent="0.2">
      <c r="A571">
        <v>541</v>
      </c>
      <c r="B571" s="19" t="s">
        <v>1028</v>
      </c>
      <c r="C571">
        <v>29</v>
      </c>
      <c r="D571" s="19" t="s">
        <v>358</v>
      </c>
      <c r="E571" s="19" t="s">
        <v>339</v>
      </c>
      <c r="F571">
        <v>8</v>
      </c>
      <c r="G571">
        <v>1</v>
      </c>
      <c r="H571">
        <v>2</v>
      </c>
      <c r="I571">
        <v>3</v>
      </c>
      <c r="J571">
        <v>-2</v>
      </c>
      <c r="K571">
        <v>4</v>
      </c>
      <c r="L571">
        <v>1</v>
      </c>
      <c r="M571">
        <v>0</v>
      </c>
      <c r="N571">
        <v>0</v>
      </c>
      <c r="O571">
        <v>0</v>
      </c>
      <c r="P571">
        <v>2</v>
      </c>
      <c r="Q571">
        <v>0</v>
      </c>
      <c r="R571">
        <v>0</v>
      </c>
      <c r="S571">
        <v>7</v>
      </c>
      <c r="T571">
        <v>14.3</v>
      </c>
      <c r="U571">
        <v>11</v>
      </c>
      <c r="V571" s="19" t="s">
        <v>1029</v>
      </c>
      <c r="W571" s="19" t="s">
        <v>1030</v>
      </c>
      <c r="X571">
        <v>1</v>
      </c>
      <c r="Y571">
        <v>0</v>
      </c>
      <c r="Z571">
        <v>100</v>
      </c>
      <c r="AA571">
        <v>5</v>
      </c>
      <c r="AB571">
        <v>28</v>
      </c>
      <c r="AC571">
        <v>1</v>
      </c>
      <c r="AD571">
        <v>2</v>
      </c>
      <c r="AE571" s="19" t="s">
        <v>60</v>
      </c>
    </row>
    <row r="572" spans="1:31" x14ac:dyDescent="0.2">
      <c r="A572">
        <v>541</v>
      </c>
      <c r="B572" s="19" t="s">
        <v>1028</v>
      </c>
      <c r="C572">
        <v>29</v>
      </c>
      <c r="D572" s="19" t="s">
        <v>362</v>
      </c>
      <c r="E572" s="19" t="s">
        <v>339</v>
      </c>
      <c r="F572">
        <v>13</v>
      </c>
      <c r="G572">
        <v>2</v>
      </c>
      <c r="H572">
        <v>3</v>
      </c>
      <c r="I572">
        <v>5</v>
      </c>
      <c r="J572">
        <v>4</v>
      </c>
      <c r="K572">
        <v>6</v>
      </c>
      <c r="L572">
        <v>2</v>
      </c>
      <c r="M572">
        <v>0</v>
      </c>
      <c r="N572">
        <v>0</v>
      </c>
      <c r="O572">
        <v>0</v>
      </c>
      <c r="P572">
        <v>3</v>
      </c>
      <c r="Q572">
        <v>0</v>
      </c>
      <c r="R572">
        <v>0</v>
      </c>
      <c r="S572">
        <v>11</v>
      </c>
      <c r="T572">
        <v>18.2</v>
      </c>
      <c r="U572">
        <v>17</v>
      </c>
      <c r="V572" s="19" t="s">
        <v>2046</v>
      </c>
      <c r="W572" s="19" t="s">
        <v>2047</v>
      </c>
      <c r="X572">
        <v>0</v>
      </c>
      <c r="Y572">
        <v>2</v>
      </c>
      <c r="Z572">
        <v>0</v>
      </c>
      <c r="AA572">
        <v>7</v>
      </c>
      <c r="AB572">
        <v>50</v>
      </c>
      <c r="AC572">
        <v>3</v>
      </c>
      <c r="AD572">
        <v>0</v>
      </c>
      <c r="AE572" s="19" t="s">
        <v>60</v>
      </c>
    </row>
    <row r="573" spans="1:31" x14ac:dyDescent="0.2">
      <c r="A573">
        <v>542</v>
      </c>
      <c r="B573" s="19" t="s">
        <v>899</v>
      </c>
      <c r="C573">
        <v>33</v>
      </c>
      <c r="D573" s="19" t="s">
        <v>513</v>
      </c>
      <c r="E573" s="19" t="s">
        <v>322</v>
      </c>
      <c r="F573">
        <v>32</v>
      </c>
      <c r="G573">
        <v>6</v>
      </c>
      <c r="H573">
        <v>1</v>
      </c>
      <c r="I573">
        <v>7</v>
      </c>
      <c r="J573">
        <v>-7</v>
      </c>
      <c r="K573">
        <v>17</v>
      </c>
      <c r="L573">
        <v>5</v>
      </c>
      <c r="M573">
        <v>0</v>
      </c>
      <c r="N573">
        <v>1</v>
      </c>
      <c r="O573">
        <v>1</v>
      </c>
      <c r="P573">
        <v>1</v>
      </c>
      <c r="Q573">
        <v>0</v>
      </c>
      <c r="R573">
        <v>0</v>
      </c>
      <c r="S573">
        <v>50</v>
      </c>
      <c r="T573">
        <v>12</v>
      </c>
      <c r="U573">
        <v>89</v>
      </c>
      <c r="V573" s="19" t="s">
        <v>2713</v>
      </c>
      <c r="W573" s="19" t="s">
        <v>1774</v>
      </c>
      <c r="X573">
        <v>114</v>
      </c>
      <c r="Y573">
        <v>121</v>
      </c>
      <c r="Z573">
        <v>48.5</v>
      </c>
      <c r="AA573">
        <v>22</v>
      </c>
      <c r="AB573">
        <v>65</v>
      </c>
      <c r="AC573">
        <v>3</v>
      </c>
      <c r="AD573">
        <v>9</v>
      </c>
      <c r="AE573" s="19" t="s">
        <v>60</v>
      </c>
    </row>
    <row r="574" spans="1:31" x14ac:dyDescent="0.2">
      <c r="A574">
        <v>543</v>
      </c>
      <c r="B574" s="19" t="s">
        <v>850</v>
      </c>
      <c r="C574">
        <v>32</v>
      </c>
      <c r="D574" s="19" t="s">
        <v>333</v>
      </c>
      <c r="E574" s="19" t="s">
        <v>322</v>
      </c>
      <c r="F574">
        <v>46</v>
      </c>
      <c r="G574">
        <v>2</v>
      </c>
      <c r="H574">
        <v>5</v>
      </c>
      <c r="I574">
        <v>7</v>
      </c>
      <c r="J574">
        <v>-5</v>
      </c>
      <c r="K574">
        <v>20</v>
      </c>
      <c r="L574">
        <v>2</v>
      </c>
      <c r="M574">
        <v>0</v>
      </c>
      <c r="N574">
        <v>0</v>
      </c>
      <c r="O574">
        <v>1</v>
      </c>
      <c r="P574">
        <v>5</v>
      </c>
      <c r="Q574">
        <v>0</v>
      </c>
      <c r="R574">
        <v>0</v>
      </c>
      <c r="S574">
        <v>36</v>
      </c>
      <c r="T574">
        <v>5.6</v>
      </c>
      <c r="U574">
        <v>84</v>
      </c>
      <c r="V574" s="19" t="s">
        <v>2714</v>
      </c>
      <c r="W574" s="19" t="s">
        <v>926</v>
      </c>
      <c r="X574">
        <v>79</v>
      </c>
      <c r="Y574">
        <v>112</v>
      </c>
      <c r="Z574">
        <v>41.4</v>
      </c>
      <c r="AA574">
        <v>23</v>
      </c>
      <c r="AB574">
        <v>70</v>
      </c>
      <c r="AC574">
        <v>7</v>
      </c>
      <c r="AD574">
        <v>20</v>
      </c>
      <c r="AE574" s="19" t="s">
        <v>60</v>
      </c>
    </row>
    <row r="575" spans="1:31" x14ac:dyDescent="0.2">
      <c r="A575">
        <v>544</v>
      </c>
      <c r="B575" s="19" t="s">
        <v>851</v>
      </c>
      <c r="C575">
        <v>27</v>
      </c>
      <c r="D575" s="19" t="s">
        <v>372</v>
      </c>
      <c r="E575" s="19" t="s">
        <v>322</v>
      </c>
      <c r="F575">
        <v>48</v>
      </c>
      <c r="G575">
        <v>3</v>
      </c>
      <c r="H575">
        <v>4</v>
      </c>
      <c r="I575">
        <v>7</v>
      </c>
      <c r="J575">
        <v>-6</v>
      </c>
      <c r="K575">
        <v>14</v>
      </c>
      <c r="L575">
        <v>3</v>
      </c>
      <c r="M575">
        <v>0</v>
      </c>
      <c r="N575">
        <v>0</v>
      </c>
      <c r="O575">
        <v>1</v>
      </c>
      <c r="P575">
        <v>4</v>
      </c>
      <c r="Q575">
        <v>0</v>
      </c>
      <c r="R575">
        <v>0</v>
      </c>
      <c r="S575">
        <v>40</v>
      </c>
      <c r="T575">
        <v>7.5</v>
      </c>
      <c r="U575">
        <v>78</v>
      </c>
      <c r="V575" s="19" t="s">
        <v>2149</v>
      </c>
      <c r="W575" s="19" t="s">
        <v>2150</v>
      </c>
      <c r="X575">
        <v>24</v>
      </c>
      <c r="Y575">
        <v>49</v>
      </c>
      <c r="Z575">
        <v>32.9</v>
      </c>
      <c r="AA575">
        <v>23</v>
      </c>
      <c r="AB575">
        <v>94</v>
      </c>
      <c r="AC575">
        <v>4</v>
      </c>
      <c r="AD575">
        <v>30</v>
      </c>
      <c r="AE575" s="19" t="s">
        <v>60</v>
      </c>
    </row>
    <row r="576" spans="1:31" x14ac:dyDescent="0.2">
      <c r="A576">
        <v>545</v>
      </c>
      <c r="B576" s="19" t="s">
        <v>812</v>
      </c>
      <c r="C576">
        <v>25</v>
      </c>
      <c r="D576" s="19" t="s">
        <v>362</v>
      </c>
      <c r="E576" s="19" t="s">
        <v>322</v>
      </c>
      <c r="F576">
        <v>19</v>
      </c>
      <c r="G576">
        <v>5</v>
      </c>
      <c r="H576">
        <v>2</v>
      </c>
      <c r="I576">
        <v>7</v>
      </c>
      <c r="J576">
        <v>-4</v>
      </c>
      <c r="K576">
        <v>21</v>
      </c>
      <c r="L576">
        <v>5</v>
      </c>
      <c r="M576">
        <v>0</v>
      </c>
      <c r="N576">
        <v>0</v>
      </c>
      <c r="O576">
        <v>0</v>
      </c>
      <c r="P576">
        <v>1</v>
      </c>
      <c r="Q576">
        <v>1</v>
      </c>
      <c r="R576">
        <v>0</v>
      </c>
      <c r="S576">
        <v>25</v>
      </c>
      <c r="T576">
        <v>20</v>
      </c>
      <c r="U576">
        <v>53</v>
      </c>
      <c r="V576" s="19" t="s">
        <v>1835</v>
      </c>
      <c r="W576" s="19" t="s">
        <v>1331</v>
      </c>
      <c r="X576">
        <v>46</v>
      </c>
      <c r="Y576">
        <v>61</v>
      </c>
      <c r="Z576">
        <v>43</v>
      </c>
      <c r="AA576">
        <v>19</v>
      </c>
      <c r="AB576">
        <v>25</v>
      </c>
      <c r="AC576">
        <v>10</v>
      </c>
      <c r="AD576">
        <v>9</v>
      </c>
      <c r="AE576" s="19" t="s">
        <v>60</v>
      </c>
    </row>
    <row r="577" spans="1:31" x14ac:dyDescent="0.2">
      <c r="A577">
        <v>546</v>
      </c>
      <c r="B577" s="19" t="s">
        <v>903</v>
      </c>
      <c r="C577">
        <v>21</v>
      </c>
      <c r="D577" s="19" t="s">
        <v>370</v>
      </c>
      <c r="E577" s="19" t="s">
        <v>322</v>
      </c>
      <c r="F577">
        <v>28</v>
      </c>
      <c r="G577">
        <v>2</v>
      </c>
      <c r="H577">
        <v>5</v>
      </c>
      <c r="I577">
        <v>7</v>
      </c>
      <c r="J577">
        <v>-7</v>
      </c>
      <c r="K577">
        <v>4</v>
      </c>
      <c r="L577">
        <v>2</v>
      </c>
      <c r="M577">
        <v>0</v>
      </c>
      <c r="N577">
        <v>0</v>
      </c>
      <c r="O577">
        <v>0</v>
      </c>
      <c r="P577">
        <v>2</v>
      </c>
      <c r="Q577">
        <v>3</v>
      </c>
      <c r="R577">
        <v>0</v>
      </c>
      <c r="S577">
        <v>31</v>
      </c>
      <c r="T577">
        <v>6.5</v>
      </c>
      <c r="U577">
        <v>59</v>
      </c>
      <c r="V577" s="19" t="s">
        <v>1791</v>
      </c>
      <c r="W577" s="19" t="s">
        <v>1698</v>
      </c>
      <c r="X577">
        <v>55</v>
      </c>
      <c r="Y577">
        <v>91</v>
      </c>
      <c r="Z577">
        <v>37.700000000000003</v>
      </c>
      <c r="AA577">
        <v>9</v>
      </c>
      <c r="AB577">
        <v>8</v>
      </c>
      <c r="AC577">
        <v>8</v>
      </c>
      <c r="AD577">
        <v>17</v>
      </c>
      <c r="AE577" s="19" t="s">
        <v>60</v>
      </c>
    </row>
    <row r="578" spans="1:31" x14ac:dyDescent="0.2">
      <c r="A578">
        <v>547</v>
      </c>
      <c r="B578" s="19" t="s">
        <v>970</v>
      </c>
      <c r="C578">
        <v>27</v>
      </c>
      <c r="D578" s="19" t="s">
        <v>380</v>
      </c>
      <c r="E578" s="19" t="s">
        <v>348</v>
      </c>
      <c r="F578">
        <v>48</v>
      </c>
      <c r="G578">
        <v>3</v>
      </c>
      <c r="H578">
        <v>4</v>
      </c>
      <c r="I578">
        <v>7</v>
      </c>
      <c r="J578">
        <v>-13</v>
      </c>
      <c r="K578">
        <v>16</v>
      </c>
      <c r="L578">
        <v>3</v>
      </c>
      <c r="M578">
        <v>0</v>
      </c>
      <c r="N578">
        <v>0</v>
      </c>
      <c r="O578">
        <v>0</v>
      </c>
      <c r="P578">
        <v>4</v>
      </c>
      <c r="Q578">
        <v>0</v>
      </c>
      <c r="R578">
        <v>0</v>
      </c>
      <c r="S578">
        <v>48</v>
      </c>
      <c r="T578">
        <v>6.3</v>
      </c>
      <c r="U578">
        <v>121</v>
      </c>
      <c r="V578" s="19" t="s">
        <v>2105</v>
      </c>
      <c r="W578" s="19" t="s">
        <v>1528</v>
      </c>
      <c r="X578">
        <v>0</v>
      </c>
      <c r="Y578">
        <v>0</v>
      </c>
      <c r="AA578">
        <v>81</v>
      </c>
      <c r="AB578">
        <v>42</v>
      </c>
      <c r="AC578">
        <v>12</v>
      </c>
      <c r="AD578">
        <v>42</v>
      </c>
      <c r="AE578" s="19" t="s">
        <v>60</v>
      </c>
    </row>
    <row r="579" spans="1:31" x14ac:dyDescent="0.2">
      <c r="A579">
        <v>548</v>
      </c>
      <c r="B579" s="19" t="s">
        <v>986</v>
      </c>
      <c r="C579">
        <v>34</v>
      </c>
      <c r="D579" s="19" t="s">
        <v>358</v>
      </c>
      <c r="E579" s="19" t="s">
        <v>322</v>
      </c>
      <c r="F579">
        <v>33</v>
      </c>
      <c r="G579">
        <v>6</v>
      </c>
      <c r="H579">
        <v>1</v>
      </c>
      <c r="I579">
        <v>7</v>
      </c>
      <c r="J579">
        <v>-8</v>
      </c>
      <c r="K579">
        <v>6</v>
      </c>
      <c r="L579">
        <v>6</v>
      </c>
      <c r="M579">
        <v>0</v>
      </c>
      <c r="N579">
        <v>0</v>
      </c>
      <c r="O579">
        <v>0</v>
      </c>
      <c r="P579">
        <v>1</v>
      </c>
      <c r="Q579">
        <v>0</v>
      </c>
      <c r="R579">
        <v>0</v>
      </c>
      <c r="S579">
        <v>31</v>
      </c>
      <c r="T579">
        <v>19.399999999999999</v>
      </c>
      <c r="U579">
        <v>46</v>
      </c>
      <c r="V579" s="19" t="s">
        <v>2715</v>
      </c>
      <c r="W579" s="19" t="s">
        <v>1684</v>
      </c>
      <c r="X579">
        <v>10</v>
      </c>
      <c r="Y579">
        <v>5</v>
      </c>
      <c r="Z579">
        <v>66.7</v>
      </c>
      <c r="AA579">
        <v>5</v>
      </c>
      <c r="AB579">
        <v>22</v>
      </c>
      <c r="AC579">
        <v>4</v>
      </c>
      <c r="AD579">
        <v>10</v>
      </c>
      <c r="AE579" s="19" t="s">
        <v>60</v>
      </c>
    </row>
    <row r="580" spans="1:31" x14ac:dyDescent="0.2">
      <c r="A580">
        <v>549</v>
      </c>
      <c r="B580" s="19" t="s">
        <v>1053</v>
      </c>
      <c r="C580">
        <v>25</v>
      </c>
      <c r="D580" s="19" t="s">
        <v>370</v>
      </c>
      <c r="E580" s="19" t="s">
        <v>348</v>
      </c>
      <c r="F580">
        <v>54</v>
      </c>
      <c r="G580">
        <v>1</v>
      </c>
      <c r="H580">
        <v>6</v>
      </c>
      <c r="I580">
        <v>7</v>
      </c>
      <c r="J580">
        <v>-7</v>
      </c>
      <c r="K580">
        <v>10</v>
      </c>
      <c r="L580">
        <v>1</v>
      </c>
      <c r="M580">
        <v>0</v>
      </c>
      <c r="N580">
        <v>0</v>
      </c>
      <c r="O580">
        <v>0</v>
      </c>
      <c r="P580">
        <v>6</v>
      </c>
      <c r="Q580">
        <v>0</v>
      </c>
      <c r="R580">
        <v>0</v>
      </c>
      <c r="S580">
        <v>39</v>
      </c>
      <c r="T580">
        <v>2.6</v>
      </c>
      <c r="U580">
        <v>118</v>
      </c>
      <c r="V580" s="19" t="s">
        <v>2716</v>
      </c>
      <c r="W580" s="19" t="s">
        <v>1494</v>
      </c>
      <c r="X580">
        <v>0</v>
      </c>
      <c r="Y580">
        <v>0</v>
      </c>
      <c r="AA580">
        <v>73</v>
      </c>
      <c r="AB580">
        <v>41</v>
      </c>
      <c r="AC580">
        <v>13</v>
      </c>
      <c r="AD580">
        <v>44</v>
      </c>
      <c r="AE580" s="19" t="s">
        <v>60</v>
      </c>
    </row>
    <row r="581" spans="1:31" x14ac:dyDescent="0.2">
      <c r="A581">
        <v>550</v>
      </c>
      <c r="B581" s="19" t="s">
        <v>987</v>
      </c>
      <c r="C581">
        <v>27</v>
      </c>
      <c r="D581" s="19" t="s">
        <v>460</v>
      </c>
      <c r="E581" s="19" t="s">
        <v>322</v>
      </c>
      <c r="F581">
        <v>39</v>
      </c>
      <c r="G581">
        <v>3</v>
      </c>
      <c r="H581">
        <v>4</v>
      </c>
      <c r="I581">
        <v>7</v>
      </c>
      <c r="J581">
        <v>-13</v>
      </c>
      <c r="K581">
        <v>16</v>
      </c>
      <c r="L581">
        <v>3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43</v>
      </c>
      <c r="T581">
        <v>7</v>
      </c>
      <c r="U581">
        <v>84</v>
      </c>
      <c r="V581" s="19" t="s">
        <v>2293</v>
      </c>
      <c r="W581" s="19" t="s">
        <v>1974</v>
      </c>
      <c r="X581">
        <v>17</v>
      </c>
      <c r="Y581">
        <v>25</v>
      </c>
      <c r="Z581">
        <v>40.5</v>
      </c>
      <c r="AA581">
        <v>11</v>
      </c>
      <c r="AB581">
        <v>47</v>
      </c>
      <c r="AC581">
        <v>12</v>
      </c>
      <c r="AD581">
        <v>16</v>
      </c>
      <c r="AE581" s="19" t="s">
        <v>60</v>
      </c>
    </row>
    <row r="582" spans="1:31" x14ac:dyDescent="0.2">
      <c r="A582">
        <v>551</v>
      </c>
      <c r="B582" s="19" t="s">
        <v>819</v>
      </c>
      <c r="C582">
        <v>33</v>
      </c>
      <c r="D582" s="19" t="s">
        <v>343</v>
      </c>
      <c r="E582" s="19" t="s">
        <v>322</v>
      </c>
      <c r="F582">
        <v>14</v>
      </c>
      <c r="G582">
        <v>4</v>
      </c>
      <c r="H582">
        <v>3</v>
      </c>
      <c r="I582">
        <v>7</v>
      </c>
      <c r="J582">
        <v>-1</v>
      </c>
      <c r="K582">
        <v>4</v>
      </c>
      <c r="L582">
        <v>2</v>
      </c>
      <c r="M582">
        <v>1</v>
      </c>
      <c r="N582">
        <v>1</v>
      </c>
      <c r="O582">
        <v>1</v>
      </c>
      <c r="P582">
        <v>3</v>
      </c>
      <c r="Q582">
        <v>0</v>
      </c>
      <c r="R582">
        <v>0</v>
      </c>
      <c r="S582">
        <v>30</v>
      </c>
      <c r="T582">
        <v>13.3</v>
      </c>
      <c r="U582">
        <v>48</v>
      </c>
      <c r="V582" s="19" t="s">
        <v>820</v>
      </c>
      <c r="W582" s="19" t="s">
        <v>700</v>
      </c>
      <c r="X582">
        <v>91</v>
      </c>
      <c r="Y582">
        <v>67</v>
      </c>
      <c r="Z582">
        <v>57.6</v>
      </c>
      <c r="AA582">
        <v>13</v>
      </c>
      <c r="AB582">
        <v>3</v>
      </c>
      <c r="AC582">
        <v>3</v>
      </c>
      <c r="AD582">
        <v>11</v>
      </c>
      <c r="AE582" s="19" t="s">
        <v>60</v>
      </c>
    </row>
    <row r="583" spans="1:31" x14ac:dyDescent="0.2">
      <c r="A583">
        <v>552</v>
      </c>
      <c r="B583" s="19" t="s">
        <v>913</v>
      </c>
      <c r="C583">
        <v>24</v>
      </c>
      <c r="D583" s="19" t="s">
        <v>531</v>
      </c>
      <c r="E583" s="19" t="s">
        <v>325</v>
      </c>
      <c r="F583">
        <v>37</v>
      </c>
      <c r="G583">
        <v>2</v>
      </c>
      <c r="H583">
        <v>5</v>
      </c>
      <c r="I583">
        <v>7</v>
      </c>
      <c r="J583">
        <v>-7</v>
      </c>
      <c r="K583">
        <v>21</v>
      </c>
      <c r="L583">
        <v>2</v>
      </c>
      <c r="M583">
        <v>0</v>
      </c>
      <c r="N583">
        <v>0</v>
      </c>
      <c r="O583">
        <v>0</v>
      </c>
      <c r="P583">
        <v>5</v>
      </c>
      <c r="Q583">
        <v>0</v>
      </c>
      <c r="R583">
        <v>0</v>
      </c>
      <c r="S583">
        <v>26</v>
      </c>
      <c r="T583">
        <v>7.7</v>
      </c>
      <c r="U583">
        <v>70</v>
      </c>
      <c r="V583" s="19" t="s">
        <v>1892</v>
      </c>
      <c r="W583" s="19" t="s">
        <v>990</v>
      </c>
      <c r="X583">
        <v>3</v>
      </c>
      <c r="Y583">
        <v>9</v>
      </c>
      <c r="Z583">
        <v>25</v>
      </c>
      <c r="AA583">
        <v>23</v>
      </c>
      <c r="AB583">
        <v>94</v>
      </c>
      <c r="AC583">
        <v>9</v>
      </c>
      <c r="AD583">
        <v>19</v>
      </c>
      <c r="AE583" s="19" t="s">
        <v>60</v>
      </c>
    </row>
    <row r="584" spans="1:31" x14ac:dyDescent="0.2">
      <c r="A584">
        <v>553</v>
      </c>
      <c r="B584" s="19" t="s">
        <v>1567</v>
      </c>
      <c r="C584">
        <v>20</v>
      </c>
      <c r="D584" s="19" t="s">
        <v>329</v>
      </c>
      <c r="E584" s="19" t="s">
        <v>339</v>
      </c>
      <c r="F584">
        <v>21</v>
      </c>
      <c r="G584">
        <v>5</v>
      </c>
      <c r="H584">
        <v>2</v>
      </c>
      <c r="I584">
        <v>7</v>
      </c>
      <c r="J584">
        <v>-8</v>
      </c>
      <c r="K584">
        <v>6</v>
      </c>
      <c r="L584">
        <v>3</v>
      </c>
      <c r="M584">
        <v>2</v>
      </c>
      <c r="N584">
        <v>0</v>
      </c>
      <c r="O584">
        <v>0</v>
      </c>
      <c r="P584">
        <v>1</v>
      </c>
      <c r="Q584">
        <v>1</v>
      </c>
      <c r="R584">
        <v>0</v>
      </c>
      <c r="S584">
        <v>32</v>
      </c>
      <c r="T584">
        <v>15.6</v>
      </c>
      <c r="U584">
        <v>71</v>
      </c>
      <c r="V584" s="19" t="s">
        <v>2359</v>
      </c>
      <c r="W584" s="19" t="s">
        <v>2094</v>
      </c>
      <c r="X584">
        <v>1</v>
      </c>
      <c r="Y584">
        <v>1</v>
      </c>
      <c r="Z584">
        <v>50</v>
      </c>
      <c r="AA584">
        <v>7</v>
      </c>
      <c r="AB584">
        <v>33</v>
      </c>
      <c r="AC584">
        <v>5</v>
      </c>
      <c r="AD584">
        <v>9</v>
      </c>
      <c r="AE584" s="19" t="s">
        <v>60</v>
      </c>
    </row>
    <row r="585" spans="1:31" x14ac:dyDescent="0.2">
      <c r="A585">
        <v>554</v>
      </c>
      <c r="B585" s="19" t="s">
        <v>1216</v>
      </c>
      <c r="C585">
        <v>31</v>
      </c>
      <c r="D585" s="19" t="s">
        <v>436</v>
      </c>
      <c r="E585" s="19" t="s">
        <v>339</v>
      </c>
      <c r="F585">
        <v>47</v>
      </c>
      <c r="G585">
        <v>3</v>
      </c>
      <c r="H585">
        <v>4</v>
      </c>
      <c r="I585">
        <v>7</v>
      </c>
      <c r="J585">
        <v>-1</v>
      </c>
      <c r="K585">
        <v>55</v>
      </c>
      <c r="L585">
        <v>3</v>
      </c>
      <c r="M585">
        <v>0</v>
      </c>
      <c r="N585">
        <v>0</v>
      </c>
      <c r="O585">
        <v>0</v>
      </c>
      <c r="P585">
        <v>4</v>
      </c>
      <c r="Q585">
        <v>0</v>
      </c>
      <c r="R585">
        <v>0</v>
      </c>
      <c r="S585">
        <v>44</v>
      </c>
      <c r="T585">
        <v>6.8</v>
      </c>
      <c r="U585">
        <v>80</v>
      </c>
      <c r="V585" s="19" t="s">
        <v>2245</v>
      </c>
      <c r="W585" s="19" t="s">
        <v>2208</v>
      </c>
      <c r="X585">
        <v>4</v>
      </c>
      <c r="Y585">
        <v>8</v>
      </c>
      <c r="Z585">
        <v>33.299999999999997</v>
      </c>
      <c r="AA585">
        <v>14</v>
      </c>
      <c r="AB585">
        <v>106</v>
      </c>
      <c r="AC585">
        <v>2</v>
      </c>
      <c r="AD585">
        <v>16</v>
      </c>
      <c r="AE585" s="19" t="s">
        <v>60</v>
      </c>
    </row>
    <row r="586" spans="1:31" x14ac:dyDescent="0.2">
      <c r="A586">
        <v>555</v>
      </c>
      <c r="B586" s="19" t="s">
        <v>923</v>
      </c>
      <c r="C586">
        <v>31</v>
      </c>
      <c r="D586" s="19" t="s">
        <v>333</v>
      </c>
      <c r="E586" s="19" t="s">
        <v>348</v>
      </c>
      <c r="F586">
        <v>39</v>
      </c>
      <c r="G586">
        <v>1</v>
      </c>
      <c r="H586">
        <v>6</v>
      </c>
      <c r="I586">
        <v>7</v>
      </c>
      <c r="J586">
        <v>0</v>
      </c>
      <c r="K586">
        <v>36</v>
      </c>
      <c r="L586">
        <v>1</v>
      </c>
      <c r="M586">
        <v>0</v>
      </c>
      <c r="N586">
        <v>0</v>
      </c>
      <c r="O586">
        <v>0</v>
      </c>
      <c r="P586">
        <v>6</v>
      </c>
      <c r="Q586">
        <v>0</v>
      </c>
      <c r="R586">
        <v>0</v>
      </c>
      <c r="S586">
        <v>24</v>
      </c>
      <c r="T586">
        <v>4.2</v>
      </c>
      <c r="U586">
        <v>49</v>
      </c>
      <c r="V586" s="19" t="s">
        <v>2246</v>
      </c>
      <c r="W586" s="19" t="s">
        <v>1786</v>
      </c>
      <c r="X586">
        <v>0</v>
      </c>
      <c r="Y586">
        <v>0</v>
      </c>
      <c r="AA586">
        <v>67</v>
      </c>
      <c r="AB586">
        <v>54</v>
      </c>
      <c r="AC586">
        <v>7</v>
      </c>
      <c r="AD586">
        <v>37</v>
      </c>
      <c r="AE586" s="19" t="s">
        <v>60</v>
      </c>
    </row>
    <row r="587" spans="1:31" x14ac:dyDescent="0.2">
      <c r="A587">
        <v>556</v>
      </c>
      <c r="B587" s="19" t="s">
        <v>1127</v>
      </c>
      <c r="C587">
        <v>29</v>
      </c>
      <c r="D587" s="19" t="s">
        <v>419</v>
      </c>
      <c r="E587" s="19" t="s">
        <v>325</v>
      </c>
      <c r="F587">
        <v>35</v>
      </c>
      <c r="G587">
        <v>3</v>
      </c>
      <c r="H587">
        <v>4</v>
      </c>
      <c r="I587">
        <v>7</v>
      </c>
      <c r="J587">
        <v>-3</v>
      </c>
      <c r="K587">
        <v>23</v>
      </c>
      <c r="L587">
        <v>3</v>
      </c>
      <c r="M587">
        <v>0</v>
      </c>
      <c r="N587">
        <v>0</v>
      </c>
      <c r="O587">
        <v>0</v>
      </c>
      <c r="P587">
        <v>4</v>
      </c>
      <c r="Q587">
        <v>0</v>
      </c>
      <c r="R587">
        <v>0</v>
      </c>
      <c r="S587">
        <v>34</v>
      </c>
      <c r="T587">
        <v>8.8000000000000007</v>
      </c>
      <c r="U587">
        <v>78</v>
      </c>
      <c r="V587" s="19" t="s">
        <v>2717</v>
      </c>
      <c r="W587" s="19" t="s">
        <v>2208</v>
      </c>
      <c r="X587">
        <v>2</v>
      </c>
      <c r="Y587">
        <v>4</v>
      </c>
      <c r="Z587">
        <v>33.299999999999997</v>
      </c>
      <c r="AA587">
        <v>13</v>
      </c>
      <c r="AB587">
        <v>100</v>
      </c>
      <c r="AC587">
        <v>6</v>
      </c>
      <c r="AD587">
        <v>13</v>
      </c>
      <c r="AE587" s="19" t="s">
        <v>60</v>
      </c>
    </row>
    <row r="588" spans="1:31" x14ac:dyDescent="0.2">
      <c r="A588">
        <v>557</v>
      </c>
      <c r="B588" s="19" t="s">
        <v>1066</v>
      </c>
      <c r="C588">
        <v>33</v>
      </c>
      <c r="D588" s="19" t="s">
        <v>383</v>
      </c>
      <c r="E588" s="19" t="s">
        <v>348</v>
      </c>
      <c r="F588">
        <v>51</v>
      </c>
      <c r="G588">
        <v>1</v>
      </c>
      <c r="H588">
        <v>6</v>
      </c>
      <c r="I588">
        <v>7</v>
      </c>
      <c r="J588">
        <v>-2</v>
      </c>
      <c r="K588">
        <v>61</v>
      </c>
      <c r="L588">
        <v>1</v>
      </c>
      <c r="M588">
        <v>0</v>
      </c>
      <c r="N588">
        <v>0</v>
      </c>
      <c r="O588">
        <v>0</v>
      </c>
      <c r="P588">
        <v>6</v>
      </c>
      <c r="Q588">
        <v>0</v>
      </c>
      <c r="R588">
        <v>0</v>
      </c>
      <c r="S588">
        <v>45</v>
      </c>
      <c r="T588">
        <v>2.2000000000000002</v>
      </c>
      <c r="U588">
        <v>125</v>
      </c>
      <c r="V588" s="19" t="s">
        <v>2926</v>
      </c>
      <c r="W588" s="19" t="s">
        <v>2032</v>
      </c>
      <c r="X588">
        <v>0</v>
      </c>
      <c r="Y588">
        <v>0</v>
      </c>
      <c r="AA588">
        <v>63</v>
      </c>
      <c r="AB588">
        <v>50</v>
      </c>
      <c r="AC588">
        <v>7</v>
      </c>
      <c r="AD588">
        <v>41</v>
      </c>
      <c r="AE588" s="19" t="s">
        <v>60</v>
      </c>
    </row>
    <row r="589" spans="1:31" x14ac:dyDescent="0.2">
      <c r="A589">
        <v>558</v>
      </c>
      <c r="B589" s="19" t="s">
        <v>881</v>
      </c>
      <c r="C589">
        <v>29</v>
      </c>
      <c r="D589" s="19" t="s">
        <v>365</v>
      </c>
      <c r="E589" s="19" t="s">
        <v>339</v>
      </c>
      <c r="F589">
        <v>28</v>
      </c>
      <c r="G589">
        <v>4</v>
      </c>
      <c r="H589">
        <v>3</v>
      </c>
      <c r="I589">
        <v>7</v>
      </c>
      <c r="J589">
        <v>1</v>
      </c>
      <c r="K589">
        <v>4</v>
      </c>
      <c r="L589">
        <v>4</v>
      </c>
      <c r="M589">
        <v>0</v>
      </c>
      <c r="N589">
        <v>0</v>
      </c>
      <c r="O589">
        <v>2</v>
      </c>
      <c r="P589">
        <v>3</v>
      </c>
      <c r="Q589">
        <v>0</v>
      </c>
      <c r="R589">
        <v>0</v>
      </c>
      <c r="S589">
        <v>31</v>
      </c>
      <c r="T589">
        <v>12.9</v>
      </c>
      <c r="U589">
        <v>52</v>
      </c>
      <c r="V589" s="19" t="s">
        <v>2048</v>
      </c>
      <c r="W589" s="19" t="s">
        <v>1798</v>
      </c>
      <c r="X589">
        <v>7</v>
      </c>
      <c r="Y589">
        <v>4</v>
      </c>
      <c r="Z589">
        <v>63.6</v>
      </c>
      <c r="AA589">
        <v>3</v>
      </c>
      <c r="AB589">
        <v>8</v>
      </c>
      <c r="AC589">
        <v>4</v>
      </c>
      <c r="AD589">
        <v>15</v>
      </c>
      <c r="AE589" s="19" t="s">
        <v>60</v>
      </c>
    </row>
    <row r="590" spans="1:31" x14ac:dyDescent="0.2">
      <c r="A590">
        <v>559</v>
      </c>
      <c r="B590" s="19" t="s">
        <v>1070</v>
      </c>
      <c r="C590">
        <v>32</v>
      </c>
      <c r="D590" s="19" t="s">
        <v>398</v>
      </c>
      <c r="E590" s="19" t="s">
        <v>334</v>
      </c>
      <c r="F590">
        <v>38</v>
      </c>
      <c r="G590">
        <v>3</v>
      </c>
      <c r="H590">
        <v>4</v>
      </c>
      <c r="I590">
        <v>7</v>
      </c>
      <c r="J590">
        <v>-12</v>
      </c>
      <c r="K590">
        <v>33</v>
      </c>
      <c r="L590">
        <v>2</v>
      </c>
      <c r="M590">
        <v>1</v>
      </c>
      <c r="N590">
        <v>0</v>
      </c>
      <c r="O590">
        <v>1</v>
      </c>
      <c r="P590">
        <v>2</v>
      </c>
      <c r="Q590">
        <v>2</v>
      </c>
      <c r="R590">
        <v>0</v>
      </c>
      <c r="S590">
        <v>52</v>
      </c>
      <c r="T590">
        <v>5.8</v>
      </c>
      <c r="U590">
        <v>93</v>
      </c>
      <c r="V590" s="19" t="s">
        <v>1861</v>
      </c>
      <c r="W590" s="19" t="s">
        <v>1775</v>
      </c>
      <c r="X590">
        <v>16</v>
      </c>
      <c r="Y590">
        <v>17</v>
      </c>
      <c r="Z590">
        <v>48.5</v>
      </c>
      <c r="AA590">
        <v>15</v>
      </c>
      <c r="AB590">
        <v>33</v>
      </c>
      <c r="AC590">
        <v>3</v>
      </c>
      <c r="AD590">
        <v>23</v>
      </c>
      <c r="AE590" s="19" t="s">
        <v>60</v>
      </c>
    </row>
    <row r="591" spans="1:31" x14ac:dyDescent="0.2">
      <c r="A591">
        <v>560</v>
      </c>
      <c r="B591" s="19" t="s">
        <v>453</v>
      </c>
      <c r="C591">
        <v>21</v>
      </c>
      <c r="D591" s="19" t="s">
        <v>447</v>
      </c>
      <c r="E591" s="19" t="s">
        <v>348</v>
      </c>
      <c r="F591">
        <v>43</v>
      </c>
      <c r="G591">
        <v>1</v>
      </c>
      <c r="H591">
        <v>6</v>
      </c>
      <c r="I591">
        <v>7</v>
      </c>
      <c r="J591">
        <v>-5</v>
      </c>
      <c r="K591">
        <v>12</v>
      </c>
      <c r="L591">
        <v>1</v>
      </c>
      <c r="M591">
        <v>0</v>
      </c>
      <c r="N591">
        <v>0</v>
      </c>
      <c r="O591">
        <v>0</v>
      </c>
      <c r="P591">
        <v>6</v>
      </c>
      <c r="Q591">
        <v>0</v>
      </c>
      <c r="R591">
        <v>0</v>
      </c>
      <c r="S591">
        <v>22</v>
      </c>
      <c r="T591">
        <v>4.5</v>
      </c>
      <c r="U591">
        <v>84</v>
      </c>
      <c r="V591" s="19" t="s">
        <v>2718</v>
      </c>
      <c r="W591" s="19" t="s">
        <v>2036</v>
      </c>
      <c r="X591">
        <v>0</v>
      </c>
      <c r="Y591">
        <v>0</v>
      </c>
      <c r="AA591">
        <v>50</v>
      </c>
      <c r="AB591">
        <v>79</v>
      </c>
      <c r="AC591">
        <v>11</v>
      </c>
      <c r="AD591">
        <v>42</v>
      </c>
      <c r="AE591" s="19" t="s">
        <v>60</v>
      </c>
    </row>
    <row r="592" spans="1:31" x14ac:dyDescent="0.2">
      <c r="A592">
        <v>561</v>
      </c>
      <c r="B592" s="19" t="s">
        <v>938</v>
      </c>
      <c r="C592">
        <v>32</v>
      </c>
      <c r="D592" s="19" t="s">
        <v>396</v>
      </c>
      <c r="E592" s="19" t="s">
        <v>348</v>
      </c>
      <c r="F592">
        <v>29</v>
      </c>
      <c r="G592">
        <v>1</v>
      </c>
      <c r="H592">
        <v>6</v>
      </c>
      <c r="I592">
        <v>7</v>
      </c>
      <c r="J592">
        <v>9</v>
      </c>
      <c r="K592">
        <v>14</v>
      </c>
      <c r="L592">
        <v>0</v>
      </c>
      <c r="M592">
        <v>0</v>
      </c>
      <c r="N592">
        <v>1</v>
      </c>
      <c r="O592">
        <v>0</v>
      </c>
      <c r="P592">
        <v>6</v>
      </c>
      <c r="Q592">
        <v>0</v>
      </c>
      <c r="R592">
        <v>0</v>
      </c>
      <c r="S592">
        <v>45</v>
      </c>
      <c r="T592">
        <v>2.2000000000000002</v>
      </c>
      <c r="U592">
        <v>108</v>
      </c>
      <c r="V592" s="19" t="s">
        <v>2074</v>
      </c>
      <c r="W592" s="19" t="s">
        <v>1783</v>
      </c>
      <c r="X592">
        <v>0</v>
      </c>
      <c r="Y592">
        <v>0</v>
      </c>
      <c r="AA592">
        <v>27</v>
      </c>
      <c r="AB592">
        <v>14</v>
      </c>
      <c r="AC592">
        <v>3</v>
      </c>
      <c r="AD592">
        <v>20</v>
      </c>
      <c r="AE592" s="19" t="s">
        <v>60</v>
      </c>
    </row>
    <row r="593" spans="1:31" x14ac:dyDescent="0.2">
      <c r="A593">
        <v>562</v>
      </c>
      <c r="B593" s="19" t="s">
        <v>833</v>
      </c>
      <c r="C593">
        <v>22</v>
      </c>
      <c r="D593" s="19" t="s">
        <v>428</v>
      </c>
      <c r="E593" s="19" t="s">
        <v>334</v>
      </c>
      <c r="F593">
        <v>13</v>
      </c>
      <c r="G593">
        <v>3</v>
      </c>
      <c r="H593">
        <v>4</v>
      </c>
      <c r="I593">
        <v>7</v>
      </c>
      <c r="J593">
        <v>-3</v>
      </c>
      <c r="K593">
        <v>0</v>
      </c>
      <c r="L593">
        <v>3</v>
      </c>
      <c r="M593">
        <v>0</v>
      </c>
      <c r="N593">
        <v>0</v>
      </c>
      <c r="O593">
        <v>0</v>
      </c>
      <c r="P593">
        <v>2</v>
      </c>
      <c r="Q593">
        <v>2</v>
      </c>
      <c r="R593">
        <v>0</v>
      </c>
      <c r="S593">
        <v>14</v>
      </c>
      <c r="T593">
        <v>21.4</v>
      </c>
      <c r="U593">
        <v>35</v>
      </c>
      <c r="V593" s="19" t="s">
        <v>1644</v>
      </c>
      <c r="W593" s="19" t="s">
        <v>643</v>
      </c>
      <c r="X593">
        <v>1</v>
      </c>
      <c r="Y593">
        <v>0</v>
      </c>
      <c r="Z593">
        <v>100</v>
      </c>
      <c r="AA593">
        <v>9</v>
      </c>
      <c r="AB593">
        <v>6</v>
      </c>
      <c r="AC593">
        <v>4</v>
      </c>
      <c r="AD593">
        <v>10</v>
      </c>
      <c r="AE593" s="19" t="s">
        <v>60</v>
      </c>
    </row>
    <row r="594" spans="1:31" x14ac:dyDescent="0.2">
      <c r="A594">
        <v>563</v>
      </c>
      <c r="B594" s="19" t="s">
        <v>1005</v>
      </c>
      <c r="C594">
        <v>33</v>
      </c>
      <c r="D594" s="19" t="s">
        <v>343</v>
      </c>
      <c r="E594" s="19" t="s">
        <v>339</v>
      </c>
      <c r="F594">
        <v>39</v>
      </c>
      <c r="G594">
        <v>2</v>
      </c>
      <c r="H594">
        <v>5</v>
      </c>
      <c r="I594">
        <v>7</v>
      </c>
      <c r="J594">
        <v>-1</v>
      </c>
      <c r="K594">
        <v>14</v>
      </c>
      <c r="L594">
        <v>2</v>
      </c>
      <c r="M594">
        <v>0</v>
      </c>
      <c r="N594">
        <v>0</v>
      </c>
      <c r="O594">
        <v>0</v>
      </c>
      <c r="P594">
        <v>5</v>
      </c>
      <c r="Q594">
        <v>0</v>
      </c>
      <c r="R594">
        <v>0</v>
      </c>
      <c r="S594">
        <v>64</v>
      </c>
      <c r="T594">
        <v>3.1</v>
      </c>
      <c r="U594">
        <v>113</v>
      </c>
      <c r="V594" s="19" t="s">
        <v>1862</v>
      </c>
      <c r="W594" s="19" t="s">
        <v>600</v>
      </c>
      <c r="X594">
        <v>8</v>
      </c>
      <c r="Y594">
        <v>20</v>
      </c>
      <c r="Z594">
        <v>28.6</v>
      </c>
      <c r="AA594">
        <v>17</v>
      </c>
      <c r="AB594">
        <v>9</v>
      </c>
      <c r="AC594">
        <v>8</v>
      </c>
      <c r="AD594">
        <v>26</v>
      </c>
      <c r="AE594" s="19" t="s">
        <v>60</v>
      </c>
    </row>
    <row r="595" spans="1:31" x14ac:dyDescent="0.2">
      <c r="A595">
        <v>564</v>
      </c>
      <c r="B595" s="19" t="s">
        <v>1082</v>
      </c>
      <c r="C595">
        <v>32</v>
      </c>
      <c r="D595" s="19" t="s">
        <v>406</v>
      </c>
      <c r="E595" s="19" t="s">
        <v>348</v>
      </c>
      <c r="F595">
        <v>52</v>
      </c>
      <c r="G595">
        <v>2</v>
      </c>
      <c r="H595">
        <v>5</v>
      </c>
      <c r="I595">
        <v>7</v>
      </c>
      <c r="J595">
        <v>-1</v>
      </c>
      <c r="K595">
        <v>25</v>
      </c>
      <c r="L595">
        <v>2</v>
      </c>
      <c r="M595">
        <v>0</v>
      </c>
      <c r="N595">
        <v>0</v>
      </c>
      <c r="O595">
        <v>0</v>
      </c>
      <c r="P595">
        <v>5</v>
      </c>
      <c r="Q595">
        <v>0</v>
      </c>
      <c r="R595">
        <v>0</v>
      </c>
      <c r="S595">
        <v>66</v>
      </c>
      <c r="T595">
        <v>3</v>
      </c>
      <c r="U595">
        <v>172</v>
      </c>
      <c r="V595" s="19" t="s">
        <v>2927</v>
      </c>
      <c r="W595" s="19" t="s">
        <v>2107</v>
      </c>
      <c r="X595">
        <v>0</v>
      </c>
      <c r="Y595">
        <v>0</v>
      </c>
      <c r="AA595">
        <v>98</v>
      </c>
      <c r="AB595">
        <v>87</v>
      </c>
      <c r="AC595">
        <v>9</v>
      </c>
      <c r="AD595">
        <v>36</v>
      </c>
      <c r="AE595" s="19" t="s">
        <v>60</v>
      </c>
    </row>
    <row r="596" spans="1:31" x14ac:dyDescent="0.2">
      <c r="A596">
        <v>565</v>
      </c>
      <c r="B596" s="19" t="s">
        <v>1139</v>
      </c>
      <c r="C596">
        <v>28</v>
      </c>
      <c r="D596" s="19" t="s">
        <v>398</v>
      </c>
      <c r="E596" s="19" t="s">
        <v>348</v>
      </c>
      <c r="F596">
        <v>53</v>
      </c>
      <c r="G596">
        <v>0</v>
      </c>
      <c r="H596">
        <v>7</v>
      </c>
      <c r="I596">
        <v>7</v>
      </c>
      <c r="J596">
        <v>-9</v>
      </c>
      <c r="K596">
        <v>35</v>
      </c>
      <c r="L596">
        <v>0</v>
      </c>
      <c r="M596">
        <v>0</v>
      </c>
      <c r="N596">
        <v>0</v>
      </c>
      <c r="O596">
        <v>0</v>
      </c>
      <c r="P596">
        <v>6</v>
      </c>
      <c r="Q596">
        <v>0</v>
      </c>
      <c r="R596">
        <v>1</v>
      </c>
      <c r="S596">
        <v>44</v>
      </c>
      <c r="T596">
        <v>0</v>
      </c>
      <c r="U596">
        <v>107</v>
      </c>
      <c r="V596" s="19" t="s">
        <v>2719</v>
      </c>
      <c r="W596" s="19" t="s">
        <v>2065</v>
      </c>
      <c r="X596">
        <v>0</v>
      </c>
      <c r="Y596">
        <v>0</v>
      </c>
      <c r="AA596">
        <v>88</v>
      </c>
      <c r="AB596">
        <v>75</v>
      </c>
      <c r="AC596">
        <v>18</v>
      </c>
      <c r="AD596">
        <v>69</v>
      </c>
      <c r="AE596" s="19" t="s">
        <v>60</v>
      </c>
    </row>
    <row r="597" spans="1:31" x14ac:dyDescent="0.2">
      <c r="A597">
        <v>566</v>
      </c>
      <c r="B597" s="19" t="s">
        <v>1589</v>
      </c>
      <c r="C597">
        <v>26</v>
      </c>
      <c r="D597" s="19" t="s">
        <v>375</v>
      </c>
      <c r="E597" s="19" t="s">
        <v>348</v>
      </c>
      <c r="F597">
        <v>17</v>
      </c>
      <c r="G597">
        <v>0</v>
      </c>
      <c r="H597">
        <v>7</v>
      </c>
      <c r="I597">
        <v>7</v>
      </c>
      <c r="J597">
        <v>7</v>
      </c>
      <c r="K597">
        <v>6</v>
      </c>
      <c r="L597">
        <v>0</v>
      </c>
      <c r="M597">
        <v>0</v>
      </c>
      <c r="N597">
        <v>0</v>
      </c>
      <c r="O597">
        <v>0</v>
      </c>
      <c r="P597">
        <v>7</v>
      </c>
      <c r="Q597">
        <v>0</v>
      </c>
      <c r="R597">
        <v>0</v>
      </c>
      <c r="S597">
        <v>16</v>
      </c>
      <c r="T597">
        <v>0</v>
      </c>
      <c r="U597">
        <v>34</v>
      </c>
      <c r="V597" s="19" t="s">
        <v>2360</v>
      </c>
      <c r="W597" s="19" t="s">
        <v>1610</v>
      </c>
      <c r="X597">
        <v>0</v>
      </c>
      <c r="Y597">
        <v>0</v>
      </c>
      <c r="AA597">
        <v>23</v>
      </c>
      <c r="AB597">
        <v>40</v>
      </c>
      <c r="AC597">
        <v>4</v>
      </c>
      <c r="AD597">
        <v>17</v>
      </c>
      <c r="AE597" s="19" t="s">
        <v>60</v>
      </c>
    </row>
    <row r="598" spans="1:31" x14ac:dyDescent="0.2">
      <c r="A598">
        <v>567</v>
      </c>
      <c r="B598" s="19" t="s">
        <v>1015</v>
      </c>
      <c r="C598">
        <v>24</v>
      </c>
      <c r="D598" s="19" t="s">
        <v>362</v>
      </c>
      <c r="E598" s="19" t="s">
        <v>348</v>
      </c>
      <c r="F598">
        <v>38</v>
      </c>
      <c r="G598">
        <v>0</v>
      </c>
      <c r="H598">
        <v>7</v>
      </c>
      <c r="I598">
        <v>7</v>
      </c>
      <c r="J598">
        <v>-3</v>
      </c>
      <c r="K598">
        <v>36</v>
      </c>
      <c r="L598">
        <v>0</v>
      </c>
      <c r="M598">
        <v>0</v>
      </c>
      <c r="N598">
        <v>0</v>
      </c>
      <c r="O598">
        <v>0</v>
      </c>
      <c r="P598">
        <v>7</v>
      </c>
      <c r="Q598">
        <v>0</v>
      </c>
      <c r="R598">
        <v>0</v>
      </c>
      <c r="S598">
        <v>12</v>
      </c>
      <c r="T598">
        <v>0</v>
      </c>
      <c r="U598">
        <v>59</v>
      </c>
      <c r="V598" s="19" t="s">
        <v>2223</v>
      </c>
      <c r="W598" s="19" t="s">
        <v>1723</v>
      </c>
      <c r="X598">
        <v>0</v>
      </c>
      <c r="Y598">
        <v>0</v>
      </c>
      <c r="AA598">
        <v>17</v>
      </c>
      <c r="AB598">
        <v>71</v>
      </c>
      <c r="AC598">
        <v>6</v>
      </c>
      <c r="AD598">
        <v>38</v>
      </c>
      <c r="AE598" s="19" t="s">
        <v>60</v>
      </c>
    </row>
    <row r="599" spans="1:31" x14ac:dyDescent="0.2">
      <c r="A599">
        <v>568</v>
      </c>
      <c r="B599" s="19" t="s">
        <v>1116</v>
      </c>
      <c r="C599">
        <v>32</v>
      </c>
      <c r="D599" s="19" t="s">
        <v>948</v>
      </c>
      <c r="E599" s="19" t="s">
        <v>348</v>
      </c>
      <c r="F599">
        <v>51</v>
      </c>
      <c r="G599">
        <v>1</v>
      </c>
      <c r="H599">
        <v>6</v>
      </c>
      <c r="I599">
        <v>7</v>
      </c>
      <c r="J599">
        <v>-3</v>
      </c>
      <c r="K599">
        <v>28</v>
      </c>
      <c r="L599">
        <v>1</v>
      </c>
      <c r="M599">
        <v>0</v>
      </c>
      <c r="N599">
        <v>0</v>
      </c>
      <c r="O599">
        <v>0</v>
      </c>
      <c r="P599">
        <v>6</v>
      </c>
      <c r="Q599">
        <v>0</v>
      </c>
      <c r="R599">
        <v>0</v>
      </c>
      <c r="S599">
        <v>57</v>
      </c>
      <c r="T599">
        <v>1.8</v>
      </c>
      <c r="U599">
        <v>146</v>
      </c>
      <c r="V599" s="19" t="s">
        <v>2361</v>
      </c>
      <c r="W599" s="19" t="s">
        <v>1952</v>
      </c>
      <c r="X599">
        <v>0</v>
      </c>
      <c r="Y599">
        <v>0</v>
      </c>
      <c r="AA599">
        <v>71</v>
      </c>
      <c r="AB599">
        <v>9</v>
      </c>
      <c r="AC599">
        <v>7</v>
      </c>
      <c r="AD599">
        <v>38</v>
      </c>
      <c r="AE599" s="19" t="s">
        <v>60</v>
      </c>
    </row>
    <row r="600" spans="1:31" x14ac:dyDescent="0.2">
      <c r="A600">
        <v>568</v>
      </c>
      <c r="B600" s="19" t="s">
        <v>1116</v>
      </c>
      <c r="C600">
        <v>32</v>
      </c>
      <c r="D600" s="19" t="s">
        <v>327</v>
      </c>
      <c r="E600" s="19" t="s">
        <v>348</v>
      </c>
      <c r="F600">
        <v>31</v>
      </c>
      <c r="G600">
        <v>0</v>
      </c>
      <c r="H600">
        <v>2</v>
      </c>
      <c r="I600">
        <v>2</v>
      </c>
      <c r="J600">
        <v>-7</v>
      </c>
      <c r="K600">
        <v>10</v>
      </c>
      <c r="L600">
        <v>0</v>
      </c>
      <c r="M600">
        <v>0</v>
      </c>
      <c r="N600">
        <v>0</v>
      </c>
      <c r="O600">
        <v>0</v>
      </c>
      <c r="P600">
        <v>2</v>
      </c>
      <c r="Q600">
        <v>0</v>
      </c>
      <c r="R600">
        <v>0</v>
      </c>
      <c r="S600">
        <v>33</v>
      </c>
      <c r="T600">
        <v>0</v>
      </c>
      <c r="U600">
        <v>87</v>
      </c>
      <c r="V600" s="19" t="s">
        <v>1539</v>
      </c>
      <c r="W600" s="19" t="s">
        <v>1540</v>
      </c>
      <c r="X600">
        <v>0</v>
      </c>
      <c r="Y600">
        <v>0</v>
      </c>
      <c r="AA600">
        <v>38</v>
      </c>
      <c r="AB600">
        <v>4</v>
      </c>
      <c r="AC600">
        <v>5</v>
      </c>
      <c r="AD600">
        <v>18</v>
      </c>
      <c r="AE600" s="19" t="s">
        <v>60</v>
      </c>
    </row>
    <row r="601" spans="1:31" x14ac:dyDescent="0.2">
      <c r="A601">
        <v>568</v>
      </c>
      <c r="B601" s="19" t="s">
        <v>1116</v>
      </c>
      <c r="C601">
        <v>32</v>
      </c>
      <c r="D601" s="19" t="s">
        <v>375</v>
      </c>
      <c r="E601" s="19" t="s">
        <v>348</v>
      </c>
      <c r="F601">
        <v>20</v>
      </c>
      <c r="G601">
        <v>1</v>
      </c>
      <c r="H601">
        <v>4</v>
      </c>
      <c r="I601">
        <v>5</v>
      </c>
      <c r="J601">
        <v>4</v>
      </c>
      <c r="K601">
        <v>18</v>
      </c>
      <c r="L601">
        <v>1</v>
      </c>
      <c r="M601">
        <v>0</v>
      </c>
      <c r="N601">
        <v>0</v>
      </c>
      <c r="O601">
        <v>0</v>
      </c>
      <c r="P601">
        <v>4</v>
      </c>
      <c r="Q601">
        <v>0</v>
      </c>
      <c r="R601">
        <v>0</v>
      </c>
      <c r="S601">
        <v>24</v>
      </c>
      <c r="T601">
        <v>4.2</v>
      </c>
      <c r="U601">
        <v>59</v>
      </c>
      <c r="V601" s="19" t="s">
        <v>2362</v>
      </c>
      <c r="W601" s="19" t="s">
        <v>1709</v>
      </c>
      <c r="X601">
        <v>0</v>
      </c>
      <c r="Y601">
        <v>0</v>
      </c>
      <c r="AA601">
        <v>33</v>
      </c>
      <c r="AB601">
        <v>5</v>
      </c>
      <c r="AC601">
        <v>2</v>
      </c>
      <c r="AD601">
        <v>20</v>
      </c>
      <c r="AE601" s="19" t="s">
        <v>60</v>
      </c>
    </row>
    <row r="602" spans="1:31" x14ac:dyDescent="0.2">
      <c r="A602">
        <v>569</v>
      </c>
      <c r="B602" s="19" t="s">
        <v>960</v>
      </c>
      <c r="C602">
        <v>29</v>
      </c>
      <c r="D602" s="19" t="s">
        <v>360</v>
      </c>
      <c r="E602" s="19" t="s">
        <v>348</v>
      </c>
      <c r="F602">
        <v>47</v>
      </c>
      <c r="G602">
        <v>3</v>
      </c>
      <c r="H602">
        <v>3</v>
      </c>
      <c r="I602">
        <v>6</v>
      </c>
      <c r="J602">
        <v>-3</v>
      </c>
      <c r="K602">
        <v>26</v>
      </c>
      <c r="L602">
        <v>3</v>
      </c>
      <c r="M602">
        <v>0</v>
      </c>
      <c r="N602">
        <v>0</v>
      </c>
      <c r="O602">
        <v>2</v>
      </c>
      <c r="P602">
        <v>3</v>
      </c>
      <c r="Q602">
        <v>0</v>
      </c>
      <c r="R602">
        <v>0</v>
      </c>
      <c r="S602">
        <v>47</v>
      </c>
      <c r="T602">
        <v>6.4</v>
      </c>
      <c r="U602">
        <v>119</v>
      </c>
      <c r="V602" s="19" t="s">
        <v>2276</v>
      </c>
      <c r="W602" s="19" t="s">
        <v>1527</v>
      </c>
      <c r="X602">
        <v>0</v>
      </c>
      <c r="Y602">
        <v>0</v>
      </c>
      <c r="AA602">
        <v>64</v>
      </c>
      <c r="AB602">
        <v>67</v>
      </c>
      <c r="AC602">
        <v>11</v>
      </c>
      <c r="AD602">
        <v>43</v>
      </c>
      <c r="AE602" s="19" t="s">
        <v>60</v>
      </c>
    </row>
    <row r="603" spans="1:31" x14ac:dyDescent="0.2">
      <c r="A603">
        <v>570</v>
      </c>
      <c r="B603" s="19" t="s">
        <v>1290</v>
      </c>
      <c r="C603">
        <v>20</v>
      </c>
      <c r="D603" s="19" t="s">
        <v>404</v>
      </c>
      <c r="E603" s="19" t="s">
        <v>339</v>
      </c>
      <c r="F603">
        <v>26</v>
      </c>
      <c r="G603">
        <v>3</v>
      </c>
      <c r="H603">
        <v>3</v>
      </c>
      <c r="I603">
        <v>6</v>
      </c>
      <c r="J603">
        <v>2</v>
      </c>
      <c r="K603">
        <v>8</v>
      </c>
      <c r="L603">
        <v>2</v>
      </c>
      <c r="M603">
        <v>1</v>
      </c>
      <c r="N603">
        <v>0</v>
      </c>
      <c r="O603">
        <v>0</v>
      </c>
      <c r="P603">
        <v>1</v>
      </c>
      <c r="Q603">
        <v>2</v>
      </c>
      <c r="R603">
        <v>0</v>
      </c>
      <c r="S603">
        <v>40</v>
      </c>
      <c r="T603">
        <v>7.5</v>
      </c>
      <c r="U603">
        <v>88</v>
      </c>
      <c r="V603" s="19" t="s">
        <v>2720</v>
      </c>
      <c r="W603" s="19" t="s">
        <v>2094</v>
      </c>
      <c r="X603">
        <v>6</v>
      </c>
      <c r="Y603">
        <v>12</v>
      </c>
      <c r="Z603">
        <v>33.299999999999997</v>
      </c>
      <c r="AA603">
        <v>17</v>
      </c>
      <c r="AB603">
        <v>15</v>
      </c>
      <c r="AC603">
        <v>4</v>
      </c>
      <c r="AD603">
        <v>13</v>
      </c>
      <c r="AE603" s="19" t="s">
        <v>60</v>
      </c>
    </row>
    <row r="604" spans="1:31" x14ac:dyDescent="0.2">
      <c r="A604">
        <v>571</v>
      </c>
      <c r="B604" s="19" t="s">
        <v>858</v>
      </c>
      <c r="C604">
        <v>28</v>
      </c>
      <c r="D604" s="19" t="s">
        <v>365</v>
      </c>
      <c r="E604" s="19" t="s">
        <v>334</v>
      </c>
      <c r="F604">
        <v>54</v>
      </c>
      <c r="G604">
        <v>4</v>
      </c>
      <c r="H604">
        <v>2</v>
      </c>
      <c r="I604">
        <v>6</v>
      </c>
      <c r="J604">
        <v>-4</v>
      </c>
      <c r="K604">
        <v>58</v>
      </c>
      <c r="L604">
        <v>3</v>
      </c>
      <c r="M604">
        <v>0</v>
      </c>
      <c r="N604">
        <v>1</v>
      </c>
      <c r="O604">
        <v>0</v>
      </c>
      <c r="P604">
        <v>2</v>
      </c>
      <c r="Q604">
        <v>0</v>
      </c>
      <c r="R604">
        <v>0</v>
      </c>
      <c r="S604">
        <v>38</v>
      </c>
      <c r="T604">
        <v>10.5</v>
      </c>
      <c r="U604">
        <v>88</v>
      </c>
      <c r="V604" s="19" t="s">
        <v>2721</v>
      </c>
      <c r="W604" s="19" t="s">
        <v>1829</v>
      </c>
      <c r="X604">
        <v>10</v>
      </c>
      <c r="Y604">
        <v>22</v>
      </c>
      <c r="Z604">
        <v>31.3</v>
      </c>
      <c r="AA604">
        <v>36</v>
      </c>
      <c r="AB604">
        <v>106</v>
      </c>
      <c r="AC604">
        <v>6</v>
      </c>
      <c r="AD604">
        <v>16</v>
      </c>
      <c r="AE604" s="19" t="s">
        <v>60</v>
      </c>
    </row>
    <row r="605" spans="1:31" x14ac:dyDescent="0.2">
      <c r="A605">
        <v>572</v>
      </c>
      <c r="B605" s="19" t="s">
        <v>1047</v>
      </c>
      <c r="C605">
        <v>31</v>
      </c>
      <c r="D605" s="19" t="s">
        <v>380</v>
      </c>
      <c r="E605" s="19" t="s">
        <v>322</v>
      </c>
      <c r="F605">
        <v>25</v>
      </c>
      <c r="G605">
        <v>2</v>
      </c>
      <c r="H605">
        <v>4</v>
      </c>
      <c r="I605">
        <v>6</v>
      </c>
      <c r="J605">
        <v>-1</v>
      </c>
      <c r="K605">
        <v>12</v>
      </c>
      <c r="L605">
        <v>0</v>
      </c>
      <c r="M605">
        <v>0</v>
      </c>
      <c r="N605">
        <v>2</v>
      </c>
      <c r="O605">
        <v>1</v>
      </c>
      <c r="P605">
        <v>4</v>
      </c>
      <c r="Q605">
        <v>0</v>
      </c>
      <c r="R605">
        <v>0</v>
      </c>
      <c r="S605">
        <v>29</v>
      </c>
      <c r="T605">
        <v>6.9</v>
      </c>
      <c r="U605">
        <v>61</v>
      </c>
      <c r="V605" s="19" t="s">
        <v>2182</v>
      </c>
      <c r="W605" s="19" t="s">
        <v>1682</v>
      </c>
      <c r="X605">
        <v>103</v>
      </c>
      <c r="Y605">
        <v>78</v>
      </c>
      <c r="Z605">
        <v>56.9</v>
      </c>
      <c r="AA605">
        <v>21</v>
      </c>
      <c r="AB605">
        <v>44</v>
      </c>
      <c r="AC605">
        <v>6</v>
      </c>
      <c r="AD605">
        <v>7</v>
      </c>
      <c r="AE605" s="19" t="s">
        <v>60</v>
      </c>
    </row>
    <row r="606" spans="1:31" x14ac:dyDescent="0.2">
      <c r="A606">
        <v>573</v>
      </c>
      <c r="B606" s="19" t="s">
        <v>979</v>
      </c>
      <c r="C606">
        <v>34</v>
      </c>
      <c r="D606" s="19" t="s">
        <v>436</v>
      </c>
      <c r="E606" s="19" t="s">
        <v>348</v>
      </c>
      <c r="F606">
        <v>49</v>
      </c>
      <c r="G606">
        <v>0</v>
      </c>
      <c r="H606">
        <v>6</v>
      </c>
      <c r="I606">
        <v>6</v>
      </c>
      <c r="J606">
        <v>-5</v>
      </c>
      <c r="K606">
        <v>27</v>
      </c>
      <c r="L606">
        <v>0</v>
      </c>
      <c r="M606">
        <v>0</v>
      </c>
      <c r="N606">
        <v>0</v>
      </c>
      <c r="O606">
        <v>0</v>
      </c>
      <c r="P606">
        <v>6</v>
      </c>
      <c r="Q606">
        <v>0</v>
      </c>
      <c r="R606">
        <v>0</v>
      </c>
      <c r="S606">
        <v>28</v>
      </c>
      <c r="T606">
        <v>0</v>
      </c>
      <c r="U606">
        <v>87</v>
      </c>
      <c r="V606" s="19" t="s">
        <v>2363</v>
      </c>
      <c r="W606" s="19" t="s">
        <v>1964</v>
      </c>
      <c r="X606">
        <v>0</v>
      </c>
      <c r="Y606">
        <v>0</v>
      </c>
      <c r="AA606">
        <v>61</v>
      </c>
      <c r="AB606">
        <v>33</v>
      </c>
      <c r="AC606">
        <v>7</v>
      </c>
      <c r="AD606">
        <v>40</v>
      </c>
      <c r="AE606" s="19" t="s">
        <v>60</v>
      </c>
    </row>
    <row r="607" spans="1:31" x14ac:dyDescent="0.2">
      <c r="A607">
        <v>574</v>
      </c>
      <c r="B607" s="19" t="s">
        <v>1363</v>
      </c>
      <c r="C607">
        <v>24</v>
      </c>
      <c r="D607" s="19" t="s">
        <v>343</v>
      </c>
      <c r="E607" s="19" t="s">
        <v>334</v>
      </c>
      <c r="F607">
        <v>21</v>
      </c>
      <c r="G607">
        <v>2</v>
      </c>
      <c r="H607">
        <v>4</v>
      </c>
      <c r="I607">
        <v>6</v>
      </c>
      <c r="J607">
        <v>0</v>
      </c>
      <c r="K607">
        <v>10</v>
      </c>
      <c r="L607">
        <v>2</v>
      </c>
      <c r="M607">
        <v>0</v>
      </c>
      <c r="N607">
        <v>0</v>
      </c>
      <c r="O607">
        <v>0</v>
      </c>
      <c r="P607">
        <v>4</v>
      </c>
      <c r="Q607">
        <v>0</v>
      </c>
      <c r="R607">
        <v>0</v>
      </c>
      <c r="S607">
        <v>22</v>
      </c>
      <c r="T607">
        <v>9.1</v>
      </c>
      <c r="U607">
        <v>48</v>
      </c>
      <c r="V607" s="19" t="s">
        <v>2722</v>
      </c>
      <c r="W607" s="19" t="s">
        <v>1676</v>
      </c>
      <c r="X607">
        <v>2</v>
      </c>
      <c r="Y607">
        <v>9</v>
      </c>
      <c r="Z607">
        <v>18.2</v>
      </c>
      <c r="AA607">
        <v>10</v>
      </c>
      <c r="AB607">
        <v>14</v>
      </c>
      <c r="AC607">
        <v>1</v>
      </c>
      <c r="AD607">
        <v>14</v>
      </c>
      <c r="AE607" s="19" t="s">
        <v>60</v>
      </c>
    </row>
    <row r="608" spans="1:31" x14ac:dyDescent="0.2">
      <c r="A608">
        <v>575</v>
      </c>
      <c r="B608" s="19" t="s">
        <v>1376</v>
      </c>
      <c r="C608">
        <v>31</v>
      </c>
      <c r="D608" s="19" t="s">
        <v>447</v>
      </c>
      <c r="E608" s="19" t="s">
        <v>322</v>
      </c>
      <c r="F608">
        <v>30</v>
      </c>
      <c r="G608">
        <v>2</v>
      </c>
      <c r="H608">
        <v>4</v>
      </c>
      <c r="I608">
        <v>6</v>
      </c>
      <c r="J608">
        <v>-7</v>
      </c>
      <c r="K608">
        <v>6</v>
      </c>
      <c r="L608">
        <v>2</v>
      </c>
      <c r="M608">
        <v>0</v>
      </c>
      <c r="N608">
        <v>0</v>
      </c>
      <c r="O608">
        <v>0</v>
      </c>
      <c r="P608">
        <v>4</v>
      </c>
      <c r="Q608">
        <v>0</v>
      </c>
      <c r="R608">
        <v>0</v>
      </c>
      <c r="S608">
        <v>29</v>
      </c>
      <c r="T608">
        <v>6.9</v>
      </c>
      <c r="U608">
        <v>51</v>
      </c>
      <c r="V608" s="19" t="s">
        <v>2247</v>
      </c>
      <c r="W608" s="19" t="s">
        <v>2095</v>
      </c>
      <c r="X608">
        <v>225</v>
      </c>
      <c r="Y608">
        <v>204</v>
      </c>
      <c r="Z608">
        <v>52.4</v>
      </c>
      <c r="AA608">
        <v>16</v>
      </c>
      <c r="AB608">
        <v>34</v>
      </c>
      <c r="AC608">
        <v>5</v>
      </c>
      <c r="AD608">
        <v>14</v>
      </c>
      <c r="AE608" s="19" t="s">
        <v>60</v>
      </c>
    </row>
    <row r="609" spans="1:31" x14ac:dyDescent="0.2">
      <c r="A609">
        <v>576</v>
      </c>
      <c r="B609" s="19" t="s">
        <v>922</v>
      </c>
      <c r="C609">
        <v>26</v>
      </c>
      <c r="D609" s="19" t="s">
        <v>380</v>
      </c>
      <c r="E609" s="19" t="s">
        <v>322</v>
      </c>
      <c r="F609">
        <v>38</v>
      </c>
      <c r="G609">
        <v>1</v>
      </c>
      <c r="H609">
        <v>5</v>
      </c>
      <c r="I609">
        <v>6</v>
      </c>
      <c r="J609">
        <v>-5</v>
      </c>
      <c r="K609">
        <v>4</v>
      </c>
      <c r="L609">
        <v>1</v>
      </c>
      <c r="M609">
        <v>0</v>
      </c>
      <c r="N609">
        <v>0</v>
      </c>
      <c r="O609">
        <v>0</v>
      </c>
      <c r="P609">
        <v>5</v>
      </c>
      <c r="Q609">
        <v>0</v>
      </c>
      <c r="R609">
        <v>0</v>
      </c>
      <c r="S609">
        <v>32</v>
      </c>
      <c r="T609">
        <v>3.1</v>
      </c>
      <c r="U609">
        <v>51</v>
      </c>
      <c r="V609" s="19" t="s">
        <v>2928</v>
      </c>
      <c r="W609" s="19" t="s">
        <v>1626</v>
      </c>
      <c r="X609">
        <v>105</v>
      </c>
      <c r="Y609">
        <v>90</v>
      </c>
      <c r="Z609">
        <v>53.8</v>
      </c>
      <c r="AA609">
        <v>17</v>
      </c>
      <c r="AB609">
        <v>19</v>
      </c>
      <c r="AC609">
        <v>4</v>
      </c>
      <c r="AD609">
        <v>23</v>
      </c>
      <c r="AE609" s="19" t="s">
        <v>60</v>
      </c>
    </row>
    <row r="610" spans="1:31" x14ac:dyDescent="0.2">
      <c r="A610">
        <v>577</v>
      </c>
      <c r="B610" s="19" t="s">
        <v>1065</v>
      </c>
      <c r="C610">
        <v>25</v>
      </c>
      <c r="D610" s="19" t="s">
        <v>333</v>
      </c>
      <c r="E610" s="19" t="s">
        <v>348</v>
      </c>
      <c r="F610">
        <v>26</v>
      </c>
      <c r="G610">
        <v>2</v>
      </c>
      <c r="H610">
        <v>4</v>
      </c>
      <c r="I610">
        <v>6</v>
      </c>
      <c r="J610">
        <v>6</v>
      </c>
      <c r="K610">
        <v>12</v>
      </c>
      <c r="L610">
        <v>2</v>
      </c>
      <c r="M610">
        <v>0</v>
      </c>
      <c r="N610">
        <v>0</v>
      </c>
      <c r="O610">
        <v>0</v>
      </c>
      <c r="P610">
        <v>4</v>
      </c>
      <c r="Q610">
        <v>0</v>
      </c>
      <c r="R610">
        <v>0</v>
      </c>
      <c r="S610">
        <v>24</v>
      </c>
      <c r="T610">
        <v>8.3000000000000007</v>
      </c>
      <c r="U610">
        <v>61</v>
      </c>
      <c r="V610" s="19" t="s">
        <v>2723</v>
      </c>
      <c r="W610" s="19" t="s">
        <v>1997</v>
      </c>
      <c r="X610">
        <v>0</v>
      </c>
      <c r="Y610">
        <v>0</v>
      </c>
      <c r="AA610">
        <v>27</v>
      </c>
      <c r="AB610">
        <v>20</v>
      </c>
      <c r="AC610">
        <v>4</v>
      </c>
      <c r="AD610">
        <v>28</v>
      </c>
      <c r="AE610" s="19" t="s">
        <v>60</v>
      </c>
    </row>
    <row r="611" spans="1:31" x14ac:dyDescent="0.2">
      <c r="A611">
        <v>578</v>
      </c>
      <c r="B611" s="19" t="s">
        <v>878</v>
      </c>
      <c r="C611">
        <v>24</v>
      </c>
      <c r="D611" s="19" t="s">
        <v>351</v>
      </c>
      <c r="E611" s="19" t="s">
        <v>348</v>
      </c>
      <c r="F611">
        <v>32</v>
      </c>
      <c r="G611">
        <v>2</v>
      </c>
      <c r="H611">
        <v>4</v>
      </c>
      <c r="I611">
        <v>6</v>
      </c>
      <c r="J611">
        <v>9</v>
      </c>
      <c r="K611">
        <v>43</v>
      </c>
      <c r="L611">
        <v>2</v>
      </c>
      <c r="M611">
        <v>0</v>
      </c>
      <c r="N611">
        <v>0</v>
      </c>
      <c r="O611">
        <v>0</v>
      </c>
      <c r="P611">
        <v>4</v>
      </c>
      <c r="Q611">
        <v>0</v>
      </c>
      <c r="R611">
        <v>0</v>
      </c>
      <c r="S611">
        <v>24</v>
      </c>
      <c r="T611">
        <v>8.3000000000000007</v>
      </c>
      <c r="U611">
        <v>62</v>
      </c>
      <c r="V611" s="19" t="s">
        <v>1558</v>
      </c>
      <c r="W611" s="19" t="s">
        <v>1511</v>
      </c>
      <c r="X611">
        <v>0</v>
      </c>
      <c r="Y611">
        <v>0</v>
      </c>
      <c r="AA611">
        <v>33</v>
      </c>
      <c r="AB611">
        <v>53</v>
      </c>
      <c r="AC611">
        <v>5</v>
      </c>
      <c r="AD611">
        <v>25</v>
      </c>
      <c r="AE611" s="19" t="s">
        <v>60</v>
      </c>
    </row>
    <row r="612" spans="1:31" x14ac:dyDescent="0.2">
      <c r="A612">
        <v>579</v>
      </c>
      <c r="B612" s="19" t="s">
        <v>1068</v>
      </c>
      <c r="C612">
        <v>18</v>
      </c>
      <c r="D612" s="19" t="s">
        <v>324</v>
      </c>
      <c r="E612" s="19" t="s">
        <v>325</v>
      </c>
      <c r="F612">
        <v>14</v>
      </c>
      <c r="G612">
        <v>1</v>
      </c>
      <c r="H612">
        <v>5</v>
      </c>
      <c r="I612">
        <v>6</v>
      </c>
      <c r="J612">
        <v>1</v>
      </c>
      <c r="K612">
        <v>2</v>
      </c>
      <c r="L612">
        <v>1</v>
      </c>
      <c r="M612">
        <v>0</v>
      </c>
      <c r="N612">
        <v>0</v>
      </c>
      <c r="O612">
        <v>0</v>
      </c>
      <c r="P612">
        <v>4</v>
      </c>
      <c r="Q612">
        <v>1</v>
      </c>
      <c r="R612">
        <v>0</v>
      </c>
      <c r="S612">
        <v>20</v>
      </c>
      <c r="T612">
        <v>5</v>
      </c>
      <c r="U612">
        <v>36</v>
      </c>
      <c r="V612" s="19" t="s">
        <v>2724</v>
      </c>
      <c r="W612" s="19" t="s">
        <v>1557</v>
      </c>
      <c r="X612">
        <v>46</v>
      </c>
      <c r="Y612">
        <v>49</v>
      </c>
      <c r="Z612">
        <v>48.4</v>
      </c>
      <c r="AA612">
        <v>9</v>
      </c>
      <c r="AB612">
        <v>3</v>
      </c>
      <c r="AC612">
        <v>0</v>
      </c>
      <c r="AD612">
        <v>10</v>
      </c>
      <c r="AE612" s="19" t="s">
        <v>60</v>
      </c>
    </row>
    <row r="613" spans="1:31" x14ac:dyDescent="0.2">
      <c r="A613">
        <v>580</v>
      </c>
      <c r="B613" s="19" t="s">
        <v>1229</v>
      </c>
      <c r="C613">
        <v>23</v>
      </c>
      <c r="D613" s="19" t="s">
        <v>360</v>
      </c>
      <c r="E613" s="19" t="s">
        <v>348</v>
      </c>
      <c r="F613">
        <v>26</v>
      </c>
      <c r="G613">
        <v>0</v>
      </c>
      <c r="H613">
        <v>6</v>
      </c>
      <c r="I613">
        <v>6</v>
      </c>
      <c r="J613">
        <v>-2</v>
      </c>
      <c r="K613">
        <v>2</v>
      </c>
      <c r="L613">
        <v>0</v>
      </c>
      <c r="M613">
        <v>0</v>
      </c>
      <c r="N613">
        <v>0</v>
      </c>
      <c r="O613">
        <v>0</v>
      </c>
      <c r="P613">
        <v>4</v>
      </c>
      <c r="Q613">
        <v>2</v>
      </c>
      <c r="R613">
        <v>0</v>
      </c>
      <c r="S613">
        <v>22</v>
      </c>
      <c r="T613">
        <v>0</v>
      </c>
      <c r="U613">
        <v>81</v>
      </c>
      <c r="V613" s="19" t="s">
        <v>2929</v>
      </c>
      <c r="W613" s="19" t="s">
        <v>2010</v>
      </c>
      <c r="X613">
        <v>0</v>
      </c>
      <c r="Y613">
        <v>0</v>
      </c>
      <c r="AA613">
        <v>27</v>
      </c>
      <c r="AB613">
        <v>9</v>
      </c>
      <c r="AC613">
        <v>4</v>
      </c>
      <c r="AD613">
        <v>19</v>
      </c>
      <c r="AE613" s="19" t="s">
        <v>60</v>
      </c>
    </row>
    <row r="614" spans="1:31" x14ac:dyDescent="0.2">
      <c r="A614">
        <v>581</v>
      </c>
      <c r="B614" s="19" t="s">
        <v>929</v>
      </c>
      <c r="C614">
        <v>24</v>
      </c>
      <c r="D614" s="19" t="s">
        <v>324</v>
      </c>
      <c r="E614" s="19" t="s">
        <v>348</v>
      </c>
      <c r="F614">
        <v>23</v>
      </c>
      <c r="G614">
        <v>2</v>
      </c>
      <c r="H614">
        <v>4</v>
      </c>
      <c r="I614">
        <v>6</v>
      </c>
      <c r="J614">
        <v>-4</v>
      </c>
      <c r="K614">
        <v>12</v>
      </c>
      <c r="L614">
        <v>2</v>
      </c>
      <c r="M614">
        <v>0</v>
      </c>
      <c r="N614">
        <v>0</v>
      </c>
      <c r="O614">
        <v>0</v>
      </c>
      <c r="P614">
        <v>4</v>
      </c>
      <c r="Q614">
        <v>0</v>
      </c>
      <c r="R614">
        <v>0</v>
      </c>
      <c r="S614">
        <v>18</v>
      </c>
      <c r="T614">
        <v>11.1</v>
      </c>
      <c r="U614">
        <v>48</v>
      </c>
      <c r="V614" s="19" t="s">
        <v>1793</v>
      </c>
      <c r="W614" s="19" t="s">
        <v>939</v>
      </c>
      <c r="X614">
        <v>0</v>
      </c>
      <c r="Y614">
        <v>0</v>
      </c>
      <c r="AA614">
        <v>27</v>
      </c>
      <c r="AB614">
        <v>11</v>
      </c>
      <c r="AC614">
        <v>3</v>
      </c>
      <c r="AD614">
        <v>25</v>
      </c>
      <c r="AE614" s="19" t="s">
        <v>60</v>
      </c>
    </row>
    <row r="615" spans="1:31" x14ac:dyDescent="0.2">
      <c r="A615">
        <v>582</v>
      </c>
      <c r="B615" s="19" t="s">
        <v>1001</v>
      </c>
      <c r="C615">
        <v>21</v>
      </c>
      <c r="D615" s="19" t="s">
        <v>531</v>
      </c>
      <c r="E615" s="19" t="s">
        <v>334</v>
      </c>
      <c r="F615">
        <v>24</v>
      </c>
      <c r="G615">
        <v>4</v>
      </c>
      <c r="H615">
        <v>2</v>
      </c>
      <c r="I615">
        <v>6</v>
      </c>
      <c r="J615">
        <v>1</v>
      </c>
      <c r="K615">
        <v>6</v>
      </c>
      <c r="L615">
        <v>3</v>
      </c>
      <c r="M615">
        <v>1</v>
      </c>
      <c r="N615">
        <v>0</v>
      </c>
      <c r="O615">
        <v>0</v>
      </c>
      <c r="P615">
        <v>1</v>
      </c>
      <c r="Q615">
        <v>1</v>
      </c>
      <c r="R615">
        <v>0</v>
      </c>
      <c r="S615">
        <v>31</v>
      </c>
      <c r="T615">
        <v>12.9</v>
      </c>
      <c r="U615">
        <v>68</v>
      </c>
      <c r="V615" s="19" t="s">
        <v>1657</v>
      </c>
      <c r="W615" s="19" t="s">
        <v>1579</v>
      </c>
      <c r="X615">
        <v>2</v>
      </c>
      <c r="Y615">
        <v>4</v>
      </c>
      <c r="Z615">
        <v>33.299999999999997</v>
      </c>
      <c r="AA615">
        <v>4</v>
      </c>
      <c r="AB615">
        <v>20</v>
      </c>
      <c r="AC615">
        <v>1</v>
      </c>
      <c r="AD615">
        <v>13</v>
      </c>
      <c r="AE615" s="19" t="s">
        <v>60</v>
      </c>
    </row>
    <row r="616" spans="1:31" x14ac:dyDescent="0.2">
      <c r="A616">
        <v>583</v>
      </c>
      <c r="B616" s="19" t="s">
        <v>1438</v>
      </c>
      <c r="C616">
        <v>22</v>
      </c>
      <c r="D616" s="19" t="s">
        <v>948</v>
      </c>
      <c r="E616" s="19" t="s">
        <v>339</v>
      </c>
      <c r="F616">
        <v>40</v>
      </c>
      <c r="G616">
        <v>3</v>
      </c>
      <c r="H616">
        <v>3</v>
      </c>
      <c r="I616">
        <v>6</v>
      </c>
      <c r="J616">
        <v>-6</v>
      </c>
      <c r="K616">
        <v>0</v>
      </c>
      <c r="L616">
        <v>3</v>
      </c>
      <c r="M616">
        <v>0</v>
      </c>
      <c r="N616">
        <v>0</v>
      </c>
      <c r="O616">
        <v>0</v>
      </c>
      <c r="P616">
        <v>3</v>
      </c>
      <c r="Q616">
        <v>0</v>
      </c>
      <c r="R616">
        <v>0</v>
      </c>
      <c r="S616">
        <v>52</v>
      </c>
      <c r="T616">
        <v>5.8</v>
      </c>
      <c r="U616">
        <v>117</v>
      </c>
      <c r="V616" s="19" t="s">
        <v>2725</v>
      </c>
      <c r="W616" s="19" t="s">
        <v>1979</v>
      </c>
      <c r="X616">
        <v>6</v>
      </c>
      <c r="Y616">
        <v>5</v>
      </c>
      <c r="Z616">
        <v>54.5</v>
      </c>
      <c r="AA616">
        <v>21</v>
      </c>
      <c r="AB616">
        <v>52</v>
      </c>
      <c r="AC616">
        <v>5</v>
      </c>
      <c r="AD616">
        <v>18</v>
      </c>
      <c r="AE616" s="19" t="s">
        <v>60</v>
      </c>
    </row>
    <row r="617" spans="1:31" x14ac:dyDescent="0.2">
      <c r="A617">
        <v>583</v>
      </c>
      <c r="B617" s="19" t="s">
        <v>1438</v>
      </c>
      <c r="C617">
        <v>22</v>
      </c>
      <c r="D617" s="19" t="s">
        <v>356</v>
      </c>
      <c r="E617" s="19" t="s">
        <v>339</v>
      </c>
      <c r="F617">
        <v>18</v>
      </c>
      <c r="G617">
        <v>0</v>
      </c>
      <c r="H617">
        <v>0</v>
      </c>
      <c r="I617">
        <v>0</v>
      </c>
      <c r="J617">
        <v>-3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18</v>
      </c>
      <c r="T617">
        <v>0</v>
      </c>
      <c r="U617">
        <v>40</v>
      </c>
      <c r="V617" s="19" t="s">
        <v>1550</v>
      </c>
      <c r="W617" s="19" t="s">
        <v>1393</v>
      </c>
      <c r="X617">
        <v>2</v>
      </c>
      <c r="Y617">
        <v>1</v>
      </c>
      <c r="Z617">
        <v>66.7</v>
      </c>
      <c r="AA617">
        <v>8</v>
      </c>
      <c r="AB617">
        <v>29</v>
      </c>
      <c r="AC617">
        <v>1</v>
      </c>
      <c r="AD617">
        <v>7</v>
      </c>
      <c r="AE617" s="19" t="s">
        <v>60</v>
      </c>
    </row>
    <row r="618" spans="1:31" x14ac:dyDescent="0.2">
      <c r="A618">
        <v>583</v>
      </c>
      <c r="B618" s="19" t="s">
        <v>1438</v>
      </c>
      <c r="C618">
        <v>22</v>
      </c>
      <c r="D618" s="19" t="s">
        <v>447</v>
      </c>
      <c r="E618" s="19" t="s">
        <v>339</v>
      </c>
      <c r="F618">
        <v>22</v>
      </c>
      <c r="G618">
        <v>3</v>
      </c>
      <c r="H618">
        <v>3</v>
      </c>
      <c r="I618">
        <v>6</v>
      </c>
      <c r="J618">
        <v>-3</v>
      </c>
      <c r="K618">
        <v>0</v>
      </c>
      <c r="L618">
        <v>3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34</v>
      </c>
      <c r="T618">
        <v>8.8000000000000007</v>
      </c>
      <c r="U618">
        <v>77</v>
      </c>
      <c r="V618" s="19" t="s">
        <v>2726</v>
      </c>
      <c r="W618" s="19" t="s">
        <v>972</v>
      </c>
      <c r="X618">
        <v>4</v>
      </c>
      <c r="Y618">
        <v>4</v>
      </c>
      <c r="Z618">
        <v>50</v>
      </c>
      <c r="AA618">
        <v>13</v>
      </c>
      <c r="AB618">
        <v>23</v>
      </c>
      <c r="AC618">
        <v>4</v>
      </c>
      <c r="AD618">
        <v>11</v>
      </c>
      <c r="AE618" s="19" t="s">
        <v>60</v>
      </c>
    </row>
    <row r="619" spans="1:31" x14ac:dyDescent="0.2">
      <c r="A619">
        <v>584</v>
      </c>
      <c r="B619" s="19" t="s">
        <v>1077</v>
      </c>
      <c r="C619">
        <v>31</v>
      </c>
      <c r="D619" s="19" t="s">
        <v>398</v>
      </c>
      <c r="E619" s="19" t="s">
        <v>348</v>
      </c>
      <c r="F619">
        <v>29</v>
      </c>
      <c r="G619">
        <v>1</v>
      </c>
      <c r="H619">
        <v>5</v>
      </c>
      <c r="I619">
        <v>6</v>
      </c>
      <c r="J619">
        <v>-10</v>
      </c>
      <c r="K619">
        <v>4</v>
      </c>
      <c r="L619">
        <v>1</v>
      </c>
      <c r="M619">
        <v>0</v>
      </c>
      <c r="N619">
        <v>0</v>
      </c>
      <c r="O619">
        <v>0</v>
      </c>
      <c r="P619">
        <v>5</v>
      </c>
      <c r="Q619">
        <v>0</v>
      </c>
      <c r="R619">
        <v>0</v>
      </c>
      <c r="S619">
        <v>37</v>
      </c>
      <c r="T619">
        <v>2.7</v>
      </c>
      <c r="U619">
        <v>74</v>
      </c>
      <c r="V619" s="19" t="s">
        <v>2727</v>
      </c>
      <c r="W619" s="19" t="s">
        <v>1959</v>
      </c>
      <c r="X619">
        <v>0</v>
      </c>
      <c r="Y619">
        <v>0</v>
      </c>
      <c r="AA619">
        <v>66</v>
      </c>
      <c r="AB619">
        <v>10</v>
      </c>
      <c r="AC619">
        <v>12</v>
      </c>
      <c r="AD619">
        <v>14</v>
      </c>
      <c r="AE619" s="19" t="s">
        <v>60</v>
      </c>
    </row>
    <row r="620" spans="1:31" x14ac:dyDescent="0.2">
      <c r="A620">
        <v>585</v>
      </c>
      <c r="B620" s="19" t="s">
        <v>1004</v>
      </c>
      <c r="C620">
        <v>25</v>
      </c>
      <c r="D620" s="19" t="s">
        <v>343</v>
      </c>
      <c r="E620" s="19" t="s">
        <v>339</v>
      </c>
      <c r="F620">
        <v>36</v>
      </c>
      <c r="G620">
        <v>2</v>
      </c>
      <c r="H620">
        <v>4</v>
      </c>
      <c r="I620">
        <v>6</v>
      </c>
      <c r="J620">
        <v>-4</v>
      </c>
      <c r="K620">
        <v>12</v>
      </c>
      <c r="L620">
        <v>2</v>
      </c>
      <c r="M620">
        <v>0</v>
      </c>
      <c r="N620">
        <v>0</v>
      </c>
      <c r="O620">
        <v>0</v>
      </c>
      <c r="P620">
        <v>4</v>
      </c>
      <c r="Q620">
        <v>0</v>
      </c>
      <c r="R620">
        <v>0</v>
      </c>
      <c r="S620">
        <v>24</v>
      </c>
      <c r="T620">
        <v>8.3000000000000007</v>
      </c>
      <c r="U620">
        <v>57</v>
      </c>
      <c r="V620" s="19" t="s">
        <v>2728</v>
      </c>
      <c r="W620" s="19" t="s">
        <v>1796</v>
      </c>
      <c r="X620">
        <v>4</v>
      </c>
      <c r="Y620">
        <v>4</v>
      </c>
      <c r="Z620">
        <v>50</v>
      </c>
      <c r="AA620">
        <v>6</v>
      </c>
      <c r="AB620">
        <v>68</v>
      </c>
      <c r="AC620">
        <v>3</v>
      </c>
      <c r="AD620">
        <v>15</v>
      </c>
      <c r="AE620" s="19" t="s">
        <v>60</v>
      </c>
    </row>
    <row r="621" spans="1:31" x14ac:dyDescent="0.2">
      <c r="A621">
        <v>586</v>
      </c>
      <c r="B621" s="19" t="s">
        <v>1249</v>
      </c>
      <c r="C621">
        <v>22</v>
      </c>
      <c r="D621" s="19" t="s">
        <v>460</v>
      </c>
      <c r="E621" s="19" t="s">
        <v>339</v>
      </c>
      <c r="F621">
        <v>25</v>
      </c>
      <c r="G621">
        <v>4</v>
      </c>
      <c r="H621">
        <v>2</v>
      </c>
      <c r="I621">
        <v>6</v>
      </c>
      <c r="J621">
        <v>-9</v>
      </c>
      <c r="K621">
        <v>13</v>
      </c>
      <c r="L621">
        <v>4</v>
      </c>
      <c r="M621">
        <v>0</v>
      </c>
      <c r="N621">
        <v>0</v>
      </c>
      <c r="O621">
        <v>1</v>
      </c>
      <c r="P621">
        <v>2</v>
      </c>
      <c r="Q621">
        <v>0</v>
      </c>
      <c r="R621">
        <v>0</v>
      </c>
      <c r="S621">
        <v>23</v>
      </c>
      <c r="T621">
        <v>17.399999999999999</v>
      </c>
      <c r="U621">
        <v>51</v>
      </c>
      <c r="V621" s="19" t="s">
        <v>2109</v>
      </c>
      <c r="W621" s="19" t="s">
        <v>2044</v>
      </c>
      <c r="X621">
        <v>0</v>
      </c>
      <c r="Y621">
        <v>1</v>
      </c>
      <c r="Z621">
        <v>0</v>
      </c>
      <c r="AA621">
        <v>20</v>
      </c>
      <c r="AB621">
        <v>63</v>
      </c>
      <c r="AC621">
        <v>3</v>
      </c>
      <c r="AD621">
        <v>11</v>
      </c>
      <c r="AE621" s="19" t="s">
        <v>60</v>
      </c>
    </row>
    <row r="622" spans="1:31" x14ac:dyDescent="0.2">
      <c r="A622">
        <v>587</v>
      </c>
      <c r="B622" s="19" t="s">
        <v>1008</v>
      </c>
      <c r="C622">
        <v>36</v>
      </c>
      <c r="D622" s="19" t="s">
        <v>345</v>
      </c>
      <c r="E622" s="19" t="s">
        <v>348</v>
      </c>
      <c r="F622">
        <v>38</v>
      </c>
      <c r="G622">
        <v>1</v>
      </c>
      <c r="H622">
        <v>5</v>
      </c>
      <c r="I622">
        <v>6</v>
      </c>
      <c r="J622">
        <v>-6</v>
      </c>
      <c r="K622">
        <v>25</v>
      </c>
      <c r="L622">
        <v>1</v>
      </c>
      <c r="M622">
        <v>0</v>
      </c>
      <c r="N622">
        <v>0</v>
      </c>
      <c r="O622">
        <v>0</v>
      </c>
      <c r="P622">
        <v>5</v>
      </c>
      <c r="Q622">
        <v>0</v>
      </c>
      <c r="R622">
        <v>0</v>
      </c>
      <c r="S622">
        <v>29</v>
      </c>
      <c r="T622">
        <v>3.4</v>
      </c>
      <c r="U622">
        <v>77</v>
      </c>
      <c r="V622" s="19" t="s">
        <v>2729</v>
      </c>
      <c r="W622" s="19" t="s">
        <v>1006</v>
      </c>
      <c r="X622">
        <v>0</v>
      </c>
      <c r="Y622">
        <v>0</v>
      </c>
      <c r="AA622">
        <v>48</v>
      </c>
      <c r="AB622">
        <v>116</v>
      </c>
      <c r="AC622">
        <v>6</v>
      </c>
      <c r="AD622">
        <v>37</v>
      </c>
      <c r="AE622" s="19" t="s">
        <v>60</v>
      </c>
    </row>
    <row r="623" spans="1:31" x14ac:dyDescent="0.2">
      <c r="A623">
        <v>588</v>
      </c>
      <c r="B623" s="19" t="s">
        <v>1083</v>
      </c>
      <c r="C623">
        <v>32</v>
      </c>
      <c r="D623" s="19" t="s">
        <v>343</v>
      </c>
      <c r="E623" s="19" t="s">
        <v>322</v>
      </c>
      <c r="F623">
        <v>41</v>
      </c>
      <c r="G623">
        <v>3</v>
      </c>
      <c r="H623">
        <v>3</v>
      </c>
      <c r="I623">
        <v>6</v>
      </c>
      <c r="J623">
        <v>-7</v>
      </c>
      <c r="K623">
        <v>15</v>
      </c>
      <c r="L623">
        <v>3</v>
      </c>
      <c r="M623">
        <v>0</v>
      </c>
      <c r="N623">
        <v>0</v>
      </c>
      <c r="O623">
        <v>1</v>
      </c>
      <c r="P623">
        <v>2</v>
      </c>
      <c r="Q623">
        <v>1</v>
      </c>
      <c r="R623">
        <v>0</v>
      </c>
      <c r="S623">
        <v>43</v>
      </c>
      <c r="T623">
        <v>7</v>
      </c>
      <c r="U623">
        <v>81</v>
      </c>
      <c r="V623" s="19" t="s">
        <v>2009</v>
      </c>
      <c r="W623" s="19" t="s">
        <v>1727</v>
      </c>
      <c r="X623">
        <v>234</v>
      </c>
      <c r="Y623">
        <v>191</v>
      </c>
      <c r="Z623">
        <v>55.1</v>
      </c>
      <c r="AA623">
        <v>26</v>
      </c>
      <c r="AB623">
        <v>61</v>
      </c>
      <c r="AC623">
        <v>5</v>
      </c>
      <c r="AD623">
        <v>22</v>
      </c>
      <c r="AE623" s="19" t="s">
        <v>60</v>
      </c>
    </row>
    <row r="624" spans="1:31" x14ac:dyDescent="0.2">
      <c r="A624">
        <v>589</v>
      </c>
      <c r="B624" s="19" t="s">
        <v>892</v>
      </c>
      <c r="C624">
        <v>27</v>
      </c>
      <c r="D624" s="19" t="s">
        <v>428</v>
      </c>
      <c r="E624" s="19" t="s">
        <v>348</v>
      </c>
      <c r="F624">
        <v>33</v>
      </c>
      <c r="G624">
        <v>0</v>
      </c>
      <c r="H624">
        <v>6</v>
      </c>
      <c r="I624">
        <v>6</v>
      </c>
      <c r="J624">
        <v>-11</v>
      </c>
      <c r="K624">
        <v>16</v>
      </c>
      <c r="L624">
        <v>0</v>
      </c>
      <c r="M624">
        <v>0</v>
      </c>
      <c r="N624">
        <v>0</v>
      </c>
      <c r="O624">
        <v>0</v>
      </c>
      <c r="P624">
        <v>6</v>
      </c>
      <c r="Q624">
        <v>0</v>
      </c>
      <c r="R624">
        <v>0</v>
      </c>
      <c r="S624">
        <v>33</v>
      </c>
      <c r="T624">
        <v>0</v>
      </c>
      <c r="U624">
        <v>90</v>
      </c>
      <c r="V624" s="19" t="s">
        <v>1592</v>
      </c>
      <c r="W624" s="19" t="s">
        <v>1107</v>
      </c>
      <c r="X624">
        <v>0</v>
      </c>
      <c r="Y624">
        <v>0</v>
      </c>
      <c r="AA624">
        <v>70</v>
      </c>
      <c r="AB624">
        <v>25</v>
      </c>
      <c r="AC624">
        <v>8</v>
      </c>
      <c r="AD624">
        <v>40</v>
      </c>
      <c r="AE624" s="19" t="s">
        <v>60</v>
      </c>
    </row>
    <row r="625" spans="1:31" x14ac:dyDescent="0.2">
      <c r="A625">
        <v>590</v>
      </c>
      <c r="B625" s="19" t="s">
        <v>1143</v>
      </c>
      <c r="C625">
        <v>26</v>
      </c>
      <c r="D625" s="19" t="s">
        <v>513</v>
      </c>
      <c r="E625" s="19" t="s">
        <v>334</v>
      </c>
      <c r="F625">
        <v>37</v>
      </c>
      <c r="G625">
        <v>2</v>
      </c>
      <c r="H625">
        <v>4</v>
      </c>
      <c r="I625">
        <v>6</v>
      </c>
      <c r="J625">
        <v>-8</v>
      </c>
      <c r="K625">
        <v>24</v>
      </c>
      <c r="L625">
        <v>1</v>
      </c>
      <c r="M625">
        <v>0</v>
      </c>
      <c r="N625">
        <v>1</v>
      </c>
      <c r="O625">
        <v>0</v>
      </c>
      <c r="P625">
        <v>3</v>
      </c>
      <c r="Q625">
        <v>0</v>
      </c>
      <c r="R625">
        <v>1</v>
      </c>
      <c r="S625">
        <v>34</v>
      </c>
      <c r="T625">
        <v>5.9</v>
      </c>
      <c r="U625">
        <v>61</v>
      </c>
      <c r="V625" s="19" t="s">
        <v>2730</v>
      </c>
      <c r="W625" s="19" t="s">
        <v>1380</v>
      </c>
      <c r="X625">
        <v>1</v>
      </c>
      <c r="Y625">
        <v>2</v>
      </c>
      <c r="Z625">
        <v>33.299999999999997</v>
      </c>
      <c r="AA625">
        <v>37</v>
      </c>
      <c r="AB625">
        <v>86</v>
      </c>
      <c r="AC625">
        <v>5</v>
      </c>
      <c r="AD625">
        <v>19</v>
      </c>
      <c r="AE625" s="19" t="s">
        <v>60</v>
      </c>
    </row>
    <row r="626" spans="1:31" x14ac:dyDescent="0.2">
      <c r="A626">
        <v>591</v>
      </c>
      <c r="B626" s="19" t="s">
        <v>944</v>
      </c>
      <c r="C626">
        <v>34</v>
      </c>
      <c r="D626" s="19" t="s">
        <v>365</v>
      </c>
      <c r="E626" s="19" t="s">
        <v>348</v>
      </c>
      <c r="F626">
        <v>40</v>
      </c>
      <c r="G626">
        <v>1</v>
      </c>
      <c r="H626">
        <v>5</v>
      </c>
      <c r="I626">
        <v>6</v>
      </c>
      <c r="J626">
        <v>-8</v>
      </c>
      <c r="K626">
        <v>14</v>
      </c>
      <c r="L626">
        <v>1</v>
      </c>
      <c r="M626">
        <v>0</v>
      </c>
      <c r="N626">
        <v>0</v>
      </c>
      <c r="O626">
        <v>0</v>
      </c>
      <c r="P626">
        <v>5</v>
      </c>
      <c r="Q626">
        <v>0</v>
      </c>
      <c r="R626">
        <v>0</v>
      </c>
      <c r="S626">
        <v>21</v>
      </c>
      <c r="T626">
        <v>4.8</v>
      </c>
      <c r="U626">
        <v>58</v>
      </c>
      <c r="V626" s="19" t="s">
        <v>2731</v>
      </c>
      <c r="W626" s="19" t="s">
        <v>1943</v>
      </c>
      <c r="X626">
        <v>0</v>
      </c>
      <c r="Y626">
        <v>0</v>
      </c>
      <c r="AA626">
        <v>56</v>
      </c>
      <c r="AB626">
        <v>5</v>
      </c>
      <c r="AC626">
        <v>9</v>
      </c>
      <c r="AD626">
        <v>30</v>
      </c>
      <c r="AE626" s="19" t="s">
        <v>60</v>
      </c>
    </row>
    <row r="627" spans="1:31" x14ac:dyDescent="0.2">
      <c r="A627">
        <v>592</v>
      </c>
      <c r="B627" s="19" t="s">
        <v>1018</v>
      </c>
      <c r="C627">
        <v>31</v>
      </c>
      <c r="D627" s="19" t="s">
        <v>336</v>
      </c>
      <c r="E627" s="19" t="s">
        <v>339</v>
      </c>
      <c r="F627">
        <v>38</v>
      </c>
      <c r="G627">
        <v>3</v>
      </c>
      <c r="H627">
        <v>3</v>
      </c>
      <c r="I627">
        <v>6</v>
      </c>
      <c r="J627">
        <v>-10</v>
      </c>
      <c r="K627">
        <v>36</v>
      </c>
      <c r="L627">
        <v>3</v>
      </c>
      <c r="M627">
        <v>0</v>
      </c>
      <c r="N627">
        <v>0</v>
      </c>
      <c r="O627">
        <v>1</v>
      </c>
      <c r="P627">
        <v>2</v>
      </c>
      <c r="Q627">
        <v>1</v>
      </c>
      <c r="R627">
        <v>0</v>
      </c>
      <c r="S627">
        <v>68</v>
      </c>
      <c r="T627">
        <v>4.4000000000000004</v>
      </c>
      <c r="U627">
        <v>118</v>
      </c>
      <c r="V627" s="19" t="s">
        <v>1683</v>
      </c>
      <c r="W627" s="19" t="s">
        <v>984</v>
      </c>
      <c r="X627">
        <v>5</v>
      </c>
      <c r="Y627">
        <v>8</v>
      </c>
      <c r="Z627">
        <v>38.5</v>
      </c>
      <c r="AA627">
        <v>24</v>
      </c>
      <c r="AB627">
        <v>67</v>
      </c>
      <c r="AC627">
        <v>5</v>
      </c>
      <c r="AD627">
        <v>15</v>
      </c>
      <c r="AE627" s="19" t="s">
        <v>60</v>
      </c>
    </row>
    <row r="628" spans="1:31" x14ac:dyDescent="0.2">
      <c r="A628">
        <v>593</v>
      </c>
      <c r="B628" s="19" t="s">
        <v>1021</v>
      </c>
      <c r="C628">
        <v>31</v>
      </c>
      <c r="D628" s="19" t="s">
        <v>380</v>
      </c>
      <c r="E628" s="19" t="s">
        <v>322</v>
      </c>
      <c r="F628">
        <v>26</v>
      </c>
      <c r="G628">
        <v>1</v>
      </c>
      <c r="H628">
        <v>4</v>
      </c>
      <c r="I628">
        <v>5</v>
      </c>
      <c r="J628">
        <v>-1</v>
      </c>
      <c r="K628">
        <v>12</v>
      </c>
      <c r="L628">
        <v>1</v>
      </c>
      <c r="M628">
        <v>0</v>
      </c>
      <c r="N628">
        <v>0</v>
      </c>
      <c r="O628">
        <v>0</v>
      </c>
      <c r="P628">
        <v>4</v>
      </c>
      <c r="Q628">
        <v>0</v>
      </c>
      <c r="R628">
        <v>0</v>
      </c>
      <c r="S628">
        <v>17</v>
      </c>
      <c r="T628">
        <v>5.9</v>
      </c>
      <c r="U628">
        <v>31</v>
      </c>
      <c r="V628" s="19" t="s">
        <v>2183</v>
      </c>
      <c r="W628" s="19" t="s">
        <v>1628</v>
      </c>
      <c r="X628">
        <v>7</v>
      </c>
      <c r="Y628">
        <v>18</v>
      </c>
      <c r="Z628">
        <v>28</v>
      </c>
      <c r="AA628">
        <v>17</v>
      </c>
      <c r="AB628">
        <v>71</v>
      </c>
      <c r="AC628">
        <v>2</v>
      </c>
      <c r="AD628">
        <v>10</v>
      </c>
      <c r="AE628" s="19" t="s">
        <v>60</v>
      </c>
    </row>
    <row r="629" spans="1:31" x14ac:dyDescent="0.2">
      <c r="A629">
        <v>594</v>
      </c>
      <c r="B629" s="19" t="s">
        <v>896</v>
      </c>
      <c r="C629">
        <v>25</v>
      </c>
      <c r="D629" s="19" t="s">
        <v>447</v>
      </c>
      <c r="E629" s="19" t="s">
        <v>325</v>
      </c>
      <c r="F629">
        <v>28</v>
      </c>
      <c r="G629">
        <v>1</v>
      </c>
      <c r="H629">
        <v>4</v>
      </c>
      <c r="I629">
        <v>5</v>
      </c>
      <c r="J629">
        <v>-3</v>
      </c>
      <c r="K629">
        <v>12</v>
      </c>
      <c r="L629">
        <v>1</v>
      </c>
      <c r="M629">
        <v>0</v>
      </c>
      <c r="N629">
        <v>0</v>
      </c>
      <c r="O629">
        <v>0</v>
      </c>
      <c r="P629">
        <v>3</v>
      </c>
      <c r="Q629">
        <v>1</v>
      </c>
      <c r="R629">
        <v>0</v>
      </c>
      <c r="S629">
        <v>18</v>
      </c>
      <c r="T629">
        <v>5.6</v>
      </c>
      <c r="U629">
        <v>31</v>
      </c>
      <c r="V629" s="19" t="s">
        <v>2111</v>
      </c>
      <c r="W629" s="19" t="s">
        <v>1299</v>
      </c>
      <c r="X629">
        <v>2</v>
      </c>
      <c r="Y629">
        <v>12</v>
      </c>
      <c r="Z629">
        <v>14.3</v>
      </c>
      <c r="AA629">
        <v>5</v>
      </c>
      <c r="AB629">
        <v>24</v>
      </c>
      <c r="AC629">
        <v>6</v>
      </c>
      <c r="AD629">
        <v>11</v>
      </c>
      <c r="AE629" s="19" t="s">
        <v>60</v>
      </c>
    </row>
    <row r="630" spans="1:31" x14ac:dyDescent="0.2">
      <c r="A630">
        <v>595</v>
      </c>
      <c r="B630" s="19" t="s">
        <v>1031</v>
      </c>
      <c r="C630">
        <v>28</v>
      </c>
      <c r="D630" s="19" t="s">
        <v>428</v>
      </c>
      <c r="E630" s="19" t="s">
        <v>348</v>
      </c>
      <c r="F630">
        <v>33</v>
      </c>
      <c r="G630">
        <v>2</v>
      </c>
      <c r="H630">
        <v>3</v>
      </c>
      <c r="I630">
        <v>5</v>
      </c>
      <c r="J630">
        <v>0</v>
      </c>
      <c r="K630">
        <v>8</v>
      </c>
      <c r="L630">
        <v>2</v>
      </c>
      <c r="M630">
        <v>0</v>
      </c>
      <c r="N630">
        <v>0</v>
      </c>
      <c r="O630">
        <v>0</v>
      </c>
      <c r="P630">
        <v>3</v>
      </c>
      <c r="Q630">
        <v>0</v>
      </c>
      <c r="R630">
        <v>0</v>
      </c>
      <c r="S630">
        <v>11</v>
      </c>
      <c r="T630">
        <v>18.2</v>
      </c>
      <c r="U630">
        <v>38</v>
      </c>
      <c r="V630" s="19" t="s">
        <v>2224</v>
      </c>
      <c r="W630" s="19" t="s">
        <v>997</v>
      </c>
      <c r="X630">
        <v>0</v>
      </c>
      <c r="Y630">
        <v>0</v>
      </c>
      <c r="AA630">
        <v>20</v>
      </c>
      <c r="AB630">
        <v>9</v>
      </c>
      <c r="AC630">
        <v>2</v>
      </c>
      <c r="AD630">
        <v>10</v>
      </c>
      <c r="AE630" s="19" t="s">
        <v>60</v>
      </c>
    </row>
    <row r="631" spans="1:31" x14ac:dyDescent="0.2">
      <c r="A631">
        <v>596</v>
      </c>
      <c r="B631" s="19" t="s">
        <v>961</v>
      </c>
      <c r="C631">
        <v>28</v>
      </c>
      <c r="D631" s="19" t="s">
        <v>333</v>
      </c>
      <c r="E631" s="19" t="s">
        <v>348</v>
      </c>
      <c r="F631">
        <v>27</v>
      </c>
      <c r="G631">
        <v>2</v>
      </c>
      <c r="H631">
        <v>3</v>
      </c>
      <c r="I631">
        <v>5</v>
      </c>
      <c r="J631">
        <v>-2</v>
      </c>
      <c r="K631">
        <v>8</v>
      </c>
      <c r="L631">
        <v>2</v>
      </c>
      <c r="M631">
        <v>0</v>
      </c>
      <c r="N631">
        <v>0</v>
      </c>
      <c r="O631">
        <v>0</v>
      </c>
      <c r="P631">
        <v>3</v>
      </c>
      <c r="Q631">
        <v>0</v>
      </c>
      <c r="R631">
        <v>0</v>
      </c>
      <c r="S631">
        <v>14</v>
      </c>
      <c r="T631">
        <v>14.3</v>
      </c>
      <c r="U631">
        <v>51</v>
      </c>
      <c r="V631" s="19" t="s">
        <v>2732</v>
      </c>
      <c r="W631" s="19" t="s">
        <v>1324</v>
      </c>
      <c r="X631">
        <v>0</v>
      </c>
      <c r="Y631">
        <v>0</v>
      </c>
      <c r="AA631">
        <v>21</v>
      </c>
      <c r="AB631">
        <v>10</v>
      </c>
      <c r="AC631">
        <v>9</v>
      </c>
      <c r="AD631">
        <v>16</v>
      </c>
      <c r="AE631" s="19" t="s">
        <v>60</v>
      </c>
    </row>
    <row r="632" spans="1:31" x14ac:dyDescent="0.2">
      <c r="A632">
        <v>597</v>
      </c>
      <c r="B632" s="19" t="s">
        <v>963</v>
      </c>
      <c r="C632">
        <v>28</v>
      </c>
      <c r="D632" s="19" t="s">
        <v>351</v>
      </c>
      <c r="E632" s="19" t="s">
        <v>348</v>
      </c>
      <c r="F632">
        <v>32</v>
      </c>
      <c r="G632">
        <v>0</v>
      </c>
      <c r="H632">
        <v>5</v>
      </c>
      <c r="I632">
        <v>5</v>
      </c>
      <c r="J632">
        <v>1</v>
      </c>
      <c r="K632">
        <v>41</v>
      </c>
      <c r="L632">
        <v>0</v>
      </c>
      <c r="M632">
        <v>0</v>
      </c>
      <c r="N632">
        <v>0</v>
      </c>
      <c r="O632">
        <v>0</v>
      </c>
      <c r="P632">
        <v>4</v>
      </c>
      <c r="Q632">
        <v>0</v>
      </c>
      <c r="R632">
        <v>1</v>
      </c>
      <c r="S632">
        <v>26</v>
      </c>
      <c r="T632">
        <v>0</v>
      </c>
      <c r="U632">
        <v>64</v>
      </c>
      <c r="V632" s="19" t="s">
        <v>2733</v>
      </c>
      <c r="W632" s="19" t="s">
        <v>1527</v>
      </c>
      <c r="X632">
        <v>0</v>
      </c>
      <c r="Y632">
        <v>0</v>
      </c>
      <c r="AA632">
        <v>59</v>
      </c>
      <c r="AB632">
        <v>66</v>
      </c>
      <c r="AC632">
        <v>5</v>
      </c>
      <c r="AD632">
        <v>30</v>
      </c>
      <c r="AE632" s="19" t="s">
        <v>60</v>
      </c>
    </row>
    <row r="633" spans="1:31" x14ac:dyDescent="0.2">
      <c r="A633">
        <v>598</v>
      </c>
      <c r="B633" s="19" t="s">
        <v>1050</v>
      </c>
      <c r="C633">
        <v>28</v>
      </c>
      <c r="D633" s="19" t="s">
        <v>428</v>
      </c>
      <c r="E633" s="19" t="s">
        <v>339</v>
      </c>
      <c r="F633">
        <v>33</v>
      </c>
      <c r="G633">
        <v>1</v>
      </c>
      <c r="H633">
        <v>4</v>
      </c>
      <c r="I633">
        <v>5</v>
      </c>
      <c r="J633">
        <v>-9</v>
      </c>
      <c r="K633">
        <v>23</v>
      </c>
      <c r="L633">
        <v>1</v>
      </c>
      <c r="M633">
        <v>0</v>
      </c>
      <c r="N633">
        <v>0</v>
      </c>
      <c r="O633">
        <v>0</v>
      </c>
      <c r="P633">
        <v>4</v>
      </c>
      <c r="Q633">
        <v>0</v>
      </c>
      <c r="R633">
        <v>0</v>
      </c>
      <c r="S633">
        <v>29</v>
      </c>
      <c r="T633">
        <v>3.4</v>
      </c>
      <c r="U633">
        <v>58</v>
      </c>
      <c r="V633" s="19" t="s">
        <v>2225</v>
      </c>
      <c r="W633" s="19" t="s">
        <v>1828</v>
      </c>
      <c r="X633">
        <v>8</v>
      </c>
      <c r="Y633">
        <v>22</v>
      </c>
      <c r="Z633">
        <v>26.7</v>
      </c>
      <c r="AA633">
        <v>15</v>
      </c>
      <c r="AB633">
        <v>49</v>
      </c>
      <c r="AC633">
        <v>5</v>
      </c>
      <c r="AD633">
        <v>17</v>
      </c>
      <c r="AE633" s="19" t="s">
        <v>60</v>
      </c>
    </row>
    <row r="634" spans="1:31" x14ac:dyDescent="0.2">
      <c r="A634">
        <v>599</v>
      </c>
      <c r="B634" s="19" t="s">
        <v>980</v>
      </c>
      <c r="C634">
        <v>33</v>
      </c>
      <c r="D634" s="19" t="s">
        <v>375</v>
      </c>
      <c r="E634" s="19" t="s">
        <v>334</v>
      </c>
      <c r="F634">
        <v>23</v>
      </c>
      <c r="G634">
        <v>3</v>
      </c>
      <c r="H634">
        <v>2</v>
      </c>
      <c r="I634">
        <v>5</v>
      </c>
      <c r="J634">
        <v>-5</v>
      </c>
      <c r="K634">
        <v>6</v>
      </c>
      <c r="L634">
        <v>3</v>
      </c>
      <c r="M634">
        <v>0</v>
      </c>
      <c r="N634">
        <v>0</v>
      </c>
      <c r="O634">
        <v>1</v>
      </c>
      <c r="P634">
        <v>2</v>
      </c>
      <c r="Q634">
        <v>0</v>
      </c>
      <c r="R634">
        <v>0</v>
      </c>
      <c r="S634">
        <v>39</v>
      </c>
      <c r="T634">
        <v>7.7</v>
      </c>
      <c r="U634">
        <v>65</v>
      </c>
      <c r="V634" s="19" t="s">
        <v>1908</v>
      </c>
      <c r="W634" s="19" t="s">
        <v>1760</v>
      </c>
      <c r="X634">
        <v>36</v>
      </c>
      <c r="Y634">
        <v>59</v>
      </c>
      <c r="Z634">
        <v>37.9</v>
      </c>
      <c r="AA634">
        <v>8</v>
      </c>
      <c r="AB634">
        <v>27</v>
      </c>
      <c r="AC634">
        <v>3</v>
      </c>
      <c r="AD634">
        <v>17</v>
      </c>
      <c r="AE634" s="19" t="s">
        <v>60</v>
      </c>
    </row>
    <row r="635" spans="1:31" x14ac:dyDescent="0.2">
      <c r="A635">
        <v>600</v>
      </c>
      <c r="B635" s="19" t="s">
        <v>1051</v>
      </c>
      <c r="C635">
        <v>21</v>
      </c>
      <c r="D635" s="19" t="s">
        <v>327</v>
      </c>
      <c r="E635" s="19" t="s">
        <v>339</v>
      </c>
      <c r="F635">
        <v>28</v>
      </c>
      <c r="G635">
        <v>2</v>
      </c>
      <c r="H635">
        <v>3</v>
      </c>
      <c r="I635">
        <v>5</v>
      </c>
      <c r="J635">
        <v>-6</v>
      </c>
      <c r="K635">
        <v>12</v>
      </c>
      <c r="L635">
        <v>2</v>
      </c>
      <c r="M635">
        <v>0</v>
      </c>
      <c r="N635">
        <v>0</v>
      </c>
      <c r="O635">
        <v>0</v>
      </c>
      <c r="P635">
        <v>3</v>
      </c>
      <c r="Q635">
        <v>0</v>
      </c>
      <c r="R635">
        <v>0</v>
      </c>
      <c r="S635">
        <v>33</v>
      </c>
      <c r="T635">
        <v>6.1</v>
      </c>
      <c r="U635">
        <v>70</v>
      </c>
      <c r="V635" s="19" t="s">
        <v>2294</v>
      </c>
      <c r="W635" s="19" t="s">
        <v>1795</v>
      </c>
      <c r="X635">
        <v>0</v>
      </c>
      <c r="Y635">
        <v>0</v>
      </c>
      <c r="AA635">
        <v>4</v>
      </c>
      <c r="AB635">
        <v>7</v>
      </c>
      <c r="AC635">
        <v>2</v>
      </c>
      <c r="AD635">
        <v>17</v>
      </c>
      <c r="AE635" s="19" t="s">
        <v>60</v>
      </c>
    </row>
    <row r="636" spans="1:31" x14ac:dyDescent="0.2">
      <c r="A636">
        <v>601</v>
      </c>
      <c r="B636" s="19" t="s">
        <v>1115</v>
      </c>
      <c r="C636">
        <v>29</v>
      </c>
      <c r="D636" s="19" t="s">
        <v>321</v>
      </c>
      <c r="E636" s="19" t="s">
        <v>325</v>
      </c>
      <c r="F636">
        <v>24</v>
      </c>
      <c r="G636">
        <v>1</v>
      </c>
      <c r="H636">
        <v>4</v>
      </c>
      <c r="I636">
        <v>5</v>
      </c>
      <c r="J636">
        <v>0</v>
      </c>
      <c r="K636">
        <v>6</v>
      </c>
      <c r="L636">
        <v>1</v>
      </c>
      <c r="M636">
        <v>0</v>
      </c>
      <c r="N636">
        <v>0</v>
      </c>
      <c r="O636">
        <v>0</v>
      </c>
      <c r="P636">
        <v>4</v>
      </c>
      <c r="Q636">
        <v>0</v>
      </c>
      <c r="R636">
        <v>0</v>
      </c>
      <c r="S636">
        <v>17</v>
      </c>
      <c r="T636">
        <v>5.9</v>
      </c>
      <c r="U636">
        <v>35</v>
      </c>
      <c r="V636" s="19" t="s">
        <v>2930</v>
      </c>
      <c r="W636" s="19" t="s">
        <v>969</v>
      </c>
      <c r="X636">
        <v>3</v>
      </c>
      <c r="Y636">
        <v>3</v>
      </c>
      <c r="Z636">
        <v>50</v>
      </c>
      <c r="AA636">
        <v>7</v>
      </c>
      <c r="AB636">
        <v>33</v>
      </c>
      <c r="AC636">
        <v>3</v>
      </c>
      <c r="AD636">
        <v>9</v>
      </c>
      <c r="AE636" s="19" t="s">
        <v>60</v>
      </c>
    </row>
    <row r="637" spans="1:31" x14ac:dyDescent="0.2">
      <c r="A637">
        <v>602</v>
      </c>
      <c r="B637" s="19" t="s">
        <v>1057</v>
      </c>
      <c r="C637">
        <v>22</v>
      </c>
      <c r="D637" s="19" t="s">
        <v>375</v>
      </c>
      <c r="E637" s="19" t="s">
        <v>334</v>
      </c>
      <c r="F637">
        <v>27</v>
      </c>
      <c r="G637">
        <v>2</v>
      </c>
      <c r="H637">
        <v>3</v>
      </c>
      <c r="I637">
        <v>5</v>
      </c>
      <c r="J637">
        <v>-5</v>
      </c>
      <c r="K637">
        <v>8</v>
      </c>
      <c r="L637">
        <v>1</v>
      </c>
      <c r="M637">
        <v>1</v>
      </c>
      <c r="N637">
        <v>0</v>
      </c>
      <c r="O637">
        <v>0</v>
      </c>
      <c r="P637">
        <v>1</v>
      </c>
      <c r="Q637">
        <v>2</v>
      </c>
      <c r="R637">
        <v>0</v>
      </c>
      <c r="S637">
        <v>28</v>
      </c>
      <c r="T637">
        <v>7.1</v>
      </c>
      <c r="U637">
        <v>70</v>
      </c>
      <c r="V637" s="19" t="s">
        <v>1812</v>
      </c>
      <c r="W637" s="19" t="s">
        <v>1742</v>
      </c>
      <c r="X637">
        <v>2</v>
      </c>
      <c r="Y637">
        <v>0</v>
      </c>
      <c r="Z637">
        <v>100</v>
      </c>
      <c r="AA637">
        <v>11</v>
      </c>
      <c r="AB637">
        <v>3</v>
      </c>
      <c r="AC637">
        <v>5</v>
      </c>
      <c r="AD637">
        <v>12</v>
      </c>
      <c r="AE637" s="19" t="s">
        <v>60</v>
      </c>
    </row>
    <row r="638" spans="1:31" x14ac:dyDescent="0.2">
      <c r="A638">
        <v>603</v>
      </c>
      <c r="B638" s="19" t="s">
        <v>917</v>
      </c>
      <c r="C638">
        <v>21</v>
      </c>
      <c r="D638" s="19" t="s">
        <v>428</v>
      </c>
      <c r="E638" s="19" t="s">
        <v>322</v>
      </c>
      <c r="F638">
        <v>12</v>
      </c>
      <c r="G638">
        <v>3</v>
      </c>
      <c r="H638">
        <v>2</v>
      </c>
      <c r="I638">
        <v>5</v>
      </c>
      <c r="J638">
        <v>-4</v>
      </c>
      <c r="K638">
        <v>4</v>
      </c>
      <c r="L638">
        <v>3</v>
      </c>
      <c r="M638">
        <v>0</v>
      </c>
      <c r="N638">
        <v>0</v>
      </c>
      <c r="O638">
        <v>0</v>
      </c>
      <c r="P638">
        <v>2</v>
      </c>
      <c r="Q638">
        <v>0</v>
      </c>
      <c r="R638">
        <v>0</v>
      </c>
      <c r="S638">
        <v>20</v>
      </c>
      <c r="T638">
        <v>15</v>
      </c>
      <c r="U638">
        <v>43</v>
      </c>
      <c r="V638" s="19" t="s">
        <v>918</v>
      </c>
      <c r="W638" s="19" t="s">
        <v>919</v>
      </c>
      <c r="X638">
        <v>68</v>
      </c>
      <c r="Y638">
        <v>95</v>
      </c>
      <c r="Z638">
        <v>41.7</v>
      </c>
      <c r="AA638">
        <v>12</v>
      </c>
      <c r="AB638">
        <v>9</v>
      </c>
      <c r="AC638">
        <v>1</v>
      </c>
      <c r="AD638">
        <v>10</v>
      </c>
      <c r="AE638" s="19" t="s">
        <v>60</v>
      </c>
    </row>
    <row r="639" spans="1:31" x14ac:dyDescent="0.2">
      <c r="A639">
        <v>604</v>
      </c>
      <c r="B639" s="19" t="s">
        <v>1119</v>
      </c>
      <c r="C639">
        <v>30</v>
      </c>
      <c r="D639" s="19" t="s">
        <v>327</v>
      </c>
      <c r="E639" s="19" t="s">
        <v>322</v>
      </c>
      <c r="F639">
        <v>31</v>
      </c>
      <c r="G639">
        <v>3</v>
      </c>
      <c r="H639">
        <v>2</v>
      </c>
      <c r="I639">
        <v>5</v>
      </c>
      <c r="J639">
        <v>-2</v>
      </c>
      <c r="K639">
        <v>6</v>
      </c>
      <c r="L639">
        <v>3</v>
      </c>
      <c r="M639">
        <v>0</v>
      </c>
      <c r="N639">
        <v>0</v>
      </c>
      <c r="O639">
        <v>1</v>
      </c>
      <c r="P639">
        <v>2</v>
      </c>
      <c r="Q639">
        <v>0</v>
      </c>
      <c r="R639">
        <v>0</v>
      </c>
      <c r="S639">
        <v>20</v>
      </c>
      <c r="T639">
        <v>15</v>
      </c>
      <c r="U639">
        <v>45</v>
      </c>
      <c r="V639" s="19" t="s">
        <v>2734</v>
      </c>
      <c r="W639" s="19" t="s">
        <v>1103</v>
      </c>
      <c r="X639">
        <v>115</v>
      </c>
      <c r="Y639">
        <v>82</v>
      </c>
      <c r="Z639">
        <v>58.4</v>
      </c>
      <c r="AA639">
        <v>14</v>
      </c>
      <c r="AB639">
        <v>65</v>
      </c>
      <c r="AC639">
        <v>3</v>
      </c>
      <c r="AD639">
        <v>2</v>
      </c>
      <c r="AE639" s="19" t="s">
        <v>60</v>
      </c>
    </row>
    <row r="640" spans="1:31" x14ac:dyDescent="0.2">
      <c r="A640">
        <v>605</v>
      </c>
      <c r="B640" s="19" t="s">
        <v>1125</v>
      </c>
      <c r="C640">
        <v>26</v>
      </c>
      <c r="D640" s="19" t="s">
        <v>383</v>
      </c>
      <c r="E640" s="19" t="s">
        <v>325</v>
      </c>
      <c r="F640">
        <v>37</v>
      </c>
      <c r="G640">
        <v>2</v>
      </c>
      <c r="H640">
        <v>3</v>
      </c>
      <c r="I640">
        <v>5</v>
      </c>
      <c r="J640">
        <v>-4</v>
      </c>
      <c r="K640">
        <v>29</v>
      </c>
      <c r="L640">
        <v>2</v>
      </c>
      <c r="M640">
        <v>0</v>
      </c>
      <c r="N640">
        <v>0</v>
      </c>
      <c r="O640">
        <v>0</v>
      </c>
      <c r="P640">
        <v>3</v>
      </c>
      <c r="Q640">
        <v>0</v>
      </c>
      <c r="R640">
        <v>0</v>
      </c>
      <c r="S640">
        <v>29</v>
      </c>
      <c r="T640">
        <v>6.9</v>
      </c>
      <c r="U640">
        <v>49</v>
      </c>
      <c r="V640" s="19" t="s">
        <v>2931</v>
      </c>
      <c r="W640" s="19" t="s">
        <v>2053</v>
      </c>
      <c r="X640">
        <v>36</v>
      </c>
      <c r="Y640">
        <v>20</v>
      </c>
      <c r="Z640">
        <v>64.3</v>
      </c>
      <c r="AA640">
        <v>15</v>
      </c>
      <c r="AB640">
        <v>74</v>
      </c>
      <c r="AC640">
        <v>4</v>
      </c>
      <c r="AD640">
        <v>15</v>
      </c>
      <c r="AE640" s="19" t="s">
        <v>60</v>
      </c>
    </row>
    <row r="641" spans="1:31" x14ac:dyDescent="0.2">
      <c r="A641">
        <v>606</v>
      </c>
      <c r="B641" s="19" t="s">
        <v>1253</v>
      </c>
      <c r="C641">
        <v>23</v>
      </c>
      <c r="D641" s="19" t="s">
        <v>329</v>
      </c>
      <c r="E641" s="19" t="s">
        <v>339</v>
      </c>
      <c r="F641">
        <v>27</v>
      </c>
      <c r="G641">
        <v>2</v>
      </c>
      <c r="H641">
        <v>3</v>
      </c>
      <c r="I641">
        <v>5</v>
      </c>
      <c r="J641">
        <v>3</v>
      </c>
      <c r="K641">
        <v>14</v>
      </c>
      <c r="L641">
        <v>2</v>
      </c>
      <c r="M641">
        <v>0</v>
      </c>
      <c r="N641">
        <v>0</v>
      </c>
      <c r="O641">
        <v>1</v>
      </c>
      <c r="P641">
        <v>3</v>
      </c>
      <c r="Q641">
        <v>0</v>
      </c>
      <c r="R641">
        <v>0</v>
      </c>
      <c r="S641">
        <v>26</v>
      </c>
      <c r="T641">
        <v>7.7</v>
      </c>
      <c r="U641">
        <v>49</v>
      </c>
      <c r="V641" s="19" t="s">
        <v>2735</v>
      </c>
      <c r="W641" s="19" t="s">
        <v>1829</v>
      </c>
      <c r="X641">
        <v>0</v>
      </c>
      <c r="Y641">
        <v>1</v>
      </c>
      <c r="Z641">
        <v>0</v>
      </c>
      <c r="AA641">
        <v>13</v>
      </c>
      <c r="AB641">
        <v>41</v>
      </c>
      <c r="AC641">
        <v>2</v>
      </c>
      <c r="AD641">
        <v>6</v>
      </c>
      <c r="AE641" s="19" t="s">
        <v>60</v>
      </c>
    </row>
    <row r="642" spans="1:31" x14ac:dyDescent="0.2">
      <c r="A642">
        <v>607</v>
      </c>
      <c r="B642" s="19" t="s">
        <v>943</v>
      </c>
      <c r="C642">
        <v>29</v>
      </c>
      <c r="D642" s="19" t="s">
        <v>327</v>
      </c>
      <c r="E642" s="19" t="s">
        <v>325</v>
      </c>
      <c r="F642">
        <v>22</v>
      </c>
      <c r="G642">
        <v>3</v>
      </c>
      <c r="H642">
        <v>2</v>
      </c>
      <c r="I642">
        <v>5</v>
      </c>
      <c r="J642">
        <v>-6</v>
      </c>
      <c r="K642">
        <v>10</v>
      </c>
      <c r="L642">
        <v>3</v>
      </c>
      <c r="M642">
        <v>0</v>
      </c>
      <c r="N642">
        <v>0</v>
      </c>
      <c r="O642">
        <v>0</v>
      </c>
      <c r="P642">
        <v>0</v>
      </c>
      <c r="Q642">
        <v>2</v>
      </c>
      <c r="R642">
        <v>0</v>
      </c>
      <c r="S642">
        <v>30</v>
      </c>
      <c r="T642">
        <v>10</v>
      </c>
      <c r="U642">
        <v>52</v>
      </c>
      <c r="V642" s="19" t="s">
        <v>1560</v>
      </c>
      <c r="W642" s="19" t="s">
        <v>1561</v>
      </c>
      <c r="X642">
        <v>30</v>
      </c>
      <c r="Y642">
        <v>34</v>
      </c>
      <c r="Z642">
        <v>46.9</v>
      </c>
      <c r="AA642">
        <v>6</v>
      </c>
      <c r="AB642">
        <v>17</v>
      </c>
      <c r="AC642">
        <v>3</v>
      </c>
      <c r="AD642">
        <v>12</v>
      </c>
      <c r="AE642" s="19" t="s">
        <v>60</v>
      </c>
    </row>
    <row r="643" spans="1:31" x14ac:dyDescent="0.2">
      <c r="A643">
        <v>608</v>
      </c>
      <c r="B643" s="19" t="s">
        <v>947</v>
      </c>
      <c r="C643">
        <v>23</v>
      </c>
      <c r="D643" s="19" t="s">
        <v>948</v>
      </c>
      <c r="E643" s="19" t="s">
        <v>339</v>
      </c>
      <c r="F643">
        <v>19</v>
      </c>
      <c r="G643">
        <v>2</v>
      </c>
      <c r="H643">
        <v>3</v>
      </c>
      <c r="I643">
        <v>5</v>
      </c>
      <c r="J643">
        <v>-4</v>
      </c>
      <c r="K643">
        <v>6</v>
      </c>
      <c r="L643">
        <v>2</v>
      </c>
      <c r="M643">
        <v>0</v>
      </c>
      <c r="N643">
        <v>0</v>
      </c>
      <c r="O643">
        <v>0</v>
      </c>
      <c r="P643">
        <v>3</v>
      </c>
      <c r="Q643">
        <v>0</v>
      </c>
      <c r="R643">
        <v>0</v>
      </c>
      <c r="S643">
        <v>15</v>
      </c>
      <c r="T643">
        <v>13.3</v>
      </c>
      <c r="U643">
        <v>36</v>
      </c>
      <c r="V643" s="19" t="s">
        <v>949</v>
      </c>
      <c r="W643" s="19" t="s">
        <v>950</v>
      </c>
      <c r="X643">
        <v>46</v>
      </c>
      <c r="Y643">
        <v>71</v>
      </c>
      <c r="Z643">
        <v>39.299999999999997</v>
      </c>
      <c r="AA643">
        <v>11</v>
      </c>
      <c r="AB643">
        <v>7</v>
      </c>
      <c r="AC643">
        <v>2</v>
      </c>
      <c r="AD643">
        <v>13</v>
      </c>
      <c r="AE643" s="19" t="s">
        <v>60</v>
      </c>
    </row>
    <row r="644" spans="1:31" x14ac:dyDescent="0.2">
      <c r="A644">
        <v>608</v>
      </c>
      <c r="B644" s="19" t="s">
        <v>947</v>
      </c>
      <c r="C644">
        <v>23</v>
      </c>
      <c r="D644" s="19" t="s">
        <v>329</v>
      </c>
      <c r="E644" s="19" t="s">
        <v>339</v>
      </c>
      <c r="F644">
        <v>5</v>
      </c>
      <c r="G644">
        <v>2</v>
      </c>
      <c r="H644">
        <v>2</v>
      </c>
      <c r="I644">
        <v>4</v>
      </c>
      <c r="J644">
        <v>1</v>
      </c>
      <c r="K644">
        <v>2</v>
      </c>
      <c r="L644">
        <v>2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6</v>
      </c>
      <c r="T644">
        <v>33.299999999999997</v>
      </c>
      <c r="U644">
        <v>10</v>
      </c>
      <c r="V644" s="19" t="s">
        <v>951</v>
      </c>
      <c r="W644" s="19" t="s">
        <v>952</v>
      </c>
      <c r="X644">
        <v>2</v>
      </c>
      <c r="Y644">
        <v>5</v>
      </c>
      <c r="Z644">
        <v>28.6</v>
      </c>
      <c r="AA644">
        <v>3</v>
      </c>
      <c r="AB644">
        <v>1</v>
      </c>
      <c r="AC644">
        <v>1</v>
      </c>
      <c r="AD644">
        <v>4</v>
      </c>
      <c r="AE644" s="19" t="s">
        <v>60</v>
      </c>
    </row>
    <row r="645" spans="1:31" x14ac:dyDescent="0.2">
      <c r="A645">
        <v>608</v>
      </c>
      <c r="B645" s="19" t="s">
        <v>947</v>
      </c>
      <c r="C645">
        <v>23</v>
      </c>
      <c r="D645" s="19" t="s">
        <v>447</v>
      </c>
      <c r="E645" s="19" t="s">
        <v>339</v>
      </c>
      <c r="F645">
        <v>14</v>
      </c>
      <c r="G645">
        <v>0</v>
      </c>
      <c r="H645">
        <v>1</v>
      </c>
      <c r="I645">
        <v>1</v>
      </c>
      <c r="J645">
        <v>-5</v>
      </c>
      <c r="K645">
        <v>4</v>
      </c>
      <c r="L645">
        <v>0</v>
      </c>
      <c r="M645">
        <v>0</v>
      </c>
      <c r="N645">
        <v>0</v>
      </c>
      <c r="O645">
        <v>0</v>
      </c>
      <c r="P645">
        <v>1</v>
      </c>
      <c r="Q645">
        <v>0</v>
      </c>
      <c r="R645">
        <v>0</v>
      </c>
      <c r="S645">
        <v>9</v>
      </c>
      <c r="T645">
        <v>0</v>
      </c>
      <c r="U645">
        <v>26</v>
      </c>
      <c r="V645" s="19" t="s">
        <v>953</v>
      </c>
      <c r="W645" s="19" t="s">
        <v>954</v>
      </c>
      <c r="X645">
        <v>44</v>
      </c>
      <c r="Y645">
        <v>66</v>
      </c>
      <c r="Z645">
        <v>40</v>
      </c>
      <c r="AA645">
        <v>8</v>
      </c>
      <c r="AB645">
        <v>6</v>
      </c>
      <c r="AC645">
        <v>1</v>
      </c>
      <c r="AD645">
        <v>9</v>
      </c>
      <c r="AE645" s="19" t="s">
        <v>60</v>
      </c>
    </row>
    <row r="646" spans="1:31" x14ac:dyDescent="0.2">
      <c r="A646">
        <v>609</v>
      </c>
      <c r="B646" s="19" t="s">
        <v>1152</v>
      </c>
      <c r="C646">
        <v>26</v>
      </c>
      <c r="D646" s="19" t="s">
        <v>354</v>
      </c>
      <c r="E646" s="19" t="s">
        <v>348</v>
      </c>
      <c r="F646">
        <v>34</v>
      </c>
      <c r="G646">
        <v>2</v>
      </c>
      <c r="H646">
        <v>2</v>
      </c>
      <c r="I646">
        <v>4</v>
      </c>
      <c r="J646">
        <v>20</v>
      </c>
      <c r="K646">
        <v>31</v>
      </c>
      <c r="L646">
        <v>2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0</v>
      </c>
      <c r="S646">
        <v>23</v>
      </c>
      <c r="T646">
        <v>8.6999999999999993</v>
      </c>
      <c r="U646">
        <v>62</v>
      </c>
      <c r="V646" s="19" t="s">
        <v>2736</v>
      </c>
      <c r="W646" s="19" t="s">
        <v>1934</v>
      </c>
      <c r="X646">
        <v>0</v>
      </c>
      <c r="Y646">
        <v>0</v>
      </c>
      <c r="AA646">
        <v>44</v>
      </c>
      <c r="AB646">
        <v>59</v>
      </c>
      <c r="AC646">
        <v>6</v>
      </c>
      <c r="AD646">
        <v>27</v>
      </c>
      <c r="AE646" s="19" t="s">
        <v>60</v>
      </c>
    </row>
    <row r="647" spans="1:31" x14ac:dyDescent="0.2">
      <c r="A647">
        <v>610</v>
      </c>
      <c r="B647" s="19" t="s">
        <v>958</v>
      </c>
      <c r="C647">
        <v>24</v>
      </c>
      <c r="D647" s="19" t="s">
        <v>460</v>
      </c>
      <c r="E647" s="19" t="s">
        <v>348</v>
      </c>
      <c r="F647">
        <v>28</v>
      </c>
      <c r="G647">
        <v>0</v>
      </c>
      <c r="H647">
        <v>4</v>
      </c>
      <c r="I647">
        <v>4</v>
      </c>
      <c r="J647">
        <v>-6</v>
      </c>
      <c r="K647">
        <v>8</v>
      </c>
      <c r="L647">
        <v>0</v>
      </c>
      <c r="M647">
        <v>0</v>
      </c>
      <c r="N647">
        <v>0</v>
      </c>
      <c r="O647">
        <v>0</v>
      </c>
      <c r="P647">
        <v>4</v>
      </c>
      <c r="Q647">
        <v>0</v>
      </c>
      <c r="R647">
        <v>0</v>
      </c>
      <c r="S647">
        <v>16</v>
      </c>
      <c r="T647">
        <v>0</v>
      </c>
      <c r="U647">
        <v>51</v>
      </c>
      <c r="V647" s="19" t="s">
        <v>2737</v>
      </c>
      <c r="W647" s="19" t="s">
        <v>600</v>
      </c>
      <c r="X647">
        <v>0</v>
      </c>
      <c r="Y647">
        <v>0</v>
      </c>
      <c r="AA647">
        <v>31</v>
      </c>
      <c r="AB647">
        <v>16</v>
      </c>
      <c r="AC647">
        <v>1</v>
      </c>
      <c r="AD647">
        <v>36</v>
      </c>
      <c r="AE647" s="19" t="s">
        <v>60</v>
      </c>
    </row>
    <row r="648" spans="1:31" x14ac:dyDescent="0.2">
      <c r="A648">
        <v>611</v>
      </c>
      <c r="B648" s="19" t="s">
        <v>1153</v>
      </c>
      <c r="C648">
        <v>25</v>
      </c>
      <c r="D648" s="19" t="s">
        <v>370</v>
      </c>
      <c r="E648" s="19" t="s">
        <v>348</v>
      </c>
      <c r="F648">
        <v>38</v>
      </c>
      <c r="G648">
        <v>0</v>
      </c>
      <c r="H648">
        <v>4</v>
      </c>
      <c r="I648">
        <v>4</v>
      </c>
      <c r="J648">
        <v>9</v>
      </c>
      <c r="K648">
        <v>14</v>
      </c>
      <c r="L648">
        <v>0</v>
      </c>
      <c r="M648">
        <v>0</v>
      </c>
      <c r="N648">
        <v>0</v>
      </c>
      <c r="O648">
        <v>0</v>
      </c>
      <c r="P648">
        <v>4</v>
      </c>
      <c r="Q648">
        <v>0</v>
      </c>
      <c r="R648">
        <v>0</v>
      </c>
      <c r="S648">
        <v>25</v>
      </c>
      <c r="T648">
        <v>0</v>
      </c>
      <c r="U648">
        <v>71</v>
      </c>
      <c r="V648" s="19" t="s">
        <v>2738</v>
      </c>
      <c r="W648" s="19" t="s">
        <v>1964</v>
      </c>
      <c r="X648">
        <v>0</v>
      </c>
      <c r="Y648">
        <v>0</v>
      </c>
      <c r="AA648">
        <v>57</v>
      </c>
      <c r="AB648">
        <v>48</v>
      </c>
      <c r="AC648">
        <v>7</v>
      </c>
      <c r="AD648">
        <v>28</v>
      </c>
      <c r="AE648" s="19" t="s">
        <v>60</v>
      </c>
    </row>
    <row r="649" spans="1:31" x14ac:dyDescent="0.2">
      <c r="A649">
        <v>612</v>
      </c>
      <c r="B649" s="19" t="s">
        <v>1157</v>
      </c>
      <c r="C649">
        <v>35</v>
      </c>
      <c r="D649" s="19" t="s">
        <v>356</v>
      </c>
      <c r="E649" s="19" t="s">
        <v>348</v>
      </c>
      <c r="F649">
        <v>23</v>
      </c>
      <c r="G649">
        <v>1</v>
      </c>
      <c r="H649">
        <v>3</v>
      </c>
      <c r="I649">
        <v>4</v>
      </c>
      <c r="J649">
        <v>8</v>
      </c>
      <c r="K649">
        <v>4</v>
      </c>
      <c r="L649">
        <v>1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0</v>
      </c>
      <c r="S649">
        <v>20</v>
      </c>
      <c r="T649">
        <v>5</v>
      </c>
      <c r="U649">
        <v>41</v>
      </c>
      <c r="V649" s="19" t="s">
        <v>1794</v>
      </c>
      <c r="W649" s="19" t="s">
        <v>1328</v>
      </c>
      <c r="X649">
        <v>0</v>
      </c>
      <c r="Y649">
        <v>1</v>
      </c>
      <c r="Z649">
        <v>0</v>
      </c>
      <c r="AA649">
        <v>20</v>
      </c>
      <c r="AB649">
        <v>20</v>
      </c>
      <c r="AC649">
        <v>5</v>
      </c>
      <c r="AD649">
        <v>12</v>
      </c>
      <c r="AE649" s="19" t="s">
        <v>60</v>
      </c>
    </row>
    <row r="650" spans="1:31" x14ac:dyDescent="0.2">
      <c r="A650">
        <v>613</v>
      </c>
      <c r="B650" s="19" t="s">
        <v>1095</v>
      </c>
      <c r="C650">
        <v>29</v>
      </c>
      <c r="D650" s="19" t="s">
        <v>358</v>
      </c>
      <c r="E650" s="19" t="s">
        <v>348</v>
      </c>
      <c r="F650">
        <v>30</v>
      </c>
      <c r="G650">
        <v>0</v>
      </c>
      <c r="H650">
        <v>4</v>
      </c>
      <c r="I650">
        <v>4</v>
      </c>
      <c r="J650">
        <v>4</v>
      </c>
      <c r="K650">
        <v>14</v>
      </c>
      <c r="L650">
        <v>0</v>
      </c>
      <c r="M650">
        <v>0</v>
      </c>
      <c r="N650">
        <v>0</v>
      </c>
      <c r="O650">
        <v>0</v>
      </c>
      <c r="P650">
        <v>4</v>
      </c>
      <c r="Q650">
        <v>0</v>
      </c>
      <c r="R650">
        <v>0</v>
      </c>
      <c r="S650">
        <v>32</v>
      </c>
      <c r="T650">
        <v>0</v>
      </c>
      <c r="U650">
        <v>76</v>
      </c>
      <c r="V650" s="19" t="s">
        <v>2739</v>
      </c>
      <c r="W650" s="19" t="s">
        <v>2198</v>
      </c>
      <c r="X650">
        <v>0</v>
      </c>
      <c r="Y650">
        <v>0</v>
      </c>
      <c r="AA650">
        <v>61</v>
      </c>
      <c r="AB650">
        <v>29</v>
      </c>
      <c r="AC650">
        <v>3</v>
      </c>
      <c r="AD650">
        <v>34</v>
      </c>
      <c r="AE650" s="19" t="s">
        <v>60</v>
      </c>
    </row>
    <row r="651" spans="1:31" x14ac:dyDescent="0.2">
      <c r="A651">
        <v>614</v>
      </c>
      <c r="B651" s="19" t="s">
        <v>1035</v>
      </c>
      <c r="C651">
        <v>31</v>
      </c>
      <c r="D651" s="19" t="s">
        <v>404</v>
      </c>
      <c r="E651" s="19" t="s">
        <v>348</v>
      </c>
      <c r="F651">
        <v>28</v>
      </c>
      <c r="G651">
        <v>2</v>
      </c>
      <c r="H651">
        <v>2</v>
      </c>
      <c r="I651">
        <v>4</v>
      </c>
      <c r="J651">
        <v>1</v>
      </c>
      <c r="K651">
        <v>6</v>
      </c>
      <c r="L651">
        <v>2</v>
      </c>
      <c r="M651">
        <v>0</v>
      </c>
      <c r="N651">
        <v>0</v>
      </c>
      <c r="O651">
        <v>1</v>
      </c>
      <c r="P651">
        <v>2</v>
      </c>
      <c r="Q651">
        <v>0</v>
      </c>
      <c r="R651">
        <v>0</v>
      </c>
      <c r="S651">
        <v>26</v>
      </c>
      <c r="T651">
        <v>7.7</v>
      </c>
      <c r="U651">
        <v>60</v>
      </c>
      <c r="V651" s="19" t="s">
        <v>2740</v>
      </c>
      <c r="W651" s="19" t="s">
        <v>1762</v>
      </c>
      <c r="X651">
        <v>0</v>
      </c>
      <c r="Y651">
        <v>0</v>
      </c>
      <c r="AA651">
        <v>17</v>
      </c>
      <c r="AB651">
        <v>14</v>
      </c>
      <c r="AC651">
        <v>3</v>
      </c>
      <c r="AD651">
        <v>23</v>
      </c>
      <c r="AE651" s="19" t="s">
        <v>60</v>
      </c>
    </row>
    <row r="652" spans="1:31" x14ac:dyDescent="0.2">
      <c r="A652">
        <v>615</v>
      </c>
      <c r="B652" s="19" t="s">
        <v>1039</v>
      </c>
      <c r="C652">
        <v>27</v>
      </c>
      <c r="D652" s="19" t="s">
        <v>428</v>
      </c>
      <c r="E652" s="19" t="s">
        <v>322</v>
      </c>
      <c r="F652">
        <v>28</v>
      </c>
      <c r="G652">
        <v>1</v>
      </c>
      <c r="H652">
        <v>3</v>
      </c>
      <c r="I652">
        <v>4</v>
      </c>
      <c r="J652">
        <v>-4</v>
      </c>
      <c r="K652">
        <v>34</v>
      </c>
      <c r="L652">
        <v>1</v>
      </c>
      <c r="M652">
        <v>0</v>
      </c>
      <c r="N652">
        <v>0</v>
      </c>
      <c r="O652">
        <v>0</v>
      </c>
      <c r="P652">
        <v>3</v>
      </c>
      <c r="Q652">
        <v>0</v>
      </c>
      <c r="R652">
        <v>0</v>
      </c>
      <c r="S652">
        <v>24</v>
      </c>
      <c r="T652">
        <v>4.2</v>
      </c>
      <c r="U652">
        <v>49</v>
      </c>
      <c r="V652" s="19" t="s">
        <v>1847</v>
      </c>
      <c r="W652" s="19" t="s">
        <v>1646</v>
      </c>
      <c r="X652">
        <v>45</v>
      </c>
      <c r="Y652">
        <v>44</v>
      </c>
      <c r="Z652">
        <v>50.6</v>
      </c>
      <c r="AA652">
        <v>12</v>
      </c>
      <c r="AB652">
        <v>34</v>
      </c>
      <c r="AC652">
        <v>5</v>
      </c>
      <c r="AD652">
        <v>14</v>
      </c>
      <c r="AE652" s="19" t="s">
        <v>60</v>
      </c>
    </row>
    <row r="653" spans="1:31" x14ac:dyDescent="0.2">
      <c r="A653">
        <v>616</v>
      </c>
      <c r="B653" s="19" t="s">
        <v>967</v>
      </c>
      <c r="C653">
        <v>25</v>
      </c>
      <c r="D653" s="19" t="s">
        <v>360</v>
      </c>
      <c r="E653" s="19" t="s">
        <v>322</v>
      </c>
      <c r="F653">
        <v>24</v>
      </c>
      <c r="G653">
        <v>2</v>
      </c>
      <c r="H653">
        <v>2</v>
      </c>
      <c r="I653">
        <v>4</v>
      </c>
      <c r="J653">
        <v>5</v>
      </c>
      <c r="K653">
        <v>2</v>
      </c>
      <c r="L653">
        <v>2</v>
      </c>
      <c r="M653">
        <v>0</v>
      </c>
      <c r="N653">
        <v>0</v>
      </c>
      <c r="O653">
        <v>1</v>
      </c>
      <c r="P653">
        <v>2</v>
      </c>
      <c r="Q653">
        <v>0</v>
      </c>
      <c r="R653">
        <v>0</v>
      </c>
      <c r="S653">
        <v>21</v>
      </c>
      <c r="T653">
        <v>9.5</v>
      </c>
      <c r="U653">
        <v>35</v>
      </c>
      <c r="V653" s="19" t="s">
        <v>968</v>
      </c>
      <c r="W653" s="19" t="s">
        <v>969</v>
      </c>
      <c r="X653">
        <v>2</v>
      </c>
      <c r="Y653">
        <v>0</v>
      </c>
      <c r="Z653">
        <v>100</v>
      </c>
      <c r="AA653">
        <v>13</v>
      </c>
      <c r="AB653">
        <v>48</v>
      </c>
      <c r="AC653">
        <v>5</v>
      </c>
      <c r="AD653">
        <v>12</v>
      </c>
      <c r="AE653" s="19" t="s">
        <v>60</v>
      </c>
    </row>
    <row r="654" spans="1:31" x14ac:dyDescent="0.2">
      <c r="A654">
        <v>617</v>
      </c>
      <c r="B654" s="19" t="s">
        <v>1040</v>
      </c>
      <c r="C654">
        <v>30</v>
      </c>
      <c r="D654" s="19" t="s">
        <v>333</v>
      </c>
      <c r="E654" s="19" t="s">
        <v>339</v>
      </c>
      <c r="F654">
        <v>20</v>
      </c>
      <c r="G654">
        <v>3</v>
      </c>
      <c r="H654">
        <v>1</v>
      </c>
      <c r="I654">
        <v>4</v>
      </c>
      <c r="J654">
        <v>1</v>
      </c>
      <c r="K654">
        <v>6</v>
      </c>
      <c r="L654">
        <v>3</v>
      </c>
      <c r="M654">
        <v>0</v>
      </c>
      <c r="N654">
        <v>0</v>
      </c>
      <c r="O654">
        <v>0</v>
      </c>
      <c r="P654">
        <v>1</v>
      </c>
      <c r="Q654">
        <v>0</v>
      </c>
      <c r="R654">
        <v>0</v>
      </c>
      <c r="S654">
        <v>16</v>
      </c>
      <c r="T654">
        <v>18.8</v>
      </c>
      <c r="U654">
        <v>38</v>
      </c>
      <c r="V654" s="19" t="s">
        <v>1919</v>
      </c>
      <c r="W654" s="19" t="s">
        <v>1648</v>
      </c>
      <c r="X654">
        <v>2</v>
      </c>
      <c r="Y654">
        <v>3</v>
      </c>
      <c r="Z654">
        <v>40</v>
      </c>
      <c r="AA654">
        <v>10</v>
      </c>
      <c r="AB654">
        <v>62</v>
      </c>
      <c r="AC654">
        <v>1</v>
      </c>
      <c r="AD654">
        <v>6</v>
      </c>
      <c r="AE654" s="19" t="s">
        <v>60</v>
      </c>
    </row>
    <row r="655" spans="1:31" x14ac:dyDescent="0.2">
      <c r="A655">
        <v>618</v>
      </c>
      <c r="B655" s="19" t="s">
        <v>1542</v>
      </c>
      <c r="C655">
        <v>30</v>
      </c>
      <c r="D655" s="19" t="s">
        <v>513</v>
      </c>
      <c r="E655" s="19" t="s">
        <v>322</v>
      </c>
      <c r="F655">
        <v>12</v>
      </c>
      <c r="G655">
        <v>1</v>
      </c>
      <c r="H655">
        <v>3</v>
      </c>
      <c r="I655">
        <v>4</v>
      </c>
      <c r="J655">
        <v>-1</v>
      </c>
      <c r="K655">
        <v>10</v>
      </c>
      <c r="L655">
        <v>1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14</v>
      </c>
      <c r="T655">
        <v>7.1</v>
      </c>
      <c r="U655">
        <v>23</v>
      </c>
      <c r="V655" s="19" t="s">
        <v>2741</v>
      </c>
      <c r="W655" s="19" t="s">
        <v>1785</v>
      </c>
      <c r="X655">
        <v>4</v>
      </c>
      <c r="Y655">
        <v>2</v>
      </c>
      <c r="Z655">
        <v>66.7</v>
      </c>
      <c r="AA655">
        <v>7</v>
      </c>
      <c r="AB655">
        <v>24</v>
      </c>
      <c r="AC655">
        <v>0</v>
      </c>
      <c r="AD655">
        <v>4</v>
      </c>
      <c r="AE655" s="19" t="s">
        <v>60</v>
      </c>
    </row>
    <row r="656" spans="1:31" x14ac:dyDescent="0.2">
      <c r="A656">
        <v>619</v>
      </c>
      <c r="B656" s="19" t="s">
        <v>1048</v>
      </c>
      <c r="C656">
        <v>36</v>
      </c>
      <c r="D656" s="19" t="s">
        <v>398</v>
      </c>
      <c r="E656" s="19" t="s">
        <v>322</v>
      </c>
      <c r="F656">
        <v>49</v>
      </c>
      <c r="G656">
        <v>0</v>
      </c>
      <c r="H656">
        <v>4</v>
      </c>
      <c r="I656">
        <v>4</v>
      </c>
      <c r="J656">
        <v>-11</v>
      </c>
      <c r="K656">
        <v>4</v>
      </c>
      <c r="L656">
        <v>0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1</v>
      </c>
      <c r="S656">
        <v>29</v>
      </c>
      <c r="T656">
        <v>0</v>
      </c>
      <c r="U656">
        <v>51</v>
      </c>
      <c r="V656" s="19" t="s">
        <v>2742</v>
      </c>
      <c r="W656" s="19" t="s">
        <v>2743</v>
      </c>
      <c r="X656">
        <v>255</v>
      </c>
      <c r="Y656">
        <v>241</v>
      </c>
      <c r="Z656">
        <v>51.4</v>
      </c>
      <c r="AA656">
        <v>42</v>
      </c>
      <c r="AB656">
        <v>64</v>
      </c>
      <c r="AC656">
        <v>6</v>
      </c>
      <c r="AD656">
        <v>8</v>
      </c>
      <c r="AE656" s="19" t="s">
        <v>60</v>
      </c>
    </row>
    <row r="657" spans="1:31" x14ac:dyDescent="0.2">
      <c r="A657">
        <v>620</v>
      </c>
      <c r="B657" s="19" t="s">
        <v>976</v>
      </c>
      <c r="C657">
        <v>25</v>
      </c>
      <c r="D657" s="19" t="s">
        <v>375</v>
      </c>
      <c r="E657" s="19" t="s">
        <v>322</v>
      </c>
      <c r="F657">
        <v>13</v>
      </c>
      <c r="G657">
        <v>1</v>
      </c>
      <c r="H657">
        <v>3</v>
      </c>
      <c r="I657">
        <v>4</v>
      </c>
      <c r="J657">
        <v>4</v>
      </c>
      <c r="K657">
        <v>2</v>
      </c>
      <c r="L657">
        <v>0</v>
      </c>
      <c r="M657">
        <v>0</v>
      </c>
      <c r="N657">
        <v>1</v>
      </c>
      <c r="O657">
        <v>1</v>
      </c>
      <c r="P657">
        <v>3</v>
      </c>
      <c r="Q657">
        <v>0</v>
      </c>
      <c r="R657">
        <v>0</v>
      </c>
      <c r="S657">
        <v>22</v>
      </c>
      <c r="T657">
        <v>4.5</v>
      </c>
      <c r="U657">
        <v>47</v>
      </c>
      <c r="V657" s="19" t="s">
        <v>977</v>
      </c>
      <c r="W657" s="19" t="s">
        <v>978</v>
      </c>
      <c r="X657">
        <v>0</v>
      </c>
      <c r="Y657">
        <v>2</v>
      </c>
      <c r="Z657">
        <v>0</v>
      </c>
      <c r="AA657">
        <v>5</v>
      </c>
      <c r="AB657">
        <v>3</v>
      </c>
      <c r="AC657">
        <v>2</v>
      </c>
      <c r="AD657">
        <v>12</v>
      </c>
      <c r="AE657" s="19" t="s">
        <v>60</v>
      </c>
    </row>
    <row r="658" spans="1:31" x14ac:dyDescent="0.2">
      <c r="A658">
        <v>621</v>
      </c>
      <c r="B658" s="19" t="s">
        <v>2160</v>
      </c>
      <c r="C658">
        <v>19</v>
      </c>
      <c r="D658" s="19" t="s">
        <v>428</v>
      </c>
      <c r="E658" s="19" t="s">
        <v>325</v>
      </c>
      <c r="F658">
        <v>5</v>
      </c>
      <c r="G658">
        <v>1</v>
      </c>
      <c r="H658">
        <v>3</v>
      </c>
      <c r="I658">
        <v>4</v>
      </c>
      <c r="J658">
        <v>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3</v>
      </c>
      <c r="Q658">
        <v>0</v>
      </c>
      <c r="R658">
        <v>0</v>
      </c>
      <c r="S658">
        <v>9</v>
      </c>
      <c r="T658">
        <v>11.1</v>
      </c>
      <c r="U658">
        <v>14</v>
      </c>
      <c r="V658" s="19" t="s">
        <v>2744</v>
      </c>
      <c r="W658" s="19" t="s">
        <v>1207</v>
      </c>
      <c r="X658">
        <v>4</v>
      </c>
      <c r="Y658">
        <v>7</v>
      </c>
      <c r="Z658">
        <v>36.4</v>
      </c>
      <c r="AA658">
        <v>2</v>
      </c>
      <c r="AB658">
        <v>5</v>
      </c>
      <c r="AC658">
        <v>1</v>
      </c>
      <c r="AD658">
        <v>5</v>
      </c>
      <c r="AE658" s="19" t="s">
        <v>60</v>
      </c>
    </row>
    <row r="659" spans="1:31" x14ac:dyDescent="0.2">
      <c r="A659">
        <v>622</v>
      </c>
      <c r="B659" s="19" t="s">
        <v>1355</v>
      </c>
      <c r="C659">
        <v>23</v>
      </c>
      <c r="D659" s="19" t="s">
        <v>419</v>
      </c>
      <c r="E659" s="19" t="s">
        <v>322</v>
      </c>
      <c r="F659">
        <v>24</v>
      </c>
      <c r="G659">
        <v>2</v>
      </c>
      <c r="H659">
        <v>2</v>
      </c>
      <c r="I659">
        <v>4</v>
      </c>
      <c r="J659">
        <v>0</v>
      </c>
      <c r="K659">
        <v>17</v>
      </c>
      <c r="L659">
        <v>2</v>
      </c>
      <c r="M659">
        <v>0</v>
      </c>
      <c r="N659">
        <v>0</v>
      </c>
      <c r="O659">
        <v>0</v>
      </c>
      <c r="P659">
        <v>2</v>
      </c>
      <c r="Q659">
        <v>0</v>
      </c>
      <c r="R659">
        <v>0</v>
      </c>
      <c r="S659">
        <v>13</v>
      </c>
      <c r="T659">
        <v>15.4</v>
      </c>
      <c r="U659">
        <v>25</v>
      </c>
      <c r="V659" s="19" t="s">
        <v>2745</v>
      </c>
      <c r="W659" s="19" t="s">
        <v>2746</v>
      </c>
      <c r="X659">
        <v>51</v>
      </c>
      <c r="Y659">
        <v>65</v>
      </c>
      <c r="Z659">
        <v>44</v>
      </c>
      <c r="AA659">
        <v>7</v>
      </c>
      <c r="AB659">
        <v>55</v>
      </c>
      <c r="AC659">
        <v>3</v>
      </c>
      <c r="AD659">
        <v>7</v>
      </c>
      <c r="AE659" s="19" t="s">
        <v>60</v>
      </c>
    </row>
    <row r="660" spans="1:31" x14ac:dyDescent="0.2">
      <c r="A660">
        <v>623</v>
      </c>
      <c r="B660" s="19" t="s">
        <v>982</v>
      </c>
      <c r="C660">
        <v>21</v>
      </c>
      <c r="D660" s="19" t="s">
        <v>436</v>
      </c>
      <c r="E660" s="19" t="s">
        <v>339</v>
      </c>
      <c r="F660">
        <v>18</v>
      </c>
      <c r="G660">
        <v>2</v>
      </c>
      <c r="H660">
        <v>2</v>
      </c>
      <c r="I660">
        <v>4</v>
      </c>
      <c r="J660">
        <v>1</v>
      </c>
      <c r="K660">
        <v>2</v>
      </c>
      <c r="L660">
        <v>2</v>
      </c>
      <c r="M660">
        <v>0</v>
      </c>
      <c r="N660">
        <v>0</v>
      </c>
      <c r="O660">
        <v>0</v>
      </c>
      <c r="P660">
        <v>2</v>
      </c>
      <c r="Q660">
        <v>0</v>
      </c>
      <c r="R660">
        <v>0</v>
      </c>
      <c r="S660">
        <v>22</v>
      </c>
      <c r="T660">
        <v>9.1</v>
      </c>
      <c r="U660">
        <v>42</v>
      </c>
      <c r="V660" s="19" t="s">
        <v>983</v>
      </c>
      <c r="W660" s="19" t="s">
        <v>984</v>
      </c>
      <c r="X660">
        <v>6</v>
      </c>
      <c r="Y660">
        <v>5</v>
      </c>
      <c r="Z660">
        <v>54.5</v>
      </c>
      <c r="AA660">
        <v>6</v>
      </c>
      <c r="AB660">
        <v>35</v>
      </c>
      <c r="AC660">
        <v>1</v>
      </c>
      <c r="AD660">
        <v>9</v>
      </c>
      <c r="AE660" s="19" t="s">
        <v>60</v>
      </c>
    </row>
    <row r="661" spans="1:31" x14ac:dyDescent="0.2">
      <c r="A661">
        <v>624</v>
      </c>
      <c r="B661" s="19" t="s">
        <v>1196</v>
      </c>
      <c r="C661">
        <v>23</v>
      </c>
      <c r="D661" s="19" t="s">
        <v>356</v>
      </c>
      <c r="E661" s="19" t="s">
        <v>348</v>
      </c>
      <c r="F661">
        <v>22</v>
      </c>
      <c r="G661">
        <v>0</v>
      </c>
      <c r="H661">
        <v>4</v>
      </c>
      <c r="I661">
        <v>4</v>
      </c>
      <c r="J661">
        <v>0</v>
      </c>
      <c r="K661">
        <v>4</v>
      </c>
      <c r="L661">
        <v>0</v>
      </c>
      <c r="M661">
        <v>0</v>
      </c>
      <c r="N661">
        <v>0</v>
      </c>
      <c r="O661">
        <v>0</v>
      </c>
      <c r="P661">
        <v>4</v>
      </c>
      <c r="Q661">
        <v>0</v>
      </c>
      <c r="R661">
        <v>0</v>
      </c>
      <c r="S661">
        <v>11</v>
      </c>
      <c r="T661">
        <v>0</v>
      </c>
      <c r="U661">
        <v>29</v>
      </c>
      <c r="V661" s="19" t="s">
        <v>2747</v>
      </c>
      <c r="W661" s="19" t="s">
        <v>2038</v>
      </c>
      <c r="X661">
        <v>0</v>
      </c>
      <c r="Y661">
        <v>0</v>
      </c>
      <c r="AA661">
        <v>29</v>
      </c>
      <c r="AB661">
        <v>15</v>
      </c>
      <c r="AC661">
        <v>1</v>
      </c>
      <c r="AD661">
        <v>11</v>
      </c>
      <c r="AE661" s="19" t="s">
        <v>60</v>
      </c>
    </row>
    <row r="662" spans="1:31" x14ac:dyDescent="0.2">
      <c r="A662">
        <v>625</v>
      </c>
      <c r="B662" s="19" t="s">
        <v>991</v>
      </c>
      <c r="C662">
        <v>23</v>
      </c>
      <c r="D662" s="19" t="s">
        <v>428</v>
      </c>
      <c r="E662" s="19" t="s">
        <v>322</v>
      </c>
      <c r="F662">
        <v>30</v>
      </c>
      <c r="G662">
        <v>2</v>
      </c>
      <c r="H662">
        <v>2</v>
      </c>
      <c r="I662">
        <v>4</v>
      </c>
      <c r="J662">
        <v>-3</v>
      </c>
      <c r="K662">
        <v>2</v>
      </c>
      <c r="L662">
        <v>2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22</v>
      </c>
      <c r="T662">
        <v>9.1</v>
      </c>
      <c r="U662">
        <v>40</v>
      </c>
      <c r="V662" s="19" t="s">
        <v>2748</v>
      </c>
      <c r="W662" s="19" t="s">
        <v>2073</v>
      </c>
      <c r="X662">
        <v>132</v>
      </c>
      <c r="Y662">
        <v>138</v>
      </c>
      <c r="Z662">
        <v>48.9</v>
      </c>
      <c r="AA662">
        <v>24</v>
      </c>
      <c r="AB662">
        <v>83</v>
      </c>
      <c r="AC662">
        <v>9</v>
      </c>
      <c r="AD662">
        <v>18</v>
      </c>
      <c r="AE662" s="19" t="s">
        <v>60</v>
      </c>
    </row>
    <row r="663" spans="1:31" x14ac:dyDescent="0.2">
      <c r="A663">
        <v>626</v>
      </c>
      <c r="B663" s="19" t="s">
        <v>1062</v>
      </c>
      <c r="C663">
        <v>34</v>
      </c>
      <c r="D663" s="19" t="s">
        <v>324</v>
      </c>
      <c r="E663" s="19" t="s">
        <v>348</v>
      </c>
      <c r="F663">
        <v>19</v>
      </c>
      <c r="G663">
        <v>0</v>
      </c>
      <c r="H663">
        <v>4</v>
      </c>
      <c r="I663">
        <v>4</v>
      </c>
      <c r="J663">
        <v>-9</v>
      </c>
      <c r="K663">
        <v>6</v>
      </c>
      <c r="L663">
        <v>0</v>
      </c>
      <c r="M663">
        <v>0</v>
      </c>
      <c r="N663">
        <v>0</v>
      </c>
      <c r="O663">
        <v>0</v>
      </c>
      <c r="P663">
        <v>4</v>
      </c>
      <c r="Q663">
        <v>0</v>
      </c>
      <c r="R663">
        <v>0</v>
      </c>
      <c r="S663">
        <v>6</v>
      </c>
      <c r="T663">
        <v>0</v>
      </c>
      <c r="U663">
        <v>19</v>
      </c>
      <c r="V663" s="19" t="s">
        <v>2076</v>
      </c>
      <c r="W663" s="19" t="s">
        <v>385</v>
      </c>
      <c r="X663">
        <v>0</v>
      </c>
      <c r="Y663">
        <v>0</v>
      </c>
      <c r="AA663">
        <v>26</v>
      </c>
      <c r="AB663">
        <v>4</v>
      </c>
      <c r="AC663">
        <v>4</v>
      </c>
      <c r="AD663">
        <v>13</v>
      </c>
      <c r="AE663" s="19" t="s">
        <v>60</v>
      </c>
    </row>
    <row r="664" spans="1:31" x14ac:dyDescent="0.2">
      <c r="A664">
        <v>627</v>
      </c>
      <c r="B664" s="19" t="s">
        <v>1581</v>
      </c>
      <c r="C664">
        <v>27</v>
      </c>
      <c r="D664" s="19" t="s">
        <v>370</v>
      </c>
      <c r="E664" s="19" t="s">
        <v>339</v>
      </c>
      <c r="F664">
        <v>9</v>
      </c>
      <c r="G664">
        <v>2</v>
      </c>
      <c r="H664">
        <v>2</v>
      </c>
      <c r="I664">
        <v>4</v>
      </c>
      <c r="J664">
        <v>-2</v>
      </c>
      <c r="K664">
        <v>0</v>
      </c>
      <c r="L664">
        <v>2</v>
      </c>
      <c r="M664">
        <v>0</v>
      </c>
      <c r="N664">
        <v>0</v>
      </c>
      <c r="O664">
        <v>0</v>
      </c>
      <c r="P664">
        <v>0</v>
      </c>
      <c r="Q664">
        <v>2</v>
      </c>
      <c r="R664">
        <v>0</v>
      </c>
      <c r="S664">
        <v>9</v>
      </c>
      <c r="T664">
        <v>22.2</v>
      </c>
      <c r="U664">
        <v>26</v>
      </c>
      <c r="V664" s="19" t="s">
        <v>1864</v>
      </c>
      <c r="W664" s="19" t="s">
        <v>1740</v>
      </c>
      <c r="X664">
        <v>0</v>
      </c>
      <c r="Y664">
        <v>0</v>
      </c>
      <c r="AA664">
        <v>6</v>
      </c>
      <c r="AB664">
        <v>8</v>
      </c>
      <c r="AC664">
        <v>2</v>
      </c>
      <c r="AD664">
        <v>10</v>
      </c>
      <c r="AE664" s="19" t="s">
        <v>60</v>
      </c>
    </row>
    <row r="665" spans="1:31" x14ac:dyDescent="0.2">
      <c r="A665">
        <v>628</v>
      </c>
      <c r="B665" s="19" t="s">
        <v>995</v>
      </c>
      <c r="C665">
        <v>31</v>
      </c>
      <c r="D665" s="19" t="s">
        <v>447</v>
      </c>
      <c r="E665" s="19" t="s">
        <v>339</v>
      </c>
      <c r="F665">
        <v>8</v>
      </c>
      <c r="G665">
        <v>1</v>
      </c>
      <c r="H665">
        <v>3</v>
      </c>
      <c r="I665">
        <v>4</v>
      </c>
      <c r="J665">
        <v>0</v>
      </c>
      <c r="K665">
        <v>12</v>
      </c>
      <c r="L665">
        <v>1</v>
      </c>
      <c r="M665">
        <v>0</v>
      </c>
      <c r="N665">
        <v>0</v>
      </c>
      <c r="O665">
        <v>0</v>
      </c>
      <c r="P665">
        <v>3</v>
      </c>
      <c r="Q665">
        <v>0</v>
      </c>
      <c r="R665">
        <v>0</v>
      </c>
      <c r="S665">
        <v>6</v>
      </c>
      <c r="T665">
        <v>16.7</v>
      </c>
      <c r="U665">
        <v>10</v>
      </c>
      <c r="V665" s="19" t="s">
        <v>996</v>
      </c>
      <c r="W665" s="19" t="s">
        <v>997</v>
      </c>
      <c r="X665">
        <v>1</v>
      </c>
      <c r="Y665">
        <v>1</v>
      </c>
      <c r="Z665">
        <v>50</v>
      </c>
      <c r="AA665">
        <v>6</v>
      </c>
      <c r="AB665">
        <v>10</v>
      </c>
      <c r="AC665">
        <v>1</v>
      </c>
      <c r="AD665">
        <v>3</v>
      </c>
      <c r="AE665" s="19" t="s">
        <v>60</v>
      </c>
    </row>
    <row r="666" spans="1:31" x14ac:dyDescent="0.2">
      <c r="A666">
        <v>629</v>
      </c>
      <c r="B666" s="19" t="s">
        <v>998</v>
      </c>
      <c r="C666">
        <v>27</v>
      </c>
      <c r="D666" s="19" t="s">
        <v>416</v>
      </c>
      <c r="E666" s="19" t="s">
        <v>348</v>
      </c>
      <c r="F666">
        <v>30</v>
      </c>
      <c r="G666">
        <v>0</v>
      </c>
      <c r="H666">
        <v>4</v>
      </c>
      <c r="I666">
        <v>4</v>
      </c>
      <c r="J666">
        <v>0</v>
      </c>
      <c r="K666">
        <v>10</v>
      </c>
      <c r="L666">
        <v>0</v>
      </c>
      <c r="M666">
        <v>0</v>
      </c>
      <c r="N666">
        <v>0</v>
      </c>
      <c r="O666">
        <v>0</v>
      </c>
      <c r="P666">
        <v>4</v>
      </c>
      <c r="Q666">
        <v>0</v>
      </c>
      <c r="R666">
        <v>0</v>
      </c>
      <c r="S666">
        <v>19</v>
      </c>
      <c r="T666">
        <v>0</v>
      </c>
      <c r="U666">
        <v>64</v>
      </c>
      <c r="V666" s="19" t="s">
        <v>2295</v>
      </c>
      <c r="W666" s="19" t="s">
        <v>1718</v>
      </c>
      <c r="X666">
        <v>0</v>
      </c>
      <c r="Y666">
        <v>0</v>
      </c>
      <c r="AA666">
        <v>33</v>
      </c>
      <c r="AB666">
        <v>27</v>
      </c>
      <c r="AC666">
        <v>7</v>
      </c>
      <c r="AD666">
        <v>17</v>
      </c>
      <c r="AE666" s="19" t="s">
        <v>60</v>
      </c>
    </row>
    <row r="667" spans="1:31" x14ac:dyDescent="0.2">
      <c r="A667">
        <v>630</v>
      </c>
      <c r="B667" s="19" t="s">
        <v>1575</v>
      </c>
      <c r="C667">
        <v>22</v>
      </c>
      <c r="D667" s="19" t="s">
        <v>531</v>
      </c>
      <c r="E667" s="19" t="s">
        <v>334</v>
      </c>
      <c r="F667">
        <v>18</v>
      </c>
      <c r="G667">
        <v>1</v>
      </c>
      <c r="H667">
        <v>3</v>
      </c>
      <c r="I667">
        <v>4</v>
      </c>
      <c r="J667">
        <v>0</v>
      </c>
      <c r="K667">
        <v>7</v>
      </c>
      <c r="L667">
        <v>1</v>
      </c>
      <c r="M667">
        <v>0</v>
      </c>
      <c r="N667">
        <v>0</v>
      </c>
      <c r="O667">
        <v>0</v>
      </c>
      <c r="P667">
        <v>3</v>
      </c>
      <c r="Q667">
        <v>0</v>
      </c>
      <c r="R667">
        <v>0</v>
      </c>
      <c r="S667">
        <v>15</v>
      </c>
      <c r="T667">
        <v>6.7</v>
      </c>
      <c r="U667">
        <v>40</v>
      </c>
      <c r="V667" s="19" t="s">
        <v>1550</v>
      </c>
      <c r="W667" s="19" t="s">
        <v>1393</v>
      </c>
      <c r="X667">
        <v>1</v>
      </c>
      <c r="Y667">
        <v>0</v>
      </c>
      <c r="Z667">
        <v>100</v>
      </c>
      <c r="AA667">
        <v>6</v>
      </c>
      <c r="AB667">
        <v>89</v>
      </c>
      <c r="AC667">
        <v>2</v>
      </c>
      <c r="AD667">
        <v>7</v>
      </c>
      <c r="AE667" s="19" t="s">
        <v>60</v>
      </c>
    </row>
    <row r="668" spans="1:31" x14ac:dyDescent="0.2">
      <c r="A668">
        <v>631</v>
      </c>
      <c r="B668" s="19" t="s">
        <v>1439</v>
      </c>
      <c r="C668">
        <v>22</v>
      </c>
      <c r="D668" s="19" t="s">
        <v>324</v>
      </c>
      <c r="E668" s="19" t="s">
        <v>322</v>
      </c>
      <c r="F668">
        <v>29</v>
      </c>
      <c r="G668">
        <v>3</v>
      </c>
      <c r="H668">
        <v>1</v>
      </c>
      <c r="I668">
        <v>4</v>
      </c>
      <c r="J668">
        <v>-6</v>
      </c>
      <c r="K668">
        <v>4</v>
      </c>
      <c r="L668">
        <v>3</v>
      </c>
      <c r="M668">
        <v>0</v>
      </c>
      <c r="N668">
        <v>0</v>
      </c>
      <c r="O668">
        <v>2</v>
      </c>
      <c r="P668">
        <v>1</v>
      </c>
      <c r="Q668">
        <v>0</v>
      </c>
      <c r="R668">
        <v>0</v>
      </c>
      <c r="S668">
        <v>22</v>
      </c>
      <c r="T668">
        <v>13.6</v>
      </c>
      <c r="U668">
        <v>36</v>
      </c>
      <c r="V668" s="19" t="s">
        <v>2749</v>
      </c>
      <c r="W668" s="19" t="s">
        <v>1647</v>
      </c>
      <c r="X668">
        <v>126</v>
      </c>
      <c r="Y668">
        <v>115</v>
      </c>
      <c r="Z668">
        <v>52.3</v>
      </c>
      <c r="AA668">
        <v>12</v>
      </c>
      <c r="AB668">
        <v>73</v>
      </c>
      <c r="AC668">
        <v>5</v>
      </c>
      <c r="AD668">
        <v>8</v>
      </c>
      <c r="AE668" s="19" t="s">
        <v>60</v>
      </c>
    </row>
    <row r="669" spans="1:31" x14ac:dyDescent="0.2">
      <c r="A669">
        <v>632</v>
      </c>
      <c r="B669" s="19" t="s">
        <v>1135</v>
      </c>
      <c r="C669">
        <v>24</v>
      </c>
      <c r="D669" s="19" t="s">
        <v>372</v>
      </c>
      <c r="E669" s="19" t="s">
        <v>334</v>
      </c>
      <c r="F669">
        <v>16</v>
      </c>
      <c r="G669">
        <v>3</v>
      </c>
      <c r="H669">
        <v>1</v>
      </c>
      <c r="I669">
        <v>4</v>
      </c>
      <c r="J669">
        <v>2</v>
      </c>
      <c r="K669">
        <v>0</v>
      </c>
      <c r="L669">
        <v>3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9</v>
      </c>
      <c r="T669">
        <v>33.299999999999997</v>
      </c>
      <c r="U669">
        <v>17</v>
      </c>
      <c r="V669" s="19" t="s">
        <v>2750</v>
      </c>
      <c r="W669" s="19" t="s">
        <v>1848</v>
      </c>
      <c r="X669">
        <v>38</v>
      </c>
      <c r="Y669">
        <v>49</v>
      </c>
      <c r="Z669">
        <v>43.7</v>
      </c>
      <c r="AA669">
        <v>7</v>
      </c>
      <c r="AB669">
        <v>19</v>
      </c>
      <c r="AC669">
        <v>2</v>
      </c>
      <c r="AD669">
        <v>6</v>
      </c>
      <c r="AE669" s="19" t="s">
        <v>60</v>
      </c>
    </row>
    <row r="670" spans="1:31" x14ac:dyDescent="0.2">
      <c r="A670">
        <v>633</v>
      </c>
      <c r="B670" s="19" t="s">
        <v>1086</v>
      </c>
      <c r="C670">
        <v>27</v>
      </c>
      <c r="D670" s="19" t="s">
        <v>360</v>
      </c>
      <c r="E670" s="19" t="s">
        <v>348</v>
      </c>
      <c r="F670">
        <v>24</v>
      </c>
      <c r="G670">
        <v>0</v>
      </c>
      <c r="H670">
        <v>4</v>
      </c>
      <c r="I670">
        <v>4</v>
      </c>
      <c r="J670">
        <v>0</v>
      </c>
      <c r="K670">
        <v>12</v>
      </c>
      <c r="L670">
        <v>0</v>
      </c>
      <c r="M670">
        <v>0</v>
      </c>
      <c r="N670">
        <v>0</v>
      </c>
      <c r="O670">
        <v>0</v>
      </c>
      <c r="P670">
        <v>4</v>
      </c>
      <c r="Q670">
        <v>0</v>
      </c>
      <c r="R670">
        <v>0</v>
      </c>
      <c r="S670">
        <v>16</v>
      </c>
      <c r="T670">
        <v>0</v>
      </c>
      <c r="U670">
        <v>50</v>
      </c>
      <c r="V670" s="19" t="s">
        <v>2932</v>
      </c>
      <c r="W670" s="19" t="s">
        <v>2042</v>
      </c>
      <c r="X670">
        <v>0</v>
      </c>
      <c r="Y670">
        <v>0</v>
      </c>
      <c r="AA670">
        <v>19</v>
      </c>
      <c r="AB670">
        <v>9</v>
      </c>
      <c r="AC670">
        <v>5</v>
      </c>
      <c r="AD670">
        <v>15</v>
      </c>
      <c r="AE670" s="19" t="s">
        <v>60</v>
      </c>
    </row>
    <row r="671" spans="1:31" x14ac:dyDescent="0.2">
      <c r="A671">
        <v>634</v>
      </c>
      <c r="B671" s="19" t="s">
        <v>1267</v>
      </c>
      <c r="C671">
        <v>26</v>
      </c>
      <c r="D671" s="19" t="s">
        <v>362</v>
      </c>
      <c r="E671" s="19" t="s">
        <v>322</v>
      </c>
      <c r="F671">
        <v>46</v>
      </c>
      <c r="G671">
        <v>2</v>
      </c>
      <c r="H671">
        <v>2</v>
      </c>
      <c r="I671">
        <v>4</v>
      </c>
      <c r="J671">
        <v>-7</v>
      </c>
      <c r="K671">
        <v>15</v>
      </c>
      <c r="L671">
        <v>2</v>
      </c>
      <c r="M671">
        <v>0</v>
      </c>
      <c r="N671">
        <v>0</v>
      </c>
      <c r="O671">
        <v>1</v>
      </c>
      <c r="P671">
        <v>2</v>
      </c>
      <c r="Q671">
        <v>0</v>
      </c>
      <c r="R671">
        <v>0</v>
      </c>
      <c r="S671">
        <v>44</v>
      </c>
      <c r="T671">
        <v>4.5</v>
      </c>
      <c r="U671">
        <v>79</v>
      </c>
      <c r="V671" s="19" t="s">
        <v>2226</v>
      </c>
      <c r="W671" s="19" t="s">
        <v>1113</v>
      </c>
      <c r="X671">
        <v>144</v>
      </c>
      <c r="Y671">
        <v>137</v>
      </c>
      <c r="Z671">
        <v>51.2</v>
      </c>
      <c r="AA671">
        <v>23</v>
      </c>
      <c r="AB671">
        <v>111</v>
      </c>
      <c r="AC671">
        <v>7</v>
      </c>
      <c r="AD671">
        <v>14</v>
      </c>
      <c r="AE671" s="19" t="s">
        <v>60</v>
      </c>
    </row>
    <row r="672" spans="1:31" x14ac:dyDescent="0.2">
      <c r="A672">
        <v>635</v>
      </c>
      <c r="B672" s="19" t="s">
        <v>1852</v>
      </c>
      <c r="C672">
        <v>27</v>
      </c>
      <c r="D672" s="19" t="s">
        <v>419</v>
      </c>
      <c r="E672" s="19" t="s">
        <v>325</v>
      </c>
      <c r="F672">
        <v>10</v>
      </c>
      <c r="G672">
        <v>2</v>
      </c>
      <c r="H672">
        <v>2</v>
      </c>
      <c r="I672">
        <v>4</v>
      </c>
      <c r="J672">
        <v>4</v>
      </c>
      <c r="K672">
        <v>0</v>
      </c>
      <c r="L672">
        <v>2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8</v>
      </c>
      <c r="T672">
        <v>25</v>
      </c>
      <c r="U672">
        <v>32</v>
      </c>
      <c r="V672" s="19" t="s">
        <v>2751</v>
      </c>
      <c r="W672" s="19" t="s">
        <v>2071</v>
      </c>
      <c r="X672">
        <v>1</v>
      </c>
      <c r="Y672">
        <v>3</v>
      </c>
      <c r="Z672">
        <v>25</v>
      </c>
      <c r="AA672">
        <v>3</v>
      </c>
      <c r="AB672">
        <v>6</v>
      </c>
      <c r="AC672">
        <v>1</v>
      </c>
      <c r="AD672">
        <v>9</v>
      </c>
      <c r="AE672" s="19" t="s">
        <v>60</v>
      </c>
    </row>
    <row r="673" spans="1:31" x14ac:dyDescent="0.2">
      <c r="A673">
        <v>636</v>
      </c>
      <c r="B673" s="19" t="s">
        <v>1488</v>
      </c>
      <c r="C673">
        <v>28</v>
      </c>
      <c r="D673" s="19" t="s">
        <v>398</v>
      </c>
      <c r="E673" s="19" t="s">
        <v>348</v>
      </c>
      <c r="F673">
        <v>23</v>
      </c>
      <c r="G673">
        <v>0</v>
      </c>
      <c r="H673">
        <v>4</v>
      </c>
      <c r="I673">
        <v>4</v>
      </c>
      <c r="J673">
        <v>2</v>
      </c>
      <c r="K673">
        <v>2</v>
      </c>
      <c r="L673">
        <v>0</v>
      </c>
      <c r="M673">
        <v>0</v>
      </c>
      <c r="N673">
        <v>0</v>
      </c>
      <c r="O673">
        <v>0</v>
      </c>
      <c r="P673">
        <v>4</v>
      </c>
      <c r="Q673">
        <v>0</v>
      </c>
      <c r="R673">
        <v>0</v>
      </c>
      <c r="S673">
        <v>14</v>
      </c>
      <c r="T673">
        <v>0</v>
      </c>
      <c r="U673">
        <v>32</v>
      </c>
      <c r="V673" s="19" t="s">
        <v>1832</v>
      </c>
      <c r="W673" s="19" t="s">
        <v>950</v>
      </c>
      <c r="X673">
        <v>0</v>
      </c>
      <c r="Y673">
        <v>0</v>
      </c>
      <c r="AA673">
        <v>16</v>
      </c>
      <c r="AB673">
        <v>23</v>
      </c>
      <c r="AC673">
        <v>4</v>
      </c>
      <c r="AD673">
        <v>21</v>
      </c>
      <c r="AE673" s="19" t="s">
        <v>60</v>
      </c>
    </row>
    <row r="674" spans="1:31" x14ac:dyDescent="0.2">
      <c r="A674">
        <v>637</v>
      </c>
      <c r="B674" s="19" t="s">
        <v>1019</v>
      </c>
      <c r="C674">
        <v>23</v>
      </c>
      <c r="D674" s="19" t="s">
        <v>460</v>
      </c>
      <c r="E674" s="19" t="s">
        <v>334</v>
      </c>
      <c r="F674">
        <v>27</v>
      </c>
      <c r="G674">
        <v>1</v>
      </c>
      <c r="H674">
        <v>3</v>
      </c>
      <c r="I674">
        <v>4</v>
      </c>
      <c r="J674">
        <v>-7</v>
      </c>
      <c r="K674">
        <v>32</v>
      </c>
      <c r="L674">
        <v>1</v>
      </c>
      <c r="M674">
        <v>0</v>
      </c>
      <c r="N674">
        <v>0</v>
      </c>
      <c r="O674">
        <v>0</v>
      </c>
      <c r="P674">
        <v>3</v>
      </c>
      <c r="Q674">
        <v>0</v>
      </c>
      <c r="R674">
        <v>0</v>
      </c>
      <c r="S674">
        <v>23</v>
      </c>
      <c r="T674">
        <v>4.3</v>
      </c>
      <c r="U674">
        <v>48</v>
      </c>
      <c r="V674" s="19" t="s">
        <v>2296</v>
      </c>
      <c r="W674" s="19" t="s">
        <v>1839</v>
      </c>
      <c r="X674">
        <v>0</v>
      </c>
      <c r="Y674">
        <v>4</v>
      </c>
      <c r="Z674">
        <v>0</v>
      </c>
      <c r="AA674">
        <v>13</v>
      </c>
      <c r="AB674">
        <v>68</v>
      </c>
      <c r="AC674">
        <v>6</v>
      </c>
      <c r="AD674">
        <v>12</v>
      </c>
      <c r="AE674" s="19" t="s">
        <v>60</v>
      </c>
    </row>
    <row r="675" spans="1:31" x14ac:dyDescent="0.2">
      <c r="A675">
        <v>638</v>
      </c>
      <c r="B675" s="19" t="s">
        <v>1195</v>
      </c>
      <c r="C675">
        <v>30</v>
      </c>
      <c r="D675" s="19" t="s">
        <v>948</v>
      </c>
      <c r="E675" s="19" t="s">
        <v>322</v>
      </c>
      <c r="F675">
        <v>24</v>
      </c>
      <c r="G675">
        <v>2</v>
      </c>
      <c r="H675">
        <v>2</v>
      </c>
      <c r="I675">
        <v>4</v>
      </c>
      <c r="J675">
        <v>0</v>
      </c>
      <c r="K675">
        <v>8</v>
      </c>
      <c r="L675">
        <v>2</v>
      </c>
      <c r="M675">
        <v>0</v>
      </c>
      <c r="N675">
        <v>0</v>
      </c>
      <c r="O675">
        <v>0</v>
      </c>
      <c r="P675">
        <v>2</v>
      </c>
      <c r="Q675">
        <v>0</v>
      </c>
      <c r="R675">
        <v>0</v>
      </c>
      <c r="S675">
        <v>23</v>
      </c>
      <c r="T675">
        <v>8.6999999999999993</v>
      </c>
      <c r="U675">
        <v>55</v>
      </c>
      <c r="V675" s="19" t="s">
        <v>2297</v>
      </c>
      <c r="W675" s="19" t="s">
        <v>2112</v>
      </c>
      <c r="X675">
        <v>6</v>
      </c>
      <c r="Y675">
        <v>13</v>
      </c>
      <c r="Z675">
        <v>31.6</v>
      </c>
      <c r="AA675">
        <v>16</v>
      </c>
      <c r="AB675">
        <v>37</v>
      </c>
      <c r="AC675">
        <v>6</v>
      </c>
      <c r="AD675">
        <v>8</v>
      </c>
      <c r="AE675" s="19" t="s">
        <v>60</v>
      </c>
    </row>
    <row r="676" spans="1:31" x14ac:dyDescent="0.2">
      <c r="A676">
        <v>638</v>
      </c>
      <c r="B676" s="19" t="s">
        <v>1195</v>
      </c>
      <c r="C676">
        <v>30</v>
      </c>
      <c r="D676" s="19" t="s">
        <v>375</v>
      </c>
      <c r="E676" s="19" t="s">
        <v>322</v>
      </c>
      <c r="F676">
        <v>13</v>
      </c>
      <c r="G676">
        <v>1</v>
      </c>
      <c r="H676">
        <v>1</v>
      </c>
      <c r="I676">
        <v>2</v>
      </c>
      <c r="J676">
        <v>1</v>
      </c>
      <c r="K676">
        <v>8</v>
      </c>
      <c r="L676">
        <v>1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14</v>
      </c>
      <c r="T676">
        <v>7.1</v>
      </c>
      <c r="U676">
        <v>35</v>
      </c>
      <c r="V676" s="19" t="s">
        <v>1593</v>
      </c>
      <c r="W676" s="19" t="s">
        <v>1264</v>
      </c>
      <c r="X676">
        <v>5</v>
      </c>
      <c r="Y676">
        <v>11</v>
      </c>
      <c r="Z676">
        <v>31.3</v>
      </c>
      <c r="AA676">
        <v>10</v>
      </c>
      <c r="AB676">
        <v>16</v>
      </c>
      <c r="AC676">
        <v>2</v>
      </c>
      <c r="AD676">
        <v>4</v>
      </c>
      <c r="AE676" s="19" t="s">
        <v>60</v>
      </c>
    </row>
    <row r="677" spans="1:31" x14ac:dyDescent="0.2">
      <c r="A677">
        <v>638</v>
      </c>
      <c r="B677" s="19" t="s">
        <v>1195</v>
      </c>
      <c r="C677">
        <v>30</v>
      </c>
      <c r="D677" s="19" t="s">
        <v>380</v>
      </c>
      <c r="E677" s="19" t="s">
        <v>322</v>
      </c>
      <c r="F677">
        <v>11</v>
      </c>
      <c r="G677">
        <v>1</v>
      </c>
      <c r="H677">
        <v>1</v>
      </c>
      <c r="I677">
        <v>2</v>
      </c>
      <c r="J677">
        <v>-1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9</v>
      </c>
      <c r="T677">
        <v>11.1</v>
      </c>
      <c r="U677">
        <v>20</v>
      </c>
      <c r="V677" s="19" t="s">
        <v>2298</v>
      </c>
      <c r="W677" s="19" t="s">
        <v>1118</v>
      </c>
      <c r="X677">
        <v>1</v>
      </c>
      <c r="Y677">
        <v>2</v>
      </c>
      <c r="Z677">
        <v>33.299999999999997</v>
      </c>
      <c r="AA677">
        <v>6</v>
      </c>
      <c r="AB677">
        <v>21</v>
      </c>
      <c r="AC677">
        <v>4</v>
      </c>
      <c r="AD677">
        <v>4</v>
      </c>
      <c r="AE677" s="19" t="s">
        <v>60</v>
      </c>
    </row>
    <row r="678" spans="1:31" x14ac:dyDescent="0.2">
      <c r="A678">
        <v>639</v>
      </c>
      <c r="B678" s="19" t="s">
        <v>1022</v>
      </c>
      <c r="C678">
        <v>28</v>
      </c>
      <c r="D678" s="19" t="s">
        <v>333</v>
      </c>
      <c r="E678" s="19" t="s">
        <v>334</v>
      </c>
      <c r="F678">
        <v>24</v>
      </c>
      <c r="G678">
        <v>3</v>
      </c>
      <c r="H678">
        <v>0</v>
      </c>
      <c r="I678">
        <v>3</v>
      </c>
      <c r="J678">
        <v>1</v>
      </c>
      <c r="K678">
        <v>15</v>
      </c>
      <c r="L678">
        <v>3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16</v>
      </c>
      <c r="T678">
        <v>18.8</v>
      </c>
      <c r="U678">
        <v>26</v>
      </c>
      <c r="V678" s="19" t="s">
        <v>2227</v>
      </c>
      <c r="W678" s="19" t="s">
        <v>2228</v>
      </c>
      <c r="X678">
        <v>0</v>
      </c>
      <c r="Y678">
        <v>0</v>
      </c>
      <c r="AA678">
        <v>6</v>
      </c>
      <c r="AB678">
        <v>55</v>
      </c>
      <c r="AC678">
        <v>1</v>
      </c>
      <c r="AD678">
        <v>6</v>
      </c>
      <c r="AE678" s="19" t="s">
        <v>60</v>
      </c>
    </row>
    <row r="679" spans="1:31" x14ac:dyDescent="0.2">
      <c r="A679">
        <v>640</v>
      </c>
      <c r="B679" s="19" t="s">
        <v>1024</v>
      </c>
      <c r="C679">
        <v>27</v>
      </c>
      <c r="D679" s="19" t="s">
        <v>358</v>
      </c>
      <c r="E679" s="19" t="s">
        <v>348</v>
      </c>
      <c r="F679">
        <v>46</v>
      </c>
      <c r="G679">
        <v>0</v>
      </c>
      <c r="H679">
        <v>3</v>
      </c>
      <c r="I679">
        <v>3</v>
      </c>
      <c r="J679">
        <v>-5</v>
      </c>
      <c r="K679">
        <v>29</v>
      </c>
      <c r="L679">
        <v>0</v>
      </c>
      <c r="M679">
        <v>0</v>
      </c>
      <c r="N679">
        <v>0</v>
      </c>
      <c r="O679">
        <v>0</v>
      </c>
      <c r="P679">
        <v>3</v>
      </c>
      <c r="Q679">
        <v>0</v>
      </c>
      <c r="R679">
        <v>0</v>
      </c>
      <c r="S679">
        <v>28</v>
      </c>
      <c r="T679">
        <v>0</v>
      </c>
      <c r="U679">
        <v>84</v>
      </c>
      <c r="V679" s="19" t="s">
        <v>2752</v>
      </c>
      <c r="W679" s="19" t="s">
        <v>535</v>
      </c>
      <c r="X679">
        <v>0</v>
      </c>
      <c r="Y679">
        <v>0</v>
      </c>
      <c r="AA679">
        <v>69</v>
      </c>
      <c r="AB679">
        <v>121</v>
      </c>
      <c r="AC679">
        <v>9</v>
      </c>
      <c r="AD679">
        <v>45</v>
      </c>
      <c r="AE679" s="19" t="s">
        <v>60</v>
      </c>
    </row>
    <row r="680" spans="1:31" x14ac:dyDescent="0.2">
      <c r="A680">
        <v>641</v>
      </c>
      <c r="B680" s="19" t="s">
        <v>1025</v>
      </c>
      <c r="C680">
        <v>21</v>
      </c>
      <c r="D680" s="19" t="s">
        <v>333</v>
      </c>
      <c r="E680" s="19" t="s">
        <v>348</v>
      </c>
      <c r="F680">
        <v>26</v>
      </c>
      <c r="G680">
        <v>1</v>
      </c>
      <c r="H680">
        <v>2</v>
      </c>
      <c r="I680">
        <v>3</v>
      </c>
      <c r="J680">
        <v>6</v>
      </c>
      <c r="K680">
        <v>22</v>
      </c>
      <c r="L680">
        <v>1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9</v>
      </c>
      <c r="T680">
        <v>11.1</v>
      </c>
      <c r="U680">
        <v>30</v>
      </c>
      <c r="V680" s="19" t="s">
        <v>1026</v>
      </c>
      <c r="W680" s="19" t="s">
        <v>1027</v>
      </c>
      <c r="X680">
        <v>0</v>
      </c>
      <c r="Y680">
        <v>0</v>
      </c>
      <c r="AA680">
        <v>24</v>
      </c>
      <c r="AB680">
        <v>85</v>
      </c>
      <c r="AC680">
        <v>4</v>
      </c>
      <c r="AD680">
        <v>23</v>
      </c>
      <c r="AE680" s="19" t="s">
        <v>60</v>
      </c>
    </row>
    <row r="681" spans="1:31" x14ac:dyDescent="0.2">
      <c r="A681">
        <v>642</v>
      </c>
      <c r="B681" s="19" t="s">
        <v>1155</v>
      </c>
      <c r="C681">
        <v>31</v>
      </c>
      <c r="D681" s="19" t="s">
        <v>447</v>
      </c>
      <c r="E681" s="19" t="s">
        <v>322</v>
      </c>
      <c r="F681">
        <v>6</v>
      </c>
      <c r="G681">
        <v>3</v>
      </c>
      <c r="H681">
        <v>0</v>
      </c>
      <c r="I681">
        <v>3</v>
      </c>
      <c r="J681">
        <v>-1</v>
      </c>
      <c r="K681">
        <v>2</v>
      </c>
      <c r="L681">
        <v>2</v>
      </c>
      <c r="M681">
        <v>0</v>
      </c>
      <c r="N681">
        <v>1</v>
      </c>
      <c r="O681">
        <v>1</v>
      </c>
      <c r="P681">
        <v>0</v>
      </c>
      <c r="Q681">
        <v>0</v>
      </c>
      <c r="R681">
        <v>0</v>
      </c>
      <c r="S681">
        <v>12</v>
      </c>
      <c r="T681">
        <v>25</v>
      </c>
      <c r="U681">
        <v>18</v>
      </c>
      <c r="V681" s="19" t="s">
        <v>2753</v>
      </c>
      <c r="W681" s="19" t="s">
        <v>2218</v>
      </c>
      <c r="X681">
        <v>39</v>
      </c>
      <c r="Y681">
        <v>46</v>
      </c>
      <c r="Z681">
        <v>45.9</v>
      </c>
      <c r="AA681">
        <v>4</v>
      </c>
      <c r="AB681">
        <v>17</v>
      </c>
      <c r="AC681">
        <v>0</v>
      </c>
      <c r="AD681">
        <v>4</v>
      </c>
      <c r="AE681" s="19" t="s">
        <v>60</v>
      </c>
    </row>
    <row r="682" spans="1:31" x14ac:dyDescent="0.2">
      <c r="A682">
        <v>643</v>
      </c>
      <c r="B682" s="19" t="s">
        <v>1165</v>
      </c>
      <c r="C682">
        <v>25</v>
      </c>
      <c r="D682" s="19" t="s">
        <v>351</v>
      </c>
      <c r="E682" s="19" t="s">
        <v>348</v>
      </c>
      <c r="F682">
        <v>30</v>
      </c>
      <c r="G682">
        <v>1</v>
      </c>
      <c r="H682">
        <v>2</v>
      </c>
      <c r="I682">
        <v>3</v>
      </c>
      <c r="J682">
        <v>4</v>
      </c>
      <c r="K682">
        <v>21</v>
      </c>
      <c r="L682">
        <v>1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21</v>
      </c>
      <c r="T682">
        <v>4.8</v>
      </c>
      <c r="U682">
        <v>63</v>
      </c>
      <c r="V682" s="19" t="s">
        <v>2754</v>
      </c>
      <c r="W682" s="19" t="s">
        <v>1737</v>
      </c>
      <c r="X682">
        <v>0</v>
      </c>
      <c r="Y682">
        <v>0</v>
      </c>
      <c r="AA682">
        <v>24</v>
      </c>
      <c r="AB682">
        <v>30</v>
      </c>
      <c r="AC682">
        <v>5</v>
      </c>
      <c r="AD682">
        <v>14</v>
      </c>
      <c r="AE682" s="19" t="s">
        <v>60</v>
      </c>
    </row>
    <row r="683" spans="1:31" x14ac:dyDescent="0.2">
      <c r="A683">
        <v>644</v>
      </c>
      <c r="B683" s="19" t="s">
        <v>1096</v>
      </c>
      <c r="C683">
        <v>26</v>
      </c>
      <c r="D683" s="19" t="s">
        <v>365</v>
      </c>
      <c r="E683" s="19" t="s">
        <v>348</v>
      </c>
      <c r="F683">
        <v>19</v>
      </c>
      <c r="G683">
        <v>0</v>
      </c>
      <c r="H683">
        <v>3</v>
      </c>
      <c r="I683">
        <v>3</v>
      </c>
      <c r="J683">
        <v>0</v>
      </c>
      <c r="K683">
        <v>4</v>
      </c>
      <c r="L683">
        <v>0</v>
      </c>
      <c r="M683">
        <v>0</v>
      </c>
      <c r="N683">
        <v>0</v>
      </c>
      <c r="O683">
        <v>0</v>
      </c>
      <c r="P683">
        <v>3</v>
      </c>
      <c r="Q683">
        <v>0</v>
      </c>
      <c r="R683">
        <v>0</v>
      </c>
      <c r="S683">
        <v>16</v>
      </c>
      <c r="T683">
        <v>0</v>
      </c>
      <c r="U683">
        <v>41</v>
      </c>
      <c r="V683" s="19" t="s">
        <v>2755</v>
      </c>
      <c r="W683" s="19" t="s">
        <v>1940</v>
      </c>
      <c r="X683">
        <v>0</v>
      </c>
      <c r="Y683">
        <v>0</v>
      </c>
      <c r="AA683">
        <v>18</v>
      </c>
      <c r="AB683">
        <v>8</v>
      </c>
      <c r="AC683">
        <v>5</v>
      </c>
      <c r="AD683">
        <v>20</v>
      </c>
      <c r="AE683" s="19" t="s">
        <v>60</v>
      </c>
    </row>
    <row r="684" spans="1:31" x14ac:dyDescent="0.2">
      <c r="A684">
        <v>645</v>
      </c>
      <c r="B684" s="19" t="s">
        <v>1032</v>
      </c>
      <c r="C684">
        <v>26</v>
      </c>
      <c r="D684" s="19" t="s">
        <v>447</v>
      </c>
      <c r="E684" s="19" t="s">
        <v>322</v>
      </c>
      <c r="F684">
        <v>9</v>
      </c>
      <c r="G684">
        <v>3</v>
      </c>
      <c r="H684">
        <v>0</v>
      </c>
      <c r="I684">
        <v>3</v>
      </c>
      <c r="J684">
        <v>-2</v>
      </c>
      <c r="K684">
        <v>6</v>
      </c>
      <c r="L684">
        <v>3</v>
      </c>
      <c r="M684">
        <v>0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20</v>
      </c>
      <c r="T684">
        <v>15</v>
      </c>
      <c r="U684">
        <v>33</v>
      </c>
      <c r="V684" s="19" t="s">
        <v>2756</v>
      </c>
      <c r="W684" s="19" t="s">
        <v>1094</v>
      </c>
      <c r="X684">
        <v>53</v>
      </c>
      <c r="Y684">
        <v>57</v>
      </c>
      <c r="Z684">
        <v>48.2</v>
      </c>
      <c r="AA684">
        <v>4</v>
      </c>
      <c r="AB684">
        <v>4</v>
      </c>
      <c r="AC684">
        <v>2</v>
      </c>
      <c r="AD684">
        <v>9</v>
      </c>
      <c r="AE684" s="19" t="s">
        <v>60</v>
      </c>
    </row>
    <row r="685" spans="1:31" x14ac:dyDescent="0.2">
      <c r="A685">
        <v>646</v>
      </c>
      <c r="B685" s="19" t="s">
        <v>1301</v>
      </c>
      <c r="C685">
        <v>30</v>
      </c>
      <c r="D685" s="19" t="s">
        <v>375</v>
      </c>
      <c r="E685" s="19" t="s">
        <v>348</v>
      </c>
      <c r="F685">
        <v>22</v>
      </c>
      <c r="G685">
        <v>1</v>
      </c>
      <c r="H685">
        <v>2</v>
      </c>
      <c r="I685">
        <v>3</v>
      </c>
      <c r="J685">
        <v>-1</v>
      </c>
      <c r="K685">
        <v>22</v>
      </c>
      <c r="L685">
        <v>1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17</v>
      </c>
      <c r="T685">
        <v>5.9</v>
      </c>
      <c r="U685">
        <v>56</v>
      </c>
      <c r="V685" s="19" t="s">
        <v>2229</v>
      </c>
      <c r="W685" s="19" t="s">
        <v>1972</v>
      </c>
      <c r="X685">
        <v>0</v>
      </c>
      <c r="Y685">
        <v>0</v>
      </c>
      <c r="AA685">
        <v>33</v>
      </c>
      <c r="AB685">
        <v>87</v>
      </c>
      <c r="AC685">
        <v>6</v>
      </c>
      <c r="AD685">
        <v>15</v>
      </c>
      <c r="AE685" s="19" t="s">
        <v>60</v>
      </c>
    </row>
    <row r="686" spans="1:31" x14ac:dyDescent="0.2">
      <c r="A686">
        <v>647</v>
      </c>
      <c r="B686" s="19" t="s">
        <v>1172</v>
      </c>
      <c r="C686">
        <v>29</v>
      </c>
      <c r="D686" s="19" t="s">
        <v>531</v>
      </c>
      <c r="E686" s="19" t="s">
        <v>3</v>
      </c>
      <c r="F686">
        <v>30</v>
      </c>
      <c r="G686">
        <v>0</v>
      </c>
      <c r="H686">
        <v>3</v>
      </c>
      <c r="I686">
        <v>3</v>
      </c>
      <c r="J686">
        <v>0</v>
      </c>
      <c r="K686">
        <v>4</v>
      </c>
      <c r="L686">
        <v>0</v>
      </c>
      <c r="M686">
        <v>0</v>
      </c>
      <c r="N686">
        <v>0</v>
      </c>
      <c r="O686">
        <v>0</v>
      </c>
      <c r="P686">
        <v>3</v>
      </c>
      <c r="Q686">
        <v>0</v>
      </c>
      <c r="R686">
        <v>0</v>
      </c>
      <c r="S686">
        <v>3</v>
      </c>
      <c r="T686">
        <v>0</v>
      </c>
      <c r="U686">
        <v>6</v>
      </c>
      <c r="V686" s="19" t="s">
        <v>2364</v>
      </c>
      <c r="W686" s="19" t="s">
        <v>2365</v>
      </c>
      <c r="X686">
        <v>0</v>
      </c>
      <c r="Y686">
        <v>0</v>
      </c>
      <c r="AA686">
        <v>0</v>
      </c>
      <c r="AB686">
        <v>0</v>
      </c>
      <c r="AC686">
        <v>0</v>
      </c>
      <c r="AD686">
        <v>22</v>
      </c>
      <c r="AE686" s="19" t="s">
        <v>60</v>
      </c>
    </row>
    <row r="687" spans="1:31" x14ac:dyDescent="0.2">
      <c r="A687">
        <v>648</v>
      </c>
      <c r="B687" s="19" t="s">
        <v>1097</v>
      </c>
      <c r="C687">
        <v>29</v>
      </c>
      <c r="D687" s="19" t="s">
        <v>324</v>
      </c>
      <c r="E687" s="19" t="s">
        <v>348</v>
      </c>
      <c r="F687">
        <v>24</v>
      </c>
      <c r="G687">
        <v>1</v>
      </c>
      <c r="H687">
        <v>2</v>
      </c>
      <c r="I687">
        <v>3</v>
      </c>
      <c r="J687">
        <v>2</v>
      </c>
      <c r="K687">
        <v>38</v>
      </c>
      <c r="L687">
        <v>1</v>
      </c>
      <c r="M687">
        <v>0</v>
      </c>
      <c r="N687">
        <v>0</v>
      </c>
      <c r="O687">
        <v>1</v>
      </c>
      <c r="P687">
        <v>2</v>
      </c>
      <c r="Q687">
        <v>0</v>
      </c>
      <c r="R687">
        <v>0</v>
      </c>
      <c r="S687">
        <v>16</v>
      </c>
      <c r="T687">
        <v>6.3</v>
      </c>
      <c r="U687">
        <v>44</v>
      </c>
      <c r="V687" s="19" t="s">
        <v>2757</v>
      </c>
      <c r="W687" s="19" t="s">
        <v>1781</v>
      </c>
      <c r="X687">
        <v>0</v>
      </c>
      <c r="Y687">
        <v>0</v>
      </c>
      <c r="AA687">
        <v>44</v>
      </c>
      <c r="AB687">
        <v>37</v>
      </c>
      <c r="AC687">
        <v>3</v>
      </c>
      <c r="AD687">
        <v>20</v>
      </c>
      <c r="AE687" s="19" t="s">
        <v>60</v>
      </c>
    </row>
    <row r="688" spans="1:31" x14ac:dyDescent="0.2">
      <c r="A688">
        <v>649</v>
      </c>
      <c r="B688" s="19" t="s">
        <v>1036</v>
      </c>
      <c r="C688">
        <v>31</v>
      </c>
      <c r="D688" s="19" t="s">
        <v>375</v>
      </c>
      <c r="E688" s="19" t="s">
        <v>348</v>
      </c>
      <c r="F688">
        <v>11</v>
      </c>
      <c r="G688">
        <v>1</v>
      </c>
      <c r="H688">
        <v>2</v>
      </c>
      <c r="I688">
        <v>3</v>
      </c>
      <c r="J688">
        <v>-5</v>
      </c>
      <c r="K688">
        <v>11</v>
      </c>
      <c r="L688">
        <v>1</v>
      </c>
      <c r="M688">
        <v>0</v>
      </c>
      <c r="N688">
        <v>0</v>
      </c>
      <c r="O688">
        <v>0</v>
      </c>
      <c r="P688">
        <v>2</v>
      </c>
      <c r="Q688">
        <v>0</v>
      </c>
      <c r="R688">
        <v>0</v>
      </c>
      <c r="S688">
        <v>7</v>
      </c>
      <c r="T688">
        <v>14.3</v>
      </c>
      <c r="U688">
        <v>26</v>
      </c>
      <c r="V688" s="19" t="s">
        <v>1037</v>
      </c>
      <c r="W688" s="19" t="s">
        <v>1038</v>
      </c>
      <c r="X688">
        <v>0</v>
      </c>
      <c r="Y688">
        <v>0</v>
      </c>
      <c r="AA688">
        <v>12</v>
      </c>
      <c r="AB688">
        <v>16</v>
      </c>
      <c r="AC688">
        <v>6</v>
      </c>
      <c r="AD688">
        <v>8</v>
      </c>
      <c r="AE688" s="19" t="s">
        <v>60</v>
      </c>
    </row>
    <row r="689" spans="1:31" x14ac:dyDescent="0.2">
      <c r="A689">
        <v>650</v>
      </c>
      <c r="B689" s="19" t="s">
        <v>1102</v>
      </c>
      <c r="C689">
        <v>23</v>
      </c>
      <c r="D689" s="19" t="s">
        <v>351</v>
      </c>
      <c r="E689" s="19" t="s">
        <v>322</v>
      </c>
      <c r="F689">
        <v>19</v>
      </c>
      <c r="G689">
        <v>2</v>
      </c>
      <c r="H689">
        <v>1</v>
      </c>
      <c r="I689">
        <v>3</v>
      </c>
      <c r="J689">
        <v>2</v>
      </c>
      <c r="K689">
        <v>19</v>
      </c>
      <c r="L689">
        <v>2</v>
      </c>
      <c r="M689">
        <v>0</v>
      </c>
      <c r="N689">
        <v>0</v>
      </c>
      <c r="O689">
        <v>1</v>
      </c>
      <c r="P689">
        <v>1</v>
      </c>
      <c r="Q689">
        <v>0</v>
      </c>
      <c r="R689">
        <v>0</v>
      </c>
      <c r="S689">
        <v>10</v>
      </c>
      <c r="T689">
        <v>20</v>
      </c>
      <c r="U689">
        <v>16</v>
      </c>
      <c r="V689" s="19" t="s">
        <v>2758</v>
      </c>
      <c r="W689" s="19" t="s">
        <v>2759</v>
      </c>
      <c r="X689">
        <v>70</v>
      </c>
      <c r="Y689">
        <v>79</v>
      </c>
      <c r="Z689">
        <v>47</v>
      </c>
      <c r="AA689">
        <v>4</v>
      </c>
      <c r="AB689">
        <v>31</v>
      </c>
      <c r="AC689">
        <v>0</v>
      </c>
      <c r="AD689">
        <v>5</v>
      </c>
      <c r="AE689" s="19" t="s">
        <v>60</v>
      </c>
    </row>
    <row r="690" spans="1:31" x14ac:dyDescent="0.2">
      <c r="A690">
        <v>651</v>
      </c>
      <c r="B690" s="19" t="s">
        <v>1041</v>
      </c>
      <c r="C690">
        <v>27</v>
      </c>
      <c r="D690" s="19" t="s">
        <v>327</v>
      </c>
      <c r="E690" s="19" t="s">
        <v>322</v>
      </c>
      <c r="F690">
        <v>52</v>
      </c>
      <c r="G690">
        <v>2</v>
      </c>
      <c r="H690">
        <v>1</v>
      </c>
      <c r="I690">
        <v>3</v>
      </c>
      <c r="J690">
        <v>-11</v>
      </c>
      <c r="K690">
        <v>37</v>
      </c>
      <c r="L690">
        <v>2</v>
      </c>
      <c r="M690">
        <v>0</v>
      </c>
      <c r="N690">
        <v>0</v>
      </c>
      <c r="O690">
        <v>1</v>
      </c>
      <c r="P690">
        <v>1</v>
      </c>
      <c r="Q690">
        <v>0</v>
      </c>
      <c r="R690">
        <v>0</v>
      </c>
      <c r="S690">
        <v>47</v>
      </c>
      <c r="T690">
        <v>4.3</v>
      </c>
      <c r="U690">
        <v>93</v>
      </c>
      <c r="V690" s="19" t="s">
        <v>2760</v>
      </c>
      <c r="W690" s="19" t="s">
        <v>2106</v>
      </c>
      <c r="X690">
        <v>74</v>
      </c>
      <c r="Y690">
        <v>56</v>
      </c>
      <c r="Z690">
        <v>56.9</v>
      </c>
      <c r="AA690">
        <v>14</v>
      </c>
      <c r="AB690">
        <v>125</v>
      </c>
      <c r="AC690">
        <v>6</v>
      </c>
      <c r="AD690">
        <v>23</v>
      </c>
      <c r="AE690" s="19" t="s">
        <v>60</v>
      </c>
    </row>
    <row r="691" spans="1:31" x14ac:dyDescent="0.2">
      <c r="A691">
        <v>652</v>
      </c>
      <c r="B691" s="19" t="s">
        <v>1043</v>
      </c>
      <c r="C691">
        <v>27</v>
      </c>
      <c r="D691" s="19" t="s">
        <v>372</v>
      </c>
      <c r="E691" s="19" t="s">
        <v>339</v>
      </c>
      <c r="F691">
        <v>10</v>
      </c>
      <c r="G691">
        <v>0</v>
      </c>
      <c r="H691">
        <v>3</v>
      </c>
      <c r="I691">
        <v>3</v>
      </c>
      <c r="J691">
        <v>2</v>
      </c>
      <c r="K691">
        <v>7</v>
      </c>
      <c r="L691">
        <v>0</v>
      </c>
      <c r="M691">
        <v>0</v>
      </c>
      <c r="N691">
        <v>0</v>
      </c>
      <c r="O691">
        <v>0</v>
      </c>
      <c r="P691">
        <v>3</v>
      </c>
      <c r="Q691">
        <v>0</v>
      </c>
      <c r="R691">
        <v>0</v>
      </c>
      <c r="S691">
        <v>8</v>
      </c>
      <c r="T691">
        <v>0</v>
      </c>
      <c r="U691">
        <v>12</v>
      </c>
      <c r="V691" s="19" t="s">
        <v>1044</v>
      </c>
      <c r="W691" s="19" t="s">
        <v>1045</v>
      </c>
      <c r="X691">
        <v>0</v>
      </c>
      <c r="Y691">
        <v>0</v>
      </c>
      <c r="AA691">
        <v>3</v>
      </c>
      <c r="AB691">
        <v>30</v>
      </c>
      <c r="AC691">
        <v>3</v>
      </c>
      <c r="AD691">
        <v>3</v>
      </c>
      <c r="AE691" s="19" t="s">
        <v>60</v>
      </c>
    </row>
    <row r="692" spans="1:31" x14ac:dyDescent="0.2">
      <c r="A692">
        <v>653</v>
      </c>
      <c r="B692" s="19" t="s">
        <v>1180</v>
      </c>
      <c r="C692">
        <v>26</v>
      </c>
      <c r="D692" s="19" t="s">
        <v>383</v>
      </c>
      <c r="E692" s="19" t="s">
        <v>325</v>
      </c>
      <c r="F692">
        <v>24</v>
      </c>
      <c r="G692">
        <v>1</v>
      </c>
      <c r="H692">
        <v>2</v>
      </c>
      <c r="I692">
        <v>3</v>
      </c>
      <c r="J692">
        <v>1</v>
      </c>
      <c r="K692">
        <v>4</v>
      </c>
      <c r="L692">
        <v>1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30</v>
      </c>
      <c r="T692">
        <v>3.3</v>
      </c>
      <c r="U692">
        <v>46</v>
      </c>
      <c r="V692" s="19" t="s">
        <v>2933</v>
      </c>
      <c r="W692" s="19" t="s">
        <v>711</v>
      </c>
      <c r="X692">
        <v>0</v>
      </c>
      <c r="Y692">
        <v>1</v>
      </c>
      <c r="Z692">
        <v>0</v>
      </c>
      <c r="AA692">
        <v>16</v>
      </c>
      <c r="AB692">
        <v>108</v>
      </c>
      <c r="AC692">
        <v>4</v>
      </c>
      <c r="AD692">
        <v>8</v>
      </c>
      <c r="AE692" s="19" t="s">
        <v>60</v>
      </c>
    </row>
    <row r="693" spans="1:31" x14ac:dyDescent="0.2">
      <c r="A693">
        <v>654</v>
      </c>
      <c r="B693" s="19" t="s">
        <v>1188</v>
      </c>
      <c r="C693">
        <v>27</v>
      </c>
      <c r="D693" s="19" t="s">
        <v>372</v>
      </c>
      <c r="E693" s="19" t="s">
        <v>322</v>
      </c>
      <c r="F693">
        <v>24</v>
      </c>
      <c r="G693">
        <v>1</v>
      </c>
      <c r="H693">
        <v>2</v>
      </c>
      <c r="I693">
        <v>3</v>
      </c>
      <c r="J693">
        <v>-7</v>
      </c>
      <c r="K693">
        <v>11</v>
      </c>
      <c r="L693">
        <v>1</v>
      </c>
      <c r="M693">
        <v>0</v>
      </c>
      <c r="N693">
        <v>0</v>
      </c>
      <c r="O693">
        <v>0</v>
      </c>
      <c r="P693">
        <v>2</v>
      </c>
      <c r="Q693">
        <v>0</v>
      </c>
      <c r="R693">
        <v>0</v>
      </c>
      <c r="S693">
        <v>20</v>
      </c>
      <c r="T693">
        <v>5</v>
      </c>
      <c r="U693">
        <v>41</v>
      </c>
      <c r="V693" s="19" t="s">
        <v>1865</v>
      </c>
      <c r="W693" s="19" t="s">
        <v>1866</v>
      </c>
      <c r="X693">
        <v>12</v>
      </c>
      <c r="Y693">
        <v>21</v>
      </c>
      <c r="Z693">
        <v>36.4</v>
      </c>
      <c r="AA693">
        <v>7</v>
      </c>
      <c r="AB693">
        <v>27</v>
      </c>
      <c r="AC693">
        <v>1</v>
      </c>
      <c r="AD693">
        <v>8</v>
      </c>
      <c r="AE693" s="19" t="s">
        <v>60</v>
      </c>
    </row>
    <row r="694" spans="1:31" x14ac:dyDescent="0.2">
      <c r="A694">
        <v>655</v>
      </c>
      <c r="B694" s="19" t="s">
        <v>1189</v>
      </c>
      <c r="C694">
        <v>19</v>
      </c>
      <c r="D694" s="19" t="s">
        <v>436</v>
      </c>
      <c r="E694" s="19" t="s">
        <v>325</v>
      </c>
      <c r="F694">
        <v>9</v>
      </c>
      <c r="G694">
        <v>1</v>
      </c>
      <c r="H694">
        <v>2</v>
      </c>
      <c r="I694">
        <v>3</v>
      </c>
      <c r="J694">
        <v>-6</v>
      </c>
      <c r="K694">
        <v>0</v>
      </c>
      <c r="L694">
        <v>1</v>
      </c>
      <c r="M694">
        <v>0</v>
      </c>
      <c r="N694">
        <v>0</v>
      </c>
      <c r="O694">
        <v>0</v>
      </c>
      <c r="P694">
        <v>1</v>
      </c>
      <c r="Q694">
        <v>1</v>
      </c>
      <c r="R694">
        <v>0</v>
      </c>
      <c r="S694">
        <v>14</v>
      </c>
      <c r="T694">
        <v>7.1</v>
      </c>
      <c r="U694">
        <v>30</v>
      </c>
      <c r="V694" s="19" t="s">
        <v>1896</v>
      </c>
      <c r="W694" s="19" t="s">
        <v>2249</v>
      </c>
      <c r="X694">
        <v>0</v>
      </c>
      <c r="Y694">
        <v>5</v>
      </c>
      <c r="Z694">
        <v>0</v>
      </c>
      <c r="AA694">
        <v>6</v>
      </c>
      <c r="AB694">
        <v>6</v>
      </c>
      <c r="AC694">
        <v>3</v>
      </c>
      <c r="AD694">
        <v>12</v>
      </c>
      <c r="AE694" s="19" t="s">
        <v>60</v>
      </c>
    </row>
    <row r="695" spans="1:31" x14ac:dyDescent="0.2">
      <c r="A695">
        <v>656</v>
      </c>
      <c r="B695" s="19" t="s">
        <v>1346</v>
      </c>
      <c r="C695">
        <v>34</v>
      </c>
      <c r="D695" s="19" t="s">
        <v>380</v>
      </c>
      <c r="E695" s="19" t="s">
        <v>348</v>
      </c>
      <c r="F695">
        <v>10</v>
      </c>
      <c r="G695">
        <v>1</v>
      </c>
      <c r="H695">
        <v>2</v>
      </c>
      <c r="I695">
        <v>3</v>
      </c>
      <c r="J695">
        <v>1</v>
      </c>
      <c r="K695">
        <v>8</v>
      </c>
      <c r="L695">
        <v>1</v>
      </c>
      <c r="M695">
        <v>0</v>
      </c>
      <c r="N695">
        <v>0</v>
      </c>
      <c r="O695">
        <v>0</v>
      </c>
      <c r="P695">
        <v>2</v>
      </c>
      <c r="Q695">
        <v>0</v>
      </c>
      <c r="R695">
        <v>0</v>
      </c>
      <c r="S695">
        <v>11</v>
      </c>
      <c r="T695">
        <v>9.1</v>
      </c>
      <c r="U695">
        <v>32</v>
      </c>
      <c r="V695" s="19" t="s">
        <v>2934</v>
      </c>
      <c r="W695" s="19" t="s">
        <v>1814</v>
      </c>
      <c r="X695">
        <v>0</v>
      </c>
      <c r="Y695">
        <v>0</v>
      </c>
      <c r="AA695">
        <v>13</v>
      </c>
      <c r="AB695">
        <v>16</v>
      </c>
      <c r="AC695">
        <v>5</v>
      </c>
      <c r="AD695">
        <v>9</v>
      </c>
      <c r="AE695" s="19" t="s">
        <v>60</v>
      </c>
    </row>
    <row r="696" spans="1:31" x14ac:dyDescent="0.2">
      <c r="A696">
        <v>657</v>
      </c>
      <c r="B696" s="19" t="s">
        <v>1106</v>
      </c>
      <c r="C696">
        <v>24</v>
      </c>
      <c r="D696" s="19" t="s">
        <v>362</v>
      </c>
      <c r="E696" s="19" t="s">
        <v>348</v>
      </c>
      <c r="F696">
        <v>13</v>
      </c>
      <c r="G696">
        <v>1</v>
      </c>
      <c r="H696">
        <v>2</v>
      </c>
      <c r="I696">
        <v>3</v>
      </c>
      <c r="J696">
        <v>-2</v>
      </c>
      <c r="K696">
        <v>13</v>
      </c>
      <c r="L696">
        <v>1</v>
      </c>
      <c r="M696">
        <v>0</v>
      </c>
      <c r="N696">
        <v>0</v>
      </c>
      <c r="O696">
        <v>1</v>
      </c>
      <c r="P696">
        <v>2</v>
      </c>
      <c r="Q696">
        <v>0</v>
      </c>
      <c r="R696">
        <v>0</v>
      </c>
      <c r="S696">
        <v>14</v>
      </c>
      <c r="T696">
        <v>7.1</v>
      </c>
      <c r="U696">
        <v>36</v>
      </c>
      <c r="V696" s="19" t="s">
        <v>2761</v>
      </c>
      <c r="W696" s="19" t="s">
        <v>2012</v>
      </c>
      <c r="X696">
        <v>0</v>
      </c>
      <c r="Y696">
        <v>0</v>
      </c>
      <c r="AA696">
        <v>16</v>
      </c>
      <c r="AB696">
        <v>29</v>
      </c>
      <c r="AC696">
        <v>9</v>
      </c>
      <c r="AD696">
        <v>12</v>
      </c>
      <c r="AE696" s="19" t="s">
        <v>60</v>
      </c>
    </row>
    <row r="697" spans="1:31" x14ac:dyDescent="0.2">
      <c r="A697">
        <v>658</v>
      </c>
      <c r="B697" s="19" t="s">
        <v>2159</v>
      </c>
      <c r="C697">
        <v>21</v>
      </c>
      <c r="D697" s="19" t="s">
        <v>398</v>
      </c>
      <c r="E697" s="19" t="s">
        <v>334</v>
      </c>
      <c r="F697">
        <v>5</v>
      </c>
      <c r="G697">
        <v>2</v>
      </c>
      <c r="H697">
        <v>1</v>
      </c>
      <c r="I697">
        <v>3</v>
      </c>
      <c r="J697">
        <v>1</v>
      </c>
      <c r="K697">
        <v>0</v>
      </c>
      <c r="L697">
        <v>2</v>
      </c>
      <c r="M697">
        <v>0</v>
      </c>
      <c r="N697">
        <v>0</v>
      </c>
      <c r="O697">
        <v>0</v>
      </c>
      <c r="P697">
        <v>1</v>
      </c>
      <c r="Q697">
        <v>0</v>
      </c>
      <c r="R697">
        <v>0</v>
      </c>
      <c r="S697">
        <v>7</v>
      </c>
      <c r="T697">
        <v>28.6</v>
      </c>
      <c r="U697">
        <v>12</v>
      </c>
      <c r="V697" s="19" t="s">
        <v>2762</v>
      </c>
      <c r="W697" s="19" t="s">
        <v>1513</v>
      </c>
      <c r="X697">
        <v>0</v>
      </c>
      <c r="Y697">
        <v>1</v>
      </c>
      <c r="Z697">
        <v>0</v>
      </c>
      <c r="AA697">
        <v>3</v>
      </c>
      <c r="AB697">
        <v>3</v>
      </c>
      <c r="AC697">
        <v>0</v>
      </c>
      <c r="AD697">
        <v>4</v>
      </c>
      <c r="AE697" s="19" t="s">
        <v>60</v>
      </c>
    </row>
    <row r="698" spans="1:31" x14ac:dyDescent="0.2">
      <c r="A698">
        <v>659</v>
      </c>
      <c r="B698" s="19" t="s">
        <v>1109</v>
      </c>
      <c r="C698">
        <v>28</v>
      </c>
      <c r="D698" s="19" t="s">
        <v>336</v>
      </c>
      <c r="E698" s="19" t="s">
        <v>322</v>
      </c>
      <c r="F698">
        <v>28</v>
      </c>
      <c r="G698">
        <v>3</v>
      </c>
      <c r="H698">
        <v>0</v>
      </c>
      <c r="I698">
        <v>3</v>
      </c>
      <c r="J698">
        <v>-5</v>
      </c>
      <c r="K698">
        <v>13</v>
      </c>
      <c r="L698">
        <v>3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19</v>
      </c>
      <c r="T698">
        <v>15.8</v>
      </c>
      <c r="U698">
        <v>41</v>
      </c>
      <c r="V698" s="19" t="s">
        <v>2763</v>
      </c>
      <c r="W698" s="19" t="s">
        <v>2764</v>
      </c>
      <c r="X698">
        <v>85</v>
      </c>
      <c r="Y698">
        <v>81</v>
      </c>
      <c r="Z698">
        <v>51.2</v>
      </c>
      <c r="AA698">
        <v>18</v>
      </c>
      <c r="AB698">
        <v>77</v>
      </c>
      <c r="AC698">
        <v>4</v>
      </c>
      <c r="AD698">
        <v>18</v>
      </c>
      <c r="AE698" s="19" t="s">
        <v>60</v>
      </c>
    </row>
    <row r="699" spans="1:31" x14ac:dyDescent="0.2">
      <c r="A699">
        <v>660</v>
      </c>
      <c r="B699" s="19" t="s">
        <v>1368</v>
      </c>
      <c r="C699">
        <v>23</v>
      </c>
      <c r="D699" s="19" t="s">
        <v>324</v>
      </c>
      <c r="E699" s="19" t="s">
        <v>348</v>
      </c>
      <c r="F699">
        <v>21</v>
      </c>
      <c r="G699">
        <v>0</v>
      </c>
      <c r="H699">
        <v>3</v>
      </c>
      <c r="I699">
        <v>3</v>
      </c>
      <c r="J699">
        <v>-4</v>
      </c>
      <c r="K699">
        <v>12</v>
      </c>
      <c r="L699">
        <v>0</v>
      </c>
      <c r="M699">
        <v>0</v>
      </c>
      <c r="N699">
        <v>0</v>
      </c>
      <c r="O699">
        <v>0</v>
      </c>
      <c r="P699">
        <v>3</v>
      </c>
      <c r="Q699">
        <v>0</v>
      </c>
      <c r="R699">
        <v>0</v>
      </c>
      <c r="S699">
        <v>10</v>
      </c>
      <c r="T699">
        <v>0</v>
      </c>
      <c r="U699">
        <v>34</v>
      </c>
      <c r="V699" s="19" t="s">
        <v>2054</v>
      </c>
      <c r="W699" s="19" t="s">
        <v>1654</v>
      </c>
      <c r="X699">
        <v>0</v>
      </c>
      <c r="Y699">
        <v>0</v>
      </c>
      <c r="AA699">
        <v>32</v>
      </c>
      <c r="AB699">
        <v>11</v>
      </c>
      <c r="AC699">
        <v>4</v>
      </c>
      <c r="AD699">
        <v>14</v>
      </c>
      <c r="AE699" s="19" t="s">
        <v>60</v>
      </c>
    </row>
    <row r="700" spans="1:31" x14ac:dyDescent="0.2">
      <c r="A700">
        <v>661</v>
      </c>
      <c r="B700" s="19" t="s">
        <v>1114</v>
      </c>
      <c r="C700">
        <v>25</v>
      </c>
      <c r="D700" s="19" t="s">
        <v>513</v>
      </c>
      <c r="E700" s="19" t="s">
        <v>348</v>
      </c>
      <c r="F700">
        <v>21</v>
      </c>
      <c r="G700">
        <v>2</v>
      </c>
      <c r="H700">
        <v>1</v>
      </c>
      <c r="I700">
        <v>3</v>
      </c>
      <c r="J700">
        <v>0</v>
      </c>
      <c r="K700">
        <v>4</v>
      </c>
      <c r="L700">
        <v>2</v>
      </c>
      <c r="M700">
        <v>0</v>
      </c>
      <c r="N700">
        <v>0</v>
      </c>
      <c r="O700">
        <v>1</v>
      </c>
      <c r="P700">
        <v>1</v>
      </c>
      <c r="Q700">
        <v>0</v>
      </c>
      <c r="R700">
        <v>0</v>
      </c>
      <c r="S700">
        <v>11</v>
      </c>
      <c r="T700">
        <v>18.2</v>
      </c>
      <c r="U700">
        <v>29</v>
      </c>
      <c r="V700" s="19" t="s">
        <v>1983</v>
      </c>
      <c r="W700" s="19" t="s">
        <v>1380</v>
      </c>
      <c r="X700">
        <v>0</v>
      </c>
      <c r="Y700">
        <v>0</v>
      </c>
      <c r="AA700">
        <v>14</v>
      </c>
      <c r="AB700">
        <v>9</v>
      </c>
      <c r="AC700">
        <v>1</v>
      </c>
      <c r="AD700">
        <v>12</v>
      </c>
      <c r="AE700" s="19" t="s">
        <v>60</v>
      </c>
    </row>
    <row r="701" spans="1:31" x14ac:dyDescent="0.2">
      <c r="A701">
        <v>662</v>
      </c>
      <c r="B701" s="19" t="s">
        <v>1058</v>
      </c>
      <c r="C701">
        <v>24</v>
      </c>
      <c r="D701" s="19" t="s">
        <v>948</v>
      </c>
      <c r="E701" s="19" t="s">
        <v>348</v>
      </c>
      <c r="F701">
        <v>13</v>
      </c>
      <c r="G701">
        <v>1</v>
      </c>
      <c r="H701">
        <v>2</v>
      </c>
      <c r="I701">
        <v>3</v>
      </c>
      <c r="J701">
        <v>2</v>
      </c>
      <c r="K701">
        <v>4</v>
      </c>
      <c r="L701">
        <v>1</v>
      </c>
      <c r="M701">
        <v>0</v>
      </c>
      <c r="N701">
        <v>0</v>
      </c>
      <c r="O701">
        <v>1</v>
      </c>
      <c r="P701">
        <v>2</v>
      </c>
      <c r="Q701">
        <v>0</v>
      </c>
      <c r="R701">
        <v>0</v>
      </c>
      <c r="S701">
        <v>12</v>
      </c>
      <c r="T701">
        <v>8.3000000000000007</v>
      </c>
      <c r="U701">
        <v>24</v>
      </c>
      <c r="V701" s="19" t="s">
        <v>1685</v>
      </c>
      <c r="W701" s="19" t="s">
        <v>1649</v>
      </c>
      <c r="X701">
        <v>0</v>
      </c>
      <c r="Y701">
        <v>0</v>
      </c>
      <c r="AA701">
        <v>13</v>
      </c>
      <c r="AB701">
        <v>5</v>
      </c>
      <c r="AC701">
        <v>3</v>
      </c>
      <c r="AD701">
        <v>4</v>
      </c>
      <c r="AE701" s="19" t="s">
        <v>60</v>
      </c>
    </row>
    <row r="702" spans="1:31" x14ac:dyDescent="0.2">
      <c r="A702">
        <v>662</v>
      </c>
      <c r="B702" s="19" t="s">
        <v>1058</v>
      </c>
      <c r="C702">
        <v>24</v>
      </c>
      <c r="D702" s="19" t="s">
        <v>333</v>
      </c>
      <c r="E702" s="19" t="s">
        <v>348</v>
      </c>
      <c r="F702">
        <v>11</v>
      </c>
      <c r="G702">
        <v>1</v>
      </c>
      <c r="H702">
        <v>2</v>
      </c>
      <c r="I702">
        <v>3</v>
      </c>
      <c r="J702">
        <v>3</v>
      </c>
      <c r="K702">
        <v>4</v>
      </c>
      <c r="L702">
        <v>1</v>
      </c>
      <c r="M702">
        <v>0</v>
      </c>
      <c r="N702">
        <v>0</v>
      </c>
      <c r="O702">
        <v>1</v>
      </c>
      <c r="P702">
        <v>2</v>
      </c>
      <c r="Q702">
        <v>0</v>
      </c>
      <c r="R702">
        <v>0</v>
      </c>
      <c r="S702">
        <v>10</v>
      </c>
      <c r="T702">
        <v>10</v>
      </c>
      <c r="U702">
        <v>19</v>
      </c>
      <c r="V702" s="19" t="s">
        <v>1538</v>
      </c>
      <c r="W702" s="19" t="s">
        <v>972</v>
      </c>
      <c r="X702">
        <v>0</v>
      </c>
      <c r="Y702">
        <v>0</v>
      </c>
      <c r="AA702">
        <v>10</v>
      </c>
      <c r="AB702">
        <v>5</v>
      </c>
      <c r="AC702">
        <v>2</v>
      </c>
      <c r="AD702">
        <v>1</v>
      </c>
      <c r="AE702" s="19" t="s">
        <v>60</v>
      </c>
    </row>
    <row r="703" spans="1:31" x14ac:dyDescent="0.2">
      <c r="A703">
        <v>662</v>
      </c>
      <c r="B703" s="19" t="s">
        <v>1058</v>
      </c>
      <c r="C703">
        <v>24</v>
      </c>
      <c r="D703" s="19" t="s">
        <v>354</v>
      </c>
      <c r="E703" s="19" t="s">
        <v>348</v>
      </c>
      <c r="F703">
        <v>2</v>
      </c>
      <c r="G703">
        <v>0</v>
      </c>
      <c r="H703">
        <v>0</v>
      </c>
      <c r="I703">
        <v>0</v>
      </c>
      <c r="J703">
        <v>-1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2</v>
      </c>
      <c r="T703">
        <v>0</v>
      </c>
      <c r="U703">
        <v>5</v>
      </c>
      <c r="V703" s="19" t="s">
        <v>1637</v>
      </c>
      <c r="W703" s="19" t="s">
        <v>1324</v>
      </c>
      <c r="X703">
        <v>0</v>
      </c>
      <c r="Y703">
        <v>0</v>
      </c>
      <c r="AA703">
        <v>3</v>
      </c>
      <c r="AB703">
        <v>0</v>
      </c>
      <c r="AC703">
        <v>1</v>
      </c>
      <c r="AD703">
        <v>3</v>
      </c>
      <c r="AE703" s="19" t="s">
        <v>60</v>
      </c>
    </row>
    <row r="704" spans="1:31" x14ac:dyDescent="0.2">
      <c r="A704">
        <v>663</v>
      </c>
      <c r="B704" s="19" t="s">
        <v>1117</v>
      </c>
      <c r="C704">
        <v>28</v>
      </c>
      <c r="D704" s="19" t="s">
        <v>372</v>
      </c>
      <c r="E704" s="19" t="s">
        <v>322</v>
      </c>
      <c r="F704">
        <v>39</v>
      </c>
      <c r="G704">
        <v>2</v>
      </c>
      <c r="H704">
        <v>1</v>
      </c>
      <c r="I704">
        <v>3</v>
      </c>
      <c r="J704">
        <v>-10</v>
      </c>
      <c r="K704">
        <v>23</v>
      </c>
      <c r="L704">
        <v>2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27</v>
      </c>
      <c r="T704">
        <v>7.4</v>
      </c>
      <c r="U704">
        <v>56</v>
      </c>
      <c r="V704" s="19" t="s">
        <v>2299</v>
      </c>
      <c r="W704" s="19" t="s">
        <v>1765</v>
      </c>
      <c r="X704">
        <v>120</v>
      </c>
      <c r="Y704">
        <v>113</v>
      </c>
      <c r="Z704">
        <v>51.5</v>
      </c>
      <c r="AA704">
        <v>31</v>
      </c>
      <c r="AB704">
        <v>73</v>
      </c>
      <c r="AC704">
        <v>2</v>
      </c>
      <c r="AD704">
        <v>14</v>
      </c>
      <c r="AE704" s="19" t="s">
        <v>60</v>
      </c>
    </row>
    <row r="705" spans="1:31" x14ac:dyDescent="0.2">
      <c r="A705">
        <v>664</v>
      </c>
      <c r="B705" s="19" t="s">
        <v>1126</v>
      </c>
      <c r="C705">
        <v>27</v>
      </c>
      <c r="D705" s="19" t="s">
        <v>531</v>
      </c>
      <c r="E705" s="19" t="s">
        <v>348</v>
      </c>
      <c r="F705">
        <v>20</v>
      </c>
      <c r="G705">
        <v>1</v>
      </c>
      <c r="H705">
        <v>2</v>
      </c>
      <c r="I705">
        <v>3</v>
      </c>
      <c r="J705">
        <v>9</v>
      </c>
      <c r="K705">
        <v>16</v>
      </c>
      <c r="L705">
        <v>1</v>
      </c>
      <c r="M705">
        <v>0</v>
      </c>
      <c r="N705">
        <v>0</v>
      </c>
      <c r="O705">
        <v>1</v>
      </c>
      <c r="P705">
        <v>2</v>
      </c>
      <c r="Q705">
        <v>0</v>
      </c>
      <c r="R705">
        <v>0</v>
      </c>
      <c r="S705">
        <v>12</v>
      </c>
      <c r="T705">
        <v>8.3000000000000007</v>
      </c>
      <c r="U705">
        <v>33</v>
      </c>
      <c r="V705" s="19" t="s">
        <v>1667</v>
      </c>
      <c r="W705" s="19" t="s">
        <v>658</v>
      </c>
      <c r="X705">
        <v>0</v>
      </c>
      <c r="Y705">
        <v>0</v>
      </c>
      <c r="AA705">
        <v>32</v>
      </c>
      <c r="AB705">
        <v>22</v>
      </c>
      <c r="AC705">
        <v>2</v>
      </c>
      <c r="AD705">
        <v>11</v>
      </c>
      <c r="AE705" s="19" t="s">
        <v>60</v>
      </c>
    </row>
    <row r="706" spans="1:31" x14ac:dyDescent="0.2">
      <c r="A706">
        <v>665</v>
      </c>
      <c r="B706" s="19" t="s">
        <v>1219</v>
      </c>
      <c r="C706">
        <v>22</v>
      </c>
      <c r="D706" s="19" t="s">
        <v>513</v>
      </c>
      <c r="E706" s="19" t="s">
        <v>348</v>
      </c>
      <c r="F706">
        <v>38</v>
      </c>
      <c r="G706">
        <v>1</v>
      </c>
      <c r="H706">
        <v>2</v>
      </c>
      <c r="I706">
        <v>3</v>
      </c>
      <c r="J706">
        <v>-23</v>
      </c>
      <c r="K706">
        <v>33</v>
      </c>
      <c r="L706">
        <v>1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31</v>
      </c>
      <c r="T706">
        <v>3.2</v>
      </c>
      <c r="U706">
        <v>82</v>
      </c>
      <c r="V706" s="19" t="s">
        <v>2199</v>
      </c>
      <c r="W706" s="19" t="s">
        <v>1455</v>
      </c>
      <c r="X706">
        <v>0</v>
      </c>
      <c r="Y706">
        <v>0</v>
      </c>
      <c r="AA706">
        <v>23</v>
      </c>
      <c r="AB706">
        <v>49</v>
      </c>
      <c r="AC706">
        <v>6</v>
      </c>
      <c r="AD706">
        <v>36</v>
      </c>
      <c r="AE706" s="19" t="s">
        <v>60</v>
      </c>
    </row>
    <row r="707" spans="1:31" x14ac:dyDescent="0.2">
      <c r="A707">
        <v>666</v>
      </c>
      <c r="B707" s="19" t="s">
        <v>1414</v>
      </c>
      <c r="C707">
        <v>21</v>
      </c>
      <c r="D707" s="19" t="s">
        <v>375</v>
      </c>
      <c r="E707" s="19" t="s">
        <v>334</v>
      </c>
      <c r="F707">
        <v>16</v>
      </c>
      <c r="G707">
        <v>2</v>
      </c>
      <c r="H707">
        <v>1</v>
      </c>
      <c r="I707">
        <v>3</v>
      </c>
      <c r="J707">
        <v>-5</v>
      </c>
      <c r="K707">
        <v>0</v>
      </c>
      <c r="L707">
        <v>2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28</v>
      </c>
      <c r="T707">
        <v>7.1</v>
      </c>
      <c r="U707">
        <v>43</v>
      </c>
      <c r="V707" s="19" t="s">
        <v>1797</v>
      </c>
      <c r="W707" s="19" t="s">
        <v>1513</v>
      </c>
      <c r="X707">
        <v>2</v>
      </c>
      <c r="Y707">
        <v>9</v>
      </c>
      <c r="Z707">
        <v>18.2</v>
      </c>
      <c r="AA707">
        <v>4</v>
      </c>
      <c r="AB707">
        <v>16</v>
      </c>
      <c r="AC707">
        <v>0</v>
      </c>
      <c r="AD707">
        <v>10</v>
      </c>
      <c r="AE707" s="19" t="s">
        <v>60</v>
      </c>
    </row>
    <row r="708" spans="1:31" x14ac:dyDescent="0.2">
      <c r="A708">
        <v>667</v>
      </c>
      <c r="B708" s="19" t="s">
        <v>1223</v>
      </c>
      <c r="C708">
        <v>35</v>
      </c>
      <c r="D708" s="19" t="s">
        <v>343</v>
      </c>
      <c r="E708" s="19" t="s">
        <v>348</v>
      </c>
      <c r="F708">
        <v>38</v>
      </c>
      <c r="G708">
        <v>2</v>
      </c>
      <c r="H708">
        <v>1</v>
      </c>
      <c r="I708">
        <v>3</v>
      </c>
      <c r="J708">
        <v>-5</v>
      </c>
      <c r="K708">
        <v>18</v>
      </c>
      <c r="L708">
        <v>2</v>
      </c>
      <c r="M708">
        <v>0</v>
      </c>
      <c r="N708">
        <v>0</v>
      </c>
      <c r="O708">
        <v>1</v>
      </c>
      <c r="P708">
        <v>1</v>
      </c>
      <c r="Q708">
        <v>0</v>
      </c>
      <c r="R708">
        <v>0</v>
      </c>
      <c r="S708">
        <v>33</v>
      </c>
      <c r="T708">
        <v>6.1</v>
      </c>
      <c r="U708">
        <v>106</v>
      </c>
      <c r="V708" s="19" t="s">
        <v>1757</v>
      </c>
      <c r="W708" s="19" t="s">
        <v>1497</v>
      </c>
      <c r="X708">
        <v>0</v>
      </c>
      <c r="Y708">
        <v>0</v>
      </c>
      <c r="AA708">
        <v>98</v>
      </c>
      <c r="AB708">
        <v>63</v>
      </c>
      <c r="AC708">
        <v>13</v>
      </c>
      <c r="AD708">
        <v>29</v>
      </c>
      <c r="AE708" s="19" t="s">
        <v>60</v>
      </c>
    </row>
    <row r="709" spans="1:31" x14ac:dyDescent="0.2">
      <c r="A709">
        <v>668</v>
      </c>
      <c r="B709" s="19" t="s">
        <v>1129</v>
      </c>
      <c r="C709">
        <v>31</v>
      </c>
      <c r="D709" s="19" t="s">
        <v>404</v>
      </c>
      <c r="E709" s="19" t="s">
        <v>322</v>
      </c>
      <c r="F709">
        <v>29</v>
      </c>
      <c r="G709">
        <v>2</v>
      </c>
      <c r="H709">
        <v>1</v>
      </c>
      <c r="I709">
        <v>3</v>
      </c>
      <c r="J709">
        <v>-6</v>
      </c>
      <c r="K709">
        <v>31</v>
      </c>
      <c r="L709">
        <v>2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25</v>
      </c>
      <c r="T709">
        <v>8</v>
      </c>
      <c r="U709">
        <v>66</v>
      </c>
      <c r="V709" s="19" t="s">
        <v>2765</v>
      </c>
      <c r="W709" s="19" t="s">
        <v>1374</v>
      </c>
      <c r="X709">
        <v>5</v>
      </c>
      <c r="Y709">
        <v>1</v>
      </c>
      <c r="Z709">
        <v>83.3</v>
      </c>
      <c r="AA709">
        <v>11</v>
      </c>
      <c r="AB709">
        <v>83</v>
      </c>
      <c r="AC709">
        <v>1</v>
      </c>
      <c r="AD709">
        <v>7</v>
      </c>
      <c r="AE709" s="19" t="s">
        <v>60</v>
      </c>
    </row>
    <row r="710" spans="1:31" x14ac:dyDescent="0.2">
      <c r="A710">
        <v>669</v>
      </c>
      <c r="B710" s="19" t="s">
        <v>1072</v>
      </c>
      <c r="C710">
        <v>26</v>
      </c>
      <c r="D710" s="19" t="s">
        <v>436</v>
      </c>
      <c r="E710" s="19" t="s">
        <v>348</v>
      </c>
      <c r="F710">
        <v>25</v>
      </c>
      <c r="G710">
        <v>0</v>
      </c>
      <c r="H710">
        <v>3</v>
      </c>
      <c r="I710">
        <v>3</v>
      </c>
      <c r="J710">
        <v>-2</v>
      </c>
      <c r="K710">
        <v>35</v>
      </c>
      <c r="L710">
        <v>0</v>
      </c>
      <c r="M710">
        <v>0</v>
      </c>
      <c r="N710">
        <v>0</v>
      </c>
      <c r="O710">
        <v>0</v>
      </c>
      <c r="P710">
        <v>3</v>
      </c>
      <c r="Q710">
        <v>0</v>
      </c>
      <c r="R710">
        <v>0</v>
      </c>
      <c r="S710">
        <v>16</v>
      </c>
      <c r="T710">
        <v>0</v>
      </c>
      <c r="U710">
        <v>61</v>
      </c>
      <c r="V710" s="19" t="s">
        <v>2248</v>
      </c>
      <c r="W710" s="19" t="s">
        <v>1639</v>
      </c>
      <c r="X710">
        <v>0</v>
      </c>
      <c r="Y710">
        <v>0</v>
      </c>
      <c r="AA710">
        <v>22</v>
      </c>
      <c r="AB710">
        <v>61</v>
      </c>
      <c r="AC710">
        <v>5</v>
      </c>
      <c r="AD710">
        <v>19</v>
      </c>
      <c r="AE710" s="19" t="s">
        <v>60</v>
      </c>
    </row>
    <row r="711" spans="1:31" x14ac:dyDescent="0.2">
      <c r="A711">
        <v>670</v>
      </c>
      <c r="B711" s="19" t="s">
        <v>1073</v>
      </c>
      <c r="C711">
        <v>24</v>
      </c>
      <c r="D711" s="19" t="s">
        <v>360</v>
      </c>
      <c r="E711" s="19" t="s">
        <v>322</v>
      </c>
      <c r="F711">
        <v>14</v>
      </c>
      <c r="G711">
        <v>2</v>
      </c>
      <c r="H711">
        <v>1</v>
      </c>
      <c r="I711">
        <v>3</v>
      </c>
      <c r="J711">
        <v>3</v>
      </c>
      <c r="K711">
        <v>2</v>
      </c>
      <c r="L711">
        <v>2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12</v>
      </c>
      <c r="T711">
        <v>16.7</v>
      </c>
      <c r="U711">
        <v>21</v>
      </c>
      <c r="V711" s="19" t="s">
        <v>1074</v>
      </c>
      <c r="W711" s="19" t="s">
        <v>1075</v>
      </c>
      <c r="X711">
        <v>14</v>
      </c>
      <c r="Y711">
        <v>15</v>
      </c>
      <c r="Z711">
        <v>48.3</v>
      </c>
      <c r="AA711">
        <v>9</v>
      </c>
      <c r="AB711">
        <v>20</v>
      </c>
      <c r="AC711">
        <v>3</v>
      </c>
      <c r="AD711">
        <v>6</v>
      </c>
      <c r="AE711" s="19" t="s">
        <v>60</v>
      </c>
    </row>
    <row r="712" spans="1:31" x14ac:dyDescent="0.2">
      <c r="A712">
        <v>671</v>
      </c>
      <c r="B712" s="19" t="s">
        <v>1078</v>
      </c>
      <c r="C712">
        <v>27</v>
      </c>
      <c r="D712" s="19" t="s">
        <v>948</v>
      </c>
      <c r="E712" s="19" t="s">
        <v>325</v>
      </c>
      <c r="F712">
        <v>17</v>
      </c>
      <c r="G712">
        <v>2</v>
      </c>
      <c r="H712">
        <v>1</v>
      </c>
      <c r="I712">
        <v>3</v>
      </c>
      <c r="J712">
        <v>-7</v>
      </c>
      <c r="K712">
        <v>4</v>
      </c>
      <c r="L712">
        <v>2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14</v>
      </c>
      <c r="T712">
        <v>14.3</v>
      </c>
      <c r="U712">
        <v>22</v>
      </c>
      <c r="V712" s="19" t="s">
        <v>1833</v>
      </c>
      <c r="W712" s="19" t="s">
        <v>1622</v>
      </c>
      <c r="X712">
        <v>69</v>
      </c>
      <c r="Y712">
        <v>54</v>
      </c>
      <c r="Z712">
        <v>56.1</v>
      </c>
      <c r="AA712">
        <v>2</v>
      </c>
      <c r="AB712">
        <v>30</v>
      </c>
      <c r="AC712">
        <v>5</v>
      </c>
      <c r="AD712">
        <v>7</v>
      </c>
      <c r="AE712" s="19" t="s">
        <v>60</v>
      </c>
    </row>
    <row r="713" spans="1:31" x14ac:dyDescent="0.2">
      <c r="A713">
        <v>671</v>
      </c>
      <c r="B713" s="19" t="s">
        <v>1078</v>
      </c>
      <c r="C713">
        <v>27</v>
      </c>
      <c r="D713" s="19" t="s">
        <v>327</v>
      </c>
      <c r="E713" s="19" t="s">
        <v>325</v>
      </c>
      <c r="F713">
        <v>15</v>
      </c>
      <c r="G713">
        <v>2</v>
      </c>
      <c r="H713">
        <v>1</v>
      </c>
      <c r="I713">
        <v>3</v>
      </c>
      <c r="J713">
        <v>-7</v>
      </c>
      <c r="K713">
        <v>4</v>
      </c>
      <c r="L713">
        <v>2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12</v>
      </c>
      <c r="T713">
        <v>16.7</v>
      </c>
      <c r="U713">
        <v>19</v>
      </c>
      <c r="V713" s="19" t="s">
        <v>1079</v>
      </c>
      <c r="W713" s="19" t="s">
        <v>1080</v>
      </c>
      <c r="X713">
        <v>58</v>
      </c>
      <c r="Y713">
        <v>44</v>
      </c>
      <c r="Z713">
        <v>56.9</v>
      </c>
      <c r="AA713">
        <v>2</v>
      </c>
      <c r="AB713">
        <v>24</v>
      </c>
      <c r="AC713">
        <v>4</v>
      </c>
      <c r="AD713">
        <v>7</v>
      </c>
      <c r="AE713" s="19" t="s">
        <v>60</v>
      </c>
    </row>
    <row r="714" spans="1:31" x14ac:dyDescent="0.2">
      <c r="A714">
        <v>671</v>
      </c>
      <c r="B714" s="19" t="s">
        <v>1078</v>
      </c>
      <c r="C714">
        <v>27</v>
      </c>
      <c r="D714" s="19" t="s">
        <v>396</v>
      </c>
      <c r="E714" s="19" t="s">
        <v>325</v>
      </c>
      <c r="F714">
        <v>2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2</v>
      </c>
      <c r="T714">
        <v>0</v>
      </c>
      <c r="U714">
        <v>3</v>
      </c>
      <c r="V714" s="19" t="s">
        <v>1808</v>
      </c>
      <c r="W714" s="19" t="s">
        <v>1834</v>
      </c>
      <c r="X714">
        <v>11</v>
      </c>
      <c r="Y714">
        <v>10</v>
      </c>
      <c r="Z714">
        <v>52.4</v>
      </c>
      <c r="AA714">
        <v>0</v>
      </c>
      <c r="AB714">
        <v>6</v>
      </c>
      <c r="AC714">
        <v>1</v>
      </c>
      <c r="AD714">
        <v>0</v>
      </c>
      <c r="AE714" s="19" t="s">
        <v>60</v>
      </c>
    </row>
    <row r="715" spans="1:31" x14ac:dyDescent="0.2">
      <c r="A715">
        <v>672</v>
      </c>
      <c r="B715" s="19" t="s">
        <v>1130</v>
      </c>
      <c r="C715">
        <v>39</v>
      </c>
      <c r="D715" s="19" t="s">
        <v>324</v>
      </c>
      <c r="E715" s="19" t="s">
        <v>334</v>
      </c>
      <c r="F715">
        <v>43</v>
      </c>
      <c r="G715">
        <v>3</v>
      </c>
      <c r="H715">
        <v>0</v>
      </c>
      <c r="I715">
        <v>3</v>
      </c>
      <c r="J715">
        <v>-11</v>
      </c>
      <c r="K715">
        <v>32</v>
      </c>
      <c r="L715">
        <v>3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23</v>
      </c>
      <c r="T715">
        <v>13</v>
      </c>
      <c r="U715">
        <v>51</v>
      </c>
      <c r="V715" s="19" t="s">
        <v>2766</v>
      </c>
      <c r="W715" s="19" t="s">
        <v>2767</v>
      </c>
      <c r="X715">
        <v>0</v>
      </c>
      <c r="Y715">
        <v>2</v>
      </c>
      <c r="Z715">
        <v>0</v>
      </c>
      <c r="AA715">
        <v>14</v>
      </c>
      <c r="AB715">
        <v>136</v>
      </c>
      <c r="AC715">
        <v>7</v>
      </c>
      <c r="AD715">
        <v>15</v>
      </c>
      <c r="AE715" s="19" t="s">
        <v>60</v>
      </c>
    </row>
    <row r="716" spans="1:31" x14ac:dyDescent="0.2">
      <c r="A716">
        <v>673</v>
      </c>
      <c r="B716" s="19" t="s">
        <v>1462</v>
      </c>
      <c r="C716">
        <v>25</v>
      </c>
      <c r="D716" s="19" t="s">
        <v>327</v>
      </c>
      <c r="E716" s="19" t="s">
        <v>348</v>
      </c>
      <c r="F716">
        <v>29</v>
      </c>
      <c r="G716">
        <v>0</v>
      </c>
      <c r="H716">
        <v>3</v>
      </c>
      <c r="I716">
        <v>3</v>
      </c>
      <c r="J716">
        <v>-16</v>
      </c>
      <c r="K716">
        <v>35</v>
      </c>
      <c r="L716">
        <v>0</v>
      </c>
      <c r="M716">
        <v>0</v>
      </c>
      <c r="N716">
        <v>0</v>
      </c>
      <c r="O716">
        <v>0</v>
      </c>
      <c r="P716">
        <v>3</v>
      </c>
      <c r="Q716">
        <v>0</v>
      </c>
      <c r="R716">
        <v>0</v>
      </c>
      <c r="S716">
        <v>18</v>
      </c>
      <c r="T716">
        <v>0</v>
      </c>
      <c r="U716">
        <v>51</v>
      </c>
      <c r="V716" s="19" t="s">
        <v>2185</v>
      </c>
      <c r="W716" s="19" t="s">
        <v>751</v>
      </c>
      <c r="X716">
        <v>0</v>
      </c>
      <c r="Y716">
        <v>0</v>
      </c>
      <c r="AA716">
        <v>44</v>
      </c>
      <c r="AB716">
        <v>15</v>
      </c>
      <c r="AC716">
        <v>7</v>
      </c>
      <c r="AD716">
        <v>28</v>
      </c>
      <c r="AE716" s="19" t="s">
        <v>60</v>
      </c>
    </row>
    <row r="717" spans="1:31" x14ac:dyDescent="0.2">
      <c r="A717">
        <v>674</v>
      </c>
      <c r="B717" s="19" t="s">
        <v>1588</v>
      </c>
      <c r="C717">
        <v>31</v>
      </c>
      <c r="D717" s="19" t="s">
        <v>406</v>
      </c>
      <c r="E717" s="19" t="s">
        <v>348</v>
      </c>
      <c r="F717">
        <v>15</v>
      </c>
      <c r="G717">
        <v>0</v>
      </c>
      <c r="H717">
        <v>3</v>
      </c>
      <c r="I717">
        <v>3</v>
      </c>
      <c r="J717">
        <v>-5</v>
      </c>
      <c r="K717">
        <v>4</v>
      </c>
      <c r="L717">
        <v>0</v>
      </c>
      <c r="M717">
        <v>0</v>
      </c>
      <c r="N717">
        <v>0</v>
      </c>
      <c r="O717">
        <v>0</v>
      </c>
      <c r="P717">
        <v>2</v>
      </c>
      <c r="Q717">
        <v>0</v>
      </c>
      <c r="R717">
        <v>1</v>
      </c>
      <c r="S717">
        <v>24</v>
      </c>
      <c r="T717">
        <v>0</v>
      </c>
      <c r="U717">
        <v>55</v>
      </c>
      <c r="V717" s="19" t="s">
        <v>2935</v>
      </c>
      <c r="W717" s="19" t="s">
        <v>870</v>
      </c>
      <c r="X717">
        <v>0</v>
      </c>
      <c r="Y717">
        <v>0</v>
      </c>
      <c r="AA717">
        <v>25</v>
      </c>
      <c r="AB717">
        <v>16</v>
      </c>
      <c r="AC717">
        <v>6</v>
      </c>
      <c r="AD717">
        <v>8</v>
      </c>
      <c r="AE717" s="19" t="s">
        <v>60</v>
      </c>
    </row>
    <row r="718" spans="1:31" x14ac:dyDescent="0.2">
      <c r="A718">
        <v>675</v>
      </c>
      <c r="B718" s="19" t="s">
        <v>1134</v>
      </c>
      <c r="C718">
        <v>33</v>
      </c>
      <c r="D718" s="19" t="s">
        <v>351</v>
      </c>
      <c r="E718" s="19" t="s">
        <v>325</v>
      </c>
      <c r="F718">
        <v>9</v>
      </c>
      <c r="G718">
        <v>1</v>
      </c>
      <c r="H718">
        <v>2</v>
      </c>
      <c r="I718">
        <v>3</v>
      </c>
      <c r="J718">
        <v>0</v>
      </c>
      <c r="K718">
        <v>63</v>
      </c>
      <c r="L718">
        <v>1</v>
      </c>
      <c r="M718">
        <v>0</v>
      </c>
      <c r="N718">
        <v>0</v>
      </c>
      <c r="O718">
        <v>0</v>
      </c>
      <c r="P718">
        <v>2</v>
      </c>
      <c r="Q718">
        <v>0</v>
      </c>
      <c r="R718">
        <v>0</v>
      </c>
      <c r="S718">
        <v>5</v>
      </c>
      <c r="T718">
        <v>20</v>
      </c>
      <c r="U718">
        <v>11</v>
      </c>
      <c r="V718" s="19" t="s">
        <v>1699</v>
      </c>
      <c r="W718" s="19" t="s">
        <v>1635</v>
      </c>
      <c r="X718">
        <v>0</v>
      </c>
      <c r="Y718">
        <v>2</v>
      </c>
      <c r="Z718">
        <v>0</v>
      </c>
      <c r="AA718">
        <v>4</v>
      </c>
      <c r="AB718">
        <v>15</v>
      </c>
      <c r="AC718">
        <v>0</v>
      </c>
      <c r="AD718">
        <v>4</v>
      </c>
      <c r="AE718" s="19" t="s">
        <v>60</v>
      </c>
    </row>
    <row r="719" spans="1:31" x14ac:dyDescent="0.2">
      <c r="A719">
        <v>676</v>
      </c>
      <c r="B719" s="19" t="s">
        <v>1254</v>
      </c>
      <c r="C719">
        <v>24</v>
      </c>
      <c r="D719" s="19" t="s">
        <v>370</v>
      </c>
      <c r="E719" s="19" t="s">
        <v>334</v>
      </c>
      <c r="F719">
        <v>34</v>
      </c>
      <c r="G719">
        <v>2</v>
      </c>
      <c r="H719">
        <v>1</v>
      </c>
      <c r="I719">
        <v>3</v>
      </c>
      <c r="J719">
        <v>-3</v>
      </c>
      <c r="K719">
        <v>12</v>
      </c>
      <c r="L719">
        <v>2</v>
      </c>
      <c r="M719">
        <v>0</v>
      </c>
      <c r="N719">
        <v>0</v>
      </c>
      <c r="O719">
        <v>1</v>
      </c>
      <c r="P719">
        <v>1</v>
      </c>
      <c r="Q719">
        <v>0</v>
      </c>
      <c r="R719">
        <v>0</v>
      </c>
      <c r="S719">
        <v>40</v>
      </c>
      <c r="T719">
        <v>5</v>
      </c>
      <c r="U719">
        <v>92</v>
      </c>
      <c r="V719" s="19" t="s">
        <v>2202</v>
      </c>
      <c r="W719" s="19" t="s">
        <v>1982</v>
      </c>
      <c r="X719">
        <v>1</v>
      </c>
      <c r="Y719">
        <v>3</v>
      </c>
      <c r="Z719">
        <v>25</v>
      </c>
      <c r="AA719">
        <v>9</v>
      </c>
      <c r="AB719">
        <v>52</v>
      </c>
      <c r="AC719">
        <v>5</v>
      </c>
      <c r="AD719">
        <v>27</v>
      </c>
      <c r="AE719" s="19" t="s">
        <v>60</v>
      </c>
    </row>
    <row r="720" spans="1:31" x14ac:dyDescent="0.2">
      <c r="A720">
        <v>677</v>
      </c>
      <c r="B720" s="19" t="s">
        <v>1476</v>
      </c>
      <c r="C720">
        <v>25</v>
      </c>
      <c r="D720" s="19" t="s">
        <v>321</v>
      </c>
      <c r="E720" s="19" t="s">
        <v>348</v>
      </c>
      <c r="F720">
        <v>16</v>
      </c>
      <c r="G720">
        <v>1</v>
      </c>
      <c r="H720">
        <v>2</v>
      </c>
      <c r="I720">
        <v>3</v>
      </c>
      <c r="J720">
        <v>-1</v>
      </c>
      <c r="K720">
        <v>6</v>
      </c>
      <c r="L720">
        <v>1</v>
      </c>
      <c r="M720">
        <v>0</v>
      </c>
      <c r="N720">
        <v>0</v>
      </c>
      <c r="O720">
        <v>0</v>
      </c>
      <c r="P720">
        <v>2</v>
      </c>
      <c r="Q720">
        <v>0</v>
      </c>
      <c r="R720">
        <v>0</v>
      </c>
      <c r="S720">
        <v>14</v>
      </c>
      <c r="T720">
        <v>7.1</v>
      </c>
      <c r="U720">
        <v>43</v>
      </c>
      <c r="V720" s="19" t="s">
        <v>2151</v>
      </c>
      <c r="W720" s="19" t="s">
        <v>1627</v>
      </c>
      <c r="X720">
        <v>0</v>
      </c>
      <c r="Y720">
        <v>0</v>
      </c>
      <c r="AA720">
        <v>19</v>
      </c>
      <c r="AB720">
        <v>19</v>
      </c>
      <c r="AC720">
        <v>3</v>
      </c>
      <c r="AD720">
        <v>6</v>
      </c>
      <c r="AE720" s="19" t="s">
        <v>60</v>
      </c>
    </row>
    <row r="721" spans="1:31" x14ac:dyDescent="0.2">
      <c r="A721">
        <v>678</v>
      </c>
      <c r="B721" s="19" t="s">
        <v>2167</v>
      </c>
      <c r="C721">
        <v>28</v>
      </c>
      <c r="D721" s="19" t="s">
        <v>372</v>
      </c>
      <c r="E721" s="19" t="s">
        <v>339</v>
      </c>
      <c r="F721">
        <v>5</v>
      </c>
      <c r="G721">
        <v>0</v>
      </c>
      <c r="H721">
        <v>3</v>
      </c>
      <c r="I721">
        <v>3</v>
      </c>
      <c r="J721">
        <v>-3</v>
      </c>
      <c r="K721">
        <v>8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2</v>
      </c>
      <c r="R721">
        <v>0</v>
      </c>
      <c r="S721">
        <v>11</v>
      </c>
      <c r="T721">
        <v>0</v>
      </c>
      <c r="U721">
        <v>21</v>
      </c>
      <c r="V721" s="19" t="s">
        <v>2768</v>
      </c>
      <c r="W721" s="19" t="s">
        <v>368</v>
      </c>
      <c r="X721">
        <v>0</v>
      </c>
      <c r="Y721">
        <v>3</v>
      </c>
      <c r="Z721">
        <v>0</v>
      </c>
      <c r="AA721">
        <v>1</v>
      </c>
      <c r="AB721">
        <v>7</v>
      </c>
      <c r="AC721">
        <v>0</v>
      </c>
      <c r="AD721">
        <v>8</v>
      </c>
      <c r="AE721" s="19" t="s">
        <v>60</v>
      </c>
    </row>
    <row r="722" spans="1:31" x14ac:dyDescent="0.2">
      <c r="A722">
        <v>679</v>
      </c>
      <c r="B722" s="19" t="s">
        <v>1485</v>
      </c>
      <c r="C722">
        <v>29</v>
      </c>
      <c r="D722" s="19" t="s">
        <v>948</v>
      </c>
      <c r="E722" s="19" t="s">
        <v>325</v>
      </c>
      <c r="F722">
        <v>16</v>
      </c>
      <c r="G722">
        <v>2</v>
      </c>
      <c r="H722">
        <v>1</v>
      </c>
      <c r="I722">
        <v>3</v>
      </c>
      <c r="J722">
        <v>1</v>
      </c>
      <c r="K722">
        <v>35</v>
      </c>
      <c r="L722">
        <v>2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20</v>
      </c>
      <c r="T722">
        <v>10</v>
      </c>
      <c r="U722">
        <v>45</v>
      </c>
      <c r="V722" s="19" t="s">
        <v>2769</v>
      </c>
      <c r="W722" s="19" t="s">
        <v>1124</v>
      </c>
      <c r="X722">
        <v>1</v>
      </c>
      <c r="Y722">
        <v>1</v>
      </c>
      <c r="Z722">
        <v>50</v>
      </c>
      <c r="AA722">
        <v>8</v>
      </c>
      <c r="AB722">
        <v>47</v>
      </c>
      <c r="AC722">
        <v>2</v>
      </c>
      <c r="AD722">
        <v>4</v>
      </c>
      <c r="AE722" s="19" t="s">
        <v>60</v>
      </c>
    </row>
    <row r="723" spans="1:31" x14ac:dyDescent="0.2">
      <c r="A723">
        <v>679</v>
      </c>
      <c r="B723" s="19" t="s">
        <v>1485</v>
      </c>
      <c r="C723">
        <v>29</v>
      </c>
      <c r="D723" s="19" t="s">
        <v>354</v>
      </c>
      <c r="E723" s="19" t="s">
        <v>325</v>
      </c>
      <c r="F723">
        <v>10</v>
      </c>
      <c r="G723">
        <v>0</v>
      </c>
      <c r="H723">
        <v>0</v>
      </c>
      <c r="I723">
        <v>0</v>
      </c>
      <c r="J723">
        <v>-1</v>
      </c>
      <c r="K723">
        <v>30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11</v>
      </c>
      <c r="T723">
        <v>0</v>
      </c>
      <c r="U723">
        <v>21</v>
      </c>
      <c r="V723" s="19" t="s">
        <v>1636</v>
      </c>
      <c r="W723" s="19" t="s">
        <v>1052</v>
      </c>
      <c r="X723">
        <v>1</v>
      </c>
      <c r="Y723">
        <v>1</v>
      </c>
      <c r="Z723">
        <v>50</v>
      </c>
      <c r="AA723">
        <v>4</v>
      </c>
      <c r="AB723">
        <v>27</v>
      </c>
      <c r="AC723">
        <v>1</v>
      </c>
      <c r="AD723">
        <v>2</v>
      </c>
      <c r="AE723" s="19" t="s">
        <v>60</v>
      </c>
    </row>
    <row r="724" spans="1:31" x14ac:dyDescent="0.2">
      <c r="A724">
        <v>679</v>
      </c>
      <c r="B724" s="19" t="s">
        <v>1485</v>
      </c>
      <c r="C724">
        <v>29</v>
      </c>
      <c r="D724" s="19" t="s">
        <v>336</v>
      </c>
      <c r="E724" s="19" t="s">
        <v>325</v>
      </c>
      <c r="F724">
        <v>6</v>
      </c>
      <c r="G724">
        <v>2</v>
      </c>
      <c r="H724">
        <v>1</v>
      </c>
      <c r="I724">
        <v>3</v>
      </c>
      <c r="J724">
        <v>2</v>
      </c>
      <c r="K724">
        <v>5</v>
      </c>
      <c r="L724">
        <v>2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9</v>
      </c>
      <c r="T724">
        <v>22.2</v>
      </c>
      <c r="U724">
        <v>24</v>
      </c>
      <c r="V724" s="19" t="s">
        <v>2770</v>
      </c>
      <c r="W724" s="19" t="s">
        <v>2131</v>
      </c>
      <c r="X724">
        <v>0</v>
      </c>
      <c r="Y724">
        <v>0</v>
      </c>
      <c r="AA724">
        <v>4</v>
      </c>
      <c r="AB724">
        <v>20</v>
      </c>
      <c r="AC724">
        <v>1</v>
      </c>
      <c r="AD724">
        <v>2</v>
      </c>
      <c r="AE724" s="19" t="s">
        <v>60</v>
      </c>
    </row>
    <row r="725" spans="1:31" x14ac:dyDescent="0.2">
      <c r="A725">
        <v>680</v>
      </c>
      <c r="B725" s="19" t="s">
        <v>1145</v>
      </c>
      <c r="C725">
        <v>24</v>
      </c>
      <c r="D725" s="19" t="s">
        <v>383</v>
      </c>
      <c r="E725" s="19" t="s">
        <v>348</v>
      </c>
      <c r="F725">
        <v>8</v>
      </c>
      <c r="G725">
        <v>0</v>
      </c>
      <c r="H725">
        <v>3</v>
      </c>
      <c r="I725">
        <v>3</v>
      </c>
      <c r="J725">
        <v>0</v>
      </c>
      <c r="K725">
        <v>4</v>
      </c>
      <c r="L725">
        <v>0</v>
      </c>
      <c r="M725">
        <v>0</v>
      </c>
      <c r="N725">
        <v>0</v>
      </c>
      <c r="O725">
        <v>0</v>
      </c>
      <c r="P725">
        <v>3</v>
      </c>
      <c r="Q725">
        <v>0</v>
      </c>
      <c r="R725">
        <v>0</v>
      </c>
      <c r="S725">
        <v>7</v>
      </c>
      <c r="T725">
        <v>0</v>
      </c>
      <c r="U725">
        <v>19</v>
      </c>
      <c r="V725" s="19" t="s">
        <v>1758</v>
      </c>
      <c r="W725" s="19" t="s">
        <v>1684</v>
      </c>
      <c r="X725">
        <v>0</v>
      </c>
      <c r="Y725">
        <v>0</v>
      </c>
      <c r="AA725">
        <v>5</v>
      </c>
      <c r="AB725">
        <v>7</v>
      </c>
      <c r="AC725">
        <v>1</v>
      </c>
      <c r="AD725">
        <v>7</v>
      </c>
      <c r="AE725" s="19" t="s">
        <v>60</v>
      </c>
    </row>
    <row r="726" spans="1:31" x14ac:dyDescent="0.2">
      <c r="A726">
        <v>681</v>
      </c>
      <c r="B726" s="19" t="s">
        <v>1147</v>
      </c>
      <c r="C726">
        <v>24</v>
      </c>
      <c r="D726" s="19" t="s">
        <v>948</v>
      </c>
      <c r="E726" s="19" t="s">
        <v>322</v>
      </c>
      <c r="F726">
        <v>25</v>
      </c>
      <c r="G726">
        <v>1</v>
      </c>
      <c r="H726">
        <v>2</v>
      </c>
      <c r="I726">
        <v>3</v>
      </c>
      <c r="J726">
        <v>-5</v>
      </c>
      <c r="K726">
        <v>29</v>
      </c>
      <c r="L726">
        <v>1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1</v>
      </c>
      <c r="S726">
        <v>21</v>
      </c>
      <c r="T726">
        <v>4.8</v>
      </c>
      <c r="U726">
        <v>42</v>
      </c>
      <c r="V726" s="19" t="s">
        <v>1799</v>
      </c>
      <c r="W726" s="19" t="s">
        <v>1179</v>
      </c>
      <c r="X726">
        <v>43</v>
      </c>
      <c r="Y726">
        <v>60</v>
      </c>
      <c r="Z726">
        <v>41.7</v>
      </c>
      <c r="AA726">
        <v>18</v>
      </c>
      <c r="AB726">
        <v>18</v>
      </c>
      <c r="AC726">
        <v>2</v>
      </c>
      <c r="AD726">
        <v>8</v>
      </c>
      <c r="AE726" s="19" t="s">
        <v>60</v>
      </c>
    </row>
    <row r="727" spans="1:31" x14ac:dyDescent="0.2">
      <c r="A727">
        <v>681</v>
      </c>
      <c r="B727" s="19" t="s">
        <v>1147</v>
      </c>
      <c r="C727">
        <v>24</v>
      </c>
      <c r="D727" s="19" t="s">
        <v>354</v>
      </c>
      <c r="E727" s="19" t="s">
        <v>322</v>
      </c>
      <c r="F727">
        <v>6</v>
      </c>
      <c r="G727">
        <v>1</v>
      </c>
      <c r="H727">
        <v>0</v>
      </c>
      <c r="I727">
        <v>1</v>
      </c>
      <c r="J727">
        <v>-1</v>
      </c>
      <c r="K727">
        <v>0</v>
      </c>
      <c r="L727">
        <v>1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6</v>
      </c>
      <c r="T727">
        <v>16.7</v>
      </c>
      <c r="U727">
        <v>10</v>
      </c>
      <c r="V727" s="19" t="s">
        <v>1148</v>
      </c>
      <c r="W727" s="19" t="s">
        <v>1149</v>
      </c>
      <c r="X727">
        <v>0</v>
      </c>
      <c r="Y727">
        <v>3</v>
      </c>
      <c r="Z727">
        <v>0</v>
      </c>
      <c r="AA727">
        <v>4</v>
      </c>
      <c r="AB727">
        <v>7</v>
      </c>
      <c r="AC727">
        <v>0</v>
      </c>
      <c r="AD727">
        <v>1</v>
      </c>
      <c r="AE727" s="19" t="s">
        <v>60</v>
      </c>
    </row>
    <row r="728" spans="1:31" x14ac:dyDescent="0.2">
      <c r="A728">
        <v>681</v>
      </c>
      <c r="B728" s="19" t="s">
        <v>1147</v>
      </c>
      <c r="C728">
        <v>24</v>
      </c>
      <c r="D728" s="19" t="s">
        <v>436</v>
      </c>
      <c r="E728" s="19" t="s">
        <v>322</v>
      </c>
      <c r="F728">
        <v>19</v>
      </c>
      <c r="G728">
        <v>0</v>
      </c>
      <c r="H728">
        <v>2</v>
      </c>
      <c r="I728">
        <v>2</v>
      </c>
      <c r="J728">
        <v>-4</v>
      </c>
      <c r="K728">
        <v>29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1</v>
      </c>
      <c r="S728">
        <v>15</v>
      </c>
      <c r="T728">
        <v>0</v>
      </c>
      <c r="U728">
        <v>32</v>
      </c>
      <c r="V728" s="19" t="s">
        <v>1800</v>
      </c>
      <c r="W728" s="19" t="s">
        <v>1796</v>
      </c>
      <c r="X728">
        <v>43</v>
      </c>
      <c r="Y728">
        <v>57</v>
      </c>
      <c r="Z728">
        <v>43</v>
      </c>
      <c r="AA728">
        <v>14</v>
      </c>
      <c r="AB728">
        <v>11</v>
      </c>
      <c r="AC728">
        <v>2</v>
      </c>
      <c r="AD728">
        <v>7</v>
      </c>
      <c r="AE728" s="19" t="s">
        <v>60</v>
      </c>
    </row>
    <row r="729" spans="1:31" x14ac:dyDescent="0.2">
      <c r="A729">
        <v>682</v>
      </c>
      <c r="B729" s="19" t="s">
        <v>1151</v>
      </c>
      <c r="C729">
        <v>28</v>
      </c>
      <c r="D729" s="19" t="s">
        <v>321</v>
      </c>
      <c r="E729" s="19" t="s">
        <v>348</v>
      </c>
      <c r="F729">
        <v>9</v>
      </c>
      <c r="G729">
        <v>0</v>
      </c>
      <c r="H729">
        <v>2</v>
      </c>
      <c r="I729">
        <v>2</v>
      </c>
      <c r="J729">
        <v>3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2</v>
      </c>
      <c r="Q729">
        <v>0</v>
      </c>
      <c r="R729">
        <v>0</v>
      </c>
      <c r="S729">
        <v>5</v>
      </c>
      <c r="T729">
        <v>0</v>
      </c>
      <c r="U729">
        <v>14</v>
      </c>
      <c r="V729" s="19" t="s">
        <v>2366</v>
      </c>
      <c r="W729" s="19" t="s">
        <v>1510</v>
      </c>
      <c r="X729">
        <v>0</v>
      </c>
      <c r="Y729">
        <v>0</v>
      </c>
      <c r="AA729">
        <v>6</v>
      </c>
      <c r="AB729">
        <v>6</v>
      </c>
      <c r="AC729">
        <v>0</v>
      </c>
      <c r="AD729">
        <v>5</v>
      </c>
      <c r="AE729" s="19" t="s">
        <v>60</v>
      </c>
    </row>
    <row r="730" spans="1:31" x14ac:dyDescent="0.2">
      <c r="A730">
        <v>683</v>
      </c>
      <c r="B730" s="19" t="s">
        <v>1092</v>
      </c>
      <c r="C730">
        <v>27</v>
      </c>
      <c r="D730" s="19" t="s">
        <v>436</v>
      </c>
      <c r="E730" s="19" t="s">
        <v>348</v>
      </c>
      <c r="F730">
        <v>16</v>
      </c>
      <c r="G730">
        <v>1</v>
      </c>
      <c r="H730">
        <v>1</v>
      </c>
      <c r="I730">
        <v>2</v>
      </c>
      <c r="J730">
        <v>-7</v>
      </c>
      <c r="K730">
        <v>16</v>
      </c>
      <c r="L730">
        <v>1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16</v>
      </c>
      <c r="T730">
        <v>6.3</v>
      </c>
      <c r="U730">
        <v>44</v>
      </c>
      <c r="V730" s="19" t="s">
        <v>1093</v>
      </c>
      <c r="W730" s="19" t="s">
        <v>1094</v>
      </c>
      <c r="X730">
        <v>0</v>
      </c>
      <c r="Y730">
        <v>0</v>
      </c>
      <c r="AA730">
        <v>29</v>
      </c>
      <c r="AB730">
        <v>3</v>
      </c>
      <c r="AC730">
        <v>5</v>
      </c>
      <c r="AD730">
        <v>15</v>
      </c>
      <c r="AE730" s="19" t="s">
        <v>60</v>
      </c>
    </row>
    <row r="731" spans="1:31" x14ac:dyDescent="0.2">
      <c r="A731">
        <v>684</v>
      </c>
      <c r="B731" s="19" t="s">
        <v>2121</v>
      </c>
      <c r="C731">
        <v>24</v>
      </c>
      <c r="D731" s="19" t="s">
        <v>372</v>
      </c>
      <c r="E731" s="19" t="s">
        <v>348</v>
      </c>
      <c r="F731">
        <v>6</v>
      </c>
      <c r="G731">
        <v>2</v>
      </c>
      <c r="H731">
        <v>0</v>
      </c>
      <c r="I731">
        <v>2</v>
      </c>
      <c r="J731">
        <v>4</v>
      </c>
      <c r="K731">
        <v>0</v>
      </c>
      <c r="L731">
        <v>2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7</v>
      </c>
      <c r="T731">
        <v>28.6</v>
      </c>
      <c r="U731">
        <v>12</v>
      </c>
      <c r="V731" s="19" t="s">
        <v>2771</v>
      </c>
      <c r="W731" s="19" t="s">
        <v>1735</v>
      </c>
      <c r="X731">
        <v>0</v>
      </c>
      <c r="Y731">
        <v>0</v>
      </c>
      <c r="AA731">
        <v>5</v>
      </c>
      <c r="AB731">
        <v>5</v>
      </c>
      <c r="AC731">
        <v>0</v>
      </c>
      <c r="AD731">
        <v>4</v>
      </c>
      <c r="AE731" s="19" t="s">
        <v>60</v>
      </c>
    </row>
    <row r="732" spans="1:31" x14ac:dyDescent="0.2">
      <c r="A732">
        <v>685</v>
      </c>
      <c r="B732" s="19" t="s">
        <v>1523</v>
      </c>
      <c r="C732">
        <v>21</v>
      </c>
      <c r="D732" s="19" t="s">
        <v>436</v>
      </c>
      <c r="E732" s="19" t="s">
        <v>348</v>
      </c>
      <c r="F732">
        <v>17</v>
      </c>
      <c r="G732">
        <v>1</v>
      </c>
      <c r="H732">
        <v>1</v>
      </c>
      <c r="I732">
        <v>2</v>
      </c>
      <c r="J732">
        <v>-2</v>
      </c>
      <c r="K732">
        <v>0</v>
      </c>
      <c r="L732">
        <v>1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17</v>
      </c>
      <c r="T732">
        <v>5.9</v>
      </c>
      <c r="U732">
        <v>47</v>
      </c>
      <c r="V732" s="19" t="s">
        <v>2367</v>
      </c>
      <c r="W732" s="19" t="s">
        <v>2003</v>
      </c>
      <c r="X732">
        <v>0</v>
      </c>
      <c r="Y732">
        <v>0</v>
      </c>
      <c r="AA732">
        <v>7</v>
      </c>
      <c r="AB732">
        <v>9</v>
      </c>
      <c r="AC732">
        <v>0</v>
      </c>
      <c r="AD732">
        <v>14</v>
      </c>
      <c r="AE732" s="19" t="s">
        <v>60</v>
      </c>
    </row>
    <row r="733" spans="1:31" x14ac:dyDescent="0.2">
      <c r="A733">
        <v>686</v>
      </c>
      <c r="B733" s="19" t="s">
        <v>1167</v>
      </c>
      <c r="C733">
        <v>26</v>
      </c>
      <c r="D733" s="19" t="s">
        <v>380</v>
      </c>
      <c r="E733" s="19" t="s">
        <v>348</v>
      </c>
      <c r="F733">
        <v>31</v>
      </c>
      <c r="G733">
        <v>0</v>
      </c>
      <c r="H733">
        <v>2</v>
      </c>
      <c r="I733">
        <v>2</v>
      </c>
      <c r="J733">
        <v>-9</v>
      </c>
      <c r="K733">
        <v>4</v>
      </c>
      <c r="L733">
        <v>0</v>
      </c>
      <c r="M733">
        <v>0</v>
      </c>
      <c r="N733">
        <v>0</v>
      </c>
      <c r="O733">
        <v>0</v>
      </c>
      <c r="P733">
        <v>2</v>
      </c>
      <c r="Q733">
        <v>0</v>
      </c>
      <c r="R733">
        <v>0</v>
      </c>
      <c r="S733">
        <v>21</v>
      </c>
      <c r="T733">
        <v>0</v>
      </c>
      <c r="U733">
        <v>63</v>
      </c>
      <c r="V733" s="19" t="s">
        <v>2300</v>
      </c>
      <c r="W733" s="19" t="s">
        <v>1756</v>
      </c>
      <c r="X733">
        <v>0</v>
      </c>
      <c r="Y733">
        <v>0</v>
      </c>
      <c r="AA733">
        <v>15</v>
      </c>
      <c r="AB733">
        <v>25</v>
      </c>
      <c r="AC733">
        <v>1</v>
      </c>
      <c r="AD733">
        <v>11</v>
      </c>
      <c r="AE733" s="19" t="s">
        <v>60</v>
      </c>
    </row>
    <row r="734" spans="1:31" x14ac:dyDescent="0.2">
      <c r="A734">
        <v>687</v>
      </c>
      <c r="B734" s="19" t="s">
        <v>1099</v>
      </c>
      <c r="C734">
        <v>25</v>
      </c>
      <c r="D734" s="19" t="s">
        <v>351</v>
      </c>
      <c r="E734" s="19" t="s">
        <v>322</v>
      </c>
      <c r="F734">
        <v>27</v>
      </c>
      <c r="G734">
        <v>0</v>
      </c>
      <c r="H734">
        <v>2</v>
      </c>
      <c r="I734">
        <v>2</v>
      </c>
      <c r="J734">
        <v>1</v>
      </c>
      <c r="K734">
        <v>75</v>
      </c>
      <c r="L734">
        <v>0</v>
      </c>
      <c r="M734">
        <v>0</v>
      </c>
      <c r="N734">
        <v>0</v>
      </c>
      <c r="O734">
        <v>0</v>
      </c>
      <c r="P734">
        <v>2</v>
      </c>
      <c r="Q734">
        <v>0</v>
      </c>
      <c r="R734">
        <v>0</v>
      </c>
      <c r="S734">
        <v>15</v>
      </c>
      <c r="T734">
        <v>0</v>
      </c>
      <c r="U734">
        <v>31</v>
      </c>
      <c r="V734" s="19" t="s">
        <v>1686</v>
      </c>
      <c r="W734" s="19" t="s">
        <v>1687</v>
      </c>
      <c r="X734">
        <v>2</v>
      </c>
      <c r="Y734">
        <v>2</v>
      </c>
      <c r="Z734">
        <v>50</v>
      </c>
      <c r="AA734">
        <v>6</v>
      </c>
      <c r="AB734">
        <v>29</v>
      </c>
      <c r="AC734">
        <v>3</v>
      </c>
      <c r="AD734">
        <v>9</v>
      </c>
      <c r="AE734" s="19" t="s">
        <v>60</v>
      </c>
    </row>
    <row r="735" spans="1:31" x14ac:dyDescent="0.2">
      <c r="A735">
        <v>688</v>
      </c>
      <c r="B735" s="19" t="s">
        <v>1176</v>
      </c>
      <c r="C735">
        <v>27</v>
      </c>
      <c r="D735" s="19" t="s">
        <v>531</v>
      </c>
      <c r="E735" s="19" t="s">
        <v>348</v>
      </c>
      <c r="F735">
        <v>16</v>
      </c>
      <c r="G735">
        <v>1</v>
      </c>
      <c r="H735">
        <v>1</v>
      </c>
      <c r="I735">
        <v>2</v>
      </c>
      <c r="J735">
        <v>2</v>
      </c>
      <c r="K735">
        <v>5</v>
      </c>
      <c r="L735">
        <v>1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20</v>
      </c>
      <c r="T735">
        <v>5</v>
      </c>
      <c r="U735">
        <v>44</v>
      </c>
      <c r="V735" s="19" t="s">
        <v>2055</v>
      </c>
      <c r="W735" s="19" t="s">
        <v>1747</v>
      </c>
      <c r="X735">
        <v>0</v>
      </c>
      <c r="Y735">
        <v>0</v>
      </c>
      <c r="AA735">
        <v>19</v>
      </c>
      <c r="AB735">
        <v>31</v>
      </c>
      <c r="AC735">
        <v>4</v>
      </c>
      <c r="AD735">
        <v>14</v>
      </c>
      <c r="AE735" s="19" t="s">
        <v>60</v>
      </c>
    </row>
    <row r="736" spans="1:31" x14ac:dyDescent="0.2">
      <c r="A736">
        <v>689</v>
      </c>
      <c r="B736" s="19" t="s">
        <v>1194</v>
      </c>
      <c r="C736">
        <v>35</v>
      </c>
      <c r="D736" s="19" t="s">
        <v>370</v>
      </c>
      <c r="E736" s="19" t="s">
        <v>348</v>
      </c>
      <c r="F736">
        <v>22</v>
      </c>
      <c r="G736">
        <v>0</v>
      </c>
      <c r="H736">
        <v>2</v>
      </c>
      <c r="I736">
        <v>2</v>
      </c>
      <c r="J736">
        <v>-11</v>
      </c>
      <c r="K736">
        <v>22</v>
      </c>
      <c r="L736">
        <v>0</v>
      </c>
      <c r="M736">
        <v>0</v>
      </c>
      <c r="N736">
        <v>0</v>
      </c>
      <c r="O736">
        <v>0</v>
      </c>
      <c r="P736">
        <v>2</v>
      </c>
      <c r="Q736">
        <v>0</v>
      </c>
      <c r="R736">
        <v>0</v>
      </c>
      <c r="S736">
        <v>18</v>
      </c>
      <c r="T736">
        <v>0</v>
      </c>
      <c r="U736">
        <v>36</v>
      </c>
      <c r="V736" s="19" t="s">
        <v>2772</v>
      </c>
      <c r="W736" s="19" t="s">
        <v>1623</v>
      </c>
      <c r="X736">
        <v>0</v>
      </c>
      <c r="Y736">
        <v>0</v>
      </c>
      <c r="AA736">
        <v>33</v>
      </c>
      <c r="AB736">
        <v>24</v>
      </c>
      <c r="AC736">
        <v>5</v>
      </c>
      <c r="AD736">
        <v>19</v>
      </c>
      <c r="AE736" s="19" t="s">
        <v>60</v>
      </c>
    </row>
    <row r="737" spans="1:31" x14ac:dyDescent="0.2">
      <c r="A737">
        <v>690</v>
      </c>
      <c r="B737" s="19" t="s">
        <v>1110</v>
      </c>
      <c r="C737">
        <v>25</v>
      </c>
      <c r="D737" s="19" t="s">
        <v>354</v>
      </c>
      <c r="E737" s="19" t="s">
        <v>348</v>
      </c>
      <c r="F737">
        <v>5</v>
      </c>
      <c r="G737">
        <v>1</v>
      </c>
      <c r="H737">
        <v>1</v>
      </c>
      <c r="I737">
        <v>2</v>
      </c>
      <c r="J737">
        <v>0</v>
      </c>
      <c r="K737">
        <v>0</v>
      </c>
      <c r="L737">
        <v>1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9</v>
      </c>
      <c r="T737">
        <v>11.1</v>
      </c>
      <c r="U737">
        <v>12</v>
      </c>
      <c r="V737" s="19" t="s">
        <v>1111</v>
      </c>
      <c r="W737" s="19" t="s">
        <v>1033</v>
      </c>
      <c r="X737">
        <v>0</v>
      </c>
      <c r="Y737">
        <v>0</v>
      </c>
      <c r="AA737">
        <v>3</v>
      </c>
      <c r="AB737">
        <v>4</v>
      </c>
      <c r="AC737">
        <v>1</v>
      </c>
      <c r="AD737">
        <v>5</v>
      </c>
      <c r="AE737" s="19" t="s">
        <v>60</v>
      </c>
    </row>
    <row r="738" spans="1:31" x14ac:dyDescent="0.2">
      <c r="A738">
        <v>691</v>
      </c>
      <c r="B738" s="19" t="s">
        <v>1351</v>
      </c>
      <c r="C738">
        <v>34</v>
      </c>
      <c r="D738" s="19" t="s">
        <v>406</v>
      </c>
      <c r="E738" s="19" t="s">
        <v>334</v>
      </c>
      <c r="F738">
        <v>44</v>
      </c>
      <c r="G738">
        <v>1</v>
      </c>
      <c r="H738">
        <v>1</v>
      </c>
      <c r="I738">
        <v>2</v>
      </c>
      <c r="J738">
        <v>-6</v>
      </c>
      <c r="K738">
        <v>50</v>
      </c>
      <c r="L738">
        <v>1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19</v>
      </c>
      <c r="T738">
        <v>5.3</v>
      </c>
      <c r="U738">
        <v>39</v>
      </c>
      <c r="V738" s="19" t="s">
        <v>2250</v>
      </c>
      <c r="W738" s="19" t="s">
        <v>1625</v>
      </c>
      <c r="X738">
        <v>6</v>
      </c>
      <c r="Y738">
        <v>4</v>
      </c>
      <c r="Z738">
        <v>60</v>
      </c>
      <c r="AA738">
        <v>31</v>
      </c>
      <c r="AB738">
        <v>168</v>
      </c>
      <c r="AC738">
        <v>4</v>
      </c>
      <c r="AD738">
        <v>21</v>
      </c>
      <c r="AE738" s="19" t="s">
        <v>60</v>
      </c>
    </row>
    <row r="739" spans="1:31" x14ac:dyDescent="0.2">
      <c r="A739">
        <v>692</v>
      </c>
      <c r="B739" s="19" t="s">
        <v>1501</v>
      </c>
      <c r="C739">
        <v>25</v>
      </c>
      <c r="D739" s="19" t="s">
        <v>447</v>
      </c>
      <c r="E739" s="19" t="s">
        <v>339</v>
      </c>
      <c r="F739">
        <v>18</v>
      </c>
      <c r="G739">
        <v>0</v>
      </c>
      <c r="H739">
        <v>2</v>
      </c>
      <c r="I739">
        <v>2</v>
      </c>
      <c r="J739">
        <v>1</v>
      </c>
      <c r="K739">
        <v>6</v>
      </c>
      <c r="L739">
        <v>0</v>
      </c>
      <c r="M739">
        <v>0</v>
      </c>
      <c r="N739">
        <v>0</v>
      </c>
      <c r="O739">
        <v>0</v>
      </c>
      <c r="P739">
        <v>2</v>
      </c>
      <c r="Q739">
        <v>0</v>
      </c>
      <c r="R739">
        <v>0</v>
      </c>
      <c r="S739">
        <v>18</v>
      </c>
      <c r="T739">
        <v>0</v>
      </c>
      <c r="U739">
        <v>44</v>
      </c>
      <c r="V739" s="19" t="s">
        <v>2773</v>
      </c>
      <c r="W739" s="19" t="s">
        <v>926</v>
      </c>
      <c r="X739">
        <v>0</v>
      </c>
      <c r="Y739">
        <v>0</v>
      </c>
      <c r="AA739">
        <v>4</v>
      </c>
      <c r="AB739">
        <v>28</v>
      </c>
      <c r="AC739">
        <v>2</v>
      </c>
      <c r="AD739">
        <v>10</v>
      </c>
      <c r="AE739" s="19" t="s">
        <v>60</v>
      </c>
    </row>
    <row r="740" spans="1:31" x14ac:dyDescent="0.2">
      <c r="A740">
        <v>693</v>
      </c>
      <c r="B740" s="19" t="s">
        <v>1375</v>
      </c>
      <c r="C740">
        <v>26</v>
      </c>
      <c r="D740" s="19" t="s">
        <v>356</v>
      </c>
      <c r="E740" s="19" t="s">
        <v>325</v>
      </c>
      <c r="F740">
        <v>26</v>
      </c>
      <c r="G740">
        <v>1</v>
      </c>
      <c r="H740">
        <v>1</v>
      </c>
      <c r="I740">
        <v>2</v>
      </c>
      <c r="J740">
        <v>-10</v>
      </c>
      <c r="K740">
        <v>0</v>
      </c>
      <c r="L740">
        <v>1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25</v>
      </c>
      <c r="T740">
        <v>4</v>
      </c>
      <c r="U740">
        <v>44</v>
      </c>
      <c r="V740" s="19" t="s">
        <v>2186</v>
      </c>
      <c r="W740" s="19" t="s">
        <v>1601</v>
      </c>
      <c r="X740">
        <v>68</v>
      </c>
      <c r="Y740">
        <v>59</v>
      </c>
      <c r="Z740">
        <v>53.5</v>
      </c>
      <c r="AA740">
        <v>11</v>
      </c>
      <c r="AB740">
        <v>53</v>
      </c>
      <c r="AC740">
        <v>1</v>
      </c>
      <c r="AD740">
        <v>8</v>
      </c>
      <c r="AE740" s="19" t="s">
        <v>60</v>
      </c>
    </row>
    <row r="741" spans="1:31" x14ac:dyDescent="0.2">
      <c r="A741">
        <v>694</v>
      </c>
      <c r="B741" s="19" t="s">
        <v>1574</v>
      </c>
      <c r="C741">
        <v>27</v>
      </c>
      <c r="D741" s="19" t="s">
        <v>327</v>
      </c>
      <c r="E741" s="19" t="s">
        <v>339</v>
      </c>
      <c r="F741">
        <v>8</v>
      </c>
      <c r="G741">
        <v>1</v>
      </c>
      <c r="H741">
        <v>1</v>
      </c>
      <c r="I741">
        <v>2</v>
      </c>
      <c r="J741">
        <v>0</v>
      </c>
      <c r="K741">
        <v>5</v>
      </c>
      <c r="L741">
        <v>1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12</v>
      </c>
      <c r="T741">
        <v>8.3000000000000007</v>
      </c>
      <c r="U741">
        <v>15</v>
      </c>
      <c r="V741" s="19" t="s">
        <v>1759</v>
      </c>
      <c r="W741" s="19" t="s">
        <v>1131</v>
      </c>
      <c r="X741">
        <v>0</v>
      </c>
      <c r="Y741">
        <v>0</v>
      </c>
      <c r="AA741">
        <v>2</v>
      </c>
      <c r="AB741">
        <v>20</v>
      </c>
      <c r="AC741">
        <v>2</v>
      </c>
      <c r="AD741">
        <v>4</v>
      </c>
      <c r="AE741" s="19" t="s">
        <v>60</v>
      </c>
    </row>
    <row r="742" spans="1:31" x14ac:dyDescent="0.2">
      <c r="A742">
        <v>695</v>
      </c>
      <c r="B742" s="19" t="s">
        <v>1201</v>
      </c>
      <c r="C742">
        <v>26</v>
      </c>
      <c r="D742" s="19" t="s">
        <v>447</v>
      </c>
      <c r="E742" s="19" t="s">
        <v>348</v>
      </c>
      <c r="F742">
        <v>17</v>
      </c>
      <c r="G742">
        <v>0</v>
      </c>
      <c r="H742">
        <v>2</v>
      </c>
      <c r="I742">
        <v>2</v>
      </c>
      <c r="J742">
        <v>-10</v>
      </c>
      <c r="K742">
        <v>2</v>
      </c>
      <c r="L742">
        <v>0</v>
      </c>
      <c r="M742">
        <v>0</v>
      </c>
      <c r="N742">
        <v>0</v>
      </c>
      <c r="O742">
        <v>0</v>
      </c>
      <c r="P742">
        <v>2</v>
      </c>
      <c r="Q742">
        <v>0</v>
      </c>
      <c r="R742">
        <v>0</v>
      </c>
      <c r="S742">
        <v>11</v>
      </c>
      <c r="T742">
        <v>0</v>
      </c>
      <c r="U742">
        <v>29</v>
      </c>
      <c r="V742" s="19" t="s">
        <v>2368</v>
      </c>
      <c r="W742" s="19" t="s">
        <v>1785</v>
      </c>
      <c r="X742">
        <v>0</v>
      </c>
      <c r="Y742">
        <v>0</v>
      </c>
      <c r="AA742">
        <v>16</v>
      </c>
      <c r="AB742">
        <v>6</v>
      </c>
      <c r="AC742">
        <v>5</v>
      </c>
      <c r="AD742">
        <v>11</v>
      </c>
      <c r="AE742" s="19" t="s">
        <v>60</v>
      </c>
    </row>
    <row r="743" spans="1:31" x14ac:dyDescent="0.2">
      <c r="A743">
        <v>696</v>
      </c>
      <c r="B743" s="19" t="s">
        <v>1203</v>
      </c>
      <c r="C743">
        <v>29</v>
      </c>
      <c r="D743" s="19" t="s">
        <v>436</v>
      </c>
      <c r="E743" s="19" t="s">
        <v>339</v>
      </c>
      <c r="F743">
        <v>19</v>
      </c>
      <c r="G743">
        <v>1</v>
      </c>
      <c r="H743">
        <v>1</v>
      </c>
      <c r="I743">
        <v>2</v>
      </c>
      <c r="J743">
        <v>1</v>
      </c>
      <c r="K743">
        <v>2</v>
      </c>
      <c r="L743">
        <v>1</v>
      </c>
      <c r="M743">
        <v>0</v>
      </c>
      <c r="N743">
        <v>0</v>
      </c>
      <c r="O743">
        <v>1</v>
      </c>
      <c r="P743">
        <v>1</v>
      </c>
      <c r="Q743">
        <v>0</v>
      </c>
      <c r="R743">
        <v>0</v>
      </c>
      <c r="S743">
        <v>10</v>
      </c>
      <c r="T743">
        <v>10</v>
      </c>
      <c r="U743">
        <v>28</v>
      </c>
      <c r="V743" s="19" t="s">
        <v>2011</v>
      </c>
      <c r="W743" s="19" t="s">
        <v>1120</v>
      </c>
      <c r="X743">
        <v>61</v>
      </c>
      <c r="Y743">
        <v>61</v>
      </c>
      <c r="Z743">
        <v>50</v>
      </c>
      <c r="AA743">
        <v>11</v>
      </c>
      <c r="AB743">
        <v>29</v>
      </c>
      <c r="AC743">
        <v>3</v>
      </c>
      <c r="AD743">
        <v>13</v>
      </c>
      <c r="AE743" s="19" t="s">
        <v>60</v>
      </c>
    </row>
    <row r="744" spans="1:31" x14ac:dyDescent="0.2">
      <c r="A744">
        <v>697</v>
      </c>
      <c r="B744" s="19" t="s">
        <v>1909</v>
      </c>
      <c r="C744">
        <v>28</v>
      </c>
      <c r="D744" s="19" t="s">
        <v>398</v>
      </c>
      <c r="E744" s="19" t="s">
        <v>348</v>
      </c>
      <c r="F744">
        <v>7</v>
      </c>
      <c r="G744">
        <v>0</v>
      </c>
      <c r="H744">
        <v>2</v>
      </c>
      <c r="I744">
        <v>2</v>
      </c>
      <c r="J744">
        <v>-3</v>
      </c>
      <c r="K744">
        <v>7</v>
      </c>
      <c r="L744">
        <v>0</v>
      </c>
      <c r="M744">
        <v>0</v>
      </c>
      <c r="N744">
        <v>0</v>
      </c>
      <c r="O744">
        <v>0</v>
      </c>
      <c r="P744">
        <v>2</v>
      </c>
      <c r="Q744">
        <v>0</v>
      </c>
      <c r="R744">
        <v>0</v>
      </c>
      <c r="S744">
        <v>7</v>
      </c>
      <c r="T744">
        <v>0</v>
      </c>
      <c r="U744">
        <v>13</v>
      </c>
      <c r="V744" s="19" t="s">
        <v>2774</v>
      </c>
      <c r="W744" s="19" t="s">
        <v>1654</v>
      </c>
      <c r="X744">
        <v>0</v>
      </c>
      <c r="Y744">
        <v>0</v>
      </c>
      <c r="AA744">
        <v>10</v>
      </c>
      <c r="AB744">
        <v>13</v>
      </c>
      <c r="AC744">
        <v>0</v>
      </c>
      <c r="AD744">
        <v>6</v>
      </c>
      <c r="AE744" s="19" t="s">
        <v>60</v>
      </c>
    </row>
    <row r="745" spans="1:31" x14ac:dyDescent="0.2">
      <c r="A745">
        <v>698</v>
      </c>
      <c r="B745" s="19" t="s">
        <v>2061</v>
      </c>
      <c r="C745">
        <v>28</v>
      </c>
      <c r="D745" s="19" t="s">
        <v>343</v>
      </c>
      <c r="E745" s="19" t="s">
        <v>322</v>
      </c>
      <c r="F745">
        <v>7</v>
      </c>
      <c r="G745">
        <v>0</v>
      </c>
      <c r="H745">
        <v>2</v>
      </c>
      <c r="I745">
        <v>2</v>
      </c>
      <c r="J745">
        <v>-2</v>
      </c>
      <c r="K745">
        <v>2</v>
      </c>
      <c r="L745">
        <v>0</v>
      </c>
      <c r="M745">
        <v>0</v>
      </c>
      <c r="N745">
        <v>0</v>
      </c>
      <c r="O745">
        <v>0</v>
      </c>
      <c r="P745">
        <v>2</v>
      </c>
      <c r="Q745">
        <v>0</v>
      </c>
      <c r="R745">
        <v>0</v>
      </c>
      <c r="S745">
        <v>12</v>
      </c>
      <c r="T745">
        <v>0</v>
      </c>
      <c r="U745">
        <v>21</v>
      </c>
      <c r="V745" s="19" t="s">
        <v>2775</v>
      </c>
      <c r="W745" s="19" t="s">
        <v>1981</v>
      </c>
      <c r="X745">
        <v>27</v>
      </c>
      <c r="Y745">
        <v>27</v>
      </c>
      <c r="Z745">
        <v>50</v>
      </c>
      <c r="AA745">
        <v>4</v>
      </c>
      <c r="AB745">
        <v>1</v>
      </c>
      <c r="AC745">
        <v>2</v>
      </c>
      <c r="AD745">
        <v>3</v>
      </c>
      <c r="AE745" s="19" t="s">
        <v>60</v>
      </c>
    </row>
    <row r="746" spans="1:31" x14ac:dyDescent="0.2">
      <c r="A746">
        <v>699</v>
      </c>
      <c r="B746" s="19" t="s">
        <v>1208</v>
      </c>
      <c r="C746">
        <v>30</v>
      </c>
      <c r="D746" s="19" t="s">
        <v>329</v>
      </c>
      <c r="E746" s="19" t="s">
        <v>322</v>
      </c>
      <c r="F746">
        <v>18</v>
      </c>
      <c r="G746">
        <v>1</v>
      </c>
      <c r="H746">
        <v>1</v>
      </c>
      <c r="I746">
        <v>2</v>
      </c>
      <c r="J746">
        <v>2</v>
      </c>
      <c r="K746">
        <v>14</v>
      </c>
      <c r="L746">
        <v>1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6</v>
      </c>
      <c r="T746">
        <v>16.7</v>
      </c>
      <c r="U746">
        <v>15</v>
      </c>
      <c r="V746" s="19" t="s">
        <v>2152</v>
      </c>
      <c r="W746" s="19" t="s">
        <v>1668</v>
      </c>
      <c r="X746">
        <v>10</v>
      </c>
      <c r="Y746">
        <v>11</v>
      </c>
      <c r="Z746">
        <v>47.6</v>
      </c>
      <c r="AA746">
        <v>2</v>
      </c>
      <c r="AB746">
        <v>21</v>
      </c>
      <c r="AC746">
        <v>1</v>
      </c>
      <c r="AD746">
        <v>9</v>
      </c>
      <c r="AE746" s="19" t="s">
        <v>60</v>
      </c>
    </row>
    <row r="747" spans="1:31" x14ac:dyDescent="0.2">
      <c r="A747">
        <v>700</v>
      </c>
      <c r="B747" s="19" t="s">
        <v>1396</v>
      </c>
      <c r="C747">
        <v>30</v>
      </c>
      <c r="D747" s="19" t="s">
        <v>398</v>
      </c>
      <c r="E747" s="19" t="s">
        <v>334</v>
      </c>
      <c r="F747">
        <v>23</v>
      </c>
      <c r="G747">
        <v>0</v>
      </c>
      <c r="H747">
        <v>2</v>
      </c>
      <c r="I747">
        <v>2</v>
      </c>
      <c r="J747">
        <v>-4</v>
      </c>
      <c r="K747">
        <v>4</v>
      </c>
      <c r="L747">
        <v>0</v>
      </c>
      <c r="M747">
        <v>0</v>
      </c>
      <c r="N747">
        <v>0</v>
      </c>
      <c r="O747">
        <v>0</v>
      </c>
      <c r="P747">
        <v>2</v>
      </c>
      <c r="Q747">
        <v>0</v>
      </c>
      <c r="R747">
        <v>0</v>
      </c>
      <c r="S747">
        <v>15</v>
      </c>
      <c r="T747">
        <v>0</v>
      </c>
      <c r="U747">
        <v>25</v>
      </c>
      <c r="V747" s="19" t="s">
        <v>2113</v>
      </c>
      <c r="W747" s="19" t="s">
        <v>2114</v>
      </c>
      <c r="X747">
        <v>54</v>
      </c>
      <c r="Y747">
        <v>56</v>
      </c>
      <c r="Z747">
        <v>49.1</v>
      </c>
      <c r="AA747">
        <v>14</v>
      </c>
      <c r="AB747">
        <v>38</v>
      </c>
      <c r="AC747">
        <v>2</v>
      </c>
      <c r="AD747">
        <v>4</v>
      </c>
      <c r="AE747" s="19" t="s">
        <v>60</v>
      </c>
    </row>
    <row r="748" spans="1:31" x14ac:dyDescent="0.2">
      <c r="A748">
        <v>701</v>
      </c>
      <c r="B748" s="19" t="s">
        <v>1850</v>
      </c>
      <c r="C748">
        <v>25</v>
      </c>
      <c r="D748" s="19" t="s">
        <v>419</v>
      </c>
      <c r="E748" s="19" t="s">
        <v>339</v>
      </c>
      <c r="F748">
        <v>7</v>
      </c>
      <c r="G748">
        <v>1</v>
      </c>
      <c r="H748">
        <v>1</v>
      </c>
      <c r="I748">
        <v>2</v>
      </c>
      <c r="J748">
        <v>-2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5</v>
      </c>
      <c r="T748">
        <v>20</v>
      </c>
      <c r="U748">
        <v>14</v>
      </c>
      <c r="V748" s="19" t="s">
        <v>2115</v>
      </c>
      <c r="W748" s="19" t="s">
        <v>1756</v>
      </c>
      <c r="X748">
        <v>0</v>
      </c>
      <c r="Y748">
        <v>0</v>
      </c>
      <c r="AA748">
        <v>3</v>
      </c>
      <c r="AB748">
        <v>17</v>
      </c>
      <c r="AC748">
        <v>3</v>
      </c>
      <c r="AD748">
        <v>2</v>
      </c>
      <c r="AE748" s="19" t="s">
        <v>60</v>
      </c>
    </row>
    <row r="749" spans="1:31" x14ac:dyDescent="0.2">
      <c r="A749">
        <v>702</v>
      </c>
      <c r="B749" s="19" t="s">
        <v>1121</v>
      </c>
      <c r="C749">
        <v>22</v>
      </c>
      <c r="D749" s="19" t="s">
        <v>396</v>
      </c>
      <c r="E749" s="19" t="s">
        <v>348</v>
      </c>
      <c r="F749">
        <v>8</v>
      </c>
      <c r="G749">
        <v>1</v>
      </c>
      <c r="H749">
        <v>1</v>
      </c>
      <c r="I749">
        <v>2</v>
      </c>
      <c r="J749">
        <v>4</v>
      </c>
      <c r="K749">
        <v>10</v>
      </c>
      <c r="L749">
        <v>1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10</v>
      </c>
      <c r="T749">
        <v>10</v>
      </c>
      <c r="U749">
        <v>24</v>
      </c>
      <c r="V749" s="19" t="s">
        <v>1122</v>
      </c>
      <c r="W749" s="19" t="s">
        <v>734</v>
      </c>
      <c r="X749">
        <v>0</v>
      </c>
      <c r="Y749">
        <v>0</v>
      </c>
      <c r="AA749">
        <v>6</v>
      </c>
      <c r="AB749">
        <v>9</v>
      </c>
      <c r="AC749">
        <v>4</v>
      </c>
      <c r="AD749">
        <v>8</v>
      </c>
      <c r="AE749" s="19" t="s">
        <v>60</v>
      </c>
    </row>
    <row r="750" spans="1:31" x14ac:dyDescent="0.2">
      <c r="A750">
        <v>703</v>
      </c>
      <c r="B750" s="19" t="s">
        <v>1123</v>
      </c>
      <c r="C750">
        <v>21</v>
      </c>
      <c r="D750" s="19" t="s">
        <v>447</v>
      </c>
      <c r="E750" s="19" t="s">
        <v>334</v>
      </c>
      <c r="F750">
        <v>9</v>
      </c>
      <c r="G750">
        <v>1</v>
      </c>
      <c r="H750">
        <v>1</v>
      </c>
      <c r="I750">
        <v>2</v>
      </c>
      <c r="J750">
        <v>-1</v>
      </c>
      <c r="K750">
        <v>0</v>
      </c>
      <c r="L750">
        <v>1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8</v>
      </c>
      <c r="T750">
        <v>12.5</v>
      </c>
      <c r="U750">
        <v>19</v>
      </c>
      <c r="V750" s="19" t="s">
        <v>1970</v>
      </c>
      <c r="W750" s="19" t="s">
        <v>1974</v>
      </c>
      <c r="X750">
        <v>0</v>
      </c>
      <c r="Y750">
        <v>0</v>
      </c>
      <c r="AA750">
        <v>3</v>
      </c>
      <c r="AB750">
        <v>8</v>
      </c>
      <c r="AC750">
        <v>1</v>
      </c>
      <c r="AD750">
        <v>7</v>
      </c>
      <c r="AE750" s="19" t="s">
        <v>60</v>
      </c>
    </row>
    <row r="751" spans="1:31" x14ac:dyDescent="0.2">
      <c r="A751">
        <v>704</v>
      </c>
      <c r="B751" s="19" t="s">
        <v>1217</v>
      </c>
      <c r="C751">
        <v>26</v>
      </c>
      <c r="D751" s="19" t="s">
        <v>416</v>
      </c>
      <c r="E751" s="19" t="s">
        <v>334</v>
      </c>
      <c r="F751">
        <v>7</v>
      </c>
      <c r="G751">
        <v>1</v>
      </c>
      <c r="H751">
        <v>1</v>
      </c>
      <c r="I751">
        <v>2</v>
      </c>
      <c r="J751">
        <v>-2</v>
      </c>
      <c r="K751">
        <v>0</v>
      </c>
      <c r="L751">
        <v>1</v>
      </c>
      <c r="M751">
        <v>0</v>
      </c>
      <c r="N751">
        <v>0</v>
      </c>
      <c r="O751">
        <v>1</v>
      </c>
      <c r="P751">
        <v>1</v>
      </c>
      <c r="Q751">
        <v>0</v>
      </c>
      <c r="R751">
        <v>0</v>
      </c>
      <c r="S751">
        <v>7</v>
      </c>
      <c r="T751">
        <v>14.3</v>
      </c>
      <c r="U751">
        <v>10</v>
      </c>
      <c r="V751" s="19" t="s">
        <v>1631</v>
      </c>
      <c r="W751" s="19" t="s">
        <v>1397</v>
      </c>
      <c r="X751">
        <v>0</v>
      </c>
      <c r="Y751">
        <v>0</v>
      </c>
      <c r="AA751">
        <v>4</v>
      </c>
      <c r="AB751">
        <v>4</v>
      </c>
      <c r="AC751">
        <v>1</v>
      </c>
      <c r="AD751">
        <v>1</v>
      </c>
      <c r="AE751" s="19" t="s">
        <v>60</v>
      </c>
    </row>
    <row r="752" spans="1:31" x14ac:dyDescent="0.2">
      <c r="A752">
        <v>705</v>
      </c>
      <c r="B752" s="19" t="s">
        <v>1128</v>
      </c>
      <c r="C752">
        <v>36</v>
      </c>
      <c r="D752" s="19" t="s">
        <v>398</v>
      </c>
      <c r="E752" s="19" t="s">
        <v>3</v>
      </c>
      <c r="F752">
        <v>28</v>
      </c>
      <c r="G752">
        <v>0</v>
      </c>
      <c r="H752">
        <v>2</v>
      </c>
      <c r="I752">
        <v>2</v>
      </c>
      <c r="J752">
        <v>0</v>
      </c>
      <c r="K752">
        <v>6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1</v>
      </c>
      <c r="S752">
        <v>0</v>
      </c>
      <c r="U752">
        <v>0</v>
      </c>
      <c r="V752" s="19" t="s">
        <v>2369</v>
      </c>
      <c r="W752" s="19" t="s">
        <v>1425</v>
      </c>
      <c r="X752">
        <v>0</v>
      </c>
      <c r="Y752">
        <v>0</v>
      </c>
      <c r="AA752">
        <v>0</v>
      </c>
      <c r="AB752">
        <v>0</v>
      </c>
      <c r="AC752">
        <v>0</v>
      </c>
      <c r="AD752">
        <v>15</v>
      </c>
      <c r="AE752" s="19" t="s">
        <v>60</v>
      </c>
    </row>
    <row r="753" spans="1:31" x14ac:dyDescent="0.2">
      <c r="A753">
        <v>706</v>
      </c>
      <c r="B753" s="19" t="s">
        <v>1543</v>
      </c>
      <c r="C753">
        <v>27</v>
      </c>
      <c r="D753" s="19" t="s">
        <v>513</v>
      </c>
      <c r="E753" s="19" t="s">
        <v>339</v>
      </c>
      <c r="F753">
        <v>3</v>
      </c>
      <c r="G753">
        <v>1</v>
      </c>
      <c r="H753">
        <v>1</v>
      </c>
      <c r="I753">
        <v>2</v>
      </c>
      <c r="J753">
        <v>0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4</v>
      </c>
      <c r="T753">
        <v>25</v>
      </c>
      <c r="U753">
        <v>5</v>
      </c>
      <c r="V753" s="19" t="s">
        <v>1578</v>
      </c>
      <c r="W753" s="19" t="s">
        <v>836</v>
      </c>
      <c r="X753">
        <v>4</v>
      </c>
      <c r="Y753">
        <v>1</v>
      </c>
      <c r="Z753">
        <v>80</v>
      </c>
      <c r="AA753">
        <v>2</v>
      </c>
      <c r="AB753">
        <v>0</v>
      </c>
      <c r="AC753">
        <v>1</v>
      </c>
      <c r="AD753">
        <v>2</v>
      </c>
      <c r="AE753" s="19" t="s">
        <v>60</v>
      </c>
    </row>
    <row r="754" spans="1:31" x14ac:dyDescent="0.2">
      <c r="A754">
        <v>707</v>
      </c>
      <c r="B754" s="19" t="s">
        <v>1419</v>
      </c>
      <c r="C754">
        <v>27</v>
      </c>
      <c r="D754" s="19" t="s">
        <v>428</v>
      </c>
      <c r="E754" s="19" t="s">
        <v>348</v>
      </c>
      <c r="F754">
        <v>22</v>
      </c>
      <c r="G754">
        <v>1</v>
      </c>
      <c r="H754">
        <v>1</v>
      </c>
      <c r="I754">
        <v>2</v>
      </c>
      <c r="J754">
        <v>13</v>
      </c>
      <c r="K754">
        <v>6</v>
      </c>
      <c r="L754">
        <v>1</v>
      </c>
      <c r="M754">
        <v>0</v>
      </c>
      <c r="N754">
        <v>0</v>
      </c>
      <c r="O754">
        <v>1</v>
      </c>
      <c r="P754">
        <v>1</v>
      </c>
      <c r="Q754">
        <v>0</v>
      </c>
      <c r="R754">
        <v>0</v>
      </c>
      <c r="S754">
        <v>10</v>
      </c>
      <c r="T754">
        <v>10</v>
      </c>
      <c r="U754">
        <v>26</v>
      </c>
      <c r="V754" s="19" t="s">
        <v>2776</v>
      </c>
      <c r="W754" s="19" t="s">
        <v>1985</v>
      </c>
      <c r="X754">
        <v>0</v>
      </c>
      <c r="Y754">
        <v>0</v>
      </c>
      <c r="AA754">
        <v>13</v>
      </c>
      <c r="AB754">
        <v>3</v>
      </c>
      <c r="AC754">
        <v>2</v>
      </c>
      <c r="AD754">
        <v>17</v>
      </c>
      <c r="AE754" s="19" t="s">
        <v>60</v>
      </c>
    </row>
    <row r="755" spans="1:31" x14ac:dyDescent="0.2">
      <c r="A755">
        <v>708</v>
      </c>
      <c r="B755" s="19" t="s">
        <v>1230</v>
      </c>
      <c r="C755">
        <v>29</v>
      </c>
      <c r="D755" s="19" t="s">
        <v>358</v>
      </c>
      <c r="E755" s="19" t="s">
        <v>348</v>
      </c>
      <c r="F755">
        <v>25</v>
      </c>
      <c r="G755">
        <v>0</v>
      </c>
      <c r="H755">
        <v>2</v>
      </c>
      <c r="I755">
        <v>2</v>
      </c>
      <c r="J755">
        <v>-9</v>
      </c>
      <c r="K755">
        <v>14</v>
      </c>
      <c r="L755">
        <v>0</v>
      </c>
      <c r="M755">
        <v>0</v>
      </c>
      <c r="N755">
        <v>0</v>
      </c>
      <c r="O755">
        <v>0</v>
      </c>
      <c r="P755">
        <v>2</v>
      </c>
      <c r="Q755">
        <v>0</v>
      </c>
      <c r="R755">
        <v>0</v>
      </c>
      <c r="S755">
        <v>30</v>
      </c>
      <c r="T755">
        <v>0</v>
      </c>
      <c r="U755">
        <v>63</v>
      </c>
      <c r="V755" s="19" t="s">
        <v>2117</v>
      </c>
      <c r="W755" s="19" t="s">
        <v>1455</v>
      </c>
      <c r="X755">
        <v>0</v>
      </c>
      <c r="Y755">
        <v>0</v>
      </c>
      <c r="AA755">
        <v>30</v>
      </c>
      <c r="AB755">
        <v>39</v>
      </c>
      <c r="AC755">
        <v>3</v>
      </c>
      <c r="AD755">
        <v>17</v>
      </c>
      <c r="AE755" s="19" t="s">
        <v>60</v>
      </c>
    </row>
    <row r="756" spans="1:31" x14ac:dyDescent="0.2">
      <c r="A756">
        <v>709</v>
      </c>
      <c r="B756" s="19" t="s">
        <v>1231</v>
      </c>
      <c r="C756">
        <v>20</v>
      </c>
      <c r="D756" s="19" t="s">
        <v>396</v>
      </c>
      <c r="E756" s="19" t="s">
        <v>339</v>
      </c>
      <c r="F756">
        <v>8</v>
      </c>
      <c r="G756">
        <v>2</v>
      </c>
      <c r="H756">
        <v>0</v>
      </c>
      <c r="I756">
        <v>2</v>
      </c>
      <c r="J756">
        <v>-2</v>
      </c>
      <c r="K756">
        <v>0</v>
      </c>
      <c r="L756">
        <v>1</v>
      </c>
      <c r="M756">
        <v>1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8</v>
      </c>
      <c r="T756">
        <v>25</v>
      </c>
      <c r="U756">
        <v>22</v>
      </c>
      <c r="V756" s="19" t="s">
        <v>1669</v>
      </c>
      <c r="W756" s="19" t="s">
        <v>1640</v>
      </c>
      <c r="X756">
        <v>0</v>
      </c>
      <c r="Y756">
        <v>1</v>
      </c>
      <c r="Z756">
        <v>0</v>
      </c>
      <c r="AA756">
        <v>4</v>
      </c>
      <c r="AB756">
        <v>12</v>
      </c>
      <c r="AC756">
        <v>0</v>
      </c>
      <c r="AD756">
        <v>7</v>
      </c>
      <c r="AE756" s="19" t="s">
        <v>60</v>
      </c>
    </row>
    <row r="757" spans="1:31" x14ac:dyDescent="0.2">
      <c r="A757">
        <v>710</v>
      </c>
      <c r="B757" s="19" t="s">
        <v>1136</v>
      </c>
      <c r="C757">
        <v>24</v>
      </c>
      <c r="D757" s="19" t="s">
        <v>948</v>
      </c>
      <c r="E757" s="19" t="s">
        <v>348</v>
      </c>
      <c r="F757">
        <v>18</v>
      </c>
      <c r="G757">
        <v>0</v>
      </c>
      <c r="H757">
        <v>2</v>
      </c>
      <c r="I757">
        <v>2</v>
      </c>
      <c r="J757">
        <v>-4</v>
      </c>
      <c r="K757">
        <v>44</v>
      </c>
      <c r="L757">
        <v>0</v>
      </c>
      <c r="M757">
        <v>0</v>
      </c>
      <c r="N757">
        <v>0</v>
      </c>
      <c r="O757">
        <v>0</v>
      </c>
      <c r="P757">
        <v>2</v>
      </c>
      <c r="Q757">
        <v>0</v>
      </c>
      <c r="R757">
        <v>0</v>
      </c>
      <c r="S757">
        <v>10</v>
      </c>
      <c r="T757">
        <v>0</v>
      </c>
      <c r="U757">
        <v>38</v>
      </c>
      <c r="V757" s="19" t="s">
        <v>2078</v>
      </c>
      <c r="W757" s="19" t="s">
        <v>1133</v>
      </c>
      <c r="X757">
        <v>0</v>
      </c>
      <c r="Y757">
        <v>0</v>
      </c>
      <c r="AA757">
        <v>12</v>
      </c>
      <c r="AB757">
        <v>29</v>
      </c>
      <c r="AC757">
        <v>2</v>
      </c>
      <c r="AD757">
        <v>15</v>
      </c>
      <c r="AE757" s="19" t="s">
        <v>60</v>
      </c>
    </row>
    <row r="758" spans="1:31" x14ac:dyDescent="0.2">
      <c r="A758">
        <v>710</v>
      </c>
      <c r="B758" s="19" t="s">
        <v>1136</v>
      </c>
      <c r="C758">
        <v>24</v>
      </c>
      <c r="D758" s="19" t="s">
        <v>416</v>
      </c>
      <c r="E758" s="19" t="s">
        <v>348</v>
      </c>
      <c r="F758">
        <v>2</v>
      </c>
      <c r="G758">
        <v>0</v>
      </c>
      <c r="H758">
        <v>0</v>
      </c>
      <c r="I758">
        <v>0</v>
      </c>
      <c r="J758">
        <v>-1</v>
      </c>
      <c r="K758">
        <v>5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1</v>
      </c>
      <c r="T758">
        <v>0</v>
      </c>
      <c r="U758">
        <v>5</v>
      </c>
      <c r="V758" s="19" t="s">
        <v>1137</v>
      </c>
      <c r="W758" s="19" t="s">
        <v>1138</v>
      </c>
      <c r="X758">
        <v>0</v>
      </c>
      <c r="Y758">
        <v>0</v>
      </c>
      <c r="AA758">
        <v>0</v>
      </c>
      <c r="AB758">
        <v>1</v>
      </c>
      <c r="AC758">
        <v>0</v>
      </c>
      <c r="AD758">
        <v>1</v>
      </c>
      <c r="AE758" s="19" t="s">
        <v>60</v>
      </c>
    </row>
    <row r="759" spans="1:31" x14ac:dyDescent="0.2">
      <c r="A759">
        <v>710</v>
      </c>
      <c r="B759" s="19" t="s">
        <v>1136</v>
      </c>
      <c r="C759">
        <v>24</v>
      </c>
      <c r="D759" s="19" t="s">
        <v>372</v>
      </c>
      <c r="E759" s="19" t="s">
        <v>348</v>
      </c>
      <c r="F759">
        <v>16</v>
      </c>
      <c r="G759">
        <v>0</v>
      </c>
      <c r="H759">
        <v>2</v>
      </c>
      <c r="I759">
        <v>2</v>
      </c>
      <c r="J759">
        <v>-3</v>
      </c>
      <c r="K759">
        <v>39</v>
      </c>
      <c r="L759">
        <v>0</v>
      </c>
      <c r="M759">
        <v>0</v>
      </c>
      <c r="N759">
        <v>0</v>
      </c>
      <c r="O759">
        <v>0</v>
      </c>
      <c r="P759">
        <v>2</v>
      </c>
      <c r="Q759">
        <v>0</v>
      </c>
      <c r="R759">
        <v>0</v>
      </c>
      <c r="S759">
        <v>9</v>
      </c>
      <c r="T759">
        <v>0</v>
      </c>
      <c r="U759">
        <v>33</v>
      </c>
      <c r="V759" s="19" t="s">
        <v>2079</v>
      </c>
      <c r="W759" s="19" t="s">
        <v>1828</v>
      </c>
      <c r="X759">
        <v>0</v>
      </c>
      <c r="Y759">
        <v>0</v>
      </c>
      <c r="AA759">
        <v>12</v>
      </c>
      <c r="AB759">
        <v>28</v>
      </c>
      <c r="AC759">
        <v>2</v>
      </c>
      <c r="AD759">
        <v>14</v>
      </c>
      <c r="AE759" s="19" t="s">
        <v>60</v>
      </c>
    </row>
    <row r="760" spans="1:31" x14ac:dyDescent="0.2">
      <c r="A760">
        <v>711</v>
      </c>
      <c r="B760" s="19" t="s">
        <v>1250</v>
      </c>
      <c r="C760">
        <v>24</v>
      </c>
      <c r="D760" s="19" t="s">
        <v>375</v>
      </c>
      <c r="E760" s="19" t="s">
        <v>3</v>
      </c>
      <c r="F760">
        <v>23</v>
      </c>
      <c r="G760">
        <v>0</v>
      </c>
      <c r="H760">
        <v>2</v>
      </c>
      <c r="I760">
        <v>2</v>
      </c>
      <c r="J760">
        <v>0</v>
      </c>
      <c r="K760">
        <v>2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1</v>
      </c>
      <c r="R760">
        <v>0</v>
      </c>
      <c r="S760">
        <v>0</v>
      </c>
      <c r="U760">
        <v>0</v>
      </c>
      <c r="V760" s="19" t="s">
        <v>2230</v>
      </c>
      <c r="W760" s="19" t="s">
        <v>2231</v>
      </c>
      <c r="X760">
        <v>0</v>
      </c>
      <c r="Y760">
        <v>0</v>
      </c>
      <c r="AA760">
        <v>0</v>
      </c>
      <c r="AB760">
        <v>0</v>
      </c>
      <c r="AC760">
        <v>0</v>
      </c>
      <c r="AD760">
        <v>8</v>
      </c>
      <c r="AE760" s="19" t="s">
        <v>60</v>
      </c>
    </row>
    <row r="761" spans="1:31" x14ac:dyDescent="0.2">
      <c r="A761">
        <v>712</v>
      </c>
      <c r="B761" s="19" t="s">
        <v>1472</v>
      </c>
      <c r="C761">
        <v>31</v>
      </c>
      <c r="D761" s="19" t="s">
        <v>396</v>
      </c>
      <c r="E761" s="19" t="s">
        <v>348</v>
      </c>
      <c r="F761">
        <v>12</v>
      </c>
      <c r="G761">
        <v>0</v>
      </c>
      <c r="H761">
        <v>2</v>
      </c>
      <c r="I761">
        <v>2</v>
      </c>
      <c r="J761">
        <v>3</v>
      </c>
      <c r="K761">
        <v>2</v>
      </c>
      <c r="L761">
        <v>0</v>
      </c>
      <c r="M761">
        <v>0</v>
      </c>
      <c r="N761">
        <v>0</v>
      </c>
      <c r="O761">
        <v>0</v>
      </c>
      <c r="P761">
        <v>2</v>
      </c>
      <c r="Q761">
        <v>0</v>
      </c>
      <c r="R761">
        <v>0</v>
      </c>
      <c r="S761">
        <v>9</v>
      </c>
      <c r="T761">
        <v>0</v>
      </c>
      <c r="U761">
        <v>30</v>
      </c>
      <c r="V761" s="19" t="s">
        <v>2301</v>
      </c>
      <c r="W761" s="19" t="s">
        <v>2175</v>
      </c>
      <c r="X761">
        <v>0</v>
      </c>
      <c r="Y761">
        <v>0</v>
      </c>
      <c r="AA761">
        <v>19</v>
      </c>
      <c r="AB761">
        <v>2</v>
      </c>
      <c r="AC761">
        <v>8</v>
      </c>
      <c r="AD761">
        <v>12</v>
      </c>
      <c r="AE761" s="19" t="s">
        <v>60</v>
      </c>
    </row>
    <row r="762" spans="1:31" x14ac:dyDescent="0.2">
      <c r="A762">
        <v>713</v>
      </c>
      <c r="B762" s="19" t="s">
        <v>1140</v>
      </c>
      <c r="C762">
        <v>36</v>
      </c>
      <c r="D762" s="19" t="s">
        <v>380</v>
      </c>
      <c r="E762" s="19" t="s">
        <v>348</v>
      </c>
      <c r="F762">
        <v>15</v>
      </c>
      <c r="G762">
        <v>0</v>
      </c>
      <c r="H762">
        <v>2</v>
      </c>
      <c r="I762">
        <v>2</v>
      </c>
      <c r="J762">
        <v>-1</v>
      </c>
      <c r="K762">
        <v>11</v>
      </c>
      <c r="L762">
        <v>0</v>
      </c>
      <c r="M762">
        <v>0</v>
      </c>
      <c r="N762">
        <v>0</v>
      </c>
      <c r="O762">
        <v>0</v>
      </c>
      <c r="P762">
        <v>2</v>
      </c>
      <c r="Q762">
        <v>0</v>
      </c>
      <c r="R762">
        <v>0</v>
      </c>
      <c r="S762">
        <v>10</v>
      </c>
      <c r="T762">
        <v>0</v>
      </c>
      <c r="U762">
        <v>21</v>
      </c>
      <c r="V762" s="19" t="s">
        <v>1761</v>
      </c>
      <c r="W762" s="19" t="s">
        <v>1752</v>
      </c>
      <c r="X762">
        <v>0</v>
      </c>
      <c r="Y762">
        <v>0</v>
      </c>
      <c r="AA762">
        <v>11</v>
      </c>
      <c r="AB762">
        <v>12</v>
      </c>
      <c r="AC762">
        <v>5</v>
      </c>
      <c r="AD762">
        <v>15</v>
      </c>
      <c r="AE762" s="19" t="s">
        <v>60</v>
      </c>
    </row>
    <row r="763" spans="1:31" x14ac:dyDescent="0.2">
      <c r="A763">
        <v>714</v>
      </c>
      <c r="B763" s="19" t="s">
        <v>1256</v>
      </c>
      <c r="C763">
        <v>34</v>
      </c>
      <c r="D763" s="19" t="s">
        <v>404</v>
      </c>
      <c r="E763" s="19" t="s">
        <v>339</v>
      </c>
      <c r="F763">
        <v>40</v>
      </c>
      <c r="G763">
        <v>0</v>
      </c>
      <c r="H763">
        <v>2</v>
      </c>
      <c r="I763">
        <v>2</v>
      </c>
      <c r="J763">
        <v>-12</v>
      </c>
      <c r="K763">
        <v>23</v>
      </c>
      <c r="L763">
        <v>0</v>
      </c>
      <c r="M763">
        <v>0</v>
      </c>
      <c r="N763">
        <v>0</v>
      </c>
      <c r="O763">
        <v>0</v>
      </c>
      <c r="P763">
        <v>2</v>
      </c>
      <c r="Q763">
        <v>0</v>
      </c>
      <c r="R763">
        <v>0</v>
      </c>
      <c r="S763">
        <v>31</v>
      </c>
      <c r="T763">
        <v>0</v>
      </c>
      <c r="U763">
        <v>59</v>
      </c>
      <c r="V763" s="19" t="s">
        <v>2777</v>
      </c>
      <c r="W763" s="19" t="s">
        <v>969</v>
      </c>
      <c r="X763">
        <v>3</v>
      </c>
      <c r="Y763">
        <v>11</v>
      </c>
      <c r="Z763">
        <v>21.4</v>
      </c>
      <c r="AA763">
        <v>24</v>
      </c>
      <c r="AB763">
        <v>110</v>
      </c>
      <c r="AC763">
        <v>6</v>
      </c>
      <c r="AD763">
        <v>27</v>
      </c>
      <c r="AE763" s="19" t="s">
        <v>60</v>
      </c>
    </row>
    <row r="764" spans="1:31" x14ac:dyDescent="0.2">
      <c r="A764">
        <v>715</v>
      </c>
      <c r="B764" s="19" t="s">
        <v>1142</v>
      </c>
      <c r="C764">
        <v>36</v>
      </c>
      <c r="D764" s="19" t="s">
        <v>358</v>
      </c>
      <c r="E764" s="19" t="s">
        <v>348</v>
      </c>
      <c r="F764">
        <v>11</v>
      </c>
      <c r="G764">
        <v>0</v>
      </c>
      <c r="H764">
        <v>2</v>
      </c>
      <c r="I764">
        <v>2</v>
      </c>
      <c r="J764">
        <v>8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2</v>
      </c>
      <c r="Q764">
        <v>0</v>
      </c>
      <c r="R764">
        <v>0</v>
      </c>
      <c r="S764">
        <v>8</v>
      </c>
      <c r="T764">
        <v>0</v>
      </c>
      <c r="U764">
        <v>18</v>
      </c>
      <c r="V764" s="19" t="s">
        <v>1700</v>
      </c>
      <c r="W764" s="19" t="s">
        <v>1638</v>
      </c>
      <c r="X764">
        <v>0</v>
      </c>
      <c r="Y764">
        <v>0</v>
      </c>
      <c r="AA764">
        <v>15</v>
      </c>
      <c r="AB764">
        <v>2</v>
      </c>
      <c r="AC764">
        <v>5</v>
      </c>
      <c r="AD764">
        <v>8</v>
      </c>
      <c r="AE764" s="19" t="s">
        <v>60</v>
      </c>
    </row>
    <row r="765" spans="1:31" x14ac:dyDescent="0.2">
      <c r="A765">
        <v>716</v>
      </c>
      <c r="B765" s="19" t="s">
        <v>1260</v>
      </c>
      <c r="C765">
        <v>27</v>
      </c>
      <c r="D765" s="19" t="s">
        <v>383</v>
      </c>
      <c r="E765" s="19" t="s">
        <v>325</v>
      </c>
      <c r="F765">
        <v>27</v>
      </c>
      <c r="G765">
        <v>1</v>
      </c>
      <c r="H765">
        <v>1</v>
      </c>
      <c r="I765">
        <v>2</v>
      </c>
      <c r="J765">
        <v>-9</v>
      </c>
      <c r="K765">
        <v>6</v>
      </c>
      <c r="L765">
        <v>1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22</v>
      </c>
      <c r="T765">
        <v>4.5</v>
      </c>
      <c r="U765">
        <v>52</v>
      </c>
      <c r="V765" s="19" t="s">
        <v>2778</v>
      </c>
      <c r="W765" s="19" t="s">
        <v>1653</v>
      </c>
      <c r="X765">
        <v>8</v>
      </c>
      <c r="Y765">
        <v>10</v>
      </c>
      <c r="Z765">
        <v>44.4</v>
      </c>
      <c r="AA765">
        <v>4</v>
      </c>
      <c r="AB765">
        <v>46</v>
      </c>
      <c r="AC765">
        <v>3</v>
      </c>
      <c r="AD765">
        <v>16</v>
      </c>
      <c r="AE765" s="19" t="s">
        <v>60</v>
      </c>
    </row>
    <row r="766" spans="1:31" x14ac:dyDescent="0.2">
      <c r="A766">
        <v>717</v>
      </c>
      <c r="B766" s="19" t="s">
        <v>1266</v>
      </c>
      <c r="C766">
        <v>29</v>
      </c>
      <c r="D766" s="19" t="s">
        <v>404</v>
      </c>
      <c r="E766" s="19" t="s">
        <v>3</v>
      </c>
      <c r="F766">
        <v>40</v>
      </c>
      <c r="G766">
        <v>0</v>
      </c>
      <c r="H766">
        <v>2</v>
      </c>
      <c r="I766">
        <v>2</v>
      </c>
      <c r="J766">
        <v>0</v>
      </c>
      <c r="K766">
        <v>2</v>
      </c>
      <c r="L766">
        <v>0</v>
      </c>
      <c r="M766">
        <v>0</v>
      </c>
      <c r="N766">
        <v>0</v>
      </c>
      <c r="O766">
        <v>0</v>
      </c>
      <c r="P766">
        <v>2</v>
      </c>
      <c r="Q766">
        <v>0</v>
      </c>
      <c r="R766">
        <v>0</v>
      </c>
      <c r="S766">
        <v>0</v>
      </c>
      <c r="U766">
        <v>0</v>
      </c>
      <c r="V766" s="19" t="s">
        <v>2779</v>
      </c>
      <c r="W766" s="19" t="s">
        <v>2780</v>
      </c>
      <c r="X766">
        <v>0</v>
      </c>
      <c r="Y766">
        <v>0</v>
      </c>
      <c r="AA766">
        <v>0</v>
      </c>
      <c r="AB766">
        <v>0</v>
      </c>
      <c r="AC766">
        <v>0</v>
      </c>
      <c r="AD766">
        <v>13</v>
      </c>
      <c r="AE766" s="19" t="s">
        <v>60</v>
      </c>
    </row>
    <row r="767" spans="1:31" x14ac:dyDescent="0.2">
      <c r="A767">
        <v>718</v>
      </c>
      <c r="B767" s="19" t="s">
        <v>1905</v>
      </c>
      <c r="C767">
        <v>22</v>
      </c>
      <c r="D767" s="19" t="s">
        <v>372</v>
      </c>
      <c r="E767" s="19" t="s">
        <v>339</v>
      </c>
      <c r="F767">
        <v>9</v>
      </c>
      <c r="G767">
        <v>1</v>
      </c>
      <c r="H767">
        <v>1</v>
      </c>
      <c r="I767">
        <v>2</v>
      </c>
      <c r="J767">
        <v>0</v>
      </c>
      <c r="K767">
        <v>0</v>
      </c>
      <c r="L767">
        <v>1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8</v>
      </c>
      <c r="T767">
        <v>12.5</v>
      </c>
      <c r="U767">
        <v>13</v>
      </c>
      <c r="V767" s="19" t="s">
        <v>2781</v>
      </c>
      <c r="W767" s="19" t="s">
        <v>2180</v>
      </c>
      <c r="X767">
        <v>3</v>
      </c>
      <c r="Y767">
        <v>1</v>
      </c>
      <c r="Z767">
        <v>75</v>
      </c>
      <c r="AA767">
        <v>2</v>
      </c>
      <c r="AB767">
        <v>22</v>
      </c>
      <c r="AC767">
        <v>3</v>
      </c>
      <c r="AD767">
        <v>5</v>
      </c>
      <c r="AE767" s="19" t="s">
        <v>60</v>
      </c>
    </row>
    <row r="768" spans="1:31" x14ac:dyDescent="0.2">
      <c r="A768">
        <v>719</v>
      </c>
      <c r="B768" s="19" t="s">
        <v>1269</v>
      </c>
      <c r="C768">
        <v>25</v>
      </c>
      <c r="D768" s="19" t="s">
        <v>362</v>
      </c>
      <c r="E768" s="19" t="s">
        <v>348</v>
      </c>
      <c r="F768">
        <v>47</v>
      </c>
      <c r="G768">
        <v>1</v>
      </c>
      <c r="H768">
        <v>1</v>
      </c>
      <c r="I768">
        <v>2</v>
      </c>
      <c r="J768">
        <v>-6</v>
      </c>
      <c r="K768">
        <v>102</v>
      </c>
      <c r="L768">
        <v>1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32</v>
      </c>
      <c r="T768">
        <v>3.1</v>
      </c>
      <c r="U768">
        <v>92</v>
      </c>
      <c r="V768" s="19" t="s">
        <v>2782</v>
      </c>
      <c r="W768" s="19" t="s">
        <v>1684</v>
      </c>
      <c r="X768">
        <v>0</v>
      </c>
      <c r="Y768">
        <v>0</v>
      </c>
      <c r="AA768">
        <v>33</v>
      </c>
      <c r="AB768">
        <v>127</v>
      </c>
      <c r="AC768">
        <v>2</v>
      </c>
      <c r="AD768">
        <v>27</v>
      </c>
      <c r="AE768" s="19" t="s">
        <v>60</v>
      </c>
    </row>
    <row r="769" spans="1:31" x14ac:dyDescent="0.2">
      <c r="A769">
        <v>720</v>
      </c>
      <c r="B769" s="19" t="s">
        <v>1273</v>
      </c>
      <c r="C769">
        <v>25</v>
      </c>
      <c r="D769" s="19" t="s">
        <v>948</v>
      </c>
      <c r="E769" s="19" t="s">
        <v>348</v>
      </c>
      <c r="F769">
        <v>22</v>
      </c>
      <c r="G769">
        <v>0</v>
      </c>
      <c r="H769">
        <v>2</v>
      </c>
      <c r="I769">
        <v>2</v>
      </c>
      <c r="J769">
        <v>5</v>
      </c>
      <c r="K769">
        <v>4</v>
      </c>
      <c r="L769">
        <v>0</v>
      </c>
      <c r="M769">
        <v>0</v>
      </c>
      <c r="N769">
        <v>0</v>
      </c>
      <c r="O769">
        <v>0</v>
      </c>
      <c r="P769">
        <v>2</v>
      </c>
      <c r="Q769">
        <v>0</v>
      </c>
      <c r="R769">
        <v>0</v>
      </c>
      <c r="S769">
        <v>14</v>
      </c>
      <c r="T769">
        <v>0</v>
      </c>
      <c r="U769">
        <v>36</v>
      </c>
      <c r="V769" s="19" t="s">
        <v>2051</v>
      </c>
      <c r="W769" s="19" t="s">
        <v>1955</v>
      </c>
      <c r="X769">
        <v>0</v>
      </c>
      <c r="Y769">
        <v>0</v>
      </c>
      <c r="AA769">
        <v>28</v>
      </c>
      <c r="AB769">
        <v>3</v>
      </c>
      <c r="AC769">
        <v>3</v>
      </c>
      <c r="AD769">
        <v>19</v>
      </c>
      <c r="AE769" s="19" t="s">
        <v>60</v>
      </c>
    </row>
    <row r="770" spans="1:31" x14ac:dyDescent="0.2">
      <c r="A770">
        <v>720</v>
      </c>
      <c r="B770" s="19" t="s">
        <v>1273</v>
      </c>
      <c r="C770">
        <v>25</v>
      </c>
      <c r="D770" s="19" t="s">
        <v>406</v>
      </c>
      <c r="E770" s="19" t="s">
        <v>348</v>
      </c>
      <c r="F770">
        <v>13</v>
      </c>
      <c r="G770">
        <v>0</v>
      </c>
      <c r="H770">
        <v>1</v>
      </c>
      <c r="I770">
        <v>1</v>
      </c>
      <c r="J770">
        <v>4</v>
      </c>
      <c r="K770">
        <v>4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9</v>
      </c>
      <c r="T770">
        <v>0</v>
      </c>
      <c r="U770">
        <v>19</v>
      </c>
      <c r="V770" s="19" t="s">
        <v>1274</v>
      </c>
      <c r="W770" s="19" t="s">
        <v>981</v>
      </c>
      <c r="X770">
        <v>0</v>
      </c>
      <c r="Y770">
        <v>0</v>
      </c>
      <c r="AA770">
        <v>15</v>
      </c>
      <c r="AB770">
        <v>2</v>
      </c>
      <c r="AC770">
        <v>1</v>
      </c>
      <c r="AD770">
        <v>10</v>
      </c>
      <c r="AE770" s="19" t="s">
        <v>60</v>
      </c>
    </row>
    <row r="771" spans="1:31" x14ac:dyDescent="0.2">
      <c r="A771">
        <v>720</v>
      </c>
      <c r="B771" s="19" t="s">
        <v>1273</v>
      </c>
      <c r="C771">
        <v>25</v>
      </c>
      <c r="D771" s="19" t="s">
        <v>380</v>
      </c>
      <c r="E771" s="19" t="s">
        <v>348</v>
      </c>
      <c r="F771">
        <v>9</v>
      </c>
      <c r="G771">
        <v>0</v>
      </c>
      <c r="H771">
        <v>1</v>
      </c>
      <c r="I771">
        <v>1</v>
      </c>
      <c r="J771">
        <v>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5</v>
      </c>
      <c r="T771">
        <v>0</v>
      </c>
      <c r="U771">
        <v>17</v>
      </c>
      <c r="V771" s="19" t="s">
        <v>2936</v>
      </c>
      <c r="W771" s="19" t="s">
        <v>2035</v>
      </c>
      <c r="X771">
        <v>0</v>
      </c>
      <c r="Y771">
        <v>0</v>
      </c>
      <c r="AA771">
        <v>13</v>
      </c>
      <c r="AB771">
        <v>1</v>
      </c>
      <c r="AC771">
        <v>2</v>
      </c>
      <c r="AD771">
        <v>9</v>
      </c>
      <c r="AE771" s="19" t="s">
        <v>60</v>
      </c>
    </row>
    <row r="772" spans="1:31" x14ac:dyDescent="0.2">
      <c r="A772">
        <v>721</v>
      </c>
      <c r="B772" s="19" t="s">
        <v>1563</v>
      </c>
      <c r="C772">
        <v>29</v>
      </c>
      <c r="D772" s="19" t="s">
        <v>356</v>
      </c>
      <c r="E772" s="19" t="s">
        <v>334</v>
      </c>
      <c r="F772">
        <v>4</v>
      </c>
      <c r="G772">
        <v>0</v>
      </c>
      <c r="H772">
        <v>1</v>
      </c>
      <c r="I772">
        <v>1</v>
      </c>
      <c r="J772">
        <v>1</v>
      </c>
      <c r="K772">
        <v>6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4</v>
      </c>
      <c r="T772">
        <v>0</v>
      </c>
      <c r="U772">
        <v>10</v>
      </c>
      <c r="V772" s="19" t="s">
        <v>1594</v>
      </c>
      <c r="W772" s="19" t="s">
        <v>1146</v>
      </c>
      <c r="X772">
        <v>0</v>
      </c>
      <c r="Y772">
        <v>5</v>
      </c>
      <c r="Z772">
        <v>0</v>
      </c>
      <c r="AA772">
        <v>4</v>
      </c>
      <c r="AB772">
        <v>4</v>
      </c>
      <c r="AC772">
        <v>1</v>
      </c>
      <c r="AD772">
        <v>1</v>
      </c>
      <c r="AE772" s="19" t="s">
        <v>60</v>
      </c>
    </row>
    <row r="773" spans="1:31" x14ac:dyDescent="0.2">
      <c r="A773">
        <v>722</v>
      </c>
      <c r="B773" s="19" t="s">
        <v>2153</v>
      </c>
      <c r="C773">
        <v>28</v>
      </c>
      <c r="D773" s="19" t="s">
        <v>321</v>
      </c>
      <c r="E773" s="19" t="s">
        <v>325</v>
      </c>
      <c r="F773">
        <v>1</v>
      </c>
      <c r="G773">
        <v>0</v>
      </c>
      <c r="H773">
        <v>1</v>
      </c>
      <c r="I773">
        <v>1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0</v>
      </c>
      <c r="U773">
        <v>1</v>
      </c>
      <c r="V773" s="19" t="s">
        <v>2154</v>
      </c>
      <c r="W773" s="19" t="s">
        <v>2154</v>
      </c>
      <c r="X773">
        <v>0</v>
      </c>
      <c r="Y773">
        <v>0</v>
      </c>
      <c r="AA773">
        <v>0</v>
      </c>
      <c r="AB773">
        <v>2</v>
      </c>
      <c r="AC773">
        <v>0</v>
      </c>
      <c r="AD773">
        <v>0</v>
      </c>
      <c r="AE773" s="19" t="s">
        <v>60</v>
      </c>
    </row>
    <row r="774" spans="1:31" x14ac:dyDescent="0.2">
      <c r="A774">
        <v>723</v>
      </c>
      <c r="B774" s="19" t="s">
        <v>1284</v>
      </c>
      <c r="C774">
        <v>21</v>
      </c>
      <c r="D774" s="19" t="s">
        <v>362</v>
      </c>
      <c r="E774" s="19" t="s">
        <v>322</v>
      </c>
      <c r="F774">
        <v>15</v>
      </c>
      <c r="G774">
        <v>1</v>
      </c>
      <c r="H774">
        <v>0</v>
      </c>
      <c r="I774">
        <v>1</v>
      </c>
      <c r="J774">
        <v>4</v>
      </c>
      <c r="K774">
        <v>6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11</v>
      </c>
      <c r="T774">
        <v>9.1</v>
      </c>
      <c r="U774">
        <v>25</v>
      </c>
      <c r="V774" s="19" t="s">
        <v>1920</v>
      </c>
      <c r="W774" s="19" t="s">
        <v>1688</v>
      </c>
      <c r="X774">
        <v>44</v>
      </c>
      <c r="Y774">
        <v>31</v>
      </c>
      <c r="Z774">
        <v>58.7</v>
      </c>
      <c r="AA774">
        <v>8</v>
      </c>
      <c r="AB774">
        <v>24</v>
      </c>
      <c r="AC774">
        <v>2</v>
      </c>
      <c r="AD774">
        <v>10</v>
      </c>
      <c r="AE774" s="19" t="s">
        <v>60</v>
      </c>
    </row>
    <row r="775" spans="1:31" x14ac:dyDescent="0.2">
      <c r="A775">
        <v>724</v>
      </c>
      <c r="B775" s="19" t="s">
        <v>1154</v>
      </c>
      <c r="C775">
        <v>32</v>
      </c>
      <c r="D775" s="19" t="s">
        <v>513</v>
      </c>
      <c r="E775" s="19" t="s">
        <v>3</v>
      </c>
      <c r="F775">
        <v>30</v>
      </c>
      <c r="G775">
        <v>0</v>
      </c>
      <c r="H775">
        <v>1</v>
      </c>
      <c r="I775">
        <v>1</v>
      </c>
      <c r="J775">
        <v>0</v>
      </c>
      <c r="K775">
        <v>2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</v>
      </c>
      <c r="R775">
        <v>0</v>
      </c>
      <c r="S775">
        <v>0</v>
      </c>
      <c r="U775">
        <v>0</v>
      </c>
      <c r="V775" s="19" t="s">
        <v>2783</v>
      </c>
      <c r="W775" s="19" t="s">
        <v>2784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15</v>
      </c>
      <c r="AE775" s="19" t="s">
        <v>60</v>
      </c>
    </row>
    <row r="776" spans="1:31" x14ac:dyDescent="0.2">
      <c r="A776">
        <v>725</v>
      </c>
      <c r="B776" s="19" t="s">
        <v>1837</v>
      </c>
      <c r="C776">
        <v>30</v>
      </c>
      <c r="D776" s="19" t="s">
        <v>360</v>
      </c>
      <c r="E776" s="19" t="s">
        <v>339</v>
      </c>
      <c r="F776">
        <v>3</v>
      </c>
      <c r="G776">
        <v>0</v>
      </c>
      <c r="H776">
        <v>1</v>
      </c>
      <c r="I776">
        <v>1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4</v>
      </c>
      <c r="T776">
        <v>0</v>
      </c>
      <c r="U776">
        <v>5</v>
      </c>
      <c r="V776" s="19" t="s">
        <v>1939</v>
      </c>
      <c r="W776" s="19" t="s">
        <v>2251</v>
      </c>
      <c r="X776">
        <v>0</v>
      </c>
      <c r="Y776">
        <v>0</v>
      </c>
      <c r="AA776">
        <v>0</v>
      </c>
      <c r="AB776">
        <v>8</v>
      </c>
      <c r="AC776">
        <v>0</v>
      </c>
      <c r="AD776">
        <v>0</v>
      </c>
      <c r="AE776" s="19" t="s">
        <v>60</v>
      </c>
    </row>
    <row r="777" spans="1:31" x14ac:dyDescent="0.2">
      <c r="A777">
        <v>726</v>
      </c>
      <c r="B777" s="19" t="s">
        <v>1156</v>
      </c>
      <c r="C777">
        <v>37</v>
      </c>
      <c r="D777" s="19" t="s">
        <v>372</v>
      </c>
      <c r="E777" s="19" t="s">
        <v>3</v>
      </c>
      <c r="F777">
        <v>36</v>
      </c>
      <c r="G777">
        <v>0</v>
      </c>
      <c r="H777">
        <v>1</v>
      </c>
      <c r="I777">
        <v>1</v>
      </c>
      <c r="J777">
        <v>0</v>
      </c>
      <c r="K777">
        <v>9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1</v>
      </c>
      <c r="R777">
        <v>0</v>
      </c>
      <c r="S777">
        <v>0</v>
      </c>
      <c r="U777">
        <v>0</v>
      </c>
      <c r="V777" s="19" t="s">
        <v>2785</v>
      </c>
      <c r="W777" s="19" t="s">
        <v>2155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16</v>
      </c>
      <c r="AE777" s="19" t="s">
        <v>60</v>
      </c>
    </row>
    <row r="778" spans="1:31" x14ac:dyDescent="0.2">
      <c r="A778">
        <v>727</v>
      </c>
      <c r="B778" s="19" t="s">
        <v>1158</v>
      </c>
      <c r="C778">
        <v>25</v>
      </c>
      <c r="D778" s="19" t="s">
        <v>383</v>
      </c>
      <c r="E778" s="19" t="s">
        <v>348</v>
      </c>
      <c r="F778">
        <v>20</v>
      </c>
      <c r="G778">
        <v>0</v>
      </c>
      <c r="H778">
        <v>1</v>
      </c>
      <c r="I778">
        <v>1</v>
      </c>
      <c r="J778">
        <v>-3</v>
      </c>
      <c r="K778">
        <v>6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7</v>
      </c>
      <c r="T778">
        <v>0</v>
      </c>
      <c r="U778">
        <v>26</v>
      </c>
      <c r="V778" s="19" t="s">
        <v>2786</v>
      </c>
      <c r="W778" s="19" t="s">
        <v>785</v>
      </c>
      <c r="X778">
        <v>0</v>
      </c>
      <c r="Y778">
        <v>0</v>
      </c>
      <c r="AA778">
        <v>18</v>
      </c>
      <c r="AB778">
        <v>9</v>
      </c>
      <c r="AC778">
        <v>3</v>
      </c>
      <c r="AD778">
        <v>8</v>
      </c>
      <c r="AE778" s="19" t="s">
        <v>60</v>
      </c>
    </row>
    <row r="779" spans="1:31" x14ac:dyDescent="0.2">
      <c r="A779">
        <v>728</v>
      </c>
      <c r="B779" s="19" t="s">
        <v>1159</v>
      </c>
      <c r="C779">
        <v>20</v>
      </c>
      <c r="D779" s="19" t="s">
        <v>370</v>
      </c>
      <c r="E779" s="19" t="s">
        <v>325</v>
      </c>
      <c r="F779">
        <v>9</v>
      </c>
      <c r="G779">
        <v>0</v>
      </c>
      <c r="H779">
        <v>1</v>
      </c>
      <c r="I779">
        <v>1</v>
      </c>
      <c r="J779">
        <v>-5</v>
      </c>
      <c r="K779">
        <v>2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14</v>
      </c>
      <c r="T779">
        <v>0</v>
      </c>
      <c r="U779">
        <v>35</v>
      </c>
      <c r="V779" s="19" t="s">
        <v>1160</v>
      </c>
      <c r="W779" s="19" t="s">
        <v>962</v>
      </c>
      <c r="X779">
        <v>0</v>
      </c>
      <c r="Y779">
        <v>0</v>
      </c>
      <c r="AA779">
        <v>3</v>
      </c>
      <c r="AB779">
        <v>28</v>
      </c>
      <c r="AC779">
        <v>2</v>
      </c>
      <c r="AD779">
        <v>10</v>
      </c>
      <c r="AE779" s="19" t="s">
        <v>60</v>
      </c>
    </row>
    <row r="780" spans="1:31" x14ac:dyDescent="0.2">
      <c r="A780">
        <v>729</v>
      </c>
      <c r="B780" s="19" t="s">
        <v>1161</v>
      </c>
      <c r="C780">
        <v>19</v>
      </c>
      <c r="D780" s="19" t="s">
        <v>375</v>
      </c>
      <c r="E780" s="19" t="s">
        <v>348</v>
      </c>
      <c r="F780">
        <v>9</v>
      </c>
      <c r="G780">
        <v>1</v>
      </c>
      <c r="H780">
        <v>0</v>
      </c>
      <c r="I780">
        <v>1</v>
      </c>
      <c r="J780">
        <v>-4</v>
      </c>
      <c r="K780">
        <v>6</v>
      </c>
      <c r="L780">
        <v>1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8</v>
      </c>
      <c r="T780">
        <v>12.5</v>
      </c>
      <c r="U780">
        <v>22</v>
      </c>
      <c r="V780" s="19" t="s">
        <v>942</v>
      </c>
      <c r="W780" s="19" t="s">
        <v>1162</v>
      </c>
      <c r="X780">
        <v>0</v>
      </c>
      <c r="Y780">
        <v>0</v>
      </c>
      <c r="AA780">
        <v>13</v>
      </c>
      <c r="AB780">
        <v>4</v>
      </c>
      <c r="AC780">
        <v>1</v>
      </c>
      <c r="AD780">
        <v>14</v>
      </c>
      <c r="AE780" s="19" t="s">
        <v>60</v>
      </c>
    </row>
    <row r="781" spans="1:31" x14ac:dyDescent="0.2">
      <c r="A781">
        <v>730</v>
      </c>
      <c r="B781" s="19" t="s">
        <v>1163</v>
      </c>
      <c r="C781">
        <v>27</v>
      </c>
      <c r="D781" s="19" t="s">
        <v>396</v>
      </c>
      <c r="E781" s="19" t="s">
        <v>3</v>
      </c>
      <c r="F781">
        <v>23</v>
      </c>
      <c r="G781">
        <v>0</v>
      </c>
      <c r="H781">
        <v>1</v>
      </c>
      <c r="I781">
        <v>1</v>
      </c>
      <c r="J781">
        <v>0</v>
      </c>
      <c r="K781">
        <v>2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0</v>
      </c>
      <c r="U781">
        <v>0</v>
      </c>
      <c r="V781" s="19" t="s">
        <v>2303</v>
      </c>
      <c r="W781" s="19" t="s">
        <v>2304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18</v>
      </c>
      <c r="AE781" s="19" t="s">
        <v>60</v>
      </c>
    </row>
    <row r="782" spans="1:31" x14ac:dyDescent="0.2">
      <c r="A782">
        <v>731</v>
      </c>
      <c r="B782" s="19" t="s">
        <v>1164</v>
      </c>
      <c r="C782">
        <v>23</v>
      </c>
      <c r="D782" s="19" t="s">
        <v>324</v>
      </c>
      <c r="E782" s="19" t="s">
        <v>334</v>
      </c>
      <c r="F782">
        <v>7</v>
      </c>
      <c r="G782">
        <v>1</v>
      </c>
      <c r="H782">
        <v>0</v>
      </c>
      <c r="I782">
        <v>1</v>
      </c>
      <c r="J782">
        <v>-3</v>
      </c>
      <c r="K782">
        <v>2</v>
      </c>
      <c r="L782">
        <v>1</v>
      </c>
      <c r="M782">
        <v>0</v>
      </c>
      <c r="N782">
        <v>0</v>
      </c>
      <c r="O782">
        <v>1</v>
      </c>
      <c r="P782">
        <v>0</v>
      </c>
      <c r="Q782">
        <v>0</v>
      </c>
      <c r="R782">
        <v>0</v>
      </c>
      <c r="S782">
        <v>6</v>
      </c>
      <c r="T782">
        <v>16.7</v>
      </c>
      <c r="U782">
        <v>19</v>
      </c>
      <c r="V782" s="19" t="s">
        <v>1670</v>
      </c>
      <c r="W782" s="19" t="s">
        <v>1671</v>
      </c>
      <c r="X782">
        <v>0</v>
      </c>
      <c r="Y782">
        <v>0</v>
      </c>
      <c r="AA782">
        <v>1</v>
      </c>
      <c r="AB782">
        <v>9</v>
      </c>
      <c r="AC782">
        <v>3</v>
      </c>
      <c r="AD782">
        <v>5</v>
      </c>
      <c r="AE782" s="19" t="s">
        <v>60</v>
      </c>
    </row>
    <row r="783" spans="1:31" x14ac:dyDescent="0.2">
      <c r="A783">
        <v>732</v>
      </c>
      <c r="B783" s="19" t="s">
        <v>1166</v>
      </c>
      <c r="C783">
        <v>27</v>
      </c>
      <c r="D783" s="19" t="s">
        <v>398</v>
      </c>
      <c r="E783" s="19" t="s">
        <v>348</v>
      </c>
      <c r="F783">
        <v>15</v>
      </c>
      <c r="G783">
        <v>0</v>
      </c>
      <c r="H783">
        <v>1</v>
      </c>
      <c r="I783">
        <v>1</v>
      </c>
      <c r="J783">
        <v>-5</v>
      </c>
      <c r="K783">
        <v>2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10</v>
      </c>
      <c r="T783">
        <v>0</v>
      </c>
      <c r="U783">
        <v>22</v>
      </c>
      <c r="V783" s="19" t="s">
        <v>1573</v>
      </c>
      <c r="W783" s="19" t="s">
        <v>751</v>
      </c>
      <c r="X783">
        <v>0</v>
      </c>
      <c r="Y783">
        <v>0</v>
      </c>
      <c r="AA783">
        <v>15</v>
      </c>
      <c r="AB783">
        <v>3</v>
      </c>
      <c r="AC783">
        <v>4</v>
      </c>
      <c r="AD783">
        <v>15</v>
      </c>
      <c r="AE783" s="19" t="s">
        <v>60</v>
      </c>
    </row>
    <row r="784" spans="1:31" x14ac:dyDescent="0.2">
      <c r="A784">
        <v>733</v>
      </c>
      <c r="B784" s="19" t="s">
        <v>1168</v>
      </c>
      <c r="C784">
        <v>20</v>
      </c>
      <c r="D784" s="19" t="s">
        <v>327</v>
      </c>
      <c r="E784" s="19" t="s">
        <v>325</v>
      </c>
      <c r="F784">
        <v>5</v>
      </c>
      <c r="G784">
        <v>1</v>
      </c>
      <c r="H784">
        <v>0</v>
      </c>
      <c r="I784">
        <v>1</v>
      </c>
      <c r="J784">
        <v>1</v>
      </c>
      <c r="K784">
        <v>13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3</v>
      </c>
      <c r="T784">
        <v>33.299999999999997</v>
      </c>
      <c r="U784">
        <v>7</v>
      </c>
      <c r="V784" s="19" t="s">
        <v>1169</v>
      </c>
      <c r="W784" s="19" t="s">
        <v>1170</v>
      </c>
      <c r="X784">
        <v>0</v>
      </c>
      <c r="Y784">
        <v>0</v>
      </c>
      <c r="AA784">
        <v>3</v>
      </c>
      <c r="AB784">
        <v>17</v>
      </c>
      <c r="AC784">
        <v>0</v>
      </c>
      <c r="AD784">
        <v>4</v>
      </c>
      <c r="AE784" s="19" t="s">
        <v>60</v>
      </c>
    </row>
    <row r="785" spans="1:31" x14ac:dyDescent="0.2">
      <c r="A785">
        <v>734</v>
      </c>
      <c r="B785" s="19" t="s">
        <v>1171</v>
      </c>
      <c r="C785">
        <v>24</v>
      </c>
      <c r="D785" s="19" t="s">
        <v>336</v>
      </c>
      <c r="E785" s="19" t="s">
        <v>334</v>
      </c>
      <c r="F785">
        <v>8</v>
      </c>
      <c r="G785">
        <v>1</v>
      </c>
      <c r="H785">
        <v>0</v>
      </c>
      <c r="I785">
        <v>1</v>
      </c>
      <c r="J785">
        <v>-3</v>
      </c>
      <c r="K785">
        <v>4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5</v>
      </c>
      <c r="T785">
        <v>20</v>
      </c>
      <c r="U785">
        <v>13</v>
      </c>
      <c r="V785" s="19" t="s">
        <v>2081</v>
      </c>
      <c r="W785" s="19" t="s">
        <v>974</v>
      </c>
      <c r="X785">
        <v>1</v>
      </c>
      <c r="Y785">
        <v>1</v>
      </c>
      <c r="Z785">
        <v>50</v>
      </c>
      <c r="AA785">
        <v>1</v>
      </c>
      <c r="AB785">
        <v>10</v>
      </c>
      <c r="AC785">
        <v>1</v>
      </c>
      <c r="AD785">
        <v>8</v>
      </c>
      <c r="AE785" s="19" t="s">
        <v>60</v>
      </c>
    </row>
    <row r="786" spans="1:31" x14ac:dyDescent="0.2">
      <c r="A786">
        <v>735</v>
      </c>
      <c r="B786" s="19" t="s">
        <v>1306</v>
      </c>
      <c r="C786">
        <v>26</v>
      </c>
      <c r="D786" s="19" t="s">
        <v>398</v>
      </c>
      <c r="E786" s="19" t="s">
        <v>339</v>
      </c>
      <c r="F786">
        <v>8</v>
      </c>
      <c r="G786">
        <v>1</v>
      </c>
      <c r="H786">
        <v>0</v>
      </c>
      <c r="I786">
        <v>1</v>
      </c>
      <c r="J786">
        <v>1</v>
      </c>
      <c r="K786">
        <v>4</v>
      </c>
      <c r="L786">
        <v>1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4</v>
      </c>
      <c r="T786">
        <v>25</v>
      </c>
      <c r="U786">
        <v>9</v>
      </c>
      <c r="V786" s="19" t="s">
        <v>1600</v>
      </c>
      <c r="W786" s="19" t="s">
        <v>1601</v>
      </c>
      <c r="X786">
        <v>1</v>
      </c>
      <c r="Y786">
        <v>2</v>
      </c>
      <c r="Z786">
        <v>33.299999999999997</v>
      </c>
      <c r="AA786">
        <v>7</v>
      </c>
      <c r="AB786">
        <v>5</v>
      </c>
      <c r="AC786">
        <v>0</v>
      </c>
      <c r="AD786">
        <v>2</v>
      </c>
      <c r="AE786" s="19" t="s">
        <v>60</v>
      </c>
    </row>
    <row r="787" spans="1:31" x14ac:dyDescent="0.2">
      <c r="A787">
        <v>736</v>
      </c>
      <c r="B787" s="19" t="s">
        <v>1173</v>
      </c>
      <c r="C787">
        <v>23</v>
      </c>
      <c r="D787" s="19" t="s">
        <v>362</v>
      </c>
      <c r="E787" s="19" t="s">
        <v>322</v>
      </c>
      <c r="F787">
        <v>10</v>
      </c>
      <c r="G787">
        <v>0</v>
      </c>
      <c r="H787">
        <v>1</v>
      </c>
      <c r="I787">
        <v>1</v>
      </c>
      <c r="J787">
        <v>-4</v>
      </c>
      <c r="K787">
        <v>10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9</v>
      </c>
      <c r="T787">
        <v>0</v>
      </c>
      <c r="U787">
        <v>19</v>
      </c>
      <c r="V787" s="19" t="s">
        <v>1541</v>
      </c>
      <c r="W787" s="19" t="s">
        <v>1498</v>
      </c>
      <c r="X787">
        <v>0</v>
      </c>
      <c r="Y787">
        <v>1</v>
      </c>
      <c r="Z787">
        <v>0</v>
      </c>
      <c r="AA787">
        <v>1</v>
      </c>
      <c r="AB787">
        <v>18</v>
      </c>
      <c r="AC787">
        <v>1</v>
      </c>
      <c r="AD787">
        <v>5</v>
      </c>
      <c r="AE787" s="19" t="s">
        <v>60</v>
      </c>
    </row>
    <row r="788" spans="1:31" x14ac:dyDescent="0.2">
      <c r="A788">
        <v>737</v>
      </c>
      <c r="B788" s="19" t="s">
        <v>1174</v>
      </c>
      <c r="C788">
        <v>22</v>
      </c>
      <c r="D788" s="19" t="s">
        <v>380</v>
      </c>
      <c r="E788" s="19" t="s">
        <v>322</v>
      </c>
      <c r="F788">
        <v>13</v>
      </c>
      <c r="G788">
        <v>0</v>
      </c>
      <c r="H788">
        <v>1</v>
      </c>
      <c r="I788">
        <v>1</v>
      </c>
      <c r="J788">
        <v>-2</v>
      </c>
      <c r="K788">
        <v>4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11</v>
      </c>
      <c r="T788">
        <v>0</v>
      </c>
      <c r="U788">
        <v>16</v>
      </c>
      <c r="V788" s="19" t="s">
        <v>1659</v>
      </c>
      <c r="W788" s="19" t="s">
        <v>1335</v>
      </c>
      <c r="X788">
        <v>23</v>
      </c>
      <c r="Y788">
        <v>37</v>
      </c>
      <c r="Z788">
        <v>38.299999999999997</v>
      </c>
      <c r="AA788">
        <v>10</v>
      </c>
      <c r="AB788">
        <v>2</v>
      </c>
      <c r="AC788">
        <v>2</v>
      </c>
      <c r="AD788">
        <v>1</v>
      </c>
      <c r="AE788" s="19" t="s">
        <v>60</v>
      </c>
    </row>
    <row r="789" spans="1:31" x14ac:dyDescent="0.2">
      <c r="A789">
        <v>738</v>
      </c>
      <c r="B789" s="19" t="s">
        <v>1313</v>
      </c>
      <c r="C789">
        <v>30</v>
      </c>
      <c r="D789" s="19" t="s">
        <v>447</v>
      </c>
      <c r="E789" s="19" t="s">
        <v>3</v>
      </c>
      <c r="F789">
        <v>20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1</v>
      </c>
      <c r="R789">
        <v>0</v>
      </c>
      <c r="S789">
        <v>0</v>
      </c>
      <c r="U789">
        <v>0</v>
      </c>
      <c r="V789" s="19" t="s">
        <v>1894</v>
      </c>
      <c r="W789" s="19" t="s">
        <v>1895</v>
      </c>
      <c r="X789">
        <v>0</v>
      </c>
      <c r="Y789">
        <v>0</v>
      </c>
      <c r="AA789">
        <v>0</v>
      </c>
      <c r="AB789">
        <v>0</v>
      </c>
      <c r="AC789">
        <v>0</v>
      </c>
      <c r="AD789">
        <v>9</v>
      </c>
      <c r="AE789" s="19" t="s">
        <v>60</v>
      </c>
    </row>
    <row r="790" spans="1:31" x14ac:dyDescent="0.2">
      <c r="A790">
        <v>739</v>
      </c>
      <c r="B790" s="19" t="s">
        <v>1175</v>
      </c>
      <c r="C790">
        <v>25</v>
      </c>
      <c r="D790" s="19" t="s">
        <v>428</v>
      </c>
      <c r="E790" s="19" t="s">
        <v>3</v>
      </c>
      <c r="F790">
        <v>12</v>
      </c>
      <c r="G790">
        <v>0</v>
      </c>
      <c r="H790">
        <v>1</v>
      </c>
      <c r="I790">
        <v>1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0</v>
      </c>
      <c r="U790">
        <v>1</v>
      </c>
      <c r="V790" s="19" t="s">
        <v>2177</v>
      </c>
      <c r="W790" s="19" t="s">
        <v>2787</v>
      </c>
      <c r="X790">
        <v>0</v>
      </c>
      <c r="Y790">
        <v>0</v>
      </c>
      <c r="AA790">
        <v>0</v>
      </c>
      <c r="AB790">
        <v>0</v>
      </c>
      <c r="AC790">
        <v>0</v>
      </c>
      <c r="AD790">
        <v>12</v>
      </c>
      <c r="AE790" s="19" t="s">
        <v>60</v>
      </c>
    </row>
    <row r="791" spans="1:31" x14ac:dyDescent="0.2">
      <c r="A791">
        <v>740</v>
      </c>
      <c r="B791" s="19" t="s">
        <v>1177</v>
      </c>
      <c r="C791">
        <v>25</v>
      </c>
      <c r="D791" s="19" t="s">
        <v>345</v>
      </c>
      <c r="E791" s="19" t="s">
        <v>325</v>
      </c>
      <c r="F791">
        <v>11</v>
      </c>
      <c r="G791">
        <v>0</v>
      </c>
      <c r="H791">
        <v>1</v>
      </c>
      <c r="I791">
        <v>1</v>
      </c>
      <c r="J791">
        <v>-2</v>
      </c>
      <c r="K791">
        <v>4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7</v>
      </c>
      <c r="T791">
        <v>0</v>
      </c>
      <c r="U791">
        <v>20</v>
      </c>
      <c r="V791" s="19" t="s">
        <v>1178</v>
      </c>
      <c r="W791" s="19" t="s">
        <v>1179</v>
      </c>
      <c r="X791">
        <v>29</v>
      </c>
      <c r="Y791">
        <v>36</v>
      </c>
      <c r="Z791">
        <v>44.6</v>
      </c>
      <c r="AA791">
        <v>11</v>
      </c>
      <c r="AB791">
        <v>20</v>
      </c>
      <c r="AC791">
        <v>2</v>
      </c>
      <c r="AD791">
        <v>1</v>
      </c>
      <c r="AE791" s="19" t="s">
        <v>60</v>
      </c>
    </row>
    <row r="792" spans="1:31" x14ac:dyDescent="0.2">
      <c r="A792">
        <v>741</v>
      </c>
      <c r="B792" s="19" t="s">
        <v>1181</v>
      </c>
      <c r="C792">
        <v>21</v>
      </c>
      <c r="D792" s="19" t="s">
        <v>351</v>
      </c>
      <c r="E792" s="19" t="s">
        <v>322</v>
      </c>
      <c r="F792">
        <v>6</v>
      </c>
      <c r="G792">
        <v>0</v>
      </c>
      <c r="H792">
        <v>1</v>
      </c>
      <c r="I792">
        <v>1</v>
      </c>
      <c r="J792">
        <v>0</v>
      </c>
      <c r="K792">
        <v>4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5</v>
      </c>
      <c r="T792">
        <v>0</v>
      </c>
      <c r="U792">
        <v>12</v>
      </c>
      <c r="V792" s="19" t="s">
        <v>1182</v>
      </c>
      <c r="W792" s="19" t="s">
        <v>1080</v>
      </c>
      <c r="X792">
        <v>8</v>
      </c>
      <c r="Y792">
        <v>13</v>
      </c>
      <c r="Z792">
        <v>38.1</v>
      </c>
      <c r="AA792">
        <v>5</v>
      </c>
      <c r="AB792">
        <v>15</v>
      </c>
      <c r="AC792">
        <v>0</v>
      </c>
      <c r="AD792">
        <v>5</v>
      </c>
      <c r="AE792" s="19" t="s">
        <v>60</v>
      </c>
    </row>
    <row r="793" spans="1:31" x14ac:dyDescent="0.2">
      <c r="A793">
        <v>742</v>
      </c>
      <c r="B793" s="19" t="s">
        <v>2309</v>
      </c>
      <c r="C793">
        <v>21</v>
      </c>
      <c r="D793" s="19" t="s">
        <v>383</v>
      </c>
      <c r="E793" s="19" t="s">
        <v>348</v>
      </c>
      <c r="F793">
        <v>2</v>
      </c>
      <c r="G793">
        <v>0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0</v>
      </c>
      <c r="U793">
        <v>1</v>
      </c>
      <c r="V793" s="19" t="s">
        <v>2788</v>
      </c>
      <c r="W793" s="19" t="s">
        <v>2243</v>
      </c>
      <c r="X793">
        <v>0</v>
      </c>
      <c r="Y793">
        <v>0</v>
      </c>
      <c r="AA793">
        <v>1</v>
      </c>
      <c r="AB793">
        <v>1</v>
      </c>
      <c r="AC793">
        <v>1</v>
      </c>
      <c r="AD793">
        <v>2</v>
      </c>
      <c r="AE793" s="19" t="s">
        <v>60</v>
      </c>
    </row>
    <row r="794" spans="1:31" x14ac:dyDescent="0.2">
      <c r="A794">
        <v>743</v>
      </c>
      <c r="B794" s="19" t="s">
        <v>1183</v>
      </c>
      <c r="C794">
        <v>32</v>
      </c>
      <c r="D794" s="19" t="s">
        <v>370</v>
      </c>
      <c r="E794" s="19" t="s">
        <v>3</v>
      </c>
      <c r="F794">
        <v>33</v>
      </c>
      <c r="G794">
        <v>0</v>
      </c>
      <c r="H794">
        <v>1</v>
      </c>
      <c r="I794">
        <v>1</v>
      </c>
      <c r="J794">
        <v>0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0</v>
      </c>
      <c r="V794" s="19" t="s">
        <v>2789</v>
      </c>
      <c r="W794" s="19" t="s">
        <v>2209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16</v>
      </c>
      <c r="AE794" s="19" t="s">
        <v>60</v>
      </c>
    </row>
    <row r="795" spans="1:31" x14ac:dyDescent="0.2">
      <c r="A795">
        <v>744</v>
      </c>
      <c r="B795" s="19" t="s">
        <v>1184</v>
      </c>
      <c r="C795">
        <v>26</v>
      </c>
      <c r="D795" s="19" t="s">
        <v>324</v>
      </c>
      <c r="E795" s="19" t="s">
        <v>325</v>
      </c>
      <c r="F795">
        <v>3</v>
      </c>
      <c r="G795">
        <v>0</v>
      </c>
      <c r="H795">
        <v>1</v>
      </c>
      <c r="I795">
        <v>1</v>
      </c>
      <c r="J795">
        <v>1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2</v>
      </c>
      <c r="T795">
        <v>0</v>
      </c>
      <c r="U795">
        <v>5</v>
      </c>
      <c r="V795" s="19" t="s">
        <v>1185</v>
      </c>
      <c r="W795" s="19" t="s">
        <v>1186</v>
      </c>
      <c r="X795">
        <v>9</v>
      </c>
      <c r="Y795">
        <v>6</v>
      </c>
      <c r="Z795">
        <v>60</v>
      </c>
      <c r="AA795">
        <v>2</v>
      </c>
      <c r="AB795">
        <v>3</v>
      </c>
      <c r="AC795">
        <v>0</v>
      </c>
      <c r="AD795">
        <v>1</v>
      </c>
      <c r="AE795" s="19" t="s">
        <v>60</v>
      </c>
    </row>
    <row r="796" spans="1:31" x14ac:dyDescent="0.2">
      <c r="A796">
        <v>745</v>
      </c>
      <c r="B796" s="19" t="s">
        <v>1187</v>
      </c>
      <c r="C796">
        <v>30</v>
      </c>
      <c r="D796" s="19" t="s">
        <v>375</v>
      </c>
      <c r="E796" s="19" t="s">
        <v>348</v>
      </c>
      <c r="F796">
        <v>19</v>
      </c>
      <c r="G796">
        <v>1</v>
      </c>
      <c r="H796">
        <v>0</v>
      </c>
      <c r="I796">
        <v>1</v>
      </c>
      <c r="J796">
        <v>-2</v>
      </c>
      <c r="K796">
        <v>8</v>
      </c>
      <c r="L796">
        <v>1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19</v>
      </c>
      <c r="T796">
        <v>5.3</v>
      </c>
      <c r="U796">
        <v>63</v>
      </c>
      <c r="V796" s="19" t="s">
        <v>2210</v>
      </c>
      <c r="W796" s="19" t="s">
        <v>1611</v>
      </c>
      <c r="X796">
        <v>0</v>
      </c>
      <c r="Y796">
        <v>0</v>
      </c>
      <c r="AA796">
        <v>35</v>
      </c>
      <c r="AB796">
        <v>15</v>
      </c>
      <c r="AC796">
        <v>5</v>
      </c>
      <c r="AD796">
        <v>14</v>
      </c>
      <c r="AE796" s="19" t="s">
        <v>60</v>
      </c>
    </row>
    <row r="797" spans="1:31" x14ac:dyDescent="0.2">
      <c r="A797">
        <v>746</v>
      </c>
      <c r="B797" s="19" t="s">
        <v>1701</v>
      </c>
      <c r="C797">
        <v>24</v>
      </c>
      <c r="D797" s="19" t="s">
        <v>351</v>
      </c>
      <c r="E797" s="19" t="s">
        <v>334</v>
      </c>
      <c r="F797">
        <v>2</v>
      </c>
      <c r="G797">
        <v>0</v>
      </c>
      <c r="H797">
        <v>1</v>
      </c>
      <c r="I797">
        <v>1</v>
      </c>
      <c r="J797">
        <v>1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1</v>
      </c>
      <c r="T797">
        <v>0</v>
      </c>
      <c r="U797">
        <v>1</v>
      </c>
      <c r="V797" s="19" t="s">
        <v>2280</v>
      </c>
      <c r="W797" s="19" t="s">
        <v>1144</v>
      </c>
      <c r="X797">
        <v>0</v>
      </c>
      <c r="Y797">
        <v>0</v>
      </c>
      <c r="AA797">
        <v>1</v>
      </c>
      <c r="AB797">
        <v>0</v>
      </c>
      <c r="AC797">
        <v>0</v>
      </c>
      <c r="AD797">
        <v>1</v>
      </c>
      <c r="AE797" s="19" t="s">
        <v>60</v>
      </c>
    </row>
    <row r="798" spans="1:31" x14ac:dyDescent="0.2">
      <c r="A798">
        <v>747</v>
      </c>
      <c r="B798" s="19" t="s">
        <v>1344</v>
      </c>
      <c r="C798">
        <v>34</v>
      </c>
      <c r="D798" s="19" t="s">
        <v>531</v>
      </c>
      <c r="E798" s="19" t="s">
        <v>3</v>
      </c>
      <c r="F798">
        <v>21</v>
      </c>
      <c r="G798">
        <v>0</v>
      </c>
      <c r="H798">
        <v>1</v>
      </c>
      <c r="I798">
        <v>1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U798">
        <v>0</v>
      </c>
      <c r="V798" s="19" t="s">
        <v>2790</v>
      </c>
      <c r="W798" s="19" t="s">
        <v>2791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9</v>
      </c>
      <c r="AE798" s="19" t="s">
        <v>60</v>
      </c>
    </row>
    <row r="799" spans="1:31" x14ac:dyDescent="0.2">
      <c r="A799">
        <v>748</v>
      </c>
      <c r="B799" s="19" t="s">
        <v>1348</v>
      </c>
      <c r="C799">
        <v>27</v>
      </c>
      <c r="D799" s="19" t="s">
        <v>356</v>
      </c>
      <c r="E799" s="19" t="s">
        <v>3</v>
      </c>
      <c r="F799">
        <v>33</v>
      </c>
      <c r="G799">
        <v>0</v>
      </c>
      <c r="H799">
        <v>1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1</v>
      </c>
      <c r="R799">
        <v>0</v>
      </c>
      <c r="S799">
        <v>0</v>
      </c>
      <c r="U799">
        <v>0</v>
      </c>
      <c r="V799" s="19" t="s">
        <v>2305</v>
      </c>
      <c r="W799" s="19" t="s">
        <v>1802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18</v>
      </c>
      <c r="AE799" s="19" t="s">
        <v>60</v>
      </c>
    </row>
    <row r="800" spans="1:31" x14ac:dyDescent="0.2">
      <c r="A800">
        <v>749</v>
      </c>
      <c r="B800" s="19" t="s">
        <v>1191</v>
      </c>
      <c r="C800">
        <v>27</v>
      </c>
      <c r="D800" s="19" t="s">
        <v>398</v>
      </c>
      <c r="E800" s="19" t="s">
        <v>325</v>
      </c>
      <c r="F800">
        <v>9</v>
      </c>
      <c r="G800">
        <v>1</v>
      </c>
      <c r="H800">
        <v>0</v>
      </c>
      <c r="I800">
        <v>1</v>
      </c>
      <c r="J800">
        <v>-1</v>
      </c>
      <c r="K800">
        <v>5</v>
      </c>
      <c r="L800">
        <v>1</v>
      </c>
      <c r="M800">
        <v>0</v>
      </c>
      <c r="N800">
        <v>0</v>
      </c>
      <c r="O800">
        <v>1</v>
      </c>
      <c r="P800">
        <v>0</v>
      </c>
      <c r="Q800">
        <v>0</v>
      </c>
      <c r="R800">
        <v>0</v>
      </c>
      <c r="S800">
        <v>4</v>
      </c>
      <c r="T800">
        <v>25</v>
      </c>
      <c r="U800">
        <v>11</v>
      </c>
      <c r="V800" s="19" t="s">
        <v>1192</v>
      </c>
      <c r="W800" s="19" t="s">
        <v>1193</v>
      </c>
      <c r="X800">
        <v>0</v>
      </c>
      <c r="Y800">
        <v>0</v>
      </c>
      <c r="AA800">
        <v>2</v>
      </c>
      <c r="AB800">
        <v>18</v>
      </c>
      <c r="AC800">
        <v>2</v>
      </c>
      <c r="AD800">
        <v>2</v>
      </c>
      <c r="AE800" s="19" t="s">
        <v>60</v>
      </c>
    </row>
    <row r="801" spans="1:31" x14ac:dyDescent="0.2">
      <c r="A801">
        <v>750</v>
      </c>
      <c r="B801" s="19" t="s">
        <v>1587</v>
      </c>
      <c r="C801">
        <v>24</v>
      </c>
      <c r="D801" s="19" t="s">
        <v>327</v>
      </c>
      <c r="E801" s="19" t="s">
        <v>325</v>
      </c>
      <c r="F801">
        <v>4</v>
      </c>
      <c r="G801">
        <v>1</v>
      </c>
      <c r="H801">
        <v>0</v>
      </c>
      <c r="I801">
        <v>1</v>
      </c>
      <c r="J801">
        <v>-1</v>
      </c>
      <c r="K801">
        <v>0</v>
      </c>
      <c r="L801">
        <v>1</v>
      </c>
      <c r="M801">
        <v>0</v>
      </c>
      <c r="N801">
        <v>0</v>
      </c>
      <c r="O801">
        <v>1</v>
      </c>
      <c r="P801">
        <v>0</v>
      </c>
      <c r="Q801">
        <v>0</v>
      </c>
      <c r="R801">
        <v>0</v>
      </c>
      <c r="S801">
        <v>3</v>
      </c>
      <c r="T801">
        <v>33.299999999999997</v>
      </c>
      <c r="U801">
        <v>6</v>
      </c>
      <c r="V801" s="19" t="s">
        <v>1801</v>
      </c>
      <c r="W801" s="19" t="s">
        <v>2792</v>
      </c>
      <c r="X801">
        <v>0</v>
      </c>
      <c r="Y801">
        <v>1</v>
      </c>
      <c r="Z801">
        <v>0</v>
      </c>
      <c r="AA801">
        <v>1</v>
      </c>
      <c r="AB801">
        <v>0</v>
      </c>
      <c r="AC801">
        <v>0</v>
      </c>
      <c r="AD801">
        <v>3</v>
      </c>
      <c r="AE801" s="19" t="s">
        <v>60</v>
      </c>
    </row>
    <row r="802" spans="1:31" x14ac:dyDescent="0.2">
      <c r="A802">
        <v>751</v>
      </c>
      <c r="B802" s="19" t="s">
        <v>1652</v>
      </c>
      <c r="C802">
        <v>28</v>
      </c>
      <c r="D802" s="19" t="s">
        <v>327</v>
      </c>
      <c r="E802" s="19" t="s">
        <v>3</v>
      </c>
      <c r="F802">
        <v>10</v>
      </c>
      <c r="G802">
        <v>0</v>
      </c>
      <c r="H802">
        <v>1</v>
      </c>
      <c r="I802">
        <v>1</v>
      </c>
      <c r="J802">
        <v>0</v>
      </c>
      <c r="K802">
        <v>2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0</v>
      </c>
      <c r="U802">
        <v>0</v>
      </c>
      <c r="V802" s="19" t="s">
        <v>2306</v>
      </c>
      <c r="W802" s="19" t="s">
        <v>1893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2</v>
      </c>
      <c r="AE802" s="19" t="s">
        <v>60</v>
      </c>
    </row>
    <row r="803" spans="1:31" x14ac:dyDescent="0.2">
      <c r="A803">
        <v>752</v>
      </c>
      <c r="B803" s="19" t="s">
        <v>1197</v>
      </c>
      <c r="C803">
        <v>23</v>
      </c>
      <c r="D803" s="19" t="s">
        <v>321</v>
      </c>
      <c r="E803" s="19" t="s">
        <v>325</v>
      </c>
      <c r="F803">
        <v>7</v>
      </c>
      <c r="G803">
        <v>0</v>
      </c>
      <c r="H803">
        <v>1</v>
      </c>
      <c r="I803">
        <v>1</v>
      </c>
      <c r="J803">
        <v>2</v>
      </c>
      <c r="K803">
        <v>2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4</v>
      </c>
      <c r="T803">
        <v>0</v>
      </c>
      <c r="U803">
        <v>6</v>
      </c>
      <c r="V803" s="19" t="s">
        <v>2156</v>
      </c>
      <c r="W803" s="19" t="s">
        <v>2157</v>
      </c>
      <c r="X803">
        <v>6</v>
      </c>
      <c r="Y803">
        <v>9</v>
      </c>
      <c r="Z803">
        <v>40</v>
      </c>
      <c r="AA803">
        <v>1</v>
      </c>
      <c r="AB803">
        <v>2</v>
      </c>
      <c r="AC803">
        <v>0</v>
      </c>
      <c r="AD803">
        <v>3</v>
      </c>
      <c r="AE803" s="19" t="s">
        <v>60</v>
      </c>
    </row>
    <row r="804" spans="1:31" x14ac:dyDescent="0.2">
      <c r="A804">
        <v>753</v>
      </c>
      <c r="B804" s="19" t="s">
        <v>1198</v>
      </c>
      <c r="C804">
        <v>28</v>
      </c>
      <c r="D804" s="19" t="s">
        <v>375</v>
      </c>
      <c r="E804" s="19" t="s">
        <v>348</v>
      </c>
      <c r="F804">
        <v>7</v>
      </c>
      <c r="G804">
        <v>0</v>
      </c>
      <c r="H804">
        <v>1</v>
      </c>
      <c r="I804">
        <v>1</v>
      </c>
      <c r="J804">
        <v>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5</v>
      </c>
      <c r="T804">
        <v>0</v>
      </c>
      <c r="U804">
        <v>17</v>
      </c>
      <c r="V804" s="19" t="s">
        <v>1199</v>
      </c>
      <c r="W804" s="19" t="s">
        <v>1200</v>
      </c>
      <c r="X804">
        <v>0</v>
      </c>
      <c r="Y804">
        <v>0</v>
      </c>
      <c r="AA804">
        <v>15</v>
      </c>
      <c r="AB804">
        <v>10</v>
      </c>
      <c r="AC804">
        <v>1</v>
      </c>
      <c r="AD804">
        <v>4</v>
      </c>
      <c r="AE804" s="19" t="s">
        <v>60</v>
      </c>
    </row>
    <row r="805" spans="1:31" x14ac:dyDescent="0.2">
      <c r="A805">
        <v>754</v>
      </c>
      <c r="B805" s="19" t="s">
        <v>1202</v>
      </c>
      <c r="C805">
        <v>24</v>
      </c>
      <c r="D805" s="19" t="s">
        <v>416</v>
      </c>
      <c r="E805" s="19" t="s">
        <v>334</v>
      </c>
      <c r="F805">
        <v>2</v>
      </c>
      <c r="G805">
        <v>0</v>
      </c>
      <c r="H805">
        <v>1</v>
      </c>
      <c r="I805">
        <v>1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1</v>
      </c>
      <c r="R805">
        <v>0</v>
      </c>
      <c r="S805">
        <v>4</v>
      </c>
      <c r="T805">
        <v>0</v>
      </c>
      <c r="U805">
        <v>8</v>
      </c>
      <c r="V805" s="19" t="s">
        <v>848</v>
      </c>
      <c r="W805" s="19" t="s">
        <v>811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2</v>
      </c>
      <c r="AE805" s="19" t="s">
        <v>60</v>
      </c>
    </row>
    <row r="806" spans="1:31" x14ac:dyDescent="0.2">
      <c r="A806">
        <v>755</v>
      </c>
      <c r="B806" s="19" t="s">
        <v>1602</v>
      </c>
      <c r="C806">
        <v>31</v>
      </c>
      <c r="D806" s="19" t="s">
        <v>404</v>
      </c>
      <c r="E806" s="19" t="s">
        <v>322</v>
      </c>
      <c r="F806">
        <v>9</v>
      </c>
      <c r="G806">
        <v>1</v>
      </c>
      <c r="H806">
        <v>0</v>
      </c>
      <c r="I806">
        <v>1</v>
      </c>
      <c r="J806">
        <v>-2</v>
      </c>
      <c r="K806">
        <v>8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11</v>
      </c>
      <c r="T806">
        <v>9.1</v>
      </c>
      <c r="U806">
        <v>15</v>
      </c>
      <c r="V806" s="19" t="s">
        <v>1880</v>
      </c>
      <c r="W806" s="19" t="s">
        <v>1677</v>
      </c>
      <c r="X806">
        <v>18</v>
      </c>
      <c r="Y806">
        <v>24</v>
      </c>
      <c r="Z806">
        <v>42.9</v>
      </c>
      <c r="AA806">
        <v>8</v>
      </c>
      <c r="AB806">
        <v>3</v>
      </c>
      <c r="AC806">
        <v>1</v>
      </c>
      <c r="AD806">
        <v>4</v>
      </c>
      <c r="AE806" s="19" t="s">
        <v>60</v>
      </c>
    </row>
    <row r="807" spans="1:31" x14ac:dyDescent="0.2">
      <c r="A807">
        <v>756</v>
      </c>
      <c r="B807" s="19" t="s">
        <v>1385</v>
      </c>
      <c r="C807">
        <v>26</v>
      </c>
      <c r="D807" s="19" t="s">
        <v>428</v>
      </c>
      <c r="E807" s="19" t="s">
        <v>348</v>
      </c>
      <c r="F807">
        <v>20</v>
      </c>
      <c r="G807">
        <v>0</v>
      </c>
      <c r="H807">
        <v>1</v>
      </c>
      <c r="I807">
        <v>1</v>
      </c>
      <c r="J807">
        <v>0</v>
      </c>
      <c r="K807">
        <v>23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28</v>
      </c>
      <c r="T807">
        <v>0</v>
      </c>
      <c r="U807">
        <v>68</v>
      </c>
      <c r="V807" s="19" t="s">
        <v>2793</v>
      </c>
      <c r="W807" s="19" t="s">
        <v>1751</v>
      </c>
      <c r="X807">
        <v>0</v>
      </c>
      <c r="Y807">
        <v>0</v>
      </c>
      <c r="AA807">
        <v>29</v>
      </c>
      <c r="AB807">
        <v>17</v>
      </c>
      <c r="AC807">
        <v>4</v>
      </c>
      <c r="AD807">
        <v>25</v>
      </c>
      <c r="AE807" s="19" t="s">
        <v>60</v>
      </c>
    </row>
    <row r="808" spans="1:31" x14ac:dyDescent="0.2">
      <c r="A808">
        <v>757</v>
      </c>
      <c r="B808" s="19" t="s">
        <v>1566</v>
      </c>
      <c r="C808">
        <v>27</v>
      </c>
      <c r="D808" s="19" t="s">
        <v>356</v>
      </c>
      <c r="E808" s="19" t="s">
        <v>348</v>
      </c>
      <c r="F808">
        <v>4</v>
      </c>
      <c r="G808">
        <v>0</v>
      </c>
      <c r="H808">
        <v>1</v>
      </c>
      <c r="I808">
        <v>1</v>
      </c>
      <c r="J808">
        <v>-1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1</v>
      </c>
      <c r="S808">
        <v>4</v>
      </c>
      <c r="T808">
        <v>0</v>
      </c>
      <c r="U808">
        <v>5</v>
      </c>
      <c r="V808" s="19" t="s">
        <v>1836</v>
      </c>
      <c r="W808" s="19" t="s">
        <v>1728</v>
      </c>
      <c r="X808">
        <v>0</v>
      </c>
      <c r="Y808">
        <v>0</v>
      </c>
      <c r="AA808">
        <v>5</v>
      </c>
      <c r="AB808">
        <v>0</v>
      </c>
      <c r="AC808">
        <v>0</v>
      </c>
      <c r="AD808">
        <v>5</v>
      </c>
      <c r="AE808" s="19" t="s">
        <v>60</v>
      </c>
    </row>
    <row r="809" spans="1:31" x14ac:dyDescent="0.2">
      <c r="A809">
        <v>758</v>
      </c>
      <c r="B809" s="19" t="s">
        <v>1204</v>
      </c>
      <c r="C809">
        <v>24</v>
      </c>
      <c r="D809" s="19" t="s">
        <v>329</v>
      </c>
      <c r="E809" s="19" t="s">
        <v>3</v>
      </c>
      <c r="F809">
        <v>36</v>
      </c>
      <c r="G809">
        <v>0</v>
      </c>
      <c r="H809">
        <v>1</v>
      </c>
      <c r="I809">
        <v>1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0</v>
      </c>
      <c r="U809">
        <v>0</v>
      </c>
      <c r="V809" s="19" t="s">
        <v>2794</v>
      </c>
      <c r="W809" s="19" t="s">
        <v>1902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25</v>
      </c>
      <c r="AE809" s="19" t="s">
        <v>60</v>
      </c>
    </row>
    <row r="810" spans="1:31" x14ac:dyDescent="0.2">
      <c r="A810">
        <v>759</v>
      </c>
      <c r="B810" s="19" t="s">
        <v>1205</v>
      </c>
      <c r="C810">
        <v>27</v>
      </c>
      <c r="D810" s="19" t="s">
        <v>375</v>
      </c>
      <c r="E810" s="19" t="s">
        <v>339</v>
      </c>
      <c r="F810">
        <v>10</v>
      </c>
      <c r="G810">
        <v>0</v>
      </c>
      <c r="H810">
        <v>1</v>
      </c>
      <c r="I810">
        <v>1</v>
      </c>
      <c r="J810">
        <v>-1</v>
      </c>
      <c r="K810">
        <v>2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6</v>
      </c>
      <c r="T810">
        <v>0</v>
      </c>
      <c r="U810">
        <v>16</v>
      </c>
      <c r="V810" s="19" t="s">
        <v>1206</v>
      </c>
      <c r="W810" s="19" t="s">
        <v>1207</v>
      </c>
      <c r="X810">
        <v>12</v>
      </c>
      <c r="Y810">
        <v>13</v>
      </c>
      <c r="Z810">
        <v>48</v>
      </c>
      <c r="AA810">
        <v>4</v>
      </c>
      <c r="AB810">
        <v>9</v>
      </c>
      <c r="AC810">
        <v>2</v>
      </c>
      <c r="AD810">
        <v>4</v>
      </c>
      <c r="AE810" s="19" t="s">
        <v>60</v>
      </c>
    </row>
    <row r="811" spans="1:31" x14ac:dyDescent="0.2">
      <c r="A811">
        <v>760</v>
      </c>
      <c r="B811" s="19" t="s">
        <v>1882</v>
      </c>
      <c r="C811">
        <v>21</v>
      </c>
      <c r="D811" s="19" t="s">
        <v>329</v>
      </c>
      <c r="E811" s="19" t="s">
        <v>348</v>
      </c>
      <c r="F811">
        <v>2</v>
      </c>
      <c r="G811">
        <v>0</v>
      </c>
      <c r="H811">
        <v>1</v>
      </c>
      <c r="I811">
        <v>1</v>
      </c>
      <c r="J811">
        <v>-2</v>
      </c>
      <c r="K811">
        <v>2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2</v>
      </c>
      <c r="T811">
        <v>0</v>
      </c>
      <c r="U811">
        <v>3</v>
      </c>
      <c r="V811" s="19" t="s">
        <v>1897</v>
      </c>
      <c r="W811" s="19" t="s">
        <v>1755</v>
      </c>
      <c r="X811">
        <v>0</v>
      </c>
      <c r="Y811">
        <v>0</v>
      </c>
      <c r="AA811">
        <v>2</v>
      </c>
      <c r="AB811">
        <v>0</v>
      </c>
      <c r="AC811">
        <v>1</v>
      </c>
      <c r="AD811">
        <v>2</v>
      </c>
      <c r="AE811" s="19" t="s">
        <v>60</v>
      </c>
    </row>
    <row r="812" spans="1:31" x14ac:dyDescent="0.2">
      <c r="A812">
        <v>761</v>
      </c>
      <c r="B812" s="19" t="s">
        <v>1209</v>
      </c>
      <c r="C812">
        <v>27</v>
      </c>
      <c r="D812" s="19" t="s">
        <v>362</v>
      </c>
      <c r="E812" s="19" t="s">
        <v>334</v>
      </c>
      <c r="F812">
        <v>5</v>
      </c>
      <c r="G812">
        <v>0</v>
      </c>
      <c r="H812">
        <v>1</v>
      </c>
      <c r="I812">
        <v>1</v>
      </c>
      <c r="J812">
        <v>-3</v>
      </c>
      <c r="K812">
        <v>2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6</v>
      </c>
      <c r="T812">
        <v>0</v>
      </c>
      <c r="U812">
        <v>20</v>
      </c>
      <c r="V812" s="19" t="s">
        <v>1210</v>
      </c>
      <c r="W812" s="19" t="s">
        <v>868</v>
      </c>
      <c r="X812">
        <v>2</v>
      </c>
      <c r="Y812">
        <v>1</v>
      </c>
      <c r="Z812">
        <v>66.7</v>
      </c>
      <c r="AA812">
        <v>0</v>
      </c>
      <c r="AB812">
        <v>2</v>
      </c>
      <c r="AC812">
        <v>0</v>
      </c>
      <c r="AD812">
        <v>2</v>
      </c>
      <c r="AE812" s="19" t="s">
        <v>60</v>
      </c>
    </row>
    <row r="813" spans="1:31" x14ac:dyDescent="0.2">
      <c r="A813">
        <v>762</v>
      </c>
      <c r="B813" s="19" t="s">
        <v>1211</v>
      </c>
      <c r="C813">
        <v>22</v>
      </c>
      <c r="D813" s="19" t="s">
        <v>345</v>
      </c>
      <c r="E813" s="19" t="s">
        <v>322</v>
      </c>
      <c r="F813">
        <v>4</v>
      </c>
      <c r="G813">
        <v>1</v>
      </c>
      <c r="H813">
        <v>0</v>
      </c>
      <c r="I813">
        <v>1</v>
      </c>
      <c r="J813">
        <v>-1</v>
      </c>
      <c r="K813">
        <v>2</v>
      </c>
      <c r="L813">
        <v>1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3</v>
      </c>
      <c r="T813">
        <v>33.299999999999997</v>
      </c>
      <c r="U813">
        <v>6</v>
      </c>
      <c r="V813" s="19" t="s">
        <v>1212</v>
      </c>
      <c r="W813" s="19" t="s">
        <v>1103</v>
      </c>
      <c r="X813">
        <v>0</v>
      </c>
      <c r="Y813">
        <v>1</v>
      </c>
      <c r="Z813">
        <v>0</v>
      </c>
      <c r="AA813">
        <v>1</v>
      </c>
      <c r="AB813">
        <v>3</v>
      </c>
      <c r="AC813">
        <v>0</v>
      </c>
      <c r="AD813">
        <v>3</v>
      </c>
      <c r="AE813" s="19" t="s">
        <v>60</v>
      </c>
    </row>
    <row r="814" spans="1:31" x14ac:dyDescent="0.2">
      <c r="A814">
        <v>763</v>
      </c>
      <c r="B814" s="19" t="s">
        <v>1213</v>
      </c>
      <c r="C814">
        <v>22</v>
      </c>
      <c r="D814" s="19" t="s">
        <v>404</v>
      </c>
      <c r="E814" s="19" t="s">
        <v>348</v>
      </c>
      <c r="F814">
        <v>5</v>
      </c>
      <c r="G814">
        <v>0</v>
      </c>
      <c r="H814">
        <v>1</v>
      </c>
      <c r="I814">
        <v>1</v>
      </c>
      <c r="J814">
        <v>4</v>
      </c>
      <c r="K814">
        <v>2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4</v>
      </c>
      <c r="T814">
        <v>0</v>
      </c>
      <c r="U814">
        <v>10</v>
      </c>
      <c r="V814" s="19" t="s">
        <v>1522</v>
      </c>
      <c r="W814" s="19" t="s">
        <v>1495</v>
      </c>
      <c r="X814">
        <v>0</v>
      </c>
      <c r="Y814">
        <v>0</v>
      </c>
      <c r="AA814">
        <v>9</v>
      </c>
      <c r="AB814">
        <v>11</v>
      </c>
      <c r="AC814">
        <v>2</v>
      </c>
      <c r="AD814">
        <v>4</v>
      </c>
      <c r="AE814" s="19" t="s">
        <v>60</v>
      </c>
    </row>
    <row r="815" spans="1:31" x14ac:dyDescent="0.2">
      <c r="A815">
        <v>764</v>
      </c>
      <c r="B815" s="19" t="s">
        <v>1214</v>
      </c>
      <c r="C815">
        <v>30</v>
      </c>
      <c r="D815" s="19" t="s">
        <v>447</v>
      </c>
      <c r="E815" s="19" t="s">
        <v>3</v>
      </c>
      <c r="F815">
        <v>29</v>
      </c>
      <c r="G815">
        <v>0</v>
      </c>
      <c r="H815">
        <v>1</v>
      </c>
      <c r="I815">
        <v>1</v>
      </c>
      <c r="J815">
        <v>0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1</v>
      </c>
      <c r="R815">
        <v>0</v>
      </c>
      <c r="S815">
        <v>0</v>
      </c>
      <c r="U815">
        <v>0</v>
      </c>
      <c r="V815" s="19" t="s">
        <v>2795</v>
      </c>
      <c r="W815" s="19" t="s">
        <v>2796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7</v>
      </c>
      <c r="AE815" s="19" t="s">
        <v>60</v>
      </c>
    </row>
    <row r="816" spans="1:31" x14ac:dyDescent="0.2">
      <c r="A816">
        <v>765</v>
      </c>
      <c r="B816" s="19" t="s">
        <v>1215</v>
      </c>
      <c r="C816">
        <v>32</v>
      </c>
      <c r="D816" s="19" t="s">
        <v>365</v>
      </c>
      <c r="E816" s="19" t="s">
        <v>3</v>
      </c>
      <c r="F816">
        <v>17</v>
      </c>
      <c r="G816">
        <v>0</v>
      </c>
      <c r="H816">
        <v>1</v>
      </c>
      <c r="I816">
        <v>1</v>
      </c>
      <c r="J816">
        <v>0</v>
      </c>
      <c r="K816">
        <v>6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1</v>
      </c>
      <c r="T816">
        <v>0</v>
      </c>
      <c r="U816">
        <v>1</v>
      </c>
      <c r="V816" s="19" t="s">
        <v>2307</v>
      </c>
      <c r="W816" s="19" t="s">
        <v>2302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13</v>
      </c>
      <c r="AE816" s="19" t="s">
        <v>60</v>
      </c>
    </row>
    <row r="817" spans="1:31" x14ac:dyDescent="0.2">
      <c r="A817">
        <v>766</v>
      </c>
      <c r="B817" s="19" t="s">
        <v>1403</v>
      </c>
      <c r="C817">
        <v>28</v>
      </c>
      <c r="D817" s="19" t="s">
        <v>513</v>
      </c>
      <c r="E817" s="19" t="s">
        <v>334</v>
      </c>
      <c r="F817">
        <v>5</v>
      </c>
      <c r="G817">
        <v>1</v>
      </c>
      <c r="H817">
        <v>0</v>
      </c>
      <c r="I817">
        <v>1</v>
      </c>
      <c r="J817">
        <v>-2</v>
      </c>
      <c r="K817">
        <v>0</v>
      </c>
      <c r="L817">
        <v>1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5</v>
      </c>
      <c r="T817">
        <v>20</v>
      </c>
      <c r="U817">
        <v>7</v>
      </c>
      <c r="V817" s="19" t="s">
        <v>1595</v>
      </c>
      <c r="W817" s="19" t="s">
        <v>1496</v>
      </c>
      <c r="X817">
        <v>0</v>
      </c>
      <c r="Y817">
        <v>0</v>
      </c>
      <c r="AA817">
        <v>4</v>
      </c>
      <c r="AB817">
        <v>8</v>
      </c>
      <c r="AC817">
        <v>2</v>
      </c>
      <c r="AD817">
        <v>0</v>
      </c>
      <c r="AE817" s="19" t="s">
        <v>60</v>
      </c>
    </row>
    <row r="818" spans="1:31" x14ac:dyDescent="0.2">
      <c r="A818">
        <v>767</v>
      </c>
      <c r="B818" s="19" t="s">
        <v>1405</v>
      </c>
      <c r="C818">
        <v>33</v>
      </c>
      <c r="D818" s="19" t="s">
        <v>428</v>
      </c>
      <c r="E818" s="19" t="s">
        <v>3</v>
      </c>
      <c r="F818">
        <v>23</v>
      </c>
      <c r="G818">
        <v>0</v>
      </c>
      <c r="H818">
        <v>1</v>
      </c>
      <c r="I818">
        <v>1</v>
      </c>
      <c r="J818">
        <v>0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1</v>
      </c>
      <c r="R818">
        <v>0</v>
      </c>
      <c r="S818">
        <v>0</v>
      </c>
      <c r="U818">
        <v>0</v>
      </c>
      <c r="V818" s="19" t="s">
        <v>2308</v>
      </c>
      <c r="W818" s="19" t="s">
        <v>1845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8</v>
      </c>
      <c r="AE818" s="19" t="s">
        <v>60</v>
      </c>
    </row>
    <row r="819" spans="1:31" x14ac:dyDescent="0.2">
      <c r="A819">
        <v>768</v>
      </c>
      <c r="B819" s="19" t="s">
        <v>1218</v>
      </c>
      <c r="C819">
        <v>31</v>
      </c>
      <c r="D819" s="19" t="s">
        <v>404</v>
      </c>
      <c r="E819" s="19" t="s">
        <v>348</v>
      </c>
      <c r="F819">
        <v>19</v>
      </c>
      <c r="G819">
        <v>0</v>
      </c>
      <c r="H819">
        <v>1</v>
      </c>
      <c r="I819">
        <v>1</v>
      </c>
      <c r="J819">
        <v>-4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0</v>
      </c>
      <c r="S819">
        <v>9</v>
      </c>
      <c r="T819">
        <v>0</v>
      </c>
      <c r="U819">
        <v>22</v>
      </c>
      <c r="V819" s="19" t="s">
        <v>1582</v>
      </c>
      <c r="W819" s="19" t="s">
        <v>1557</v>
      </c>
      <c r="X819">
        <v>0</v>
      </c>
      <c r="Y819">
        <v>0</v>
      </c>
      <c r="AA819">
        <v>16</v>
      </c>
      <c r="AB819">
        <v>1</v>
      </c>
      <c r="AC819">
        <v>2</v>
      </c>
      <c r="AD819">
        <v>14</v>
      </c>
      <c r="AE819" s="19" t="s">
        <v>60</v>
      </c>
    </row>
    <row r="820" spans="1:31" x14ac:dyDescent="0.2">
      <c r="A820">
        <v>769</v>
      </c>
      <c r="B820" s="19" t="s">
        <v>1406</v>
      </c>
      <c r="C820">
        <v>31</v>
      </c>
      <c r="D820" s="19" t="s">
        <v>416</v>
      </c>
      <c r="E820" s="19" t="s">
        <v>339</v>
      </c>
      <c r="F820">
        <v>16</v>
      </c>
      <c r="G820">
        <v>0</v>
      </c>
      <c r="H820">
        <v>1</v>
      </c>
      <c r="I820">
        <v>1</v>
      </c>
      <c r="J820">
        <v>-3</v>
      </c>
      <c r="K820">
        <v>33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2</v>
      </c>
      <c r="T820">
        <v>0</v>
      </c>
      <c r="U820">
        <v>3</v>
      </c>
      <c r="V820" s="19" t="s">
        <v>1763</v>
      </c>
      <c r="W820" s="19" t="s">
        <v>1764</v>
      </c>
      <c r="X820">
        <v>0</v>
      </c>
      <c r="Y820">
        <v>0</v>
      </c>
      <c r="AA820">
        <v>5</v>
      </c>
      <c r="AB820">
        <v>13</v>
      </c>
      <c r="AC820">
        <v>0</v>
      </c>
      <c r="AD820">
        <v>2</v>
      </c>
      <c r="AE820" s="19" t="s">
        <v>60</v>
      </c>
    </row>
    <row r="821" spans="1:31" x14ac:dyDescent="0.2">
      <c r="A821">
        <v>770</v>
      </c>
      <c r="B821" s="19" t="s">
        <v>1220</v>
      </c>
      <c r="C821">
        <v>18</v>
      </c>
      <c r="D821" s="19" t="s">
        <v>460</v>
      </c>
      <c r="E821" s="19" t="s">
        <v>322</v>
      </c>
      <c r="F821">
        <v>3</v>
      </c>
      <c r="G821">
        <v>0</v>
      </c>
      <c r="H821">
        <v>1</v>
      </c>
      <c r="I821">
        <v>1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2</v>
      </c>
      <c r="T821">
        <v>0</v>
      </c>
      <c r="U821">
        <v>3</v>
      </c>
      <c r="V821" s="19" t="s">
        <v>1221</v>
      </c>
      <c r="W821" s="19" t="s">
        <v>1222</v>
      </c>
      <c r="X821">
        <v>5</v>
      </c>
      <c r="Y821">
        <v>11</v>
      </c>
      <c r="Z821">
        <v>31.3</v>
      </c>
      <c r="AA821">
        <v>2</v>
      </c>
      <c r="AB821">
        <v>0</v>
      </c>
      <c r="AC821">
        <v>0</v>
      </c>
      <c r="AD821">
        <v>4</v>
      </c>
      <c r="AE821" s="19" t="s">
        <v>60</v>
      </c>
    </row>
    <row r="822" spans="1:31" x14ac:dyDescent="0.2">
      <c r="A822">
        <v>771</v>
      </c>
      <c r="B822" s="19" t="s">
        <v>1413</v>
      </c>
      <c r="C822">
        <v>29</v>
      </c>
      <c r="D822" s="19" t="s">
        <v>380</v>
      </c>
      <c r="E822" s="19" t="s">
        <v>348</v>
      </c>
      <c r="F822">
        <v>3</v>
      </c>
      <c r="G822">
        <v>0</v>
      </c>
      <c r="H822">
        <v>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5</v>
      </c>
      <c r="T822">
        <v>0</v>
      </c>
      <c r="U822">
        <v>7</v>
      </c>
      <c r="V822" s="19" t="s">
        <v>1987</v>
      </c>
      <c r="W822" s="19" t="s">
        <v>1988</v>
      </c>
      <c r="X822">
        <v>0</v>
      </c>
      <c r="Y822">
        <v>0</v>
      </c>
      <c r="AA822">
        <v>1</v>
      </c>
      <c r="AB822">
        <v>0</v>
      </c>
      <c r="AC822">
        <v>0</v>
      </c>
      <c r="AD822">
        <v>0</v>
      </c>
      <c r="AE822" s="19" t="s">
        <v>60</v>
      </c>
    </row>
    <row r="823" spans="1:31" x14ac:dyDescent="0.2">
      <c r="A823">
        <v>772</v>
      </c>
      <c r="B823" s="19" t="s">
        <v>1224</v>
      </c>
      <c r="C823">
        <v>32</v>
      </c>
      <c r="D823" s="19" t="s">
        <v>358</v>
      </c>
      <c r="E823" s="19" t="s">
        <v>348</v>
      </c>
      <c r="F823">
        <v>11</v>
      </c>
      <c r="G823">
        <v>1</v>
      </c>
      <c r="H823">
        <v>0</v>
      </c>
      <c r="I823">
        <v>1</v>
      </c>
      <c r="J823">
        <v>-3</v>
      </c>
      <c r="K823">
        <v>11</v>
      </c>
      <c r="L823">
        <v>1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5</v>
      </c>
      <c r="T823">
        <v>20</v>
      </c>
      <c r="U823">
        <v>15</v>
      </c>
      <c r="V823" s="19" t="s">
        <v>1499</v>
      </c>
      <c r="W823" s="19" t="s">
        <v>1500</v>
      </c>
      <c r="X823">
        <v>0</v>
      </c>
      <c r="Y823">
        <v>0</v>
      </c>
      <c r="AA823">
        <v>9</v>
      </c>
      <c r="AB823">
        <v>8</v>
      </c>
      <c r="AC823">
        <v>2</v>
      </c>
      <c r="AD823">
        <v>8</v>
      </c>
      <c r="AE823" s="19" t="s">
        <v>60</v>
      </c>
    </row>
    <row r="824" spans="1:31" x14ac:dyDescent="0.2">
      <c r="A824">
        <v>773</v>
      </c>
      <c r="B824" s="19" t="s">
        <v>1225</v>
      </c>
      <c r="C824">
        <v>31</v>
      </c>
      <c r="D824" s="19" t="s">
        <v>380</v>
      </c>
      <c r="E824" s="19" t="s">
        <v>3</v>
      </c>
      <c r="F824">
        <v>19</v>
      </c>
      <c r="G824">
        <v>0</v>
      </c>
      <c r="H824">
        <v>1</v>
      </c>
      <c r="I824">
        <v>1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1</v>
      </c>
      <c r="Q824">
        <v>0</v>
      </c>
      <c r="R824">
        <v>0</v>
      </c>
      <c r="S824">
        <v>0</v>
      </c>
      <c r="U824">
        <v>0</v>
      </c>
      <c r="V824" s="19" t="s">
        <v>2937</v>
      </c>
      <c r="W824" s="19" t="s">
        <v>1991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8</v>
      </c>
      <c r="AE824" s="19" t="s">
        <v>60</v>
      </c>
    </row>
    <row r="825" spans="1:31" x14ac:dyDescent="0.2">
      <c r="A825">
        <v>774</v>
      </c>
      <c r="B825" s="19" t="s">
        <v>2938</v>
      </c>
      <c r="C825">
        <v>27</v>
      </c>
      <c r="D825" s="19" t="s">
        <v>321</v>
      </c>
      <c r="E825" s="19" t="s">
        <v>348</v>
      </c>
      <c r="F825">
        <v>1</v>
      </c>
      <c r="G825">
        <v>0</v>
      </c>
      <c r="H825">
        <v>1</v>
      </c>
      <c r="I825">
        <v>1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1</v>
      </c>
      <c r="Q825">
        <v>0</v>
      </c>
      <c r="R825">
        <v>0</v>
      </c>
      <c r="S825">
        <v>0</v>
      </c>
      <c r="U825">
        <v>0</v>
      </c>
      <c r="V825" s="19" t="s">
        <v>2939</v>
      </c>
      <c r="W825" s="19" t="s">
        <v>2939</v>
      </c>
      <c r="X825">
        <v>0</v>
      </c>
      <c r="Y825">
        <v>0</v>
      </c>
      <c r="AA825">
        <v>0</v>
      </c>
      <c r="AB825">
        <v>2</v>
      </c>
      <c r="AC825">
        <v>0</v>
      </c>
      <c r="AD825">
        <v>0</v>
      </c>
      <c r="AE825" s="19" t="s">
        <v>60</v>
      </c>
    </row>
    <row r="826" spans="1:31" x14ac:dyDescent="0.2">
      <c r="A826">
        <v>775</v>
      </c>
      <c r="B826" s="19" t="s">
        <v>1423</v>
      </c>
      <c r="C826">
        <v>33</v>
      </c>
      <c r="D826" s="19" t="s">
        <v>345</v>
      </c>
      <c r="E826" s="19" t="s">
        <v>348</v>
      </c>
      <c r="F826">
        <v>15</v>
      </c>
      <c r="G826">
        <v>0</v>
      </c>
      <c r="H826">
        <v>1</v>
      </c>
      <c r="I826">
        <v>1</v>
      </c>
      <c r="J826">
        <v>-8</v>
      </c>
      <c r="K826">
        <v>6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16</v>
      </c>
      <c r="T826">
        <v>0</v>
      </c>
      <c r="U826">
        <v>48</v>
      </c>
      <c r="V826" s="19" t="s">
        <v>1910</v>
      </c>
      <c r="W826" s="19" t="s">
        <v>656</v>
      </c>
      <c r="X826">
        <v>0</v>
      </c>
      <c r="Y826">
        <v>0</v>
      </c>
      <c r="AA826">
        <v>10</v>
      </c>
      <c r="AB826">
        <v>25</v>
      </c>
      <c r="AC826">
        <v>2</v>
      </c>
      <c r="AD826">
        <v>11</v>
      </c>
      <c r="AE826" s="19" t="s">
        <v>60</v>
      </c>
    </row>
    <row r="827" spans="1:31" x14ac:dyDescent="0.2">
      <c r="A827">
        <v>776</v>
      </c>
      <c r="B827" s="19" t="s">
        <v>1427</v>
      </c>
      <c r="C827">
        <v>26</v>
      </c>
      <c r="D827" s="19" t="s">
        <v>383</v>
      </c>
      <c r="E827" s="19" t="s">
        <v>348</v>
      </c>
      <c r="F827">
        <v>9</v>
      </c>
      <c r="G827">
        <v>1</v>
      </c>
      <c r="H827">
        <v>0</v>
      </c>
      <c r="I827">
        <v>1</v>
      </c>
      <c r="J827">
        <v>0</v>
      </c>
      <c r="K827">
        <v>6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4</v>
      </c>
      <c r="T827">
        <v>25</v>
      </c>
      <c r="U827">
        <v>13</v>
      </c>
      <c r="V827" s="19" t="s">
        <v>1583</v>
      </c>
      <c r="W827" s="19" t="s">
        <v>926</v>
      </c>
      <c r="X827">
        <v>0</v>
      </c>
      <c r="Y827">
        <v>0</v>
      </c>
      <c r="AA827">
        <v>6</v>
      </c>
      <c r="AB827">
        <v>13</v>
      </c>
      <c r="AC827">
        <v>0</v>
      </c>
      <c r="AD827">
        <v>6</v>
      </c>
      <c r="AE827" s="19" t="s">
        <v>60</v>
      </c>
    </row>
    <row r="828" spans="1:31" x14ac:dyDescent="0.2">
      <c r="A828">
        <v>777</v>
      </c>
      <c r="B828" s="19" t="s">
        <v>1226</v>
      </c>
      <c r="C828">
        <v>20</v>
      </c>
      <c r="D828" s="19" t="s">
        <v>531</v>
      </c>
      <c r="E828" s="19" t="s">
        <v>322</v>
      </c>
      <c r="F828">
        <v>2</v>
      </c>
      <c r="G828">
        <v>0</v>
      </c>
      <c r="H828">
        <v>1</v>
      </c>
      <c r="I828">
        <v>1</v>
      </c>
      <c r="J828">
        <v>1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1</v>
      </c>
      <c r="T828">
        <v>0</v>
      </c>
      <c r="U828">
        <v>2</v>
      </c>
      <c r="V828" s="19" t="s">
        <v>1227</v>
      </c>
      <c r="W828" s="19" t="s">
        <v>1228</v>
      </c>
      <c r="X828">
        <v>5</v>
      </c>
      <c r="Y828">
        <v>2</v>
      </c>
      <c r="Z828">
        <v>71.400000000000006</v>
      </c>
      <c r="AA828">
        <v>0</v>
      </c>
      <c r="AB828">
        <v>1</v>
      </c>
      <c r="AC828">
        <v>1</v>
      </c>
      <c r="AD828">
        <v>1</v>
      </c>
      <c r="AE828" s="19" t="s">
        <v>60</v>
      </c>
    </row>
    <row r="829" spans="1:31" x14ac:dyDescent="0.2">
      <c r="A829">
        <v>778</v>
      </c>
      <c r="B829" s="19" t="s">
        <v>1232</v>
      </c>
      <c r="C829">
        <v>30</v>
      </c>
      <c r="D829" s="19" t="s">
        <v>324</v>
      </c>
      <c r="E829" s="19" t="s">
        <v>3</v>
      </c>
      <c r="F829">
        <v>23</v>
      </c>
      <c r="G829">
        <v>0</v>
      </c>
      <c r="H829">
        <v>1</v>
      </c>
      <c r="I829">
        <v>1</v>
      </c>
      <c r="J829">
        <v>0</v>
      </c>
      <c r="K829">
        <v>9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0</v>
      </c>
      <c r="U829">
        <v>0</v>
      </c>
      <c r="V829" s="19" t="s">
        <v>2252</v>
      </c>
      <c r="W829" s="19" t="s">
        <v>2253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17</v>
      </c>
      <c r="AE829" s="19" t="s">
        <v>60</v>
      </c>
    </row>
    <row r="830" spans="1:31" x14ac:dyDescent="0.2">
      <c r="A830">
        <v>779</v>
      </c>
      <c r="B830" s="19" t="s">
        <v>1233</v>
      </c>
      <c r="C830">
        <v>25</v>
      </c>
      <c r="D830" s="19" t="s">
        <v>321</v>
      </c>
      <c r="E830" s="19" t="s">
        <v>325</v>
      </c>
      <c r="F830">
        <v>4</v>
      </c>
      <c r="G830">
        <v>0</v>
      </c>
      <c r="H830">
        <v>1</v>
      </c>
      <c r="I830">
        <v>1</v>
      </c>
      <c r="J830">
        <v>1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3</v>
      </c>
      <c r="T830">
        <v>0</v>
      </c>
      <c r="U830">
        <v>6</v>
      </c>
      <c r="V830" s="19" t="s">
        <v>1234</v>
      </c>
      <c r="W830" s="19" t="s">
        <v>1235</v>
      </c>
      <c r="X830">
        <v>0</v>
      </c>
      <c r="Y830">
        <v>0</v>
      </c>
      <c r="AA830">
        <v>1</v>
      </c>
      <c r="AB830">
        <v>9</v>
      </c>
      <c r="AC830">
        <v>0</v>
      </c>
      <c r="AD830">
        <v>2</v>
      </c>
      <c r="AE830" s="19" t="s">
        <v>60</v>
      </c>
    </row>
    <row r="831" spans="1:31" x14ac:dyDescent="0.2">
      <c r="A831">
        <v>780</v>
      </c>
      <c r="B831" s="19" t="s">
        <v>1437</v>
      </c>
      <c r="C831">
        <v>27</v>
      </c>
      <c r="D831" s="19" t="s">
        <v>333</v>
      </c>
      <c r="E831" s="19" t="s">
        <v>3</v>
      </c>
      <c r="F831">
        <v>34</v>
      </c>
      <c r="G831">
        <v>0</v>
      </c>
      <c r="H831">
        <v>1</v>
      </c>
      <c r="I831">
        <v>1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1</v>
      </c>
      <c r="Q831">
        <v>0</v>
      </c>
      <c r="R831">
        <v>0</v>
      </c>
      <c r="S831">
        <v>0</v>
      </c>
      <c r="U831">
        <v>0</v>
      </c>
      <c r="V831" s="19" t="s">
        <v>2797</v>
      </c>
      <c r="W831" s="19" t="s">
        <v>2798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10</v>
      </c>
      <c r="AE831" s="19" t="s">
        <v>60</v>
      </c>
    </row>
    <row r="832" spans="1:31" x14ac:dyDescent="0.2">
      <c r="A832">
        <v>781</v>
      </c>
      <c r="B832" s="19" t="s">
        <v>1440</v>
      </c>
      <c r="C832">
        <v>23</v>
      </c>
      <c r="D832" s="19" t="s">
        <v>360</v>
      </c>
      <c r="E832" s="19" t="s">
        <v>339</v>
      </c>
      <c r="F832">
        <v>14</v>
      </c>
      <c r="G832">
        <v>1</v>
      </c>
      <c r="H832">
        <v>0</v>
      </c>
      <c r="I832">
        <v>1</v>
      </c>
      <c r="J832">
        <v>-3</v>
      </c>
      <c r="K832">
        <v>9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12</v>
      </c>
      <c r="T832">
        <v>8.3000000000000007</v>
      </c>
      <c r="U832">
        <v>21</v>
      </c>
      <c r="V832" s="19" t="s">
        <v>2940</v>
      </c>
      <c r="W832" s="19" t="s">
        <v>952</v>
      </c>
      <c r="X832">
        <v>0</v>
      </c>
      <c r="Y832">
        <v>1</v>
      </c>
      <c r="Z832">
        <v>0</v>
      </c>
      <c r="AA832">
        <v>7</v>
      </c>
      <c r="AB832">
        <v>31</v>
      </c>
      <c r="AC832">
        <v>2</v>
      </c>
      <c r="AD832">
        <v>3</v>
      </c>
      <c r="AE832" s="19" t="s">
        <v>60</v>
      </c>
    </row>
    <row r="833" spans="1:31" x14ac:dyDescent="0.2">
      <c r="A833">
        <v>782</v>
      </c>
      <c r="B833" s="19" t="s">
        <v>1236</v>
      </c>
      <c r="C833">
        <v>19</v>
      </c>
      <c r="D833" s="19" t="s">
        <v>436</v>
      </c>
      <c r="E833" s="19" t="s">
        <v>348</v>
      </c>
      <c r="F833">
        <v>11</v>
      </c>
      <c r="G833">
        <v>0</v>
      </c>
      <c r="H833">
        <v>1</v>
      </c>
      <c r="I833">
        <v>1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1</v>
      </c>
      <c r="R833">
        <v>0</v>
      </c>
      <c r="S833">
        <v>11</v>
      </c>
      <c r="T833">
        <v>0</v>
      </c>
      <c r="U833">
        <v>35</v>
      </c>
      <c r="V833" s="19" t="s">
        <v>1237</v>
      </c>
      <c r="W833" s="19" t="s">
        <v>1238</v>
      </c>
      <c r="X833">
        <v>0</v>
      </c>
      <c r="Y833">
        <v>0</v>
      </c>
      <c r="AA833">
        <v>5</v>
      </c>
      <c r="AB833">
        <v>5</v>
      </c>
      <c r="AC833">
        <v>3</v>
      </c>
      <c r="AD833">
        <v>17</v>
      </c>
      <c r="AE833" s="19" t="s">
        <v>60</v>
      </c>
    </row>
    <row r="834" spans="1:31" x14ac:dyDescent="0.2">
      <c r="A834">
        <v>783</v>
      </c>
      <c r="B834" s="19" t="s">
        <v>1449</v>
      </c>
      <c r="C834">
        <v>34</v>
      </c>
      <c r="D834" s="19" t="s">
        <v>356</v>
      </c>
      <c r="E834" s="19" t="s">
        <v>322</v>
      </c>
      <c r="F834">
        <v>28</v>
      </c>
      <c r="G834">
        <v>1</v>
      </c>
      <c r="H834">
        <v>0</v>
      </c>
      <c r="I834">
        <v>1</v>
      </c>
      <c r="J834">
        <v>-5</v>
      </c>
      <c r="K834">
        <v>24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25</v>
      </c>
      <c r="T834">
        <v>4</v>
      </c>
      <c r="U834">
        <v>44</v>
      </c>
      <c r="V834" s="19" t="s">
        <v>2232</v>
      </c>
      <c r="W834" s="19" t="s">
        <v>2187</v>
      </c>
      <c r="X834">
        <v>0</v>
      </c>
      <c r="Y834">
        <v>3</v>
      </c>
      <c r="Z834">
        <v>0</v>
      </c>
      <c r="AA834">
        <v>16</v>
      </c>
      <c r="AB834">
        <v>68</v>
      </c>
      <c r="AC834">
        <v>5</v>
      </c>
      <c r="AD834">
        <v>7</v>
      </c>
      <c r="AE834" s="19" t="s">
        <v>60</v>
      </c>
    </row>
    <row r="835" spans="1:31" x14ac:dyDescent="0.2">
      <c r="A835">
        <v>784</v>
      </c>
      <c r="B835" s="19" t="s">
        <v>1874</v>
      </c>
      <c r="C835">
        <v>24</v>
      </c>
      <c r="D835" s="19" t="s">
        <v>380</v>
      </c>
      <c r="E835" s="19" t="s">
        <v>339</v>
      </c>
      <c r="F835">
        <v>5</v>
      </c>
      <c r="G835">
        <v>1</v>
      </c>
      <c r="H835">
        <v>0</v>
      </c>
      <c r="I835">
        <v>1</v>
      </c>
      <c r="J835">
        <v>-1</v>
      </c>
      <c r="K835">
        <v>0</v>
      </c>
      <c r="L835">
        <v>1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6</v>
      </c>
      <c r="T835">
        <v>16.7</v>
      </c>
      <c r="U835">
        <v>15</v>
      </c>
      <c r="V835" s="19" t="s">
        <v>2057</v>
      </c>
      <c r="W835" s="19" t="s">
        <v>974</v>
      </c>
      <c r="X835">
        <v>0</v>
      </c>
      <c r="Y835">
        <v>0</v>
      </c>
      <c r="AA835">
        <v>2</v>
      </c>
      <c r="AB835">
        <v>1</v>
      </c>
      <c r="AC835">
        <v>1</v>
      </c>
      <c r="AD835">
        <v>1</v>
      </c>
      <c r="AE835" s="19" t="s">
        <v>60</v>
      </c>
    </row>
    <row r="836" spans="1:31" x14ac:dyDescent="0.2">
      <c r="A836">
        <v>785</v>
      </c>
      <c r="B836" s="19" t="s">
        <v>1459</v>
      </c>
      <c r="C836">
        <v>40</v>
      </c>
      <c r="D836" s="19" t="s">
        <v>360</v>
      </c>
      <c r="E836" s="19" t="s">
        <v>3</v>
      </c>
      <c r="F836">
        <v>17</v>
      </c>
      <c r="G836">
        <v>0</v>
      </c>
      <c r="H836">
        <v>1</v>
      </c>
      <c r="I836">
        <v>1</v>
      </c>
      <c r="J836">
        <v>0</v>
      </c>
      <c r="K836">
        <v>14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0</v>
      </c>
      <c r="U836">
        <v>0</v>
      </c>
      <c r="V836" s="19" t="s">
        <v>2799</v>
      </c>
      <c r="W836" s="19" t="s">
        <v>2800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7</v>
      </c>
      <c r="AE836" s="19" t="s">
        <v>60</v>
      </c>
    </row>
    <row r="837" spans="1:31" x14ac:dyDescent="0.2">
      <c r="A837">
        <v>786</v>
      </c>
      <c r="B837" s="19" t="s">
        <v>1240</v>
      </c>
      <c r="C837">
        <v>23</v>
      </c>
      <c r="D837" s="19" t="s">
        <v>360</v>
      </c>
      <c r="E837" s="19" t="s">
        <v>322</v>
      </c>
      <c r="F837">
        <v>23</v>
      </c>
      <c r="G837">
        <v>1</v>
      </c>
      <c r="H837">
        <v>0</v>
      </c>
      <c r="I837">
        <v>1</v>
      </c>
      <c r="J837">
        <v>-2</v>
      </c>
      <c r="K837">
        <v>11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15</v>
      </c>
      <c r="T837">
        <v>6.7</v>
      </c>
      <c r="U837">
        <v>29</v>
      </c>
      <c r="V837" s="19" t="s">
        <v>2941</v>
      </c>
      <c r="W837" s="19" t="s">
        <v>2049</v>
      </c>
      <c r="X837">
        <v>3</v>
      </c>
      <c r="Y837">
        <v>5</v>
      </c>
      <c r="Z837">
        <v>37.5</v>
      </c>
      <c r="AA837">
        <v>5</v>
      </c>
      <c r="AB837">
        <v>75</v>
      </c>
      <c r="AC837">
        <v>2</v>
      </c>
      <c r="AD837">
        <v>5</v>
      </c>
      <c r="AE837" s="19" t="s">
        <v>60</v>
      </c>
    </row>
    <row r="838" spans="1:31" x14ac:dyDescent="0.2">
      <c r="A838">
        <v>787</v>
      </c>
      <c r="B838" s="19" t="s">
        <v>1241</v>
      </c>
      <c r="C838">
        <v>22</v>
      </c>
      <c r="D838" s="19" t="s">
        <v>396</v>
      </c>
      <c r="E838" s="19" t="s">
        <v>322</v>
      </c>
      <c r="F838">
        <v>2</v>
      </c>
      <c r="G838">
        <v>0</v>
      </c>
      <c r="H838">
        <v>1</v>
      </c>
      <c r="I838">
        <v>1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1</v>
      </c>
      <c r="Q838">
        <v>0</v>
      </c>
      <c r="R838">
        <v>0</v>
      </c>
      <c r="S838">
        <v>2</v>
      </c>
      <c r="T838">
        <v>0</v>
      </c>
      <c r="U838">
        <v>3</v>
      </c>
      <c r="V838" s="19" t="s">
        <v>1242</v>
      </c>
      <c r="W838" s="19" t="s">
        <v>1243</v>
      </c>
      <c r="X838">
        <v>12</v>
      </c>
      <c r="Y838">
        <v>12</v>
      </c>
      <c r="Z838">
        <v>50</v>
      </c>
      <c r="AA838">
        <v>1</v>
      </c>
      <c r="AB838">
        <v>3</v>
      </c>
      <c r="AC838">
        <v>0</v>
      </c>
      <c r="AD838">
        <v>1</v>
      </c>
      <c r="AE838" s="19" t="s">
        <v>60</v>
      </c>
    </row>
    <row r="839" spans="1:31" x14ac:dyDescent="0.2">
      <c r="A839">
        <v>788</v>
      </c>
      <c r="B839" s="19" t="s">
        <v>1244</v>
      </c>
      <c r="C839">
        <v>26</v>
      </c>
      <c r="D839" s="19" t="s">
        <v>383</v>
      </c>
      <c r="E839" s="19" t="s">
        <v>348</v>
      </c>
      <c r="F839">
        <v>15</v>
      </c>
      <c r="G839">
        <v>0</v>
      </c>
      <c r="H839">
        <v>1</v>
      </c>
      <c r="I839">
        <v>1</v>
      </c>
      <c r="J839">
        <v>-7</v>
      </c>
      <c r="K839">
        <v>6</v>
      </c>
      <c r="L839">
        <v>0</v>
      </c>
      <c r="M839">
        <v>0</v>
      </c>
      <c r="N839">
        <v>0</v>
      </c>
      <c r="O839">
        <v>0</v>
      </c>
      <c r="P839">
        <v>1</v>
      </c>
      <c r="Q839">
        <v>0</v>
      </c>
      <c r="R839">
        <v>0</v>
      </c>
      <c r="S839">
        <v>17</v>
      </c>
      <c r="T839">
        <v>0</v>
      </c>
      <c r="U839">
        <v>38</v>
      </c>
      <c r="V839" s="19" t="s">
        <v>2118</v>
      </c>
      <c r="W839" s="19" t="s">
        <v>1245</v>
      </c>
      <c r="X839">
        <v>0</v>
      </c>
      <c r="Y839">
        <v>0</v>
      </c>
      <c r="AA839">
        <v>31</v>
      </c>
      <c r="AB839">
        <v>31</v>
      </c>
      <c r="AC839">
        <v>4</v>
      </c>
      <c r="AD839">
        <v>18</v>
      </c>
      <c r="AE839" s="19" t="s">
        <v>60</v>
      </c>
    </row>
    <row r="840" spans="1:31" x14ac:dyDescent="0.2">
      <c r="A840">
        <v>789</v>
      </c>
      <c r="B840" s="19" t="s">
        <v>1246</v>
      </c>
      <c r="C840">
        <v>32</v>
      </c>
      <c r="D840" s="19" t="s">
        <v>404</v>
      </c>
      <c r="E840" s="19" t="s">
        <v>322</v>
      </c>
      <c r="F840">
        <v>1</v>
      </c>
      <c r="G840">
        <v>1</v>
      </c>
      <c r="H840">
        <v>0</v>
      </c>
      <c r="I840">
        <v>1</v>
      </c>
      <c r="J840">
        <v>1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1</v>
      </c>
      <c r="T840">
        <v>100</v>
      </c>
      <c r="U840">
        <v>3</v>
      </c>
      <c r="V840" s="19" t="s">
        <v>1247</v>
      </c>
      <c r="W840" s="19" t="s">
        <v>1247</v>
      </c>
      <c r="X840">
        <v>2</v>
      </c>
      <c r="Y840">
        <v>6</v>
      </c>
      <c r="Z840">
        <v>25</v>
      </c>
      <c r="AA840">
        <v>0</v>
      </c>
      <c r="AB840">
        <v>0</v>
      </c>
      <c r="AC840">
        <v>0</v>
      </c>
      <c r="AD840">
        <v>1</v>
      </c>
      <c r="AE840" s="19" t="s">
        <v>60</v>
      </c>
    </row>
    <row r="841" spans="1:31" x14ac:dyDescent="0.2">
      <c r="A841">
        <v>790</v>
      </c>
      <c r="B841" s="19" t="s">
        <v>2254</v>
      </c>
      <c r="C841">
        <v>26</v>
      </c>
      <c r="D841" s="19" t="s">
        <v>343</v>
      </c>
      <c r="E841" s="19" t="s">
        <v>334</v>
      </c>
      <c r="F841">
        <v>2</v>
      </c>
      <c r="G841">
        <v>0</v>
      </c>
      <c r="H841">
        <v>1</v>
      </c>
      <c r="I841">
        <v>1</v>
      </c>
      <c r="J841">
        <v>-2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1</v>
      </c>
      <c r="Q841">
        <v>0</v>
      </c>
      <c r="R841">
        <v>0</v>
      </c>
      <c r="S841">
        <v>3</v>
      </c>
      <c r="T841">
        <v>0</v>
      </c>
      <c r="U841">
        <v>5</v>
      </c>
      <c r="V841" s="19" t="s">
        <v>1334</v>
      </c>
      <c r="W841" s="19" t="s">
        <v>978</v>
      </c>
      <c r="X841">
        <v>0</v>
      </c>
      <c r="Y841">
        <v>0</v>
      </c>
      <c r="AA841">
        <v>0</v>
      </c>
      <c r="AB841">
        <v>0</v>
      </c>
      <c r="AC841">
        <v>1</v>
      </c>
      <c r="AD841">
        <v>0</v>
      </c>
      <c r="AE841" s="19" t="s">
        <v>60</v>
      </c>
    </row>
    <row r="842" spans="1:31" x14ac:dyDescent="0.2">
      <c r="A842">
        <v>791</v>
      </c>
      <c r="B842" s="19" t="s">
        <v>1248</v>
      </c>
      <c r="C842">
        <v>30</v>
      </c>
      <c r="D842" s="19" t="s">
        <v>351</v>
      </c>
      <c r="E842" s="19" t="s">
        <v>348</v>
      </c>
      <c r="F842">
        <v>9</v>
      </c>
      <c r="G842">
        <v>0</v>
      </c>
      <c r="H842">
        <v>1</v>
      </c>
      <c r="I842">
        <v>1</v>
      </c>
      <c r="J842">
        <v>1</v>
      </c>
      <c r="K842">
        <v>2</v>
      </c>
      <c r="L842">
        <v>0</v>
      </c>
      <c r="M842">
        <v>0</v>
      </c>
      <c r="N842">
        <v>0</v>
      </c>
      <c r="O842">
        <v>0</v>
      </c>
      <c r="P842">
        <v>1</v>
      </c>
      <c r="Q842">
        <v>0</v>
      </c>
      <c r="R842">
        <v>0</v>
      </c>
      <c r="S842">
        <v>3</v>
      </c>
      <c r="T842">
        <v>0</v>
      </c>
      <c r="U842">
        <v>16</v>
      </c>
      <c r="V842" s="19" t="s">
        <v>1689</v>
      </c>
      <c r="W842" s="19" t="s">
        <v>1627</v>
      </c>
      <c r="X842">
        <v>0</v>
      </c>
      <c r="Y842">
        <v>0</v>
      </c>
      <c r="AA842">
        <v>6</v>
      </c>
      <c r="AB842">
        <v>7</v>
      </c>
      <c r="AC842">
        <v>0</v>
      </c>
      <c r="AD842">
        <v>4</v>
      </c>
      <c r="AE842" s="19" t="s">
        <v>60</v>
      </c>
    </row>
    <row r="843" spans="1:31" x14ac:dyDescent="0.2">
      <c r="A843">
        <v>792</v>
      </c>
      <c r="B843" s="19" t="s">
        <v>1468</v>
      </c>
      <c r="C843">
        <v>25</v>
      </c>
      <c r="D843" s="19" t="s">
        <v>343</v>
      </c>
      <c r="E843" s="19" t="s">
        <v>3</v>
      </c>
      <c r="F843">
        <v>27</v>
      </c>
      <c r="G843">
        <v>0</v>
      </c>
      <c r="H843">
        <v>1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U843">
        <v>0</v>
      </c>
      <c r="V843" s="19" t="s">
        <v>2801</v>
      </c>
      <c r="W843" s="19" t="s">
        <v>2052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8</v>
      </c>
      <c r="AE843" s="19" t="s">
        <v>60</v>
      </c>
    </row>
    <row r="844" spans="1:31" x14ac:dyDescent="0.2">
      <c r="A844">
        <v>793</v>
      </c>
      <c r="B844" s="19" t="s">
        <v>1251</v>
      </c>
      <c r="C844">
        <v>20</v>
      </c>
      <c r="D844" s="19" t="s">
        <v>404</v>
      </c>
      <c r="E844" s="19" t="s">
        <v>348</v>
      </c>
      <c r="F844">
        <v>24</v>
      </c>
      <c r="G844">
        <v>0</v>
      </c>
      <c r="H844">
        <v>1</v>
      </c>
      <c r="I844">
        <v>1</v>
      </c>
      <c r="J844">
        <v>-9</v>
      </c>
      <c r="K844">
        <v>18</v>
      </c>
      <c r="L844">
        <v>0</v>
      </c>
      <c r="M844">
        <v>0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23</v>
      </c>
      <c r="T844">
        <v>0</v>
      </c>
      <c r="U844">
        <v>42</v>
      </c>
      <c r="V844" s="19" t="s">
        <v>1252</v>
      </c>
      <c r="W844" s="19" t="s">
        <v>541</v>
      </c>
      <c r="X844">
        <v>0</v>
      </c>
      <c r="Y844">
        <v>0</v>
      </c>
      <c r="AA844">
        <v>26</v>
      </c>
      <c r="AB844">
        <v>8</v>
      </c>
      <c r="AC844">
        <v>1</v>
      </c>
      <c r="AD844">
        <v>26</v>
      </c>
      <c r="AE844" s="19" t="s">
        <v>60</v>
      </c>
    </row>
    <row r="845" spans="1:31" x14ac:dyDescent="0.2">
      <c r="A845">
        <v>794</v>
      </c>
      <c r="B845" s="19" t="s">
        <v>1475</v>
      </c>
      <c r="C845">
        <v>24</v>
      </c>
      <c r="D845" s="19" t="s">
        <v>354</v>
      </c>
      <c r="E845" s="19" t="s">
        <v>348</v>
      </c>
      <c r="F845">
        <v>8</v>
      </c>
      <c r="G845">
        <v>0</v>
      </c>
      <c r="H845">
        <v>1</v>
      </c>
      <c r="I845">
        <v>1</v>
      </c>
      <c r="J845">
        <v>3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8</v>
      </c>
      <c r="T845">
        <v>0</v>
      </c>
      <c r="U845">
        <v>15</v>
      </c>
      <c r="V845" s="19" t="s">
        <v>1650</v>
      </c>
      <c r="W845" s="19" t="s">
        <v>1651</v>
      </c>
      <c r="X845">
        <v>0</v>
      </c>
      <c r="Y845">
        <v>0</v>
      </c>
      <c r="AA845">
        <v>10</v>
      </c>
      <c r="AB845">
        <v>1</v>
      </c>
      <c r="AC845">
        <v>2</v>
      </c>
      <c r="AD845">
        <v>11</v>
      </c>
      <c r="AE845" s="19" t="s">
        <v>60</v>
      </c>
    </row>
    <row r="846" spans="1:31" x14ac:dyDescent="0.2">
      <c r="A846">
        <v>795</v>
      </c>
      <c r="B846" s="19" t="s">
        <v>1255</v>
      </c>
      <c r="C846">
        <v>38</v>
      </c>
      <c r="D846" s="19" t="s">
        <v>370</v>
      </c>
      <c r="E846" s="19" t="s">
        <v>3</v>
      </c>
      <c r="F846">
        <v>23</v>
      </c>
      <c r="G846">
        <v>0</v>
      </c>
      <c r="H846">
        <v>1</v>
      </c>
      <c r="I846">
        <v>1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U846">
        <v>0</v>
      </c>
      <c r="V846" s="19" t="s">
        <v>2233</v>
      </c>
      <c r="W846" s="19" t="s">
        <v>2234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16</v>
      </c>
      <c r="AE846" s="19" t="s">
        <v>60</v>
      </c>
    </row>
    <row r="847" spans="1:31" x14ac:dyDescent="0.2">
      <c r="A847">
        <v>796</v>
      </c>
      <c r="B847" s="19" t="s">
        <v>1257</v>
      </c>
      <c r="C847">
        <v>28</v>
      </c>
      <c r="D847" s="19" t="s">
        <v>365</v>
      </c>
      <c r="E847" s="19" t="s">
        <v>3</v>
      </c>
      <c r="F847">
        <v>38</v>
      </c>
      <c r="G847">
        <v>0</v>
      </c>
      <c r="H847">
        <v>1</v>
      </c>
      <c r="I847">
        <v>1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U847">
        <v>1</v>
      </c>
      <c r="V847" s="19" t="s">
        <v>2802</v>
      </c>
      <c r="W847" s="19" t="s">
        <v>1802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20</v>
      </c>
      <c r="AE847" s="19" t="s">
        <v>60</v>
      </c>
    </row>
    <row r="848" spans="1:31" x14ac:dyDescent="0.2">
      <c r="A848">
        <v>797</v>
      </c>
      <c r="B848" s="19" t="s">
        <v>1258</v>
      </c>
      <c r="C848">
        <v>24</v>
      </c>
      <c r="D848" s="19" t="s">
        <v>375</v>
      </c>
      <c r="E848" s="19" t="s">
        <v>322</v>
      </c>
      <c r="F848">
        <v>9</v>
      </c>
      <c r="G848">
        <v>0</v>
      </c>
      <c r="H848">
        <v>1</v>
      </c>
      <c r="I848">
        <v>1</v>
      </c>
      <c r="J848">
        <v>-2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9</v>
      </c>
      <c r="T848">
        <v>0</v>
      </c>
      <c r="U848">
        <v>21</v>
      </c>
      <c r="V848" s="19" t="s">
        <v>1259</v>
      </c>
      <c r="W848" s="19" t="s">
        <v>793</v>
      </c>
      <c r="X848">
        <v>2</v>
      </c>
      <c r="Y848">
        <v>2</v>
      </c>
      <c r="Z848">
        <v>50</v>
      </c>
      <c r="AA848">
        <v>7</v>
      </c>
      <c r="AB848">
        <v>11</v>
      </c>
      <c r="AC848">
        <v>0</v>
      </c>
      <c r="AD848">
        <v>3</v>
      </c>
      <c r="AE848" s="19" t="s">
        <v>60</v>
      </c>
    </row>
    <row r="849" spans="1:31" x14ac:dyDescent="0.2">
      <c r="A849">
        <v>798</v>
      </c>
      <c r="B849" s="19" t="s">
        <v>1570</v>
      </c>
      <c r="C849">
        <v>31</v>
      </c>
      <c r="D849" s="19" t="s">
        <v>329</v>
      </c>
      <c r="E849" s="19" t="s">
        <v>322</v>
      </c>
      <c r="F849">
        <v>5</v>
      </c>
      <c r="G849">
        <v>0</v>
      </c>
      <c r="H849">
        <v>1</v>
      </c>
      <c r="I849">
        <v>1</v>
      </c>
      <c r="J849">
        <v>1</v>
      </c>
      <c r="K849">
        <v>4</v>
      </c>
      <c r="L849">
        <v>0</v>
      </c>
      <c r="M849">
        <v>0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6</v>
      </c>
      <c r="T849">
        <v>0</v>
      </c>
      <c r="U849">
        <v>11</v>
      </c>
      <c r="V849" s="19" t="s">
        <v>1690</v>
      </c>
      <c r="W849" s="19" t="s">
        <v>1299</v>
      </c>
      <c r="X849">
        <v>10</v>
      </c>
      <c r="Y849">
        <v>12</v>
      </c>
      <c r="Z849">
        <v>45.5</v>
      </c>
      <c r="AA849">
        <v>0</v>
      </c>
      <c r="AB849">
        <v>10</v>
      </c>
      <c r="AC849">
        <v>1</v>
      </c>
      <c r="AD849">
        <v>2</v>
      </c>
      <c r="AE849" s="19" t="s">
        <v>60</v>
      </c>
    </row>
    <row r="850" spans="1:31" x14ac:dyDescent="0.2">
      <c r="A850">
        <v>799</v>
      </c>
      <c r="B850" s="19" t="s">
        <v>1262</v>
      </c>
      <c r="C850">
        <v>27</v>
      </c>
      <c r="D850" s="19" t="s">
        <v>354</v>
      </c>
      <c r="E850" s="19" t="s">
        <v>339</v>
      </c>
      <c r="F850">
        <v>4</v>
      </c>
      <c r="G850">
        <v>1</v>
      </c>
      <c r="H850">
        <v>0</v>
      </c>
      <c r="I850">
        <v>1</v>
      </c>
      <c r="J850">
        <v>-1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4</v>
      </c>
      <c r="T850">
        <v>25</v>
      </c>
      <c r="U850">
        <v>8</v>
      </c>
      <c r="V850" s="19" t="s">
        <v>1263</v>
      </c>
      <c r="W850" s="19" t="s">
        <v>1264</v>
      </c>
      <c r="X850">
        <v>0</v>
      </c>
      <c r="Y850">
        <v>0</v>
      </c>
      <c r="AA850">
        <v>1</v>
      </c>
      <c r="AB850">
        <v>7</v>
      </c>
      <c r="AC850">
        <v>0</v>
      </c>
      <c r="AD850">
        <v>1</v>
      </c>
      <c r="AE850" s="19" t="s">
        <v>60</v>
      </c>
    </row>
    <row r="851" spans="1:31" x14ac:dyDescent="0.2">
      <c r="A851">
        <v>800</v>
      </c>
      <c r="B851" s="19" t="s">
        <v>1265</v>
      </c>
      <c r="C851">
        <v>30</v>
      </c>
      <c r="D851" s="19" t="s">
        <v>404</v>
      </c>
      <c r="E851" s="19" t="s">
        <v>3</v>
      </c>
      <c r="F851">
        <v>14</v>
      </c>
      <c r="G851">
        <v>0</v>
      </c>
      <c r="H851">
        <v>1</v>
      </c>
      <c r="I851">
        <v>1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1</v>
      </c>
      <c r="Q851">
        <v>0</v>
      </c>
      <c r="R851">
        <v>0</v>
      </c>
      <c r="S851">
        <v>0</v>
      </c>
      <c r="U851">
        <v>0</v>
      </c>
      <c r="V851" s="19" t="s">
        <v>2803</v>
      </c>
      <c r="W851" s="19" t="s">
        <v>2015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7</v>
      </c>
      <c r="AE851" s="19" t="s">
        <v>60</v>
      </c>
    </row>
    <row r="852" spans="1:31" x14ac:dyDescent="0.2">
      <c r="A852">
        <v>801</v>
      </c>
      <c r="B852" s="19" t="s">
        <v>1484</v>
      </c>
      <c r="C852">
        <v>31</v>
      </c>
      <c r="D852" s="19" t="s">
        <v>351</v>
      </c>
      <c r="E852" s="19" t="s">
        <v>3</v>
      </c>
      <c r="F852">
        <v>33</v>
      </c>
      <c r="G852">
        <v>0</v>
      </c>
      <c r="H852">
        <v>1</v>
      </c>
      <c r="I852">
        <v>1</v>
      </c>
      <c r="J852">
        <v>0</v>
      </c>
      <c r="K852">
        <v>4</v>
      </c>
      <c r="L852">
        <v>0</v>
      </c>
      <c r="M852">
        <v>0</v>
      </c>
      <c r="N852">
        <v>0</v>
      </c>
      <c r="O852">
        <v>0</v>
      </c>
      <c r="P852">
        <v>1</v>
      </c>
      <c r="Q852">
        <v>0</v>
      </c>
      <c r="R852">
        <v>0</v>
      </c>
      <c r="S852">
        <v>0</v>
      </c>
      <c r="U852">
        <v>0</v>
      </c>
      <c r="V852" s="19" t="s">
        <v>2804</v>
      </c>
      <c r="W852" s="19" t="s">
        <v>2255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14</v>
      </c>
      <c r="AE852" s="19" t="s">
        <v>60</v>
      </c>
    </row>
    <row r="853" spans="1:31" x14ac:dyDescent="0.2">
      <c r="A853">
        <v>802</v>
      </c>
      <c r="B853" s="19" t="s">
        <v>1877</v>
      </c>
      <c r="C853">
        <v>24</v>
      </c>
      <c r="D853" s="19" t="s">
        <v>336</v>
      </c>
      <c r="E853" s="19" t="s">
        <v>325</v>
      </c>
      <c r="F853">
        <v>10</v>
      </c>
      <c r="G853">
        <v>1</v>
      </c>
      <c r="H853">
        <v>0</v>
      </c>
      <c r="I853">
        <v>1</v>
      </c>
      <c r="J853">
        <v>-2</v>
      </c>
      <c r="K853">
        <v>0</v>
      </c>
      <c r="L853">
        <v>1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5</v>
      </c>
      <c r="T853">
        <v>20</v>
      </c>
      <c r="U853">
        <v>16</v>
      </c>
      <c r="V853" s="19" t="s">
        <v>2805</v>
      </c>
      <c r="W853" s="19" t="s">
        <v>1960</v>
      </c>
      <c r="X853">
        <v>59</v>
      </c>
      <c r="Y853">
        <v>41</v>
      </c>
      <c r="Z853">
        <v>59</v>
      </c>
      <c r="AA853">
        <v>7</v>
      </c>
      <c r="AB853">
        <v>26</v>
      </c>
      <c r="AC853">
        <v>4</v>
      </c>
      <c r="AD853">
        <v>3</v>
      </c>
      <c r="AE853" s="19" t="s">
        <v>60</v>
      </c>
    </row>
    <row r="854" spans="1:31" x14ac:dyDescent="0.2">
      <c r="A854">
        <v>803</v>
      </c>
      <c r="B854" s="19" t="s">
        <v>1268</v>
      </c>
      <c r="C854">
        <v>33</v>
      </c>
      <c r="D854" s="19" t="s">
        <v>321</v>
      </c>
      <c r="E854" s="19" t="s">
        <v>3</v>
      </c>
      <c r="F854">
        <v>30</v>
      </c>
      <c r="G854">
        <v>0</v>
      </c>
      <c r="H854">
        <v>1</v>
      </c>
      <c r="I854">
        <v>1</v>
      </c>
      <c r="J854">
        <v>0</v>
      </c>
      <c r="K854">
        <v>2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1</v>
      </c>
      <c r="R854">
        <v>0</v>
      </c>
      <c r="S854">
        <v>0</v>
      </c>
      <c r="U854">
        <v>0</v>
      </c>
      <c r="V854" s="19" t="s">
        <v>2213</v>
      </c>
      <c r="W854" s="19" t="s">
        <v>2212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12</v>
      </c>
      <c r="AE854" s="19" t="s">
        <v>60</v>
      </c>
    </row>
    <row r="855" spans="1:31" x14ac:dyDescent="0.2">
      <c r="A855">
        <v>804</v>
      </c>
      <c r="B855" s="19" t="s">
        <v>1270</v>
      </c>
      <c r="C855">
        <v>21</v>
      </c>
      <c r="D855" s="19" t="s">
        <v>362</v>
      </c>
      <c r="E855" s="19" t="s">
        <v>339</v>
      </c>
      <c r="F855">
        <v>5</v>
      </c>
      <c r="G855">
        <v>0</v>
      </c>
      <c r="H855">
        <v>1</v>
      </c>
      <c r="I855">
        <v>1</v>
      </c>
      <c r="J855">
        <v>-1</v>
      </c>
      <c r="K855">
        <v>7</v>
      </c>
      <c r="L855">
        <v>0</v>
      </c>
      <c r="M855">
        <v>0</v>
      </c>
      <c r="N855">
        <v>0</v>
      </c>
      <c r="O855">
        <v>0</v>
      </c>
      <c r="P855">
        <v>1</v>
      </c>
      <c r="Q855">
        <v>0</v>
      </c>
      <c r="R855">
        <v>0</v>
      </c>
      <c r="S855">
        <v>4</v>
      </c>
      <c r="T855">
        <v>0</v>
      </c>
      <c r="U855">
        <v>8</v>
      </c>
      <c r="V855" s="19" t="s">
        <v>1271</v>
      </c>
      <c r="W855" s="19" t="s">
        <v>1272</v>
      </c>
      <c r="X855">
        <v>0</v>
      </c>
      <c r="Y855">
        <v>0</v>
      </c>
      <c r="AA855">
        <v>4</v>
      </c>
      <c r="AB855">
        <v>9</v>
      </c>
      <c r="AC855">
        <v>0</v>
      </c>
      <c r="AD855">
        <v>4</v>
      </c>
      <c r="AE855" s="19" t="s">
        <v>60</v>
      </c>
    </row>
    <row r="856" spans="1:31" x14ac:dyDescent="0.2">
      <c r="A856">
        <v>805</v>
      </c>
      <c r="B856" s="19" t="s">
        <v>1275</v>
      </c>
      <c r="C856">
        <v>35</v>
      </c>
      <c r="D856" s="19" t="s">
        <v>404</v>
      </c>
      <c r="E856" s="19" t="s">
        <v>339</v>
      </c>
      <c r="F856">
        <v>2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1</v>
      </c>
      <c r="V856" s="19" t="s">
        <v>856</v>
      </c>
      <c r="W856" s="19" t="s">
        <v>1276</v>
      </c>
      <c r="X856">
        <v>3</v>
      </c>
      <c r="Y856">
        <v>4</v>
      </c>
      <c r="Z856">
        <v>42.9</v>
      </c>
      <c r="AA856">
        <v>1</v>
      </c>
      <c r="AB856">
        <v>4</v>
      </c>
      <c r="AC856">
        <v>1</v>
      </c>
      <c r="AD856">
        <v>1</v>
      </c>
      <c r="AE856" s="19" t="s">
        <v>60</v>
      </c>
    </row>
    <row r="857" spans="1:31" x14ac:dyDescent="0.2">
      <c r="A857">
        <v>806</v>
      </c>
      <c r="B857" s="19" t="s">
        <v>1562</v>
      </c>
      <c r="C857">
        <v>24</v>
      </c>
      <c r="D857" s="19" t="s">
        <v>358</v>
      </c>
      <c r="E857" s="19" t="s">
        <v>3</v>
      </c>
      <c r="F857">
        <v>1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1412</v>
      </c>
      <c r="W857" s="19" t="s">
        <v>1412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0</v>
      </c>
      <c r="AE857" s="19" t="s">
        <v>60</v>
      </c>
    </row>
    <row r="858" spans="1:31" x14ac:dyDescent="0.2">
      <c r="A858">
        <v>807</v>
      </c>
      <c r="B858" s="19" t="s">
        <v>1277</v>
      </c>
      <c r="C858">
        <v>35</v>
      </c>
      <c r="D858" s="19" t="s">
        <v>398</v>
      </c>
      <c r="E858" s="19" t="s">
        <v>3</v>
      </c>
      <c r="F858">
        <v>26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2806</v>
      </c>
      <c r="W858" s="19" t="s">
        <v>1911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9</v>
      </c>
      <c r="AE858" s="19" t="s">
        <v>60</v>
      </c>
    </row>
    <row r="859" spans="1:31" x14ac:dyDescent="0.2">
      <c r="A859">
        <v>808</v>
      </c>
      <c r="B859" s="19" t="s">
        <v>1278</v>
      </c>
      <c r="C859">
        <v>25</v>
      </c>
      <c r="D859" s="19" t="s">
        <v>447</v>
      </c>
      <c r="E859" s="19" t="s">
        <v>322</v>
      </c>
      <c r="F859">
        <v>2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1</v>
      </c>
      <c r="T859">
        <v>0</v>
      </c>
      <c r="U859">
        <v>3</v>
      </c>
      <c r="V859" s="19" t="s">
        <v>1279</v>
      </c>
      <c r="W859" s="19" t="s">
        <v>1280</v>
      </c>
      <c r="X859">
        <v>1</v>
      </c>
      <c r="Y859">
        <v>1</v>
      </c>
      <c r="Z859">
        <v>50</v>
      </c>
      <c r="AA859">
        <v>1</v>
      </c>
      <c r="AB859">
        <v>2</v>
      </c>
      <c r="AC859">
        <v>0</v>
      </c>
      <c r="AD859">
        <v>1</v>
      </c>
      <c r="AE859" s="19" t="s">
        <v>60</v>
      </c>
    </row>
    <row r="860" spans="1:31" x14ac:dyDescent="0.2">
      <c r="A860">
        <v>809</v>
      </c>
      <c r="B860" s="19" t="s">
        <v>1281</v>
      </c>
      <c r="C860">
        <v>36</v>
      </c>
      <c r="D860" s="19" t="s">
        <v>396</v>
      </c>
      <c r="E860" s="19" t="s">
        <v>3</v>
      </c>
      <c r="F860">
        <v>21</v>
      </c>
      <c r="G860">
        <v>0</v>
      </c>
      <c r="H860">
        <v>0</v>
      </c>
      <c r="I860">
        <v>0</v>
      </c>
      <c r="J860">
        <v>0</v>
      </c>
      <c r="K860">
        <v>4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2235</v>
      </c>
      <c r="W860" s="19" t="s">
        <v>1182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14</v>
      </c>
      <c r="AE860" s="19" t="s">
        <v>60</v>
      </c>
    </row>
    <row r="861" spans="1:31" x14ac:dyDescent="0.2">
      <c r="A861">
        <v>810</v>
      </c>
      <c r="B861" s="19" t="s">
        <v>1282</v>
      </c>
      <c r="C861">
        <v>25</v>
      </c>
      <c r="D861" s="19" t="s">
        <v>460</v>
      </c>
      <c r="E861" s="19" t="s">
        <v>3</v>
      </c>
      <c r="F861">
        <v>15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2188</v>
      </c>
      <c r="W861" s="19" t="s">
        <v>2189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2</v>
      </c>
      <c r="AE861" s="19" t="s">
        <v>60</v>
      </c>
    </row>
    <row r="862" spans="1:31" x14ac:dyDescent="0.2">
      <c r="A862">
        <v>811</v>
      </c>
      <c r="B862" s="19" t="s">
        <v>1283</v>
      </c>
      <c r="C862">
        <v>23</v>
      </c>
      <c r="D862" s="19" t="s">
        <v>324</v>
      </c>
      <c r="E862" s="19" t="s">
        <v>3</v>
      </c>
      <c r="F862">
        <v>32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2807</v>
      </c>
      <c r="W862" s="19" t="s">
        <v>2808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13</v>
      </c>
      <c r="AE862" s="19" t="s">
        <v>60</v>
      </c>
    </row>
    <row r="863" spans="1:31" x14ac:dyDescent="0.2">
      <c r="A863">
        <v>812</v>
      </c>
      <c r="B863" s="19" t="s">
        <v>1804</v>
      </c>
      <c r="C863">
        <v>31</v>
      </c>
      <c r="D863" s="19" t="s">
        <v>358</v>
      </c>
      <c r="E863" s="19" t="s">
        <v>348</v>
      </c>
      <c r="F863">
        <v>1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1</v>
      </c>
      <c r="V863" s="19" t="s">
        <v>1534</v>
      </c>
      <c r="W863" s="19" t="s">
        <v>1534</v>
      </c>
      <c r="X863">
        <v>0</v>
      </c>
      <c r="Y863">
        <v>0</v>
      </c>
      <c r="AA863">
        <v>3</v>
      </c>
      <c r="AB863">
        <v>0</v>
      </c>
      <c r="AC863">
        <v>0</v>
      </c>
      <c r="AD863">
        <v>1</v>
      </c>
      <c r="AE863" s="19" t="s">
        <v>60</v>
      </c>
    </row>
    <row r="864" spans="1:31" x14ac:dyDescent="0.2">
      <c r="A864">
        <v>813</v>
      </c>
      <c r="B864" s="19" t="s">
        <v>1285</v>
      </c>
      <c r="C864">
        <v>23</v>
      </c>
      <c r="D864" s="19" t="s">
        <v>360</v>
      </c>
      <c r="E864" s="19" t="s">
        <v>339</v>
      </c>
      <c r="F864">
        <v>12</v>
      </c>
      <c r="G864">
        <v>0</v>
      </c>
      <c r="H864">
        <v>0</v>
      </c>
      <c r="I864">
        <v>0</v>
      </c>
      <c r="J864">
        <v>-1</v>
      </c>
      <c r="K864">
        <v>6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10</v>
      </c>
      <c r="T864">
        <v>0</v>
      </c>
      <c r="U864">
        <v>34</v>
      </c>
      <c r="V864" s="19" t="s">
        <v>1776</v>
      </c>
      <c r="W864" s="19" t="s">
        <v>1579</v>
      </c>
      <c r="X864">
        <v>0</v>
      </c>
      <c r="Y864">
        <v>0</v>
      </c>
      <c r="AA864">
        <v>9</v>
      </c>
      <c r="AB864">
        <v>15</v>
      </c>
      <c r="AC864">
        <v>1</v>
      </c>
      <c r="AD864">
        <v>9</v>
      </c>
      <c r="AE864" s="19" t="s">
        <v>60</v>
      </c>
    </row>
    <row r="865" spans="1:31" x14ac:dyDescent="0.2">
      <c r="A865">
        <v>814</v>
      </c>
      <c r="B865" s="19" t="s">
        <v>1286</v>
      </c>
      <c r="C865">
        <v>29</v>
      </c>
      <c r="D865" s="19" t="s">
        <v>321</v>
      </c>
      <c r="E865" s="19" t="s">
        <v>3</v>
      </c>
      <c r="F865">
        <v>20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2942</v>
      </c>
      <c r="W865" s="19" t="s">
        <v>2943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1</v>
      </c>
      <c r="AE865" s="19" t="s">
        <v>60</v>
      </c>
    </row>
    <row r="866" spans="1:31" x14ac:dyDescent="0.2">
      <c r="A866">
        <v>815</v>
      </c>
      <c r="B866" s="19" t="s">
        <v>1287</v>
      </c>
      <c r="C866">
        <v>25</v>
      </c>
      <c r="D866" s="19" t="s">
        <v>354</v>
      </c>
      <c r="E866" s="19" t="s">
        <v>334</v>
      </c>
      <c r="F866">
        <v>4</v>
      </c>
      <c r="G866">
        <v>0</v>
      </c>
      <c r="H866">
        <v>0</v>
      </c>
      <c r="I866">
        <v>0</v>
      </c>
      <c r="J866">
        <v>-3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4</v>
      </c>
      <c r="T866">
        <v>0</v>
      </c>
      <c r="U866">
        <v>10</v>
      </c>
      <c r="V866" s="19" t="s">
        <v>1288</v>
      </c>
      <c r="W866" s="19" t="s">
        <v>836</v>
      </c>
      <c r="X866">
        <v>0</v>
      </c>
      <c r="Y866">
        <v>1</v>
      </c>
      <c r="Z866">
        <v>0</v>
      </c>
      <c r="AA866">
        <v>2</v>
      </c>
      <c r="AB866">
        <v>2</v>
      </c>
      <c r="AC866">
        <v>0</v>
      </c>
      <c r="AD866">
        <v>3</v>
      </c>
      <c r="AE866" s="19" t="s">
        <v>60</v>
      </c>
    </row>
    <row r="867" spans="1:31" x14ac:dyDescent="0.2">
      <c r="A867">
        <v>816</v>
      </c>
      <c r="B867" s="19" t="s">
        <v>1691</v>
      </c>
      <c r="C867">
        <v>23</v>
      </c>
      <c r="D867" s="19" t="s">
        <v>416</v>
      </c>
      <c r="E867" s="19" t="s">
        <v>322</v>
      </c>
      <c r="F867">
        <v>2</v>
      </c>
      <c r="G867">
        <v>0</v>
      </c>
      <c r="H867">
        <v>0</v>
      </c>
      <c r="I867">
        <v>0</v>
      </c>
      <c r="J867">
        <v>-1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3</v>
      </c>
      <c r="T867">
        <v>0</v>
      </c>
      <c r="U867">
        <v>7</v>
      </c>
      <c r="V867" s="19" t="s">
        <v>1557</v>
      </c>
      <c r="W867" s="19" t="s">
        <v>1687</v>
      </c>
      <c r="X867">
        <v>0</v>
      </c>
      <c r="Y867">
        <v>0</v>
      </c>
      <c r="AA867">
        <v>0</v>
      </c>
      <c r="AB867">
        <v>3</v>
      </c>
      <c r="AC867">
        <v>0</v>
      </c>
      <c r="AD867">
        <v>1</v>
      </c>
      <c r="AE867" s="19" t="s">
        <v>60</v>
      </c>
    </row>
    <row r="868" spans="1:31" x14ac:dyDescent="0.2">
      <c r="A868">
        <v>817</v>
      </c>
      <c r="B868" s="19" t="s">
        <v>1289</v>
      </c>
      <c r="C868">
        <v>23</v>
      </c>
      <c r="D868" s="19" t="s">
        <v>375</v>
      </c>
      <c r="E868" s="19" t="s">
        <v>322</v>
      </c>
      <c r="F868">
        <v>1</v>
      </c>
      <c r="G868">
        <v>0</v>
      </c>
      <c r="H868">
        <v>0</v>
      </c>
      <c r="I868">
        <v>0</v>
      </c>
      <c r="J868">
        <v>-1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2</v>
      </c>
      <c r="T868">
        <v>0</v>
      </c>
      <c r="U868">
        <v>2</v>
      </c>
      <c r="V868" s="19" t="s">
        <v>1144</v>
      </c>
      <c r="W868" s="19" t="s">
        <v>1144</v>
      </c>
      <c r="X868">
        <v>3</v>
      </c>
      <c r="Y868">
        <v>3</v>
      </c>
      <c r="Z868">
        <v>50</v>
      </c>
      <c r="AA868">
        <v>0</v>
      </c>
      <c r="AB868">
        <v>0</v>
      </c>
      <c r="AC868">
        <v>0</v>
      </c>
      <c r="AD868">
        <v>1</v>
      </c>
      <c r="AE868" s="19" t="s">
        <v>60</v>
      </c>
    </row>
    <row r="869" spans="1:31" x14ac:dyDescent="0.2">
      <c r="A869">
        <v>818</v>
      </c>
      <c r="B869" s="19" t="s">
        <v>1514</v>
      </c>
      <c r="C869">
        <v>23</v>
      </c>
      <c r="D869" s="19" t="s">
        <v>336</v>
      </c>
      <c r="E869" s="19" t="s">
        <v>3</v>
      </c>
      <c r="F869">
        <v>1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340</v>
      </c>
      <c r="W869" s="19" t="s">
        <v>340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0</v>
      </c>
      <c r="AE869" s="19" t="s">
        <v>60</v>
      </c>
    </row>
    <row r="870" spans="1:31" x14ac:dyDescent="0.2">
      <c r="A870">
        <v>819</v>
      </c>
      <c r="B870" s="19" t="s">
        <v>1291</v>
      </c>
      <c r="C870">
        <v>26</v>
      </c>
      <c r="D870" s="19" t="s">
        <v>354</v>
      </c>
      <c r="E870" s="19" t="s">
        <v>348</v>
      </c>
      <c r="F870">
        <v>5</v>
      </c>
      <c r="G870">
        <v>0</v>
      </c>
      <c r="H870">
        <v>0</v>
      </c>
      <c r="I870">
        <v>0</v>
      </c>
      <c r="J870">
        <v>-1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3</v>
      </c>
      <c r="T870">
        <v>0</v>
      </c>
      <c r="U870">
        <v>4</v>
      </c>
      <c r="V870" s="19" t="s">
        <v>1292</v>
      </c>
      <c r="W870" s="19" t="s">
        <v>841</v>
      </c>
      <c r="X870">
        <v>0</v>
      </c>
      <c r="Y870">
        <v>0</v>
      </c>
      <c r="AA870">
        <v>9</v>
      </c>
      <c r="AB870">
        <v>3</v>
      </c>
      <c r="AC870">
        <v>2</v>
      </c>
      <c r="AD870">
        <v>3</v>
      </c>
      <c r="AE870" s="19" t="s">
        <v>60</v>
      </c>
    </row>
    <row r="871" spans="1:31" x14ac:dyDescent="0.2">
      <c r="A871">
        <v>820</v>
      </c>
      <c r="B871" s="19" t="s">
        <v>1293</v>
      </c>
      <c r="C871">
        <v>22</v>
      </c>
      <c r="D871" s="19" t="s">
        <v>398</v>
      </c>
      <c r="E871" s="19" t="s">
        <v>348</v>
      </c>
      <c r="F871">
        <v>2</v>
      </c>
      <c r="G871">
        <v>0</v>
      </c>
      <c r="H871">
        <v>0</v>
      </c>
      <c r="I871">
        <v>0</v>
      </c>
      <c r="J871">
        <v>-3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4</v>
      </c>
      <c r="T871">
        <v>0</v>
      </c>
      <c r="U871">
        <v>8</v>
      </c>
      <c r="V871" s="19" t="s">
        <v>1294</v>
      </c>
      <c r="W871" s="19" t="s">
        <v>556</v>
      </c>
      <c r="X871">
        <v>0</v>
      </c>
      <c r="Y871">
        <v>0</v>
      </c>
      <c r="AA871">
        <v>1</v>
      </c>
      <c r="AB871">
        <v>0</v>
      </c>
      <c r="AC871">
        <v>2</v>
      </c>
      <c r="AD871">
        <v>3</v>
      </c>
      <c r="AE871" s="19" t="s">
        <v>60</v>
      </c>
    </row>
    <row r="872" spans="1:31" x14ac:dyDescent="0.2">
      <c r="A872">
        <v>821</v>
      </c>
      <c r="B872" s="19" t="s">
        <v>1295</v>
      </c>
      <c r="C872">
        <v>28</v>
      </c>
      <c r="D872" s="19" t="s">
        <v>351</v>
      </c>
      <c r="E872" s="19" t="s">
        <v>325</v>
      </c>
      <c r="F872">
        <v>7</v>
      </c>
      <c r="G872">
        <v>0</v>
      </c>
      <c r="H872">
        <v>0</v>
      </c>
      <c r="I872">
        <v>0</v>
      </c>
      <c r="J872">
        <v>0</v>
      </c>
      <c r="K872">
        <v>4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8</v>
      </c>
      <c r="T872">
        <v>0</v>
      </c>
      <c r="U872">
        <v>10</v>
      </c>
      <c r="V872" s="19" t="s">
        <v>1296</v>
      </c>
      <c r="W872" s="19" t="s">
        <v>1261</v>
      </c>
      <c r="X872">
        <v>1</v>
      </c>
      <c r="Y872">
        <v>2</v>
      </c>
      <c r="Z872">
        <v>33.299999999999997</v>
      </c>
      <c r="AA872">
        <v>2</v>
      </c>
      <c r="AB872">
        <v>19</v>
      </c>
      <c r="AC872">
        <v>0</v>
      </c>
      <c r="AD872">
        <v>5</v>
      </c>
      <c r="AE872" s="19" t="s">
        <v>60</v>
      </c>
    </row>
    <row r="873" spans="1:31" x14ac:dyDescent="0.2">
      <c r="A873">
        <v>822</v>
      </c>
      <c r="B873" s="19" t="s">
        <v>1297</v>
      </c>
      <c r="C873">
        <v>22</v>
      </c>
      <c r="D873" s="19" t="s">
        <v>345</v>
      </c>
      <c r="E873" s="19" t="s">
        <v>334</v>
      </c>
      <c r="F873">
        <v>8</v>
      </c>
      <c r="G873">
        <v>0</v>
      </c>
      <c r="H873">
        <v>0</v>
      </c>
      <c r="I873">
        <v>0</v>
      </c>
      <c r="J873">
        <v>0</v>
      </c>
      <c r="K873">
        <v>12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5</v>
      </c>
      <c r="T873">
        <v>0</v>
      </c>
      <c r="U873">
        <v>16</v>
      </c>
      <c r="V873" s="19" t="s">
        <v>1298</v>
      </c>
      <c r="W873" s="19" t="s">
        <v>1299</v>
      </c>
      <c r="X873">
        <v>0</v>
      </c>
      <c r="Y873">
        <v>0</v>
      </c>
      <c r="AA873">
        <v>5</v>
      </c>
      <c r="AB873">
        <v>10</v>
      </c>
      <c r="AC873">
        <v>2</v>
      </c>
      <c r="AD873">
        <v>6</v>
      </c>
      <c r="AE873" s="19" t="s">
        <v>60</v>
      </c>
    </row>
    <row r="874" spans="1:31" x14ac:dyDescent="0.2">
      <c r="A874">
        <v>823</v>
      </c>
      <c r="B874" s="19" t="s">
        <v>1300</v>
      </c>
      <c r="C874">
        <v>22</v>
      </c>
      <c r="D874" s="19" t="s">
        <v>360</v>
      </c>
      <c r="E874" s="19" t="s">
        <v>334</v>
      </c>
      <c r="F874">
        <v>6</v>
      </c>
      <c r="G874">
        <v>0</v>
      </c>
      <c r="H874">
        <v>0</v>
      </c>
      <c r="I874">
        <v>0</v>
      </c>
      <c r="J874">
        <v>-2</v>
      </c>
      <c r="K874">
        <v>7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3</v>
      </c>
      <c r="T874">
        <v>0</v>
      </c>
      <c r="U874">
        <v>6</v>
      </c>
      <c r="V874" s="19" t="s">
        <v>1584</v>
      </c>
      <c r="W874" s="19" t="s">
        <v>1585</v>
      </c>
      <c r="X874">
        <v>0</v>
      </c>
      <c r="Y874">
        <v>0</v>
      </c>
      <c r="AA874">
        <v>3</v>
      </c>
      <c r="AB874">
        <v>13</v>
      </c>
      <c r="AC874">
        <v>0</v>
      </c>
      <c r="AD874">
        <v>1</v>
      </c>
      <c r="AE874" s="19" t="s">
        <v>60</v>
      </c>
    </row>
    <row r="875" spans="1:31" x14ac:dyDescent="0.2">
      <c r="A875">
        <v>824</v>
      </c>
      <c r="B875" s="19" t="s">
        <v>1867</v>
      </c>
      <c r="C875">
        <v>27</v>
      </c>
      <c r="D875" s="19" t="s">
        <v>343</v>
      </c>
      <c r="E875" s="19" t="s">
        <v>348</v>
      </c>
      <c r="F875">
        <v>2</v>
      </c>
      <c r="G875">
        <v>0</v>
      </c>
      <c r="H875">
        <v>0</v>
      </c>
      <c r="I875">
        <v>0</v>
      </c>
      <c r="J875">
        <v>-1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</v>
      </c>
      <c r="T875">
        <v>0</v>
      </c>
      <c r="U875">
        <v>4</v>
      </c>
      <c r="V875" s="19" t="s">
        <v>2236</v>
      </c>
      <c r="W875" s="19" t="s">
        <v>2088</v>
      </c>
      <c r="X875">
        <v>0</v>
      </c>
      <c r="Y875">
        <v>0</v>
      </c>
      <c r="AA875">
        <v>4</v>
      </c>
      <c r="AB875">
        <v>4</v>
      </c>
      <c r="AC875">
        <v>0</v>
      </c>
      <c r="AD875">
        <v>2</v>
      </c>
      <c r="AE875" s="19" t="s">
        <v>60</v>
      </c>
    </row>
    <row r="876" spans="1:31" x14ac:dyDescent="0.2">
      <c r="A876">
        <v>825</v>
      </c>
      <c r="B876" s="19" t="s">
        <v>1881</v>
      </c>
      <c r="C876">
        <v>23</v>
      </c>
      <c r="D876" s="19" t="s">
        <v>329</v>
      </c>
      <c r="E876" s="19" t="s">
        <v>3</v>
      </c>
      <c r="F876">
        <v>2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1899</v>
      </c>
      <c r="W876" s="19" t="s">
        <v>1311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0</v>
      </c>
      <c r="AE876" s="19" t="s">
        <v>60</v>
      </c>
    </row>
    <row r="877" spans="1:31" x14ac:dyDescent="0.2">
      <c r="A877">
        <v>826</v>
      </c>
      <c r="B877" s="19" t="s">
        <v>1302</v>
      </c>
      <c r="C877">
        <v>30</v>
      </c>
      <c r="D877" s="19" t="s">
        <v>345</v>
      </c>
      <c r="E877" s="19" t="s">
        <v>3</v>
      </c>
      <c r="F877">
        <v>18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2190</v>
      </c>
      <c r="W877" s="19" t="s">
        <v>2191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7</v>
      </c>
      <c r="AE877" s="19" t="s">
        <v>60</v>
      </c>
    </row>
    <row r="878" spans="1:31" x14ac:dyDescent="0.2">
      <c r="A878">
        <v>827</v>
      </c>
      <c r="B878" s="19" t="s">
        <v>1303</v>
      </c>
      <c r="C878">
        <v>28</v>
      </c>
      <c r="D878" s="19" t="s">
        <v>436</v>
      </c>
      <c r="E878" s="19" t="s">
        <v>3</v>
      </c>
      <c r="F878">
        <v>17</v>
      </c>
      <c r="G878">
        <v>0</v>
      </c>
      <c r="H878">
        <v>0</v>
      </c>
      <c r="I878">
        <v>0</v>
      </c>
      <c r="J878">
        <v>0</v>
      </c>
      <c r="K878">
        <v>2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2256</v>
      </c>
      <c r="W878" s="19" t="s">
        <v>2257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6</v>
      </c>
      <c r="AE878" s="19" t="s">
        <v>60</v>
      </c>
    </row>
    <row r="879" spans="1:31" x14ac:dyDescent="0.2">
      <c r="A879">
        <v>828</v>
      </c>
      <c r="B879" s="19" t="s">
        <v>1304</v>
      </c>
      <c r="C879">
        <v>18</v>
      </c>
      <c r="D879" s="19" t="s">
        <v>447</v>
      </c>
      <c r="E879" s="19" t="s">
        <v>322</v>
      </c>
      <c r="F879">
        <v>3</v>
      </c>
      <c r="G879">
        <v>0</v>
      </c>
      <c r="H879">
        <v>0</v>
      </c>
      <c r="I879">
        <v>0</v>
      </c>
      <c r="J879">
        <v>-2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1305</v>
      </c>
      <c r="W879" s="19" t="s">
        <v>640</v>
      </c>
      <c r="X879">
        <v>5</v>
      </c>
      <c r="Y879">
        <v>8</v>
      </c>
      <c r="Z879">
        <v>38.5</v>
      </c>
      <c r="AA879">
        <v>1</v>
      </c>
      <c r="AB879">
        <v>3</v>
      </c>
      <c r="AC879">
        <v>0</v>
      </c>
      <c r="AD879">
        <v>4</v>
      </c>
      <c r="AE879" s="19" t="s">
        <v>60</v>
      </c>
    </row>
    <row r="880" spans="1:31" x14ac:dyDescent="0.2">
      <c r="A880">
        <v>829</v>
      </c>
      <c r="B880" s="19" t="s">
        <v>1672</v>
      </c>
      <c r="C880">
        <v>34</v>
      </c>
      <c r="D880" s="19" t="s">
        <v>419</v>
      </c>
      <c r="E880" s="19" t="s">
        <v>3</v>
      </c>
      <c r="F880">
        <v>1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1673</v>
      </c>
      <c r="W880" s="19" t="s">
        <v>1673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0</v>
      </c>
      <c r="AE880" s="19" t="s">
        <v>60</v>
      </c>
    </row>
    <row r="881" spans="1:31" x14ac:dyDescent="0.2">
      <c r="A881">
        <v>830</v>
      </c>
      <c r="B881" s="19" t="s">
        <v>1307</v>
      </c>
      <c r="C881">
        <v>36</v>
      </c>
      <c r="D881" s="19" t="s">
        <v>398</v>
      </c>
      <c r="E881" s="19" t="s">
        <v>334</v>
      </c>
      <c r="F881">
        <v>14</v>
      </c>
      <c r="G881">
        <v>0</v>
      </c>
      <c r="H881">
        <v>0</v>
      </c>
      <c r="I881">
        <v>0</v>
      </c>
      <c r="J881">
        <v>-3</v>
      </c>
      <c r="K881">
        <v>2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11</v>
      </c>
      <c r="T881">
        <v>0</v>
      </c>
      <c r="U881">
        <v>25</v>
      </c>
      <c r="V881" s="19" t="s">
        <v>2809</v>
      </c>
      <c r="W881" s="19" t="s">
        <v>1839</v>
      </c>
      <c r="X881">
        <v>0</v>
      </c>
      <c r="Y881">
        <v>0</v>
      </c>
      <c r="AA881">
        <v>8</v>
      </c>
      <c r="AB881">
        <v>6</v>
      </c>
      <c r="AC881">
        <v>2</v>
      </c>
      <c r="AD881">
        <v>9</v>
      </c>
      <c r="AE881" s="19" t="s">
        <v>60</v>
      </c>
    </row>
    <row r="882" spans="1:31" x14ac:dyDescent="0.2">
      <c r="A882">
        <v>831</v>
      </c>
      <c r="B882" s="19" t="s">
        <v>1308</v>
      </c>
      <c r="C882">
        <v>32</v>
      </c>
      <c r="D882" s="19" t="s">
        <v>428</v>
      </c>
      <c r="E882" s="19" t="s">
        <v>334</v>
      </c>
      <c r="F882">
        <v>4</v>
      </c>
      <c r="G882">
        <v>0</v>
      </c>
      <c r="H882">
        <v>0</v>
      </c>
      <c r="I882">
        <v>0</v>
      </c>
      <c r="J882">
        <v>-2</v>
      </c>
      <c r="K882">
        <v>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2</v>
      </c>
      <c r="T882">
        <v>0</v>
      </c>
      <c r="U882">
        <v>6</v>
      </c>
      <c r="V882" s="19" t="s">
        <v>1309</v>
      </c>
      <c r="W882" s="19" t="s">
        <v>845</v>
      </c>
      <c r="X882">
        <v>17</v>
      </c>
      <c r="Y882">
        <v>14</v>
      </c>
      <c r="Z882">
        <v>54.8</v>
      </c>
      <c r="AA882">
        <v>4</v>
      </c>
      <c r="AB882">
        <v>3</v>
      </c>
      <c r="AC882">
        <v>0</v>
      </c>
      <c r="AD882">
        <v>3</v>
      </c>
      <c r="AE882" s="19" t="s">
        <v>60</v>
      </c>
    </row>
    <row r="883" spans="1:31" x14ac:dyDescent="0.2">
      <c r="A883">
        <v>832</v>
      </c>
      <c r="B883" s="19" t="s">
        <v>1310</v>
      </c>
      <c r="C883">
        <v>25</v>
      </c>
      <c r="D883" s="19" t="s">
        <v>398</v>
      </c>
      <c r="E883" s="19" t="s">
        <v>3</v>
      </c>
      <c r="F883">
        <v>1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1311</v>
      </c>
      <c r="W883" s="19" t="s">
        <v>1311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2</v>
      </c>
      <c r="AE883" s="19" t="s">
        <v>60</v>
      </c>
    </row>
    <row r="884" spans="1:31" x14ac:dyDescent="0.2">
      <c r="A884">
        <v>833</v>
      </c>
      <c r="B884" s="19" t="s">
        <v>1312</v>
      </c>
      <c r="C884">
        <v>23</v>
      </c>
      <c r="D884" s="19" t="s">
        <v>329</v>
      </c>
      <c r="E884" s="19" t="s">
        <v>348</v>
      </c>
      <c r="F884">
        <v>2</v>
      </c>
      <c r="G884">
        <v>0</v>
      </c>
      <c r="H884">
        <v>0</v>
      </c>
      <c r="I884">
        <v>0</v>
      </c>
      <c r="J884">
        <v>-1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3</v>
      </c>
      <c r="T884">
        <v>0</v>
      </c>
      <c r="U884">
        <v>5</v>
      </c>
      <c r="V884" s="19" t="s">
        <v>1586</v>
      </c>
      <c r="W884" s="19" t="s">
        <v>1572</v>
      </c>
      <c r="X884">
        <v>0</v>
      </c>
      <c r="Y884">
        <v>0</v>
      </c>
      <c r="AA884">
        <v>3</v>
      </c>
      <c r="AB884">
        <v>6</v>
      </c>
      <c r="AC884">
        <v>0</v>
      </c>
      <c r="AD884">
        <v>3</v>
      </c>
      <c r="AE884" s="19" t="s">
        <v>60</v>
      </c>
    </row>
    <row r="885" spans="1:31" x14ac:dyDescent="0.2">
      <c r="A885">
        <v>834</v>
      </c>
      <c r="B885" s="19" t="s">
        <v>1314</v>
      </c>
      <c r="C885">
        <v>34</v>
      </c>
      <c r="D885" s="19" t="s">
        <v>406</v>
      </c>
      <c r="E885" s="19" t="s">
        <v>339</v>
      </c>
      <c r="F885">
        <v>18</v>
      </c>
      <c r="G885">
        <v>0</v>
      </c>
      <c r="H885">
        <v>0</v>
      </c>
      <c r="I885">
        <v>0</v>
      </c>
      <c r="J885">
        <v>-2</v>
      </c>
      <c r="K885">
        <v>24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9</v>
      </c>
      <c r="T885">
        <v>0</v>
      </c>
      <c r="U885">
        <v>18</v>
      </c>
      <c r="V885" s="19" t="s">
        <v>2013</v>
      </c>
      <c r="W885" s="19" t="s">
        <v>2014</v>
      </c>
      <c r="X885">
        <v>1</v>
      </c>
      <c r="Y885">
        <v>0</v>
      </c>
      <c r="Z885">
        <v>100</v>
      </c>
      <c r="AA885">
        <v>5</v>
      </c>
      <c r="AB885">
        <v>60</v>
      </c>
      <c r="AC885">
        <v>2</v>
      </c>
      <c r="AD885">
        <v>7</v>
      </c>
      <c r="AE885" s="19" t="s">
        <v>60</v>
      </c>
    </row>
    <row r="886" spans="1:31" x14ac:dyDescent="0.2">
      <c r="A886">
        <v>835</v>
      </c>
      <c r="B886" s="19" t="s">
        <v>1315</v>
      </c>
      <c r="C886">
        <v>34</v>
      </c>
      <c r="D886" s="19" t="s">
        <v>333</v>
      </c>
      <c r="E886" s="19" t="s">
        <v>3</v>
      </c>
      <c r="F886">
        <v>20</v>
      </c>
      <c r="G886">
        <v>0</v>
      </c>
      <c r="H886">
        <v>0</v>
      </c>
      <c r="I886">
        <v>0</v>
      </c>
      <c r="J886">
        <v>0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2237</v>
      </c>
      <c r="W886" s="19" t="s">
        <v>2134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6</v>
      </c>
      <c r="AE886" s="19" t="s">
        <v>60</v>
      </c>
    </row>
    <row r="887" spans="1:31" x14ac:dyDescent="0.2">
      <c r="A887">
        <v>836</v>
      </c>
      <c r="B887" s="19" t="s">
        <v>1316</v>
      </c>
      <c r="C887">
        <v>22</v>
      </c>
      <c r="D887" s="19" t="s">
        <v>372</v>
      </c>
      <c r="E887" s="19" t="s">
        <v>334</v>
      </c>
      <c r="F887">
        <v>6</v>
      </c>
      <c r="G887">
        <v>0</v>
      </c>
      <c r="H887">
        <v>0</v>
      </c>
      <c r="I887">
        <v>0</v>
      </c>
      <c r="J887">
        <v>-3</v>
      </c>
      <c r="K887">
        <v>2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6</v>
      </c>
      <c r="T887">
        <v>0</v>
      </c>
      <c r="U887">
        <v>14</v>
      </c>
      <c r="V887" s="19" t="s">
        <v>1317</v>
      </c>
      <c r="W887" s="19" t="s">
        <v>1318</v>
      </c>
      <c r="X887">
        <v>0</v>
      </c>
      <c r="Y887">
        <v>0</v>
      </c>
      <c r="AA887">
        <v>0</v>
      </c>
      <c r="AB887">
        <v>4</v>
      </c>
      <c r="AC887">
        <v>0</v>
      </c>
      <c r="AD887">
        <v>2</v>
      </c>
      <c r="AE887" s="19" t="s">
        <v>60</v>
      </c>
    </row>
    <row r="888" spans="1:31" x14ac:dyDescent="0.2">
      <c r="A888">
        <v>837</v>
      </c>
      <c r="B888" s="19" t="s">
        <v>1319</v>
      </c>
      <c r="C888">
        <v>24</v>
      </c>
      <c r="D888" s="19" t="s">
        <v>362</v>
      </c>
      <c r="E888" s="19" t="s">
        <v>3</v>
      </c>
      <c r="F888">
        <v>24</v>
      </c>
      <c r="G888">
        <v>0</v>
      </c>
      <c r="H888">
        <v>0</v>
      </c>
      <c r="I888">
        <v>0</v>
      </c>
      <c r="J888">
        <v>0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2810</v>
      </c>
      <c r="W888" s="19" t="s">
        <v>2811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10</v>
      </c>
      <c r="AE888" s="19" t="s">
        <v>60</v>
      </c>
    </row>
    <row r="889" spans="1:31" x14ac:dyDescent="0.2">
      <c r="A889">
        <v>838</v>
      </c>
      <c r="B889" s="19" t="s">
        <v>1320</v>
      </c>
      <c r="C889">
        <v>25</v>
      </c>
      <c r="D889" s="19" t="s">
        <v>336</v>
      </c>
      <c r="E889" s="19" t="s">
        <v>3</v>
      </c>
      <c r="F889">
        <v>35</v>
      </c>
      <c r="G889">
        <v>0</v>
      </c>
      <c r="H889">
        <v>0</v>
      </c>
      <c r="I889">
        <v>0</v>
      </c>
      <c r="J889">
        <v>0</v>
      </c>
      <c r="K889">
        <v>4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1</v>
      </c>
      <c r="V889" s="19" t="s">
        <v>2370</v>
      </c>
      <c r="W889" s="19" t="s">
        <v>1702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14</v>
      </c>
      <c r="AE889" s="19" t="s">
        <v>60</v>
      </c>
    </row>
    <row r="890" spans="1:31" x14ac:dyDescent="0.2">
      <c r="A890">
        <v>839</v>
      </c>
      <c r="B890" s="19" t="s">
        <v>1777</v>
      </c>
      <c r="C890">
        <v>35</v>
      </c>
      <c r="D890" s="19" t="s">
        <v>360</v>
      </c>
      <c r="E890" s="19" t="s">
        <v>322</v>
      </c>
      <c r="F890">
        <v>2</v>
      </c>
      <c r="G890">
        <v>0</v>
      </c>
      <c r="H890">
        <v>0</v>
      </c>
      <c r="I890">
        <v>0</v>
      </c>
      <c r="J890">
        <v>-1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1</v>
      </c>
      <c r="T890">
        <v>0</v>
      </c>
      <c r="U890">
        <v>3</v>
      </c>
      <c r="V890" s="19" t="s">
        <v>1784</v>
      </c>
      <c r="W890" s="19" t="s">
        <v>1170</v>
      </c>
      <c r="X890">
        <v>1</v>
      </c>
      <c r="Y890">
        <v>2</v>
      </c>
      <c r="Z890">
        <v>33.299999999999997</v>
      </c>
      <c r="AA890">
        <v>1</v>
      </c>
      <c r="AB890">
        <v>3</v>
      </c>
      <c r="AC890">
        <v>0</v>
      </c>
      <c r="AD890">
        <v>0</v>
      </c>
      <c r="AE890" s="19" t="s">
        <v>60</v>
      </c>
    </row>
    <row r="891" spans="1:31" x14ac:dyDescent="0.2">
      <c r="A891">
        <v>840</v>
      </c>
      <c r="B891" s="19" t="s">
        <v>1321</v>
      </c>
      <c r="C891">
        <v>27</v>
      </c>
      <c r="D891" s="19" t="s">
        <v>365</v>
      </c>
      <c r="E891" s="19" t="s">
        <v>322</v>
      </c>
      <c r="F891">
        <v>6</v>
      </c>
      <c r="G891">
        <v>0</v>
      </c>
      <c r="H891">
        <v>0</v>
      </c>
      <c r="I891">
        <v>0</v>
      </c>
      <c r="J891">
        <v>0</v>
      </c>
      <c r="K891">
        <v>2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9</v>
      </c>
      <c r="T891">
        <v>0</v>
      </c>
      <c r="U891">
        <v>19</v>
      </c>
      <c r="V891" s="19" t="s">
        <v>1322</v>
      </c>
      <c r="W891" s="19" t="s">
        <v>481</v>
      </c>
      <c r="X891">
        <v>33</v>
      </c>
      <c r="Y891">
        <v>45</v>
      </c>
      <c r="Z891">
        <v>42.3</v>
      </c>
      <c r="AA891">
        <v>3</v>
      </c>
      <c r="AB891">
        <v>6</v>
      </c>
      <c r="AC891">
        <v>1</v>
      </c>
      <c r="AD891">
        <v>2</v>
      </c>
      <c r="AE891" s="19" t="s">
        <v>60</v>
      </c>
    </row>
    <row r="892" spans="1:31" x14ac:dyDescent="0.2">
      <c r="A892">
        <v>841</v>
      </c>
      <c r="B892" s="19" t="s">
        <v>2812</v>
      </c>
      <c r="C892">
        <v>30</v>
      </c>
      <c r="D892" s="19" t="s">
        <v>460</v>
      </c>
      <c r="E892" s="19" t="s">
        <v>348</v>
      </c>
      <c r="F892">
        <v>1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2813</v>
      </c>
      <c r="W892" s="19" t="s">
        <v>2813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1</v>
      </c>
      <c r="AE892" s="19" t="s">
        <v>60</v>
      </c>
    </row>
    <row r="893" spans="1:31" x14ac:dyDescent="0.2">
      <c r="A893">
        <v>842</v>
      </c>
      <c r="B893" s="19" t="s">
        <v>1323</v>
      </c>
      <c r="C893">
        <v>22</v>
      </c>
      <c r="D893" s="19" t="s">
        <v>362</v>
      </c>
      <c r="E893" s="19" t="s">
        <v>348</v>
      </c>
      <c r="F893">
        <v>11</v>
      </c>
      <c r="G893">
        <v>0</v>
      </c>
      <c r="H893">
        <v>0</v>
      </c>
      <c r="I893">
        <v>0</v>
      </c>
      <c r="J893">
        <v>3</v>
      </c>
      <c r="K893">
        <v>6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7</v>
      </c>
      <c r="T893">
        <v>0</v>
      </c>
      <c r="U893">
        <v>19</v>
      </c>
      <c r="V893" s="19" t="s">
        <v>1766</v>
      </c>
      <c r="W893" s="19" t="s">
        <v>1649</v>
      </c>
      <c r="X893">
        <v>0</v>
      </c>
      <c r="Y893">
        <v>0</v>
      </c>
      <c r="AA893">
        <v>5</v>
      </c>
      <c r="AB893">
        <v>4</v>
      </c>
      <c r="AC893">
        <v>2</v>
      </c>
      <c r="AD893">
        <v>6</v>
      </c>
      <c r="AE893" s="19" t="s">
        <v>60</v>
      </c>
    </row>
    <row r="894" spans="1:31" x14ac:dyDescent="0.2">
      <c r="A894">
        <v>843</v>
      </c>
      <c r="B894" s="19" t="s">
        <v>1325</v>
      </c>
      <c r="C894">
        <v>26</v>
      </c>
      <c r="D894" s="19" t="s">
        <v>406</v>
      </c>
      <c r="E894" s="19" t="s">
        <v>3</v>
      </c>
      <c r="F894">
        <v>23</v>
      </c>
      <c r="G894">
        <v>0</v>
      </c>
      <c r="H894">
        <v>0</v>
      </c>
      <c r="I894">
        <v>0</v>
      </c>
      <c r="J894">
        <v>0</v>
      </c>
      <c r="K894">
        <v>2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2814</v>
      </c>
      <c r="W894" s="19" t="s">
        <v>2133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4</v>
      </c>
      <c r="AE894" s="19" t="s">
        <v>60</v>
      </c>
    </row>
    <row r="895" spans="1:31" x14ac:dyDescent="0.2">
      <c r="A895">
        <v>844</v>
      </c>
      <c r="B895" s="19" t="s">
        <v>1326</v>
      </c>
      <c r="C895">
        <v>24</v>
      </c>
      <c r="D895" s="19" t="s">
        <v>396</v>
      </c>
      <c r="E895" s="19" t="s">
        <v>348</v>
      </c>
      <c r="F895">
        <v>1</v>
      </c>
      <c r="G895">
        <v>0</v>
      </c>
      <c r="H895">
        <v>0</v>
      </c>
      <c r="I895">
        <v>0</v>
      </c>
      <c r="J895">
        <v>-2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2</v>
      </c>
      <c r="T895">
        <v>0</v>
      </c>
      <c r="U895">
        <v>5</v>
      </c>
      <c r="V895" s="19" t="s">
        <v>870</v>
      </c>
      <c r="W895" s="19" t="s">
        <v>870</v>
      </c>
      <c r="X895">
        <v>0</v>
      </c>
      <c r="Y895">
        <v>0</v>
      </c>
      <c r="AA895">
        <v>3</v>
      </c>
      <c r="AB895">
        <v>1</v>
      </c>
      <c r="AC895">
        <v>0</v>
      </c>
      <c r="AD895">
        <v>0</v>
      </c>
      <c r="AE895" s="19" t="s">
        <v>60</v>
      </c>
    </row>
    <row r="896" spans="1:31" x14ac:dyDescent="0.2">
      <c r="A896">
        <v>845</v>
      </c>
      <c r="B896" s="19" t="s">
        <v>1327</v>
      </c>
      <c r="C896">
        <v>29</v>
      </c>
      <c r="D896" s="19" t="s">
        <v>345</v>
      </c>
      <c r="E896" s="19" t="s">
        <v>348</v>
      </c>
      <c r="F896">
        <v>17</v>
      </c>
      <c r="G896">
        <v>0</v>
      </c>
      <c r="H896">
        <v>0</v>
      </c>
      <c r="I896">
        <v>0</v>
      </c>
      <c r="J896">
        <v>-7</v>
      </c>
      <c r="K896">
        <v>6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11</v>
      </c>
      <c r="T896">
        <v>0</v>
      </c>
      <c r="U896">
        <v>28</v>
      </c>
      <c r="V896" s="19" t="s">
        <v>1838</v>
      </c>
      <c r="W896" s="19" t="s">
        <v>1331</v>
      </c>
      <c r="X896">
        <v>0</v>
      </c>
      <c r="Y896">
        <v>0</v>
      </c>
      <c r="AA896">
        <v>26</v>
      </c>
      <c r="AB896">
        <v>23</v>
      </c>
      <c r="AC896">
        <v>5</v>
      </c>
      <c r="AD896">
        <v>11</v>
      </c>
      <c r="AE896" s="19" t="s">
        <v>60</v>
      </c>
    </row>
    <row r="897" spans="1:31" x14ac:dyDescent="0.2">
      <c r="A897">
        <v>846</v>
      </c>
      <c r="B897" s="19" t="s">
        <v>1329</v>
      </c>
      <c r="C897">
        <v>33</v>
      </c>
      <c r="D897" s="19" t="s">
        <v>447</v>
      </c>
      <c r="E897" s="19" t="s">
        <v>348</v>
      </c>
      <c r="F897">
        <v>2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1</v>
      </c>
      <c r="T897">
        <v>0</v>
      </c>
      <c r="U897">
        <v>1</v>
      </c>
      <c r="V897" s="19" t="s">
        <v>1330</v>
      </c>
      <c r="W897" s="19" t="s">
        <v>1331</v>
      </c>
      <c r="X897">
        <v>0</v>
      </c>
      <c r="Y897">
        <v>0</v>
      </c>
      <c r="AA897">
        <v>4</v>
      </c>
      <c r="AB897">
        <v>2</v>
      </c>
      <c r="AC897">
        <v>0</v>
      </c>
      <c r="AD897">
        <v>5</v>
      </c>
      <c r="AE897" s="19" t="s">
        <v>60</v>
      </c>
    </row>
    <row r="898" spans="1:31" x14ac:dyDescent="0.2">
      <c r="A898">
        <v>847</v>
      </c>
      <c r="B898" s="19" t="s">
        <v>1332</v>
      </c>
      <c r="C898">
        <v>33</v>
      </c>
      <c r="D898" s="19" t="s">
        <v>419</v>
      </c>
      <c r="E898" s="19" t="s">
        <v>3</v>
      </c>
      <c r="F898">
        <v>20</v>
      </c>
      <c r="G898">
        <v>0</v>
      </c>
      <c r="H898">
        <v>0</v>
      </c>
      <c r="I898">
        <v>0</v>
      </c>
      <c r="J898">
        <v>0</v>
      </c>
      <c r="K898">
        <v>4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2815</v>
      </c>
      <c r="W898" s="19" t="s">
        <v>2816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7</v>
      </c>
      <c r="AE898" s="19" t="s">
        <v>60</v>
      </c>
    </row>
    <row r="899" spans="1:31" x14ac:dyDescent="0.2">
      <c r="A899">
        <v>848</v>
      </c>
      <c r="B899" s="19" t="s">
        <v>1544</v>
      </c>
      <c r="C899">
        <v>21</v>
      </c>
      <c r="D899" s="19" t="s">
        <v>362</v>
      </c>
      <c r="E899" s="19" t="s">
        <v>3</v>
      </c>
      <c r="F899">
        <v>10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2058</v>
      </c>
      <c r="W899" s="19" t="s">
        <v>2059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3</v>
      </c>
      <c r="AE899" s="19" t="s">
        <v>60</v>
      </c>
    </row>
    <row r="900" spans="1:31" x14ac:dyDescent="0.2">
      <c r="A900">
        <v>849</v>
      </c>
      <c r="B900" s="19" t="s">
        <v>1333</v>
      </c>
      <c r="C900">
        <v>24</v>
      </c>
      <c r="D900" s="19" t="s">
        <v>406</v>
      </c>
      <c r="E900" s="19" t="s">
        <v>325</v>
      </c>
      <c r="F900">
        <v>3</v>
      </c>
      <c r="G900">
        <v>0</v>
      </c>
      <c r="H900">
        <v>0</v>
      </c>
      <c r="I900">
        <v>0</v>
      </c>
      <c r="J900">
        <v>-1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3</v>
      </c>
      <c r="T900">
        <v>0</v>
      </c>
      <c r="U900">
        <v>4</v>
      </c>
      <c r="V900" s="19" t="s">
        <v>1334</v>
      </c>
      <c r="W900" s="19" t="s">
        <v>1335</v>
      </c>
      <c r="X900">
        <v>9</v>
      </c>
      <c r="Y900">
        <v>10</v>
      </c>
      <c r="Z900">
        <v>47.4</v>
      </c>
      <c r="AA900">
        <v>1</v>
      </c>
      <c r="AB900">
        <v>2</v>
      </c>
      <c r="AC900">
        <v>0</v>
      </c>
      <c r="AD900">
        <v>2</v>
      </c>
      <c r="AE900" s="19" t="s">
        <v>60</v>
      </c>
    </row>
    <row r="901" spans="1:31" x14ac:dyDescent="0.2">
      <c r="A901">
        <v>850</v>
      </c>
      <c r="B901" s="19" t="s">
        <v>1336</v>
      </c>
      <c r="C901">
        <v>30</v>
      </c>
      <c r="D901" s="19" t="s">
        <v>428</v>
      </c>
      <c r="E901" s="19" t="s">
        <v>348</v>
      </c>
      <c r="F901">
        <v>5</v>
      </c>
      <c r="G901">
        <v>0</v>
      </c>
      <c r="H901">
        <v>0</v>
      </c>
      <c r="I901">
        <v>0</v>
      </c>
      <c r="J901">
        <v>-1</v>
      </c>
      <c r="K901">
        <v>12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1</v>
      </c>
      <c r="T901">
        <v>0</v>
      </c>
      <c r="U901">
        <v>2</v>
      </c>
      <c r="V901" s="19" t="s">
        <v>363</v>
      </c>
      <c r="W901" s="19" t="s">
        <v>1337</v>
      </c>
      <c r="X901">
        <v>0</v>
      </c>
      <c r="Y901">
        <v>0</v>
      </c>
      <c r="AA901">
        <v>0</v>
      </c>
      <c r="AB901">
        <v>8</v>
      </c>
      <c r="AC901">
        <v>0</v>
      </c>
      <c r="AD901">
        <v>0</v>
      </c>
      <c r="AE901" s="19" t="s">
        <v>60</v>
      </c>
    </row>
    <row r="902" spans="1:31" x14ac:dyDescent="0.2">
      <c r="A902">
        <v>851</v>
      </c>
      <c r="B902" s="19" t="s">
        <v>1338</v>
      </c>
      <c r="C902">
        <v>29</v>
      </c>
      <c r="D902" s="19" t="s">
        <v>416</v>
      </c>
      <c r="E902" s="19" t="s">
        <v>348</v>
      </c>
      <c r="F902">
        <v>1</v>
      </c>
      <c r="G902">
        <v>0</v>
      </c>
      <c r="H902">
        <v>0</v>
      </c>
      <c r="I902">
        <v>0</v>
      </c>
      <c r="J902">
        <v>-1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2</v>
      </c>
      <c r="V902" s="19" t="s">
        <v>1339</v>
      </c>
      <c r="W902" s="19" t="s">
        <v>1339</v>
      </c>
      <c r="X902">
        <v>0</v>
      </c>
      <c r="Y902">
        <v>0</v>
      </c>
      <c r="AA902">
        <v>1</v>
      </c>
      <c r="AB902">
        <v>0</v>
      </c>
      <c r="AC902">
        <v>0</v>
      </c>
      <c r="AD902">
        <v>3</v>
      </c>
      <c r="AE902" s="19" t="s">
        <v>60</v>
      </c>
    </row>
    <row r="903" spans="1:31" x14ac:dyDescent="0.2">
      <c r="A903">
        <v>852</v>
      </c>
      <c r="B903" s="19" t="s">
        <v>1340</v>
      </c>
      <c r="C903">
        <v>26</v>
      </c>
      <c r="D903" s="19" t="s">
        <v>406</v>
      </c>
      <c r="E903" s="19" t="s">
        <v>348</v>
      </c>
      <c r="F903">
        <v>5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2</v>
      </c>
      <c r="T903">
        <v>0</v>
      </c>
      <c r="U903">
        <v>9</v>
      </c>
      <c r="V903" s="19" t="s">
        <v>1341</v>
      </c>
      <c r="W903" s="19" t="s">
        <v>1342</v>
      </c>
      <c r="X903">
        <v>0</v>
      </c>
      <c r="Y903">
        <v>0</v>
      </c>
      <c r="AA903">
        <v>5</v>
      </c>
      <c r="AB903">
        <v>4</v>
      </c>
      <c r="AC903">
        <v>0</v>
      </c>
      <c r="AD903">
        <v>5</v>
      </c>
      <c r="AE903" s="19" t="s">
        <v>60</v>
      </c>
    </row>
    <row r="904" spans="1:31" x14ac:dyDescent="0.2">
      <c r="A904">
        <v>853</v>
      </c>
      <c r="B904" s="19" t="s">
        <v>1343</v>
      </c>
      <c r="C904">
        <v>24</v>
      </c>
      <c r="D904" s="19" t="s">
        <v>380</v>
      </c>
      <c r="E904" s="19" t="s">
        <v>3</v>
      </c>
      <c r="F904">
        <v>35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1</v>
      </c>
      <c r="T904">
        <v>0</v>
      </c>
      <c r="U904">
        <v>1</v>
      </c>
      <c r="V904" s="19" t="s">
        <v>2310</v>
      </c>
      <c r="W904" s="19" t="s">
        <v>2311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11</v>
      </c>
      <c r="AE904" s="19" t="s">
        <v>60</v>
      </c>
    </row>
    <row r="905" spans="1:31" x14ac:dyDescent="0.2">
      <c r="A905">
        <v>854</v>
      </c>
      <c r="B905" s="19" t="s">
        <v>1347</v>
      </c>
      <c r="C905">
        <v>33</v>
      </c>
      <c r="D905" s="19" t="s">
        <v>370</v>
      </c>
      <c r="E905" s="19" t="s">
        <v>348</v>
      </c>
      <c r="F905">
        <v>1</v>
      </c>
      <c r="G905">
        <v>0</v>
      </c>
      <c r="H905">
        <v>0</v>
      </c>
      <c r="I905">
        <v>0</v>
      </c>
      <c r="J905">
        <v>-1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2</v>
      </c>
      <c r="T905">
        <v>0</v>
      </c>
      <c r="U905">
        <v>2</v>
      </c>
      <c r="V905" s="19" t="s">
        <v>874</v>
      </c>
      <c r="W905" s="19" t="s">
        <v>874</v>
      </c>
      <c r="X905">
        <v>0</v>
      </c>
      <c r="Y905">
        <v>0</v>
      </c>
      <c r="AA905">
        <v>1</v>
      </c>
      <c r="AB905">
        <v>1</v>
      </c>
      <c r="AC905">
        <v>1</v>
      </c>
      <c r="AD905">
        <v>1</v>
      </c>
      <c r="AE905" s="19" t="s">
        <v>60</v>
      </c>
    </row>
    <row r="906" spans="1:31" x14ac:dyDescent="0.2">
      <c r="A906">
        <v>855</v>
      </c>
      <c r="B906" s="19" t="s">
        <v>1349</v>
      </c>
      <c r="C906">
        <v>21</v>
      </c>
      <c r="D906" s="19" t="s">
        <v>356</v>
      </c>
      <c r="E906" s="19" t="s">
        <v>322</v>
      </c>
      <c r="F906">
        <v>5</v>
      </c>
      <c r="G906">
        <v>0</v>
      </c>
      <c r="H906">
        <v>0</v>
      </c>
      <c r="I906">
        <v>0</v>
      </c>
      <c r="J906">
        <v>-4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4</v>
      </c>
      <c r="T906">
        <v>0</v>
      </c>
      <c r="U906">
        <v>6</v>
      </c>
      <c r="V906" s="19" t="s">
        <v>1446</v>
      </c>
      <c r="W906" s="19" t="s">
        <v>2110</v>
      </c>
      <c r="X906">
        <v>18</v>
      </c>
      <c r="Y906">
        <v>19</v>
      </c>
      <c r="Z906">
        <v>48.6</v>
      </c>
      <c r="AA906">
        <v>1</v>
      </c>
      <c r="AB906">
        <v>6</v>
      </c>
      <c r="AC906">
        <v>1</v>
      </c>
      <c r="AD906">
        <v>3</v>
      </c>
      <c r="AE906" s="19" t="s">
        <v>60</v>
      </c>
    </row>
    <row r="907" spans="1:31" x14ac:dyDescent="0.2">
      <c r="A907">
        <v>856</v>
      </c>
      <c r="B907" s="19" t="s">
        <v>1564</v>
      </c>
      <c r="C907">
        <v>29</v>
      </c>
      <c r="D907" s="19" t="s">
        <v>351</v>
      </c>
      <c r="E907" s="19" t="s">
        <v>3</v>
      </c>
      <c r="F907">
        <v>1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1565</v>
      </c>
      <c r="W907" s="19" t="s">
        <v>1565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0</v>
      </c>
      <c r="AE907" s="19" t="s">
        <v>60</v>
      </c>
    </row>
    <row r="908" spans="1:31" x14ac:dyDescent="0.2">
      <c r="A908">
        <v>857</v>
      </c>
      <c r="B908" s="19" t="s">
        <v>1350</v>
      </c>
      <c r="C908">
        <v>27</v>
      </c>
      <c r="D908" s="19" t="s">
        <v>343</v>
      </c>
      <c r="E908" s="19" t="s">
        <v>3</v>
      </c>
      <c r="F908">
        <v>12</v>
      </c>
      <c r="G908">
        <v>0</v>
      </c>
      <c r="H908">
        <v>0</v>
      </c>
      <c r="I908">
        <v>0</v>
      </c>
      <c r="J908">
        <v>0</v>
      </c>
      <c r="K908">
        <v>2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1869</v>
      </c>
      <c r="W908" s="19" t="s">
        <v>1870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5</v>
      </c>
      <c r="AE908" s="19" t="s">
        <v>60</v>
      </c>
    </row>
    <row r="909" spans="1:31" x14ac:dyDescent="0.2">
      <c r="A909">
        <v>858</v>
      </c>
      <c r="B909" s="19" t="s">
        <v>1352</v>
      </c>
      <c r="C909">
        <v>30</v>
      </c>
      <c r="D909" s="19" t="s">
        <v>531</v>
      </c>
      <c r="E909" s="19" t="s">
        <v>322</v>
      </c>
      <c r="F909">
        <v>3</v>
      </c>
      <c r="G909">
        <v>0</v>
      </c>
      <c r="H909">
        <v>0</v>
      </c>
      <c r="I909">
        <v>0</v>
      </c>
      <c r="J909">
        <v>-1</v>
      </c>
      <c r="K909">
        <v>2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2</v>
      </c>
      <c r="T909">
        <v>0</v>
      </c>
      <c r="U909">
        <v>5</v>
      </c>
      <c r="V909" s="19" t="s">
        <v>1353</v>
      </c>
      <c r="W909" s="19" t="s">
        <v>1354</v>
      </c>
      <c r="X909">
        <v>6</v>
      </c>
      <c r="Y909">
        <v>9</v>
      </c>
      <c r="Z909">
        <v>40</v>
      </c>
      <c r="AA909">
        <v>2</v>
      </c>
      <c r="AB909">
        <v>7</v>
      </c>
      <c r="AC909">
        <v>1</v>
      </c>
      <c r="AD909">
        <v>2</v>
      </c>
      <c r="AE909" s="19" t="s">
        <v>60</v>
      </c>
    </row>
    <row r="910" spans="1:31" x14ac:dyDescent="0.2">
      <c r="A910">
        <v>859</v>
      </c>
      <c r="B910" s="19" t="s">
        <v>1356</v>
      </c>
      <c r="C910">
        <v>32</v>
      </c>
      <c r="D910" s="19" t="s">
        <v>345</v>
      </c>
      <c r="E910" s="19" t="s">
        <v>3</v>
      </c>
      <c r="F910">
        <v>33</v>
      </c>
      <c r="G910">
        <v>0</v>
      </c>
      <c r="H910">
        <v>0</v>
      </c>
      <c r="I910">
        <v>0</v>
      </c>
      <c r="J910">
        <v>0</v>
      </c>
      <c r="K910">
        <v>2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2817</v>
      </c>
      <c r="W910" s="19" t="s">
        <v>1868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11</v>
      </c>
      <c r="AE910" s="19" t="s">
        <v>60</v>
      </c>
    </row>
    <row r="911" spans="1:31" x14ac:dyDescent="0.2">
      <c r="A911">
        <v>860</v>
      </c>
      <c r="B911" s="19" t="s">
        <v>1357</v>
      </c>
      <c r="C911">
        <v>24</v>
      </c>
      <c r="D911" s="19" t="s">
        <v>358</v>
      </c>
      <c r="E911" s="19" t="s">
        <v>3</v>
      </c>
      <c r="F911">
        <v>19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2161</v>
      </c>
      <c r="W911" s="19" t="s">
        <v>2162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6</v>
      </c>
      <c r="AE911" s="19" t="s">
        <v>60</v>
      </c>
    </row>
    <row r="912" spans="1:31" x14ac:dyDescent="0.2">
      <c r="A912">
        <v>861</v>
      </c>
      <c r="B912" s="19" t="s">
        <v>1358</v>
      </c>
      <c r="C912">
        <v>29</v>
      </c>
      <c r="D912" s="19" t="s">
        <v>343</v>
      </c>
      <c r="E912" s="19" t="s">
        <v>3</v>
      </c>
      <c r="F912">
        <v>9</v>
      </c>
      <c r="G912">
        <v>0</v>
      </c>
      <c r="H912">
        <v>0</v>
      </c>
      <c r="I912">
        <v>0</v>
      </c>
      <c r="J912">
        <v>0</v>
      </c>
      <c r="K912">
        <v>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2371</v>
      </c>
      <c r="W912" s="19" t="s">
        <v>2818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0</v>
      </c>
      <c r="AE912" s="19" t="s">
        <v>60</v>
      </c>
    </row>
    <row r="913" spans="1:31" x14ac:dyDescent="0.2">
      <c r="A913">
        <v>862</v>
      </c>
      <c r="B913" s="19" t="s">
        <v>1359</v>
      </c>
      <c r="C913">
        <v>29</v>
      </c>
      <c r="D913" s="19" t="s">
        <v>416</v>
      </c>
      <c r="E913" s="19" t="s">
        <v>334</v>
      </c>
      <c r="F913">
        <v>9</v>
      </c>
      <c r="G913">
        <v>0</v>
      </c>
      <c r="H913">
        <v>0</v>
      </c>
      <c r="I913">
        <v>0</v>
      </c>
      <c r="J913">
        <v>-1</v>
      </c>
      <c r="K913">
        <v>11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3</v>
      </c>
      <c r="T913">
        <v>0</v>
      </c>
      <c r="U913">
        <v>10</v>
      </c>
      <c r="V913" s="19" t="s">
        <v>1360</v>
      </c>
      <c r="W913" s="19" t="s">
        <v>1361</v>
      </c>
      <c r="X913">
        <v>0</v>
      </c>
      <c r="Y913">
        <v>0</v>
      </c>
      <c r="AA913">
        <v>0</v>
      </c>
      <c r="AB913">
        <v>23</v>
      </c>
      <c r="AC913">
        <v>0</v>
      </c>
      <c r="AD913">
        <v>3</v>
      </c>
      <c r="AE913" s="19" t="s">
        <v>60</v>
      </c>
    </row>
    <row r="914" spans="1:31" x14ac:dyDescent="0.2">
      <c r="A914">
        <v>863</v>
      </c>
      <c r="B914" s="19" t="s">
        <v>1362</v>
      </c>
      <c r="C914">
        <v>25</v>
      </c>
      <c r="D914" s="19" t="s">
        <v>513</v>
      </c>
      <c r="E914" s="19" t="s">
        <v>3</v>
      </c>
      <c r="F914">
        <v>28</v>
      </c>
      <c r="G914">
        <v>0</v>
      </c>
      <c r="H914">
        <v>0</v>
      </c>
      <c r="I914">
        <v>0</v>
      </c>
      <c r="J914">
        <v>0</v>
      </c>
      <c r="K914">
        <v>2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4</v>
      </c>
      <c r="V914" s="19" t="s">
        <v>2312</v>
      </c>
      <c r="W914" s="19" t="s">
        <v>2313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24</v>
      </c>
      <c r="AE914" s="19" t="s">
        <v>60</v>
      </c>
    </row>
    <row r="915" spans="1:31" x14ac:dyDescent="0.2">
      <c r="A915">
        <v>864</v>
      </c>
      <c r="B915" s="19" t="s">
        <v>1767</v>
      </c>
      <c r="C915">
        <v>31</v>
      </c>
      <c r="D915" s="19" t="s">
        <v>383</v>
      </c>
      <c r="E915" s="19" t="s">
        <v>3</v>
      </c>
      <c r="F915">
        <v>1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s="19" t="s">
        <v>1618</v>
      </c>
      <c r="W915" s="19" t="s">
        <v>1618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0</v>
      </c>
      <c r="AE915" s="19" t="s">
        <v>60</v>
      </c>
    </row>
    <row r="916" spans="1:31" x14ac:dyDescent="0.2">
      <c r="A916">
        <v>865</v>
      </c>
      <c r="B916" s="19" t="s">
        <v>1364</v>
      </c>
      <c r="C916">
        <v>30</v>
      </c>
      <c r="D916" s="19" t="s">
        <v>436</v>
      </c>
      <c r="E916" s="19" t="s">
        <v>339</v>
      </c>
      <c r="F916">
        <v>3</v>
      </c>
      <c r="G916">
        <v>0</v>
      </c>
      <c r="H916">
        <v>0</v>
      </c>
      <c r="I916">
        <v>0</v>
      </c>
      <c r="J916">
        <v>-3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4</v>
      </c>
      <c r="T916">
        <v>0</v>
      </c>
      <c r="U916">
        <v>5</v>
      </c>
      <c r="V916" s="19" t="s">
        <v>2060</v>
      </c>
      <c r="W916" s="19" t="s">
        <v>1075</v>
      </c>
      <c r="X916">
        <v>0</v>
      </c>
      <c r="Y916">
        <v>0</v>
      </c>
      <c r="AA916">
        <v>4</v>
      </c>
      <c r="AB916">
        <v>9</v>
      </c>
      <c r="AC916">
        <v>0</v>
      </c>
      <c r="AD916">
        <v>3</v>
      </c>
      <c r="AE916" s="19" t="s">
        <v>60</v>
      </c>
    </row>
    <row r="917" spans="1:31" x14ac:dyDescent="0.2">
      <c r="A917">
        <v>866</v>
      </c>
      <c r="B917" s="19" t="s">
        <v>1365</v>
      </c>
      <c r="C917">
        <v>30</v>
      </c>
      <c r="D917" s="19" t="s">
        <v>336</v>
      </c>
      <c r="E917" s="19" t="s">
        <v>3</v>
      </c>
      <c r="F917">
        <v>12</v>
      </c>
      <c r="G917">
        <v>0</v>
      </c>
      <c r="H917">
        <v>0</v>
      </c>
      <c r="I917">
        <v>0</v>
      </c>
      <c r="J917">
        <v>0</v>
      </c>
      <c r="K917">
        <v>2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2819</v>
      </c>
      <c r="W917" s="19" t="s">
        <v>2784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6</v>
      </c>
      <c r="AE917" s="19" t="s">
        <v>60</v>
      </c>
    </row>
    <row r="918" spans="1:31" x14ac:dyDescent="0.2">
      <c r="A918">
        <v>867</v>
      </c>
      <c r="B918" s="19" t="s">
        <v>1366</v>
      </c>
      <c r="C918">
        <v>29</v>
      </c>
      <c r="D918" s="19" t="s">
        <v>375</v>
      </c>
      <c r="E918" s="19" t="s">
        <v>339</v>
      </c>
      <c r="F918">
        <v>2</v>
      </c>
      <c r="G918">
        <v>0</v>
      </c>
      <c r="H918">
        <v>0</v>
      </c>
      <c r="I918">
        <v>0</v>
      </c>
      <c r="J918">
        <v>0</v>
      </c>
      <c r="K918">
        <v>5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2</v>
      </c>
      <c r="T918">
        <v>0</v>
      </c>
      <c r="U918">
        <v>4</v>
      </c>
      <c r="V918" s="19" t="s">
        <v>660</v>
      </c>
      <c r="W918" s="19" t="s">
        <v>1367</v>
      </c>
      <c r="X918">
        <v>0</v>
      </c>
      <c r="Y918">
        <v>0</v>
      </c>
      <c r="AA918">
        <v>0</v>
      </c>
      <c r="AB918">
        <v>3</v>
      </c>
      <c r="AC918">
        <v>0</v>
      </c>
      <c r="AD918">
        <v>2</v>
      </c>
      <c r="AE918" s="19" t="s">
        <v>60</v>
      </c>
    </row>
    <row r="919" spans="1:31" x14ac:dyDescent="0.2">
      <c r="A919">
        <v>868</v>
      </c>
      <c r="B919" s="19" t="s">
        <v>1369</v>
      </c>
      <c r="C919">
        <v>30</v>
      </c>
      <c r="D919" s="19" t="s">
        <v>948</v>
      </c>
      <c r="E919" s="19" t="s">
        <v>3</v>
      </c>
      <c r="F919">
        <v>23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2820</v>
      </c>
      <c r="W919" s="19" t="s">
        <v>2821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12</v>
      </c>
      <c r="AE919" s="19" t="s">
        <v>60</v>
      </c>
    </row>
    <row r="920" spans="1:31" x14ac:dyDescent="0.2">
      <c r="A920">
        <v>868</v>
      </c>
      <c r="B920" s="19" t="s">
        <v>1369</v>
      </c>
      <c r="C920">
        <v>30</v>
      </c>
      <c r="D920" s="19" t="s">
        <v>375</v>
      </c>
      <c r="E920" s="19" t="s">
        <v>3</v>
      </c>
      <c r="F920">
        <v>14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1545</v>
      </c>
      <c r="W920" s="19" t="s">
        <v>1546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4</v>
      </c>
      <c r="AE920" s="19" t="s">
        <v>60</v>
      </c>
    </row>
    <row r="921" spans="1:31" x14ac:dyDescent="0.2">
      <c r="A921">
        <v>868</v>
      </c>
      <c r="B921" s="19" t="s">
        <v>1369</v>
      </c>
      <c r="C921">
        <v>30</v>
      </c>
      <c r="D921" s="19" t="s">
        <v>327</v>
      </c>
      <c r="E921" s="19" t="s">
        <v>3</v>
      </c>
      <c r="F921">
        <v>9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2822</v>
      </c>
      <c r="W921" s="19" t="s">
        <v>2823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8</v>
      </c>
      <c r="AE921" s="19" t="s">
        <v>60</v>
      </c>
    </row>
    <row r="922" spans="1:31" x14ac:dyDescent="0.2">
      <c r="A922">
        <v>869</v>
      </c>
      <c r="B922" s="19" t="s">
        <v>1370</v>
      </c>
      <c r="C922">
        <v>22</v>
      </c>
      <c r="D922" s="19" t="s">
        <v>356</v>
      </c>
      <c r="E922" s="19" t="s">
        <v>348</v>
      </c>
      <c r="F922">
        <v>23</v>
      </c>
      <c r="G922">
        <v>0</v>
      </c>
      <c r="H922">
        <v>0</v>
      </c>
      <c r="I922">
        <v>0</v>
      </c>
      <c r="J922">
        <v>0</v>
      </c>
      <c r="K922">
        <v>14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13</v>
      </c>
      <c r="T922">
        <v>0</v>
      </c>
      <c r="U922">
        <v>37</v>
      </c>
      <c r="V922" s="19" t="s">
        <v>2824</v>
      </c>
      <c r="W922" s="19" t="s">
        <v>2102</v>
      </c>
      <c r="X922">
        <v>0</v>
      </c>
      <c r="Y922">
        <v>0</v>
      </c>
      <c r="AA922">
        <v>18</v>
      </c>
      <c r="AB922">
        <v>7</v>
      </c>
      <c r="AC922">
        <v>3</v>
      </c>
      <c r="AD922">
        <v>22</v>
      </c>
      <c r="AE922" s="19" t="s">
        <v>60</v>
      </c>
    </row>
    <row r="923" spans="1:31" x14ac:dyDescent="0.2">
      <c r="A923">
        <v>870</v>
      </c>
      <c r="B923" s="19" t="s">
        <v>1371</v>
      </c>
      <c r="C923">
        <v>30</v>
      </c>
      <c r="D923" s="19" t="s">
        <v>351</v>
      </c>
      <c r="E923" s="19" t="s">
        <v>3</v>
      </c>
      <c r="F923">
        <v>19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2314</v>
      </c>
      <c r="W923" s="19" t="s">
        <v>2315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2</v>
      </c>
      <c r="AE923" s="19" t="s">
        <v>60</v>
      </c>
    </row>
    <row r="924" spans="1:31" x14ac:dyDescent="0.2">
      <c r="A924">
        <v>871</v>
      </c>
      <c r="B924" s="19" t="s">
        <v>1372</v>
      </c>
      <c r="C924">
        <v>24</v>
      </c>
      <c r="D924" s="19" t="s">
        <v>428</v>
      </c>
      <c r="E924" s="19" t="s">
        <v>348</v>
      </c>
      <c r="F924">
        <v>3</v>
      </c>
      <c r="G924">
        <v>0</v>
      </c>
      <c r="H924">
        <v>0</v>
      </c>
      <c r="I924">
        <v>0</v>
      </c>
      <c r="J924">
        <v>0</v>
      </c>
      <c r="K924">
        <v>2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4</v>
      </c>
      <c r="V924" s="19" t="s">
        <v>1373</v>
      </c>
      <c r="W924" s="19" t="s">
        <v>1374</v>
      </c>
      <c r="X924">
        <v>0</v>
      </c>
      <c r="Y924">
        <v>0</v>
      </c>
      <c r="AA924">
        <v>3</v>
      </c>
      <c r="AB924">
        <v>2</v>
      </c>
      <c r="AC924">
        <v>2</v>
      </c>
      <c r="AD924">
        <v>2</v>
      </c>
      <c r="AE924" s="19" t="s">
        <v>60</v>
      </c>
    </row>
    <row r="925" spans="1:31" x14ac:dyDescent="0.2">
      <c r="A925">
        <v>872</v>
      </c>
      <c r="B925" s="19" t="s">
        <v>1377</v>
      </c>
      <c r="C925">
        <v>21</v>
      </c>
      <c r="D925" s="19" t="s">
        <v>513</v>
      </c>
      <c r="E925" s="19" t="s">
        <v>322</v>
      </c>
      <c r="F925">
        <v>5</v>
      </c>
      <c r="G925">
        <v>0</v>
      </c>
      <c r="H925">
        <v>0</v>
      </c>
      <c r="I925">
        <v>0</v>
      </c>
      <c r="J925">
        <v>-6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6</v>
      </c>
      <c r="T925">
        <v>0</v>
      </c>
      <c r="U925">
        <v>8</v>
      </c>
      <c r="V925" s="19" t="s">
        <v>1547</v>
      </c>
      <c r="W925" s="19" t="s">
        <v>1149</v>
      </c>
      <c r="X925">
        <v>1</v>
      </c>
      <c r="Y925">
        <v>1</v>
      </c>
      <c r="Z925">
        <v>50</v>
      </c>
      <c r="AA925">
        <v>3</v>
      </c>
      <c r="AB925">
        <v>2</v>
      </c>
      <c r="AC925">
        <v>0</v>
      </c>
      <c r="AD925">
        <v>2</v>
      </c>
      <c r="AE925" s="19" t="s">
        <v>60</v>
      </c>
    </row>
    <row r="926" spans="1:31" x14ac:dyDescent="0.2">
      <c r="A926">
        <v>873</v>
      </c>
      <c r="B926" s="19" t="s">
        <v>1378</v>
      </c>
      <c r="C926">
        <v>27</v>
      </c>
      <c r="D926" s="19" t="s">
        <v>351</v>
      </c>
      <c r="E926" s="19" t="s">
        <v>339</v>
      </c>
      <c r="F926">
        <v>3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1</v>
      </c>
      <c r="V926" s="19" t="s">
        <v>1379</v>
      </c>
      <c r="W926" s="19" t="s">
        <v>1380</v>
      </c>
      <c r="X926">
        <v>7</v>
      </c>
      <c r="Y926">
        <v>12</v>
      </c>
      <c r="Z926">
        <v>36.799999999999997</v>
      </c>
      <c r="AA926">
        <v>2</v>
      </c>
      <c r="AB926">
        <v>5</v>
      </c>
      <c r="AC926">
        <v>0</v>
      </c>
      <c r="AD926">
        <v>0</v>
      </c>
      <c r="AE926" s="19" t="s">
        <v>60</v>
      </c>
    </row>
    <row r="927" spans="1:31" x14ac:dyDescent="0.2">
      <c r="A927">
        <v>874</v>
      </c>
      <c r="B927" s="19" t="s">
        <v>1381</v>
      </c>
      <c r="C927">
        <v>21</v>
      </c>
      <c r="D927" s="19" t="s">
        <v>460</v>
      </c>
      <c r="E927" s="19" t="s">
        <v>334</v>
      </c>
      <c r="F927">
        <v>2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1</v>
      </c>
      <c r="T927">
        <v>0</v>
      </c>
      <c r="U927">
        <v>5</v>
      </c>
      <c r="V927" s="19" t="s">
        <v>715</v>
      </c>
      <c r="W927" s="19" t="s">
        <v>934</v>
      </c>
      <c r="X927">
        <v>0</v>
      </c>
      <c r="Y927">
        <v>1</v>
      </c>
      <c r="Z927">
        <v>0</v>
      </c>
      <c r="AA927">
        <v>1</v>
      </c>
      <c r="AB927">
        <v>4</v>
      </c>
      <c r="AC927">
        <v>0</v>
      </c>
      <c r="AD927">
        <v>0</v>
      </c>
      <c r="AE927" s="19" t="s">
        <v>60</v>
      </c>
    </row>
    <row r="928" spans="1:31" x14ac:dyDescent="0.2">
      <c r="A928">
        <v>875</v>
      </c>
      <c r="B928" s="19" t="s">
        <v>1382</v>
      </c>
      <c r="C928">
        <v>23</v>
      </c>
      <c r="D928" s="19" t="s">
        <v>436</v>
      </c>
      <c r="E928" s="19" t="s">
        <v>322</v>
      </c>
      <c r="F928">
        <v>2</v>
      </c>
      <c r="G928">
        <v>0</v>
      </c>
      <c r="H928">
        <v>0</v>
      </c>
      <c r="I928">
        <v>0</v>
      </c>
      <c r="J928">
        <v>-1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1</v>
      </c>
      <c r="T928">
        <v>0</v>
      </c>
      <c r="U928">
        <v>6</v>
      </c>
      <c r="V928" s="19" t="s">
        <v>1383</v>
      </c>
      <c r="W928" s="19" t="s">
        <v>1384</v>
      </c>
      <c r="X928">
        <v>0</v>
      </c>
      <c r="Y928">
        <v>3</v>
      </c>
      <c r="Z928">
        <v>0</v>
      </c>
      <c r="AA928">
        <v>3</v>
      </c>
      <c r="AB928">
        <v>1</v>
      </c>
      <c r="AC928">
        <v>0</v>
      </c>
      <c r="AD928">
        <v>1</v>
      </c>
      <c r="AE928" s="19" t="s">
        <v>60</v>
      </c>
    </row>
    <row r="929" spans="1:31" x14ac:dyDescent="0.2">
      <c r="A929">
        <v>876</v>
      </c>
      <c r="B929" s="19" t="s">
        <v>1386</v>
      </c>
      <c r="C929">
        <v>26</v>
      </c>
      <c r="D929" s="19" t="s">
        <v>396</v>
      </c>
      <c r="E929" s="19" t="s">
        <v>3</v>
      </c>
      <c r="F929">
        <v>9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1</v>
      </c>
      <c r="V929" s="19" t="s">
        <v>1632</v>
      </c>
      <c r="W929" s="19" t="s">
        <v>1633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7</v>
      </c>
      <c r="AE929" s="19" t="s">
        <v>60</v>
      </c>
    </row>
    <row r="930" spans="1:31" x14ac:dyDescent="0.2">
      <c r="A930">
        <v>877</v>
      </c>
      <c r="B930" s="19" t="s">
        <v>1387</v>
      </c>
      <c r="C930">
        <v>24</v>
      </c>
      <c r="D930" s="19" t="s">
        <v>406</v>
      </c>
      <c r="E930" s="19" t="s">
        <v>3</v>
      </c>
      <c r="F930">
        <v>4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2122</v>
      </c>
      <c r="W930" s="19" t="s">
        <v>2123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1</v>
      </c>
      <c r="AE930" s="19" t="s">
        <v>60</v>
      </c>
    </row>
    <row r="931" spans="1:31" x14ac:dyDescent="0.2">
      <c r="A931">
        <v>878</v>
      </c>
      <c r="B931" s="19" t="s">
        <v>1388</v>
      </c>
      <c r="C931">
        <v>31</v>
      </c>
      <c r="D931" s="19" t="s">
        <v>354</v>
      </c>
      <c r="E931" s="19" t="s">
        <v>3</v>
      </c>
      <c r="F931">
        <v>21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2825</v>
      </c>
      <c r="W931" s="19" t="s">
        <v>2826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10</v>
      </c>
      <c r="AE931" s="19" t="s">
        <v>60</v>
      </c>
    </row>
    <row r="932" spans="1:31" x14ac:dyDescent="0.2">
      <c r="A932">
        <v>879</v>
      </c>
      <c r="B932" s="19" t="s">
        <v>1389</v>
      </c>
      <c r="C932">
        <v>35</v>
      </c>
      <c r="D932" s="19" t="s">
        <v>419</v>
      </c>
      <c r="E932" s="19" t="s">
        <v>3</v>
      </c>
      <c r="F932">
        <v>33</v>
      </c>
      <c r="G932">
        <v>0</v>
      </c>
      <c r="H932">
        <v>0</v>
      </c>
      <c r="I932">
        <v>0</v>
      </c>
      <c r="J932">
        <v>0</v>
      </c>
      <c r="K932">
        <v>6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2316</v>
      </c>
      <c r="W932" s="19" t="s">
        <v>1803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12</v>
      </c>
      <c r="AE932" s="19" t="s">
        <v>60</v>
      </c>
    </row>
    <row r="933" spans="1:31" x14ac:dyDescent="0.2">
      <c r="A933">
        <v>880</v>
      </c>
      <c r="B933" s="19" t="s">
        <v>1390</v>
      </c>
      <c r="C933">
        <v>35</v>
      </c>
      <c r="D933" s="19" t="s">
        <v>372</v>
      </c>
      <c r="E933" s="19" t="s">
        <v>348</v>
      </c>
      <c r="F933">
        <v>2</v>
      </c>
      <c r="G933">
        <v>0</v>
      </c>
      <c r="H933">
        <v>0</v>
      </c>
      <c r="I933">
        <v>0</v>
      </c>
      <c r="J933">
        <v>-1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1</v>
      </c>
      <c r="T933">
        <v>0</v>
      </c>
      <c r="U933">
        <v>1</v>
      </c>
      <c r="V933" s="19" t="s">
        <v>1391</v>
      </c>
      <c r="W933" s="19" t="s">
        <v>640</v>
      </c>
      <c r="X933">
        <v>0</v>
      </c>
      <c r="Y933">
        <v>0</v>
      </c>
      <c r="AA933">
        <v>0</v>
      </c>
      <c r="AB933">
        <v>1</v>
      </c>
      <c r="AC933">
        <v>0</v>
      </c>
      <c r="AD933">
        <v>2</v>
      </c>
      <c r="AE933" s="19" t="s">
        <v>60</v>
      </c>
    </row>
    <row r="934" spans="1:31" x14ac:dyDescent="0.2">
      <c r="A934">
        <v>881</v>
      </c>
      <c r="B934" s="19" t="s">
        <v>1548</v>
      </c>
      <c r="C934">
        <v>24</v>
      </c>
      <c r="D934" s="19" t="s">
        <v>428</v>
      </c>
      <c r="E934" s="19" t="s">
        <v>322</v>
      </c>
      <c r="F934">
        <v>1</v>
      </c>
      <c r="G934">
        <v>0</v>
      </c>
      <c r="H934">
        <v>0</v>
      </c>
      <c r="I934">
        <v>0</v>
      </c>
      <c r="J934">
        <v>-1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1</v>
      </c>
      <c r="V934" s="19" t="s">
        <v>1549</v>
      </c>
      <c r="W934" s="19" t="s">
        <v>1549</v>
      </c>
      <c r="X934">
        <v>0</v>
      </c>
      <c r="Y934">
        <v>0</v>
      </c>
      <c r="AA934">
        <v>0</v>
      </c>
      <c r="AB934">
        <v>1</v>
      </c>
      <c r="AC934">
        <v>0</v>
      </c>
      <c r="AD934">
        <v>0</v>
      </c>
      <c r="AE934" s="19" t="s">
        <v>60</v>
      </c>
    </row>
    <row r="935" spans="1:31" x14ac:dyDescent="0.2">
      <c r="A935">
        <v>882</v>
      </c>
      <c r="B935" s="19" t="s">
        <v>1392</v>
      </c>
      <c r="C935">
        <v>32</v>
      </c>
      <c r="D935" s="19" t="s">
        <v>447</v>
      </c>
      <c r="E935" s="19" t="s">
        <v>322</v>
      </c>
      <c r="F935">
        <v>1</v>
      </c>
      <c r="G935">
        <v>0</v>
      </c>
      <c r="H935">
        <v>0</v>
      </c>
      <c r="I935">
        <v>0</v>
      </c>
      <c r="J935">
        <v>-1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2</v>
      </c>
      <c r="T935">
        <v>0</v>
      </c>
      <c r="U935">
        <v>3</v>
      </c>
      <c r="V935" s="19" t="s">
        <v>1393</v>
      </c>
      <c r="W935" s="19" t="s">
        <v>1393</v>
      </c>
      <c r="X935">
        <v>1</v>
      </c>
      <c r="Y935">
        <v>1</v>
      </c>
      <c r="Z935">
        <v>50</v>
      </c>
      <c r="AA935">
        <v>2</v>
      </c>
      <c r="AB935">
        <v>6</v>
      </c>
      <c r="AC935">
        <v>0</v>
      </c>
      <c r="AD935">
        <v>0</v>
      </c>
      <c r="AE935" s="19" t="s">
        <v>60</v>
      </c>
    </row>
    <row r="936" spans="1:31" x14ac:dyDescent="0.2">
      <c r="A936">
        <v>883</v>
      </c>
      <c r="B936" s="19" t="s">
        <v>1394</v>
      </c>
      <c r="C936">
        <v>22</v>
      </c>
      <c r="D936" s="19" t="s">
        <v>398</v>
      </c>
      <c r="E936" s="19" t="s">
        <v>339</v>
      </c>
      <c r="F936">
        <v>1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1395</v>
      </c>
      <c r="W936" s="19" t="s">
        <v>1395</v>
      </c>
      <c r="X936">
        <v>1</v>
      </c>
      <c r="Y936">
        <v>0</v>
      </c>
      <c r="Z936">
        <v>100</v>
      </c>
      <c r="AA936">
        <v>0</v>
      </c>
      <c r="AB936">
        <v>1</v>
      </c>
      <c r="AC936">
        <v>0</v>
      </c>
      <c r="AD936">
        <v>0</v>
      </c>
      <c r="AE936" s="19" t="s">
        <v>60</v>
      </c>
    </row>
    <row r="937" spans="1:31" x14ac:dyDescent="0.2">
      <c r="A937">
        <v>884</v>
      </c>
      <c r="B937" s="19" t="s">
        <v>1596</v>
      </c>
      <c r="C937">
        <v>23</v>
      </c>
      <c r="D937" s="19" t="s">
        <v>356</v>
      </c>
      <c r="E937" s="19" t="s">
        <v>348</v>
      </c>
      <c r="F937">
        <v>1</v>
      </c>
      <c r="G937">
        <v>0</v>
      </c>
      <c r="H937">
        <v>0</v>
      </c>
      <c r="I937">
        <v>0</v>
      </c>
      <c r="J937">
        <v>1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2</v>
      </c>
      <c r="V937" s="19" t="s">
        <v>974</v>
      </c>
      <c r="W937" s="19" t="s">
        <v>974</v>
      </c>
      <c r="X937">
        <v>0</v>
      </c>
      <c r="Y937">
        <v>0</v>
      </c>
      <c r="AA937">
        <v>1</v>
      </c>
      <c r="AB937">
        <v>0</v>
      </c>
      <c r="AC937">
        <v>0</v>
      </c>
      <c r="AD937">
        <v>2</v>
      </c>
      <c r="AE937" s="19" t="s">
        <v>60</v>
      </c>
    </row>
    <row r="938" spans="1:31" x14ac:dyDescent="0.2">
      <c r="A938">
        <v>885</v>
      </c>
      <c r="B938" s="19" t="s">
        <v>1849</v>
      </c>
      <c r="C938">
        <v>26</v>
      </c>
      <c r="D938" s="19" t="s">
        <v>365</v>
      </c>
      <c r="E938" s="19" t="s">
        <v>334</v>
      </c>
      <c r="F938">
        <v>6</v>
      </c>
      <c r="G938">
        <v>0</v>
      </c>
      <c r="H938">
        <v>0</v>
      </c>
      <c r="I938">
        <v>0</v>
      </c>
      <c r="J938">
        <v>-2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1</v>
      </c>
      <c r="T938">
        <v>0</v>
      </c>
      <c r="U938">
        <v>4</v>
      </c>
      <c r="V938" s="19" t="s">
        <v>2124</v>
      </c>
      <c r="W938" s="19" t="s">
        <v>1765</v>
      </c>
      <c r="X938">
        <v>2</v>
      </c>
      <c r="Y938">
        <v>3</v>
      </c>
      <c r="Z938">
        <v>40</v>
      </c>
      <c r="AA938">
        <v>0</v>
      </c>
      <c r="AB938">
        <v>10</v>
      </c>
      <c r="AC938">
        <v>0</v>
      </c>
      <c r="AD938">
        <v>1</v>
      </c>
      <c r="AE938" s="19" t="s">
        <v>60</v>
      </c>
    </row>
    <row r="939" spans="1:31" x14ac:dyDescent="0.2">
      <c r="A939">
        <v>886</v>
      </c>
      <c r="B939" s="19" t="s">
        <v>1398</v>
      </c>
      <c r="C939">
        <v>25</v>
      </c>
      <c r="D939" s="19" t="s">
        <v>398</v>
      </c>
      <c r="E939" s="19" t="s">
        <v>334</v>
      </c>
      <c r="F939">
        <v>1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1023</v>
      </c>
      <c r="W939" s="19" t="s">
        <v>1023</v>
      </c>
      <c r="X939">
        <v>0</v>
      </c>
      <c r="Y939">
        <v>1</v>
      </c>
      <c r="Z939">
        <v>0</v>
      </c>
      <c r="AA939">
        <v>1</v>
      </c>
      <c r="AB939">
        <v>2</v>
      </c>
      <c r="AC939">
        <v>0</v>
      </c>
      <c r="AD939">
        <v>0</v>
      </c>
      <c r="AE939" s="19" t="s">
        <v>60</v>
      </c>
    </row>
    <row r="940" spans="1:31" x14ac:dyDescent="0.2">
      <c r="A940">
        <v>887</v>
      </c>
      <c r="B940" s="19" t="s">
        <v>1399</v>
      </c>
      <c r="C940">
        <v>22</v>
      </c>
      <c r="D940" s="19" t="s">
        <v>343</v>
      </c>
      <c r="E940" s="19" t="s">
        <v>3</v>
      </c>
      <c r="F940">
        <v>8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1855</v>
      </c>
      <c r="W940" s="19" t="s">
        <v>1813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2</v>
      </c>
      <c r="AE940" s="19" t="s">
        <v>60</v>
      </c>
    </row>
    <row r="941" spans="1:31" x14ac:dyDescent="0.2">
      <c r="A941">
        <v>888</v>
      </c>
      <c r="B941" s="19" t="s">
        <v>1400</v>
      </c>
      <c r="C941">
        <v>19</v>
      </c>
      <c r="D941" s="19" t="s">
        <v>406</v>
      </c>
      <c r="E941" s="19" t="s">
        <v>325</v>
      </c>
      <c r="F941">
        <v>4</v>
      </c>
      <c r="G941">
        <v>0</v>
      </c>
      <c r="H941">
        <v>0</v>
      </c>
      <c r="I941">
        <v>0</v>
      </c>
      <c r="J941">
        <v>-3</v>
      </c>
      <c r="K941">
        <v>2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1</v>
      </c>
      <c r="T941">
        <v>0</v>
      </c>
      <c r="U941">
        <v>2</v>
      </c>
      <c r="V941" s="19" t="s">
        <v>1401</v>
      </c>
      <c r="W941" s="19" t="s">
        <v>1402</v>
      </c>
      <c r="X941">
        <v>11</v>
      </c>
      <c r="Y941">
        <v>10</v>
      </c>
      <c r="Z941">
        <v>52.4</v>
      </c>
      <c r="AA941">
        <v>3</v>
      </c>
      <c r="AB941">
        <v>2</v>
      </c>
      <c r="AC941">
        <v>0</v>
      </c>
      <c r="AD941">
        <v>1</v>
      </c>
      <c r="AE941" s="19" t="s">
        <v>60</v>
      </c>
    </row>
    <row r="942" spans="1:31" x14ac:dyDescent="0.2">
      <c r="A942">
        <v>889</v>
      </c>
      <c r="B942" s="19" t="s">
        <v>2317</v>
      </c>
      <c r="C942">
        <v>25</v>
      </c>
      <c r="D942" s="19" t="s">
        <v>351</v>
      </c>
      <c r="E942" s="19" t="s">
        <v>348</v>
      </c>
      <c r="F942">
        <v>1</v>
      </c>
      <c r="G942">
        <v>0</v>
      </c>
      <c r="H942">
        <v>0</v>
      </c>
      <c r="I942">
        <v>0</v>
      </c>
      <c r="J942">
        <v>1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1</v>
      </c>
      <c r="T942">
        <v>0</v>
      </c>
      <c r="U942">
        <v>1</v>
      </c>
      <c r="V942" s="19" t="s">
        <v>1933</v>
      </c>
      <c r="W942" s="19" t="s">
        <v>1933</v>
      </c>
      <c r="X942">
        <v>0</v>
      </c>
      <c r="Y942">
        <v>0</v>
      </c>
      <c r="AA942">
        <v>2</v>
      </c>
      <c r="AB942">
        <v>2</v>
      </c>
      <c r="AC942">
        <v>0</v>
      </c>
      <c r="AD942">
        <v>0</v>
      </c>
      <c r="AE942" s="19" t="s">
        <v>60</v>
      </c>
    </row>
    <row r="943" spans="1:31" x14ac:dyDescent="0.2">
      <c r="A943">
        <v>890</v>
      </c>
      <c r="B943" s="19" t="s">
        <v>1404</v>
      </c>
      <c r="C943">
        <v>26</v>
      </c>
      <c r="D943" s="19" t="s">
        <v>428</v>
      </c>
      <c r="E943" s="19" t="s">
        <v>3</v>
      </c>
      <c r="F943">
        <v>21</v>
      </c>
      <c r="G943">
        <v>0</v>
      </c>
      <c r="H943">
        <v>0</v>
      </c>
      <c r="I943">
        <v>0</v>
      </c>
      <c r="J943">
        <v>0</v>
      </c>
      <c r="K943">
        <v>4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s="19" t="s">
        <v>2827</v>
      </c>
      <c r="W943" s="19" t="s">
        <v>2828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9</v>
      </c>
      <c r="AE943" s="19" t="s">
        <v>60</v>
      </c>
    </row>
    <row r="944" spans="1:31" x14ac:dyDescent="0.2">
      <c r="A944">
        <v>891</v>
      </c>
      <c r="B944" s="19" t="s">
        <v>1407</v>
      </c>
      <c r="C944">
        <v>29</v>
      </c>
      <c r="D944" s="19" t="s">
        <v>398</v>
      </c>
      <c r="E944" s="19" t="s">
        <v>322</v>
      </c>
      <c r="F944">
        <v>3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4</v>
      </c>
      <c r="T944">
        <v>0</v>
      </c>
      <c r="U944">
        <v>7</v>
      </c>
      <c r="V944" s="19" t="s">
        <v>1408</v>
      </c>
      <c r="W944" s="19" t="s">
        <v>1409</v>
      </c>
      <c r="X944">
        <v>0</v>
      </c>
      <c r="Y944">
        <v>2</v>
      </c>
      <c r="Z944">
        <v>0</v>
      </c>
      <c r="AA944">
        <v>1</v>
      </c>
      <c r="AB944">
        <v>6</v>
      </c>
      <c r="AC944">
        <v>1</v>
      </c>
      <c r="AD944">
        <v>2</v>
      </c>
      <c r="AE944" s="19" t="s">
        <v>60</v>
      </c>
    </row>
    <row r="945" spans="1:31" x14ac:dyDescent="0.2">
      <c r="A945">
        <v>892</v>
      </c>
      <c r="B945" s="19" t="s">
        <v>1410</v>
      </c>
      <c r="C945">
        <v>24</v>
      </c>
      <c r="D945" s="19" t="s">
        <v>321</v>
      </c>
      <c r="E945" s="19" t="s">
        <v>339</v>
      </c>
      <c r="F945">
        <v>9</v>
      </c>
      <c r="G945">
        <v>0</v>
      </c>
      <c r="H945">
        <v>0</v>
      </c>
      <c r="I945">
        <v>0</v>
      </c>
      <c r="J945">
        <v>0</v>
      </c>
      <c r="K945">
        <v>2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7</v>
      </c>
      <c r="T945">
        <v>0</v>
      </c>
      <c r="U945">
        <v>12</v>
      </c>
      <c r="V945" s="19" t="s">
        <v>1989</v>
      </c>
      <c r="W945" s="19" t="s">
        <v>1361</v>
      </c>
      <c r="X945">
        <v>0</v>
      </c>
      <c r="Y945">
        <v>1</v>
      </c>
      <c r="Z945">
        <v>0</v>
      </c>
      <c r="AA945">
        <v>1</v>
      </c>
      <c r="AB945">
        <v>14</v>
      </c>
      <c r="AC945">
        <v>1</v>
      </c>
      <c r="AD945">
        <v>0</v>
      </c>
      <c r="AE945" s="19" t="s">
        <v>60</v>
      </c>
    </row>
    <row r="946" spans="1:31" x14ac:dyDescent="0.2">
      <c r="A946">
        <v>893</v>
      </c>
      <c r="B946" s="19" t="s">
        <v>1411</v>
      </c>
      <c r="C946">
        <v>23</v>
      </c>
      <c r="D946" s="19" t="s">
        <v>447</v>
      </c>
      <c r="E946" s="19" t="s">
        <v>348</v>
      </c>
      <c r="F946">
        <v>10</v>
      </c>
      <c r="G946">
        <v>0</v>
      </c>
      <c r="H946">
        <v>0</v>
      </c>
      <c r="I946">
        <v>0</v>
      </c>
      <c r="J946">
        <v>-6</v>
      </c>
      <c r="K946">
        <v>5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6</v>
      </c>
      <c r="T946">
        <v>0</v>
      </c>
      <c r="U946">
        <v>16</v>
      </c>
      <c r="V946" s="19" t="s">
        <v>2829</v>
      </c>
      <c r="W946" s="19" t="s">
        <v>1505</v>
      </c>
      <c r="X946">
        <v>0</v>
      </c>
      <c r="Y946">
        <v>0</v>
      </c>
      <c r="AA946">
        <v>13</v>
      </c>
      <c r="AB946">
        <v>12</v>
      </c>
      <c r="AC946">
        <v>0</v>
      </c>
      <c r="AD946">
        <v>5</v>
      </c>
      <c r="AE946" s="19" t="s">
        <v>60</v>
      </c>
    </row>
    <row r="947" spans="1:31" x14ac:dyDescent="0.2">
      <c r="A947">
        <v>894</v>
      </c>
      <c r="B947" s="19" t="s">
        <v>1901</v>
      </c>
      <c r="C947">
        <v>30</v>
      </c>
      <c r="D947" s="19" t="s">
        <v>360</v>
      </c>
      <c r="E947" s="19" t="s">
        <v>3</v>
      </c>
      <c r="F947">
        <v>6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2944</v>
      </c>
      <c r="W947" s="19" t="s">
        <v>2945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0</v>
      </c>
      <c r="AE947" s="19" t="s">
        <v>60</v>
      </c>
    </row>
    <row r="948" spans="1:31" x14ac:dyDescent="0.2">
      <c r="A948">
        <v>895</v>
      </c>
      <c r="B948" s="19" t="s">
        <v>1415</v>
      </c>
      <c r="C948">
        <v>33</v>
      </c>
      <c r="D948" s="19" t="s">
        <v>365</v>
      </c>
      <c r="E948" s="19" t="s">
        <v>348</v>
      </c>
      <c r="F948">
        <v>10</v>
      </c>
      <c r="G948">
        <v>0</v>
      </c>
      <c r="H948">
        <v>0</v>
      </c>
      <c r="I948">
        <v>0</v>
      </c>
      <c r="J948">
        <v>0</v>
      </c>
      <c r="K948">
        <v>10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2</v>
      </c>
      <c r="T948">
        <v>0</v>
      </c>
      <c r="U948">
        <v>10</v>
      </c>
      <c r="V948" s="19" t="s">
        <v>2830</v>
      </c>
      <c r="W948" s="19" t="s">
        <v>1688</v>
      </c>
      <c r="X948">
        <v>0</v>
      </c>
      <c r="Y948">
        <v>0</v>
      </c>
      <c r="AA948">
        <v>6</v>
      </c>
      <c r="AB948">
        <v>20</v>
      </c>
      <c r="AC948">
        <v>0</v>
      </c>
      <c r="AD948">
        <v>6</v>
      </c>
      <c r="AE948" s="19" t="s">
        <v>60</v>
      </c>
    </row>
    <row r="949" spans="1:31" x14ac:dyDescent="0.2">
      <c r="A949">
        <v>896</v>
      </c>
      <c r="B949" s="19" t="s">
        <v>1805</v>
      </c>
      <c r="C949">
        <v>24</v>
      </c>
      <c r="D949" s="19" t="s">
        <v>383</v>
      </c>
      <c r="E949" s="19" t="s">
        <v>348</v>
      </c>
      <c r="F949">
        <v>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1</v>
      </c>
      <c r="T949">
        <v>0</v>
      </c>
      <c r="U949">
        <v>1</v>
      </c>
      <c r="V949" s="19" t="s">
        <v>1871</v>
      </c>
      <c r="W949" s="19" t="s">
        <v>1559</v>
      </c>
      <c r="X949">
        <v>0</v>
      </c>
      <c r="Y949">
        <v>0</v>
      </c>
      <c r="AA949">
        <v>5</v>
      </c>
      <c r="AB949">
        <v>4</v>
      </c>
      <c r="AC949">
        <v>2</v>
      </c>
      <c r="AD949">
        <v>3</v>
      </c>
      <c r="AE949" s="19" t="s">
        <v>60</v>
      </c>
    </row>
    <row r="950" spans="1:31" x14ac:dyDescent="0.2">
      <c r="A950">
        <v>897</v>
      </c>
      <c r="B950" s="19" t="s">
        <v>1778</v>
      </c>
      <c r="C950">
        <v>33</v>
      </c>
      <c r="D950" s="19" t="s">
        <v>343</v>
      </c>
      <c r="E950" s="19" t="s">
        <v>348</v>
      </c>
      <c r="F950">
        <v>4</v>
      </c>
      <c r="G950">
        <v>0</v>
      </c>
      <c r="H950">
        <v>0</v>
      </c>
      <c r="I950">
        <v>0</v>
      </c>
      <c r="J950">
        <v>-5</v>
      </c>
      <c r="K950">
        <v>2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1</v>
      </c>
      <c r="T950">
        <v>0</v>
      </c>
      <c r="U950">
        <v>1</v>
      </c>
      <c r="V950" s="19" t="s">
        <v>2163</v>
      </c>
      <c r="W950" s="19" t="s">
        <v>811</v>
      </c>
      <c r="X950">
        <v>0</v>
      </c>
      <c r="Y950">
        <v>0</v>
      </c>
      <c r="AA950">
        <v>1</v>
      </c>
      <c r="AB950">
        <v>6</v>
      </c>
      <c r="AC950">
        <v>0</v>
      </c>
      <c r="AD950">
        <v>2</v>
      </c>
      <c r="AE950" s="19" t="s">
        <v>60</v>
      </c>
    </row>
    <row r="951" spans="1:31" x14ac:dyDescent="0.2">
      <c r="A951">
        <v>898</v>
      </c>
      <c r="B951" s="19" t="s">
        <v>1416</v>
      </c>
      <c r="C951">
        <v>23</v>
      </c>
      <c r="D951" s="19" t="s">
        <v>416</v>
      </c>
      <c r="E951" s="19" t="s">
        <v>3</v>
      </c>
      <c r="F951">
        <v>20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2125</v>
      </c>
      <c r="W951" s="19" t="s">
        <v>2126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5</v>
      </c>
      <c r="AE951" s="19" t="s">
        <v>60</v>
      </c>
    </row>
    <row r="952" spans="1:31" x14ac:dyDescent="0.2">
      <c r="A952">
        <v>899</v>
      </c>
      <c r="B952" s="19" t="s">
        <v>1417</v>
      </c>
      <c r="C952">
        <v>25</v>
      </c>
      <c r="D952" s="19" t="s">
        <v>354</v>
      </c>
      <c r="E952" s="19" t="s">
        <v>325</v>
      </c>
      <c r="F952">
        <v>1</v>
      </c>
      <c r="G952">
        <v>0</v>
      </c>
      <c r="H952">
        <v>0</v>
      </c>
      <c r="I952">
        <v>0</v>
      </c>
      <c r="J952">
        <v>-1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1</v>
      </c>
      <c r="V952" s="19" t="s">
        <v>1418</v>
      </c>
      <c r="W952" s="19" t="s">
        <v>1418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0</v>
      </c>
      <c r="AE952" s="19" t="s">
        <v>60</v>
      </c>
    </row>
    <row r="953" spans="1:31" x14ac:dyDescent="0.2">
      <c r="A953">
        <v>900</v>
      </c>
      <c r="B953" s="19" t="s">
        <v>1420</v>
      </c>
      <c r="C953">
        <v>22</v>
      </c>
      <c r="D953" s="19" t="s">
        <v>345</v>
      </c>
      <c r="E953" s="19" t="s">
        <v>3</v>
      </c>
      <c r="F953">
        <v>3</v>
      </c>
      <c r="G953">
        <v>0</v>
      </c>
      <c r="H953">
        <v>0</v>
      </c>
      <c r="I953">
        <v>0</v>
      </c>
      <c r="J953">
        <v>0</v>
      </c>
      <c r="K953">
        <v>2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1421</v>
      </c>
      <c r="W953" s="19" t="s">
        <v>1422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0</v>
      </c>
      <c r="AE953" s="19" t="s">
        <v>60</v>
      </c>
    </row>
    <row r="954" spans="1:31" x14ac:dyDescent="0.2">
      <c r="A954">
        <v>901</v>
      </c>
      <c r="B954" s="19" t="s">
        <v>1424</v>
      </c>
      <c r="C954">
        <v>24</v>
      </c>
      <c r="D954" s="19" t="s">
        <v>321</v>
      </c>
      <c r="E954" s="19" t="s">
        <v>3</v>
      </c>
      <c r="F954">
        <v>4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s="19" t="s">
        <v>1922</v>
      </c>
      <c r="W954" s="19" t="s">
        <v>1898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1</v>
      </c>
      <c r="AE954" s="19" t="s">
        <v>60</v>
      </c>
    </row>
    <row r="955" spans="1:31" x14ac:dyDescent="0.2">
      <c r="A955">
        <v>902</v>
      </c>
      <c r="B955" s="19" t="s">
        <v>1426</v>
      </c>
      <c r="C955">
        <v>28</v>
      </c>
      <c r="D955" s="19" t="s">
        <v>436</v>
      </c>
      <c r="E955" s="19" t="s">
        <v>348</v>
      </c>
      <c r="F955">
        <v>1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U955">
        <v>2</v>
      </c>
      <c r="V955" s="19" t="s">
        <v>434</v>
      </c>
      <c r="W955" s="19" t="s">
        <v>434</v>
      </c>
      <c r="X955">
        <v>0</v>
      </c>
      <c r="Y955">
        <v>0</v>
      </c>
      <c r="AA955">
        <v>2</v>
      </c>
      <c r="AB955">
        <v>0</v>
      </c>
      <c r="AC955">
        <v>0</v>
      </c>
      <c r="AD955">
        <v>1</v>
      </c>
      <c r="AE955" s="19" t="s">
        <v>60</v>
      </c>
    </row>
    <row r="956" spans="1:31" x14ac:dyDescent="0.2">
      <c r="A956">
        <v>903</v>
      </c>
      <c r="B956" s="19" t="s">
        <v>1634</v>
      </c>
      <c r="C956">
        <v>21</v>
      </c>
      <c r="D956" s="19" t="s">
        <v>365</v>
      </c>
      <c r="E956" s="19" t="s">
        <v>339</v>
      </c>
      <c r="F956">
        <v>4</v>
      </c>
      <c r="G956">
        <v>0</v>
      </c>
      <c r="H956">
        <v>0</v>
      </c>
      <c r="I956">
        <v>0</v>
      </c>
      <c r="J956">
        <v>1</v>
      </c>
      <c r="K956">
        <v>2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5</v>
      </c>
      <c r="T956">
        <v>0</v>
      </c>
      <c r="U956">
        <v>15</v>
      </c>
      <c r="V956" s="19" t="s">
        <v>2164</v>
      </c>
      <c r="W956" s="19" t="s">
        <v>1980</v>
      </c>
      <c r="X956">
        <v>0</v>
      </c>
      <c r="Y956">
        <v>0</v>
      </c>
      <c r="AA956">
        <v>3</v>
      </c>
      <c r="AB956">
        <v>7</v>
      </c>
      <c r="AC956">
        <v>0</v>
      </c>
      <c r="AD956">
        <v>1</v>
      </c>
      <c r="AE956" s="19" t="s">
        <v>60</v>
      </c>
    </row>
    <row r="957" spans="1:31" x14ac:dyDescent="0.2">
      <c r="A957">
        <v>904</v>
      </c>
      <c r="B957" s="19" t="s">
        <v>1428</v>
      </c>
      <c r="C957">
        <v>29</v>
      </c>
      <c r="D957" s="19" t="s">
        <v>362</v>
      </c>
      <c r="E957" s="19" t="s">
        <v>3</v>
      </c>
      <c r="F957">
        <v>22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0</v>
      </c>
      <c r="V957" s="19" t="s">
        <v>2318</v>
      </c>
      <c r="W957" s="19" t="s">
        <v>2831</v>
      </c>
      <c r="X957">
        <v>0</v>
      </c>
      <c r="Y957">
        <v>0</v>
      </c>
      <c r="AA957">
        <v>0</v>
      </c>
      <c r="AB957">
        <v>0</v>
      </c>
      <c r="AC957">
        <v>0</v>
      </c>
      <c r="AD957">
        <v>3</v>
      </c>
      <c r="AE957" s="19" t="s">
        <v>60</v>
      </c>
    </row>
    <row r="958" spans="1:31" x14ac:dyDescent="0.2">
      <c r="A958">
        <v>905</v>
      </c>
      <c r="B958" s="19" t="s">
        <v>1429</v>
      </c>
      <c r="C958">
        <v>26</v>
      </c>
      <c r="D958" s="19" t="s">
        <v>436</v>
      </c>
      <c r="E958" s="19" t="s">
        <v>325</v>
      </c>
      <c r="F958">
        <v>3</v>
      </c>
      <c r="G958">
        <v>0</v>
      </c>
      <c r="H958">
        <v>0</v>
      </c>
      <c r="I958">
        <v>0</v>
      </c>
      <c r="J958">
        <v>-1</v>
      </c>
      <c r="K958">
        <v>10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3</v>
      </c>
      <c r="T958">
        <v>0</v>
      </c>
      <c r="U958">
        <v>7</v>
      </c>
      <c r="V958" s="19" t="s">
        <v>1430</v>
      </c>
      <c r="W958" s="19" t="s">
        <v>1118</v>
      </c>
      <c r="X958">
        <v>16</v>
      </c>
      <c r="Y958">
        <v>8</v>
      </c>
      <c r="Z958">
        <v>66.7</v>
      </c>
      <c r="AA958">
        <v>1</v>
      </c>
      <c r="AB958">
        <v>9</v>
      </c>
      <c r="AC958">
        <v>1</v>
      </c>
      <c r="AD958">
        <v>2</v>
      </c>
      <c r="AE958" s="19" t="s">
        <v>60</v>
      </c>
    </row>
    <row r="959" spans="1:31" x14ac:dyDescent="0.2">
      <c r="A959">
        <v>906</v>
      </c>
      <c r="B959" s="19" t="s">
        <v>1431</v>
      </c>
      <c r="C959">
        <v>27</v>
      </c>
      <c r="D959" s="19" t="s">
        <v>419</v>
      </c>
      <c r="E959" s="19" t="s">
        <v>348</v>
      </c>
      <c r="F959">
        <v>12</v>
      </c>
      <c r="G959">
        <v>0</v>
      </c>
      <c r="H959">
        <v>0</v>
      </c>
      <c r="I959">
        <v>0</v>
      </c>
      <c r="J959">
        <v>-4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4</v>
      </c>
      <c r="T959">
        <v>0</v>
      </c>
      <c r="U959">
        <v>16</v>
      </c>
      <c r="V959" s="19" t="s">
        <v>2192</v>
      </c>
      <c r="W959" s="19" t="s">
        <v>1318</v>
      </c>
      <c r="X959">
        <v>0</v>
      </c>
      <c r="Y959">
        <v>0</v>
      </c>
      <c r="AA959">
        <v>7</v>
      </c>
      <c r="AB959">
        <v>3</v>
      </c>
      <c r="AC959">
        <v>1</v>
      </c>
      <c r="AD959">
        <v>3</v>
      </c>
      <c r="AE959" s="19" t="s">
        <v>60</v>
      </c>
    </row>
    <row r="960" spans="1:31" x14ac:dyDescent="0.2">
      <c r="A960">
        <v>907</v>
      </c>
      <c r="B960" s="19" t="s">
        <v>1432</v>
      </c>
      <c r="C960">
        <v>33</v>
      </c>
      <c r="D960" s="19" t="s">
        <v>336</v>
      </c>
      <c r="E960" s="19" t="s">
        <v>3</v>
      </c>
      <c r="F960">
        <v>10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0</v>
      </c>
      <c r="V960" s="19" t="s">
        <v>1840</v>
      </c>
      <c r="W960" s="19" t="s">
        <v>1841</v>
      </c>
      <c r="X960">
        <v>0</v>
      </c>
      <c r="Y960">
        <v>0</v>
      </c>
      <c r="AA960">
        <v>0</v>
      </c>
      <c r="AB960">
        <v>0</v>
      </c>
      <c r="AC960">
        <v>0</v>
      </c>
      <c r="AD960">
        <v>5</v>
      </c>
      <c r="AE960" s="19" t="s">
        <v>60</v>
      </c>
    </row>
    <row r="961" spans="1:31" x14ac:dyDescent="0.2">
      <c r="A961">
        <v>908</v>
      </c>
      <c r="B961" s="19" t="s">
        <v>1433</v>
      </c>
      <c r="C961">
        <v>21</v>
      </c>
      <c r="D961" s="19" t="s">
        <v>375</v>
      </c>
      <c r="E961" s="19" t="s">
        <v>3</v>
      </c>
      <c r="F961">
        <v>5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1576</v>
      </c>
      <c r="W961" s="19" t="s">
        <v>1577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3</v>
      </c>
      <c r="AE961" s="19" t="s">
        <v>60</v>
      </c>
    </row>
    <row r="962" spans="1:31" x14ac:dyDescent="0.2">
      <c r="A962">
        <v>909</v>
      </c>
      <c r="B962" s="19" t="s">
        <v>1515</v>
      </c>
      <c r="C962">
        <v>22</v>
      </c>
      <c r="D962" s="19" t="s">
        <v>406</v>
      </c>
      <c r="E962" s="19" t="s">
        <v>348</v>
      </c>
      <c r="F962">
        <v>3</v>
      </c>
      <c r="G962">
        <v>0</v>
      </c>
      <c r="H962">
        <v>0</v>
      </c>
      <c r="I962">
        <v>0</v>
      </c>
      <c r="J962">
        <v>1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1</v>
      </c>
      <c r="T962">
        <v>0</v>
      </c>
      <c r="U962">
        <v>2</v>
      </c>
      <c r="V962" s="19" t="s">
        <v>1568</v>
      </c>
      <c r="W962" s="19" t="s">
        <v>1569</v>
      </c>
      <c r="X962">
        <v>0</v>
      </c>
      <c r="Y962">
        <v>0</v>
      </c>
      <c r="AA962">
        <v>2</v>
      </c>
      <c r="AB962">
        <v>5</v>
      </c>
      <c r="AC962">
        <v>0</v>
      </c>
      <c r="AD962">
        <v>3</v>
      </c>
      <c r="AE962" s="19" t="s">
        <v>60</v>
      </c>
    </row>
    <row r="963" spans="1:31" x14ac:dyDescent="0.2">
      <c r="A963">
        <v>910</v>
      </c>
      <c r="B963" s="19" t="s">
        <v>1434</v>
      </c>
      <c r="C963">
        <v>31</v>
      </c>
      <c r="D963" s="19" t="s">
        <v>531</v>
      </c>
      <c r="E963" s="19" t="s">
        <v>3</v>
      </c>
      <c r="F963">
        <v>5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1435</v>
      </c>
      <c r="W963" s="19" t="s">
        <v>1436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2</v>
      </c>
      <c r="AE963" s="19" t="s">
        <v>60</v>
      </c>
    </row>
    <row r="964" spans="1:31" x14ac:dyDescent="0.2">
      <c r="A964">
        <v>911</v>
      </c>
      <c r="B964" s="19" t="s">
        <v>1551</v>
      </c>
      <c r="C964">
        <v>24</v>
      </c>
      <c r="D964" s="19" t="s">
        <v>398</v>
      </c>
      <c r="E964" s="19" t="s">
        <v>325</v>
      </c>
      <c r="F964">
        <v>5</v>
      </c>
      <c r="G964">
        <v>0</v>
      </c>
      <c r="H964">
        <v>0</v>
      </c>
      <c r="I964">
        <v>0</v>
      </c>
      <c r="J964">
        <v>-1</v>
      </c>
      <c r="K964">
        <v>2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2</v>
      </c>
      <c r="T964">
        <v>0</v>
      </c>
      <c r="U964">
        <v>6</v>
      </c>
      <c r="V964" s="19" t="s">
        <v>1603</v>
      </c>
      <c r="W964" s="19" t="s">
        <v>1604</v>
      </c>
      <c r="X964">
        <v>0</v>
      </c>
      <c r="Y964">
        <v>0</v>
      </c>
      <c r="AA964">
        <v>1</v>
      </c>
      <c r="AB964">
        <v>7</v>
      </c>
      <c r="AC964">
        <v>1</v>
      </c>
      <c r="AD964">
        <v>1</v>
      </c>
      <c r="AE964" s="19" t="s">
        <v>60</v>
      </c>
    </row>
    <row r="965" spans="1:31" x14ac:dyDescent="0.2">
      <c r="A965">
        <v>912</v>
      </c>
      <c r="B965" s="19" t="s">
        <v>1441</v>
      </c>
      <c r="C965">
        <v>26</v>
      </c>
      <c r="D965" s="19" t="s">
        <v>447</v>
      </c>
      <c r="E965" s="19" t="s">
        <v>3</v>
      </c>
      <c r="F965">
        <v>1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19" t="s">
        <v>1442</v>
      </c>
      <c r="W965" s="19" t="s">
        <v>1442</v>
      </c>
      <c r="X965">
        <v>0</v>
      </c>
      <c r="Y965">
        <v>0</v>
      </c>
      <c r="AA965">
        <v>0</v>
      </c>
      <c r="AB965">
        <v>0</v>
      </c>
      <c r="AC965">
        <v>0</v>
      </c>
      <c r="AD965">
        <v>0</v>
      </c>
      <c r="AE965" s="19" t="s">
        <v>60</v>
      </c>
    </row>
    <row r="966" spans="1:31" x14ac:dyDescent="0.2">
      <c r="A966">
        <v>913</v>
      </c>
      <c r="B966" s="19" t="s">
        <v>2165</v>
      </c>
      <c r="C966">
        <v>28</v>
      </c>
      <c r="D966" s="19" t="s">
        <v>406</v>
      </c>
      <c r="E966" s="19" t="s">
        <v>325</v>
      </c>
      <c r="F966">
        <v>5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U966">
        <v>4</v>
      </c>
      <c r="V966" s="19" t="s">
        <v>2946</v>
      </c>
      <c r="W966" s="19" t="s">
        <v>1186</v>
      </c>
      <c r="X966">
        <v>13</v>
      </c>
      <c r="Y966">
        <v>14</v>
      </c>
      <c r="Z966">
        <v>48.1</v>
      </c>
      <c r="AA966">
        <v>3</v>
      </c>
      <c r="AB966">
        <v>16</v>
      </c>
      <c r="AC966">
        <v>1</v>
      </c>
      <c r="AD966">
        <v>6</v>
      </c>
      <c r="AE966" s="19" t="s">
        <v>60</v>
      </c>
    </row>
    <row r="967" spans="1:31" x14ac:dyDescent="0.2">
      <c r="A967">
        <v>914</v>
      </c>
      <c r="B967" s="19" t="s">
        <v>1443</v>
      </c>
      <c r="C967">
        <v>24</v>
      </c>
      <c r="D967" s="19" t="s">
        <v>351</v>
      </c>
      <c r="E967" s="19" t="s">
        <v>339</v>
      </c>
      <c r="F967">
        <v>2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3</v>
      </c>
      <c r="V967" s="19" t="s">
        <v>2084</v>
      </c>
      <c r="W967" s="19" t="s">
        <v>1798</v>
      </c>
      <c r="X967">
        <v>1</v>
      </c>
      <c r="Y967">
        <v>0</v>
      </c>
      <c r="Z967">
        <v>100</v>
      </c>
      <c r="AA967">
        <v>2</v>
      </c>
      <c r="AB967">
        <v>3</v>
      </c>
      <c r="AC967">
        <v>0</v>
      </c>
      <c r="AD967">
        <v>1</v>
      </c>
      <c r="AE967" s="19" t="s">
        <v>60</v>
      </c>
    </row>
    <row r="968" spans="1:31" x14ac:dyDescent="0.2">
      <c r="A968">
        <v>915</v>
      </c>
      <c r="B968" s="19" t="s">
        <v>2166</v>
      </c>
      <c r="C968">
        <v>24</v>
      </c>
      <c r="D968" s="19" t="s">
        <v>345</v>
      </c>
      <c r="E968" s="19" t="s">
        <v>348</v>
      </c>
      <c r="F968">
        <v>2</v>
      </c>
      <c r="G968">
        <v>0</v>
      </c>
      <c r="H968">
        <v>0</v>
      </c>
      <c r="I968">
        <v>0</v>
      </c>
      <c r="J968">
        <v>0</v>
      </c>
      <c r="K968">
        <v>2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3</v>
      </c>
      <c r="T968">
        <v>0</v>
      </c>
      <c r="U968">
        <v>4</v>
      </c>
      <c r="V968" s="19" t="s">
        <v>1620</v>
      </c>
      <c r="W968" s="19" t="s">
        <v>1635</v>
      </c>
      <c r="X968">
        <v>0</v>
      </c>
      <c r="Y968">
        <v>0</v>
      </c>
      <c r="AA968">
        <v>1</v>
      </c>
      <c r="AB968">
        <v>1</v>
      </c>
      <c r="AC968">
        <v>0</v>
      </c>
      <c r="AD968">
        <v>2</v>
      </c>
      <c r="AE968" s="19" t="s">
        <v>60</v>
      </c>
    </row>
    <row r="969" spans="1:31" x14ac:dyDescent="0.2">
      <c r="A969">
        <v>916</v>
      </c>
      <c r="B969" s="19" t="s">
        <v>1444</v>
      </c>
      <c r="C969">
        <v>33</v>
      </c>
      <c r="D969" s="19" t="s">
        <v>327</v>
      </c>
      <c r="E969" s="19" t="s">
        <v>3</v>
      </c>
      <c r="F969">
        <v>16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U969">
        <v>0</v>
      </c>
      <c r="V969" s="19" t="s">
        <v>1872</v>
      </c>
      <c r="W969" s="19" t="s">
        <v>1873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12</v>
      </c>
      <c r="AE969" s="19" t="s">
        <v>60</v>
      </c>
    </row>
    <row r="970" spans="1:31" x14ac:dyDescent="0.2">
      <c r="A970">
        <v>917</v>
      </c>
      <c r="B970" s="19" t="s">
        <v>1445</v>
      </c>
      <c r="C970">
        <v>22</v>
      </c>
      <c r="D970" s="19" t="s">
        <v>375</v>
      </c>
      <c r="E970" s="19" t="s">
        <v>348</v>
      </c>
      <c r="F970">
        <v>4</v>
      </c>
      <c r="G970">
        <v>0</v>
      </c>
      <c r="H970">
        <v>0</v>
      </c>
      <c r="I970">
        <v>0</v>
      </c>
      <c r="J970">
        <v>-3</v>
      </c>
      <c r="K970">
        <v>2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1</v>
      </c>
      <c r="T970">
        <v>0</v>
      </c>
      <c r="U970">
        <v>6</v>
      </c>
      <c r="V970" s="19" t="s">
        <v>1446</v>
      </c>
      <c r="W970" s="19" t="s">
        <v>1324</v>
      </c>
      <c r="X970">
        <v>0</v>
      </c>
      <c r="Y970">
        <v>0</v>
      </c>
      <c r="AA970">
        <v>2</v>
      </c>
      <c r="AB970">
        <v>1</v>
      </c>
      <c r="AC970">
        <v>1</v>
      </c>
      <c r="AD970">
        <v>4</v>
      </c>
      <c r="AE970" s="19" t="s">
        <v>60</v>
      </c>
    </row>
    <row r="971" spans="1:31" x14ac:dyDescent="0.2">
      <c r="A971">
        <v>918</v>
      </c>
      <c r="B971" s="19" t="s">
        <v>1447</v>
      </c>
      <c r="C971">
        <v>20</v>
      </c>
      <c r="D971" s="19" t="s">
        <v>380</v>
      </c>
      <c r="E971" s="19" t="s">
        <v>322</v>
      </c>
      <c r="F971">
        <v>3</v>
      </c>
      <c r="G971">
        <v>0</v>
      </c>
      <c r="H971">
        <v>0</v>
      </c>
      <c r="I971">
        <v>0</v>
      </c>
      <c r="J971">
        <v>-1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6</v>
      </c>
      <c r="T971">
        <v>0</v>
      </c>
      <c r="U971">
        <v>10</v>
      </c>
      <c r="V971" s="19" t="s">
        <v>1448</v>
      </c>
      <c r="W971" s="19" t="s">
        <v>643</v>
      </c>
      <c r="X971">
        <v>0</v>
      </c>
      <c r="Y971">
        <v>0</v>
      </c>
      <c r="AA971">
        <v>1</v>
      </c>
      <c r="AB971">
        <v>2</v>
      </c>
      <c r="AC971">
        <v>0</v>
      </c>
      <c r="AD971">
        <v>3</v>
      </c>
      <c r="AE971" s="19" t="s">
        <v>60</v>
      </c>
    </row>
    <row r="972" spans="1:31" x14ac:dyDescent="0.2">
      <c r="A972">
        <v>919</v>
      </c>
      <c r="B972" s="19" t="s">
        <v>1450</v>
      </c>
      <c r="C972">
        <v>26</v>
      </c>
      <c r="D972" s="19" t="s">
        <v>321</v>
      </c>
      <c r="E972" s="19" t="s">
        <v>325</v>
      </c>
      <c r="F972">
        <v>2</v>
      </c>
      <c r="G972">
        <v>0</v>
      </c>
      <c r="H972">
        <v>0</v>
      </c>
      <c r="I972">
        <v>0</v>
      </c>
      <c r="J972">
        <v>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U972">
        <v>0</v>
      </c>
      <c r="V972" s="19" t="s">
        <v>1451</v>
      </c>
      <c r="W972" s="19" t="s">
        <v>1452</v>
      </c>
      <c r="X972">
        <v>0</v>
      </c>
      <c r="Y972">
        <v>0</v>
      </c>
      <c r="AA972">
        <v>2</v>
      </c>
      <c r="AB972">
        <v>7</v>
      </c>
      <c r="AC972">
        <v>0</v>
      </c>
      <c r="AD972">
        <v>0</v>
      </c>
      <c r="AE972" s="19" t="s">
        <v>60</v>
      </c>
    </row>
    <row r="973" spans="1:31" x14ac:dyDescent="0.2">
      <c r="A973">
        <v>920</v>
      </c>
      <c r="B973" s="19" t="s">
        <v>2214</v>
      </c>
      <c r="C973">
        <v>26</v>
      </c>
      <c r="D973" s="19" t="s">
        <v>436</v>
      </c>
      <c r="E973" s="19" t="s">
        <v>322</v>
      </c>
      <c r="F973">
        <v>3</v>
      </c>
      <c r="G973">
        <v>0</v>
      </c>
      <c r="H973">
        <v>0</v>
      </c>
      <c r="I973">
        <v>0</v>
      </c>
      <c r="J973">
        <v>-3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6</v>
      </c>
      <c r="T973">
        <v>0</v>
      </c>
      <c r="U973">
        <v>11</v>
      </c>
      <c r="V973" s="19" t="s">
        <v>2372</v>
      </c>
      <c r="W973" s="19" t="s">
        <v>978</v>
      </c>
      <c r="X973">
        <v>1</v>
      </c>
      <c r="Y973">
        <v>1</v>
      </c>
      <c r="Z973">
        <v>50</v>
      </c>
      <c r="AA973">
        <v>1</v>
      </c>
      <c r="AB973">
        <v>16</v>
      </c>
      <c r="AC973">
        <v>2</v>
      </c>
      <c r="AD973">
        <v>1</v>
      </c>
      <c r="AE973" s="19" t="s">
        <v>60</v>
      </c>
    </row>
    <row r="974" spans="1:31" x14ac:dyDescent="0.2">
      <c r="A974">
        <v>921</v>
      </c>
      <c r="B974" s="19" t="s">
        <v>1453</v>
      </c>
      <c r="C974">
        <v>24</v>
      </c>
      <c r="D974" s="19" t="s">
        <v>375</v>
      </c>
      <c r="E974" s="19" t="s">
        <v>334</v>
      </c>
      <c r="F974">
        <v>2</v>
      </c>
      <c r="G974">
        <v>0</v>
      </c>
      <c r="H974">
        <v>0</v>
      </c>
      <c r="I974">
        <v>0</v>
      </c>
      <c r="J974">
        <v>-2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1</v>
      </c>
      <c r="T974">
        <v>0</v>
      </c>
      <c r="U974">
        <v>6</v>
      </c>
      <c r="V974" s="19" t="s">
        <v>1454</v>
      </c>
      <c r="W974" s="19" t="s">
        <v>1455</v>
      </c>
      <c r="X974">
        <v>0</v>
      </c>
      <c r="Y974">
        <v>0</v>
      </c>
      <c r="AA974">
        <v>2</v>
      </c>
      <c r="AB974">
        <v>2</v>
      </c>
      <c r="AC974">
        <v>1</v>
      </c>
      <c r="AD974">
        <v>1</v>
      </c>
      <c r="AE974" s="19" t="s">
        <v>60</v>
      </c>
    </row>
    <row r="975" spans="1:31" x14ac:dyDescent="0.2">
      <c r="A975">
        <v>922</v>
      </c>
      <c r="B975" s="19" t="s">
        <v>1456</v>
      </c>
      <c r="C975">
        <v>26</v>
      </c>
      <c r="D975" s="19" t="s">
        <v>358</v>
      </c>
      <c r="E975" s="19" t="s">
        <v>3</v>
      </c>
      <c r="F975">
        <v>3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0</v>
      </c>
      <c r="V975" s="19" t="s">
        <v>1457</v>
      </c>
      <c r="W975" s="19" t="s">
        <v>1458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1</v>
      </c>
      <c r="AE975" s="19" t="s">
        <v>60</v>
      </c>
    </row>
    <row r="976" spans="1:31" x14ac:dyDescent="0.2">
      <c r="A976">
        <v>923</v>
      </c>
      <c r="B976" s="19" t="s">
        <v>1460</v>
      </c>
      <c r="C976">
        <v>23</v>
      </c>
      <c r="D976" s="19" t="s">
        <v>358</v>
      </c>
      <c r="E976" s="19" t="s">
        <v>325</v>
      </c>
      <c r="F976">
        <v>4</v>
      </c>
      <c r="G976">
        <v>0</v>
      </c>
      <c r="H976">
        <v>0</v>
      </c>
      <c r="I976">
        <v>0</v>
      </c>
      <c r="J976">
        <v>2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1</v>
      </c>
      <c r="T976">
        <v>0</v>
      </c>
      <c r="U976">
        <v>2</v>
      </c>
      <c r="V976" s="19" t="s">
        <v>2373</v>
      </c>
      <c r="W976" s="19" t="s">
        <v>1367</v>
      </c>
      <c r="X976">
        <v>7</v>
      </c>
      <c r="Y976">
        <v>9</v>
      </c>
      <c r="Z976">
        <v>43.8</v>
      </c>
      <c r="AA976">
        <v>0</v>
      </c>
      <c r="AB976">
        <v>9</v>
      </c>
      <c r="AC976">
        <v>0</v>
      </c>
      <c r="AD976">
        <v>2</v>
      </c>
      <c r="AE976" s="19" t="s">
        <v>60</v>
      </c>
    </row>
    <row r="977" spans="1:31" x14ac:dyDescent="0.2">
      <c r="A977">
        <v>924</v>
      </c>
      <c r="B977" s="19" t="s">
        <v>2135</v>
      </c>
      <c r="C977">
        <v>37</v>
      </c>
      <c r="D977" s="19" t="s">
        <v>416</v>
      </c>
      <c r="E977" s="19" t="s">
        <v>3</v>
      </c>
      <c r="F977">
        <v>5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0</v>
      </c>
      <c r="V977" s="19" t="s">
        <v>2947</v>
      </c>
      <c r="W977" s="19" t="s">
        <v>1692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1</v>
      </c>
      <c r="AE977" s="19" t="s">
        <v>60</v>
      </c>
    </row>
    <row r="978" spans="1:31" x14ac:dyDescent="0.2">
      <c r="A978">
        <v>925</v>
      </c>
      <c r="B978" s="19" t="s">
        <v>1463</v>
      </c>
      <c r="C978">
        <v>33</v>
      </c>
      <c r="D978" s="19" t="s">
        <v>383</v>
      </c>
      <c r="E978" s="19" t="s">
        <v>3</v>
      </c>
      <c r="F978">
        <v>22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1</v>
      </c>
      <c r="T978">
        <v>0</v>
      </c>
      <c r="U978">
        <v>1</v>
      </c>
      <c r="V978" s="19" t="s">
        <v>2948</v>
      </c>
      <c r="W978" s="19" t="s">
        <v>2949</v>
      </c>
      <c r="X978">
        <v>0</v>
      </c>
      <c r="Y978">
        <v>0</v>
      </c>
      <c r="AA978">
        <v>0</v>
      </c>
      <c r="AB978">
        <v>0</v>
      </c>
      <c r="AC978">
        <v>0</v>
      </c>
      <c r="AD978">
        <v>17</v>
      </c>
      <c r="AE978" s="19" t="s">
        <v>60</v>
      </c>
    </row>
    <row r="979" spans="1:31" x14ac:dyDescent="0.2">
      <c r="A979">
        <v>926</v>
      </c>
      <c r="B979" s="19" t="s">
        <v>1464</v>
      </c>
      <c r="C979">
        <v>22</v>
      </c>
      <c r="D979" s="19" t="s">
        <v>362</v>
      </c>
      <c r="E979" s="19" t="s">
        <v>334</v>
      </c>
      <c r="F979">
        <v>3</v>
      </c>
      <c r="G979">
        <v>0</v>
      </c>
      <c r="H979">
        <v>0</v>
      </c>
      <c r="I979">
        <v>0</v>
      </c>
      <c r="J979">
        <v>0</v>
      </c>
      <c r="K979">
        <v>2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2</v>
      </c>
      <c r="T979">
        <v>0</v>
      </c>
      <c r="U979">
        <v>6</v>
      </c>
      <c r="V979" s="19" t="s">
        <v>1465</v>
      </c>
      <c r="W979" s="19" t="s">
        <v>1120</v>
      </c>
      <c r="X979">
        <v>0</v>
      </c>
      <c r="Y979">
        <v>0</v>
      </c>
      <c r="AA979">
        <v>0</v>
      </c>
      <c r="AB979">
        <v>6</v>
      </c>
      <c r="AC979">
        <v>0</v>
      </c>
      <c r="AD979">
        <v>3</v>
      </c>
      <c r="AE979" s="19" t="s">
        <v>60</v>
      </c>
    </row>
    <row r="980" spans="1:31" x14ac:dyDescent="0.2">
      <c r="A980">
        <v>927</v>
      </c>
      <c r="B980" s="19" t="s">
        <v>1466</v>
      </c>
      <c r="C980">
        <v>21</v>
      </c>
      <c r="D980" s="19" t="s">
        <v>345</v>
      </c>
      <c r="E980" s="19" t="s">
        <v>348</v>
      </c>
      <c r="F980">
        <v>9</v>
      </c>
      <c r="G980">
        <v>0</v>
      </c>
      <c r="H980">
        <v>0</v>
      </c>
      <c r="I980">
        <v>0</v>
      </c>
      <c r="J980">
        <v>-4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8</v>
      </c>
      <c r="T980">
        <v>0</v>
      </c>
      <c r="U980">
        <v>23</v>
      </c>
      <c r="V980" s="19" t="s">
        <v>2832</v>
      </c>
      <c r="W980" s="19" t="s">
        <v>1521</v>
      </c>
      <c r="X980">
        <v>0</v>
      </c>
      <c r="Y980">
        <v>0</v>
      </c>
      <c r="AA980">
        <v>10</v>
      </c>
      <c r="AB980">
        <v>9</v>
      </c>
      <c r="AC980">
        <v>2</v>
      </c>
      <c r="AD980">
        <v>10</v>
      </c>
      <c r="AE980" s="19" t="s">
        <v>60</v>
      </c>
    </row>
    <row r="981" spans="1:31" x14ac:dyDescent="0.2">
      <c r="A981">
        <v>928</v>
      </c>
      <c r="B981" s="19" t="s">
        <v>2833</v>
      </c>
      <c r="C981">
        <v>23</v>
      </c>
      <c r="D981" s="19" t="s">
        <v>327</v>
      </c>
      <c r="E981" s="19" t="s">
        <v>325</v>
      </c>
      <c r="F981">
        <v>1</v>
      </c>
      <c r="G981">
        <v>0</v>
      </c>
      <c r="H981">
        <v>0</v>
      </c>
      <c r="I981">
        <v>0</v>
      </c>
      <c r="J981">
        <v>2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U981">
        <v>1</v>
      </c>
      <c r="V981" s="19" t="s">
        <v>2813</v>
      </c>
      <c r="W981" s="19" t="s">
        <v>2813</v>
      </c>
      <c r="X981">
        <v>3</v>
      </c>
      <c r="Y981">
        <v>1</v>
      </c>
      <c r="Z981">
        <v>75</v>
      </c>
      <c r="AA981">
        <v>0</v>
      </c>
      <c r="AB981">
        <v>0</v>
      </c>
      <c r="AC981">
        <v>0</v>
      </c>
      <c r="AD981">
        <v>0</v>
      </c>
      <c r="AE981" s="19" t="s">
        <v>60</v>
      </c>
    </row>
    <row r="982" spans="1:31" x14ac:dyDescent="0.2">
      <c r="A982">
        <v>929</v>
      </c>
      <c r="B982" s="19" t="s">
        <v>1467</v>
      </c>
      <c r="C982">
        <v>30</v>
      </c>
      <c r="D982" s="19" t="s">
        <v>460</v>
      </c>
      <c r="E982" s="19" t="s">
        <v>3</v>
      </c>
      <c r="F982">
        <v>41</v>
      </c>
      <c r="G982">
        <v>0</v>
      </c>
      <c r="H982">
        <v>0</v>
      </c>
      <c r="I982">
        <v>0</v>
      </c>
      <c r="J982">
        <v>0</v>
      </c>
      <c r="K982">
        <v>2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2834</v>
      </c>
      <c r="W982" s="19" t="s">
        <v>2016</v>
      </c>
      <c r="X982">
        <v>0</v>
      </c>
      <c r="Y982">
        <v>0</v>
      </c>
      <c r="AA982">
        <v>0</v>
      </c>
      <c r="AB982">
        <v>0</v>
      </c>
      <c r="AC982">
        <v>0</v>
      </c>
      <c r="AD982">
        <v>19</v>
      </c>
      <c r="AE982" s="19" t="s">
        <v>60</v>
      </c>
    </row>
    <row r="983" spans="1:31" x14ac:dyDescent="0.2">
      <c r="A983">
        <v>930</v>
      </c>
      <c r="B983" s="19" t="s">
        <v>1842</v>
      </c>
      <c r="C983">
        <v>30</v>
      </c>
      <c r="D983" s="19" t="s">
        <v>416</v>
      </c>
      <c r="E983" s="19" t="s">
        <v>3</v>
      </c>
      <c r="F983">
        <v>1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U983">
        <v>0</v>
      </c>
      <c r="V983" s="19" t="s">
        <v>1843</v>
      </c>
      <c r="W983" s="19" t="s">
        <v>1843</v>
      </c>
      <c r="X983">
        <v>0</v>
      </c>
      <c r="Y983">
        <v>0</v>
      </c>
      <c r="AA983">
        <v>0</v>
      </c>
      <c r="AB983">
        <v>0</v>
      </c>
      <c r="AC983">
        <v>0</v>
      </c>
      <c r="AD983">
        <v>0</v>
      </c>
      <c r="AE983" s="19" t="s">
        <v>60</v>
      </c>
    </row>
    <row r="984" spans="1:31" x14ac:dyDescent="0.2">
      <c r="A984">
        <v>931</v>
      </c>
      <c r="B984" s="19" t="s">
        <v>1469</v>
      </c>
      <c r="C984">
        <v>30</v>
      </c>
      <c r="D984" s="19" t="s">
        <v>360</v>
      </c>
      <c r="E984" s="19" t="s">
        <v>3</v>
      </c>
      <c r="F984">
        <v>34</v>
      </c>
      <c r="G984">
        <v>0</v>
      </c>
      <c r="H984">
        <v>0</v>
      </c>
      <c r="I984">
        <v>0</v>
      </c>
      <c r="J984">
        <v>0</v>
      </c>
      <c r="K984">
        <v>4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2</v>
      </c>
      <c r="T984">
        <v>0</v>
      </c>
      <c r="U984">
        <v>2</v>
      </c>
      <c r="V984" s="19" t="s">
        <v>1844</v>
      </c>
      <c r="W984" s="19" t="s">
        <v>1692</v>
      </c>
      <c r="X984">
        <v>0</v>
      </c>
      <c r="Y984">
        <v>0</v>
      </c>
      <c r="AA984">
        <v>0</v>
      </c>
      <c r="AB984">
        <v>0</v>
      </c>
      <c r="AC984">
        <v>0</v>
      </c>
      <c r="AD984">
        <v>17</v>
      </c>
      <c r="AE984" s="19" t="s">
        <v>60</v>
      </c>
    </row>
    <row r="985" spans="1:31" x14ac:dyDescent="0.2">
      <c r="A985">
        <v>932</v>
      </c>
      <c r="B985" s="19" t="s">
        <v>1470</v>
      </c>
      <c r="C985">
        <v>24</v>
      </c>
      <c r="D985" s="19" t="s">
        <v>513</v>
      </c>
      <c r="E985" s="19" t="s">
        <v>348</v>
      </c>
      <c r="F985">
        <v>1</v>
      </c>
      <c r="G985">
        <v>0</v>
      </c>
      <c r="H985">
        <v>0</v>
      </c>
      <c r="I985">
        <v>0</v>
      </c>
      <c r="J985">
        <v>1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U985">
        <v>1</v>
      </c>
      <c r="V985" s="19" t="s">
        <v>990</v>
      </c>
      <c r="W985" s="19" t="s">
        <v>990</v>
      </c>
      <c r="X985">
        <v>0</v>
      </c>
      <c r="Y985">
        <v>0</v>
      </c>
      <c r="AA985">
        <v>1</v>
      </c>
      <c r="AB985">
        <v>4</v>
      </c>
      <c r="AC985">
        <v>0</v>
      </c>
      <c r="AD985">
        <v>0</v>
      </c>
      <c r="AE985" s="19" t="s">
        <v>60</v>
      </c>
    </row>
    <row r="986" spans="1:31" x14ac:dyDescent="0.2">
      <c r="A986">
        <v>933</v>
      </c>
      <c r="B986" s="19" t="s">
        <v>1471</v>
      </c>
      <c r="C986">
        <v>27</v>
      </c>
      <c r="D986" s="19" t="s">
        <v>948</v>
      </c>
      <c r="E986" s="19" t="s">
        <v>3</v>
      </c>
      <c r="F986">
        <v>34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U986">
        <v>0</v>
      </c>
      <c r="V986" s="19" t="s">
        <v>2374</v>
      </c>
      <c r="W986" s="19" t="s">
        <v>1986</v>
      </c>
      <c r="X986">
        <v>0</v>
      </c>
      <c r="Y986">
        <v>0</v>
      </c>
      <c r="AA986">
        <v>0</v>
      </c>
      <c r="AB986">
        <v>0</v>
      </c>
      <c r="AC986">
        <v>0</v>
      </c>
      <c r="AD986">
        <v>16</v>
      </c>
      <c r="AE986" s="19" t="s">
        <v>60</v>
      </c>
    </row>
    <row r="987" spans="1:31" x14ac:dyDescent="0.2">
      <c r="A987">
        <v>933</v>
      </c>
      <c r="B987" s="19" t="s">
        <v>1471</v>
      </c>
      <c r="C987">
        <v>27</v>
      </c>
      <c r="D987" s="19" t="s">
        <v>327</v>
      </c>
      <c r="E987" s="19" t="s">
        <v>3</v>
      </c>
      <c r="F987">
        <v>23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U987">
        <v>0</v>
      </c>
      <c r="V987" s="19" t="s">
        <v>1552</v>
      </c>
      <c r="W987" s="19" t="s">
        <v>1360</v>
      </c>
      <c r="X987">
        <v>0</v>
      </c>
      <c r="Y987">
        <v>0</v>
      </c>
      <c r="AA987">
        <v>0</v>
      </c>
      <c r="AB987">
        <v>0</v>
      </c>
      <c r="AC987">
        <v>0</v>
      </c>
      <c r="AD987">
        <v>10</v>
      </c>
      <c r="AE987" s="19" t="s">
        <v>60</v>
      </c>
    </row>
    <row r="988" spans="1:31" x14ac:dyDescent="0.2">
      <c r="A988">
        <v>933</v>
      </c>
      <c r="B988" s="19" t="s">
        <v>1471</v>
      </c>
      <c r="C988">
        <v>27</v>
      </c>
      <c r="D988" s="19" t="s">
        <v>375</v>
      </c>
      <c r="E988" s="19" t="s">
        <v>3</v>
      </c>
      <c r="F988">
        <v>11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U988">
        <v>0</v>
      </c>
      <c r="V988" s="19" t="s">
        <v>2375</v>
      </c>
      <c r="W988" s="19" t="s">
        <v>1990</v>
      </c>
      <c r="X988">
        <v>0</v>
      </c>
      <c r="Y988">
        <v>0</v>
      </c>
      <c r="AA988">
        <v>0</v>
      </c>
      <c r="AB988">
        <v>0</v>
      </c>
      <c r="AC988">
        <v>0</v>
      </c>
      <c r="AD988">
        <v>6</v>
      </c>
      <c r="AE988" s="19" t="s">
        <v>60</v>
      </c>
    </row>
    <row r="989" spans="1:31" x14ac:dyDescent="0.2">
      <c r="A989">
        <v>934</v>
      </c>
      <c r="B989" s="19" t="s">
        <v>1474</v>
      </c>
      <c r="C989">
        <v>26</v>
      </c>
      <c r="D989" s="19" t="s">
        <v>329</v>
      </c>
      <c r="E989" s="19" t="s">
        <v>3</v>
      </c>
      <c r="F989">
        <v>16</v>
      </c>
      <c r="G989">
        <v>0</v>
      </c>
      <c r="H989">
        <v>0</v>
      </c>
      <c r="I989">
        <v>0</v>
      </c>
      <c r="J989">
        <v>0</v>
      </c>
      <c r="K989">
        <v>4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U989">
        <v>0</v>
      </c>
      <c r="V989" s="19" t="s">
        <v>2258</v>
      </c>
      <c r="W989" s="19" t="s">
        <v>2259</v>
      </c>
      <c r="X989">
        <v>0</v>
      </c>
      <c r="Y989">
        <v>0</v>
      </c>
      <c r="AA989">
        <v>0</v>
      </c>
      <c r="AB989">
        <v>0</v>
      </c>
      <c r="AC989">
        <v>0</v>
      </c>
      <c r="AD989">
        <v>5</v>
      </c>
      <c r="AE989" s="19" t="s">
        <v>60</v>
      </c>
    </row>
    <row r="990" spans="1:31" x14ac:dyDescent="0.2">
      <c r="A990">
        <v>935</v>
      </c>
      <c r="B990" s="19" t="s">
        <v>1477</v>
      </c>
      <c r="C990">
        <v>30</v>
      </c>
      <c r="D990" s="19" t="s">
        <v>383</v>
      </c>
      <c r="E990" s="19" t="s">
        <v>3</v>
      </c>
      <c r="F990">
        <v>31</v>
      </c>
      <c r="G990">
        <v>0</v>
      </c>
      <c r="H990">
        <v>0</v>
      </c>
      <c r="I990">
        <v>0</v>
      </c>
      <c r="J990">
        <v>0</v>
      </c>
      <c r="K990">
        <v>2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U990">
        <v>0</v>
      </c>
      <c r="V990" s="19" t="s">
        <v>2835</v>
      </c>
      <c r="W990" s="19" t="s">
        <v>2255</v>
      </c>
      <c r="X990">
        <v>0</v>
      </c>
      <c r="Y990">
        <v>0</v>
      </c>
      <c r="AA990">
        <v>0</v>
      </c>
      <c r="AB990">
        <v>0</v>
      </c>
      <c r="AC990">
        <v>0</v>
      </c>
      <c r="AD990">
        <v>6</v>
      </c>
      <c r="AE990" s="19" t="s">
        <v>60</v>
      </c>
    </row>
    <row r="991" spans="1:31" x14ac:dyDescent="0.2">
      <c r="A991">
        <v>936</v>
      </c>
      <c r="B991" s="19" t="s">
        <v>2062</v>
      </c>
      <c r="C991">
        <v>22</v>
      </c>
      <c r="D991" s="19" t="s">
        <v>356</v>
      </c>
      <c r="E991" s="19" t="s">
        <v>348</v>
      </c>
      <c r="F991">
        <v>2</v>
      </c>
      <c r="G991">
        <v>0</v>
      </c>
      <c r="H991">
        <v>0</v>
      </c>
      <c r="I991">
        <v>0</v>
      </c>
      <c r="J991">
        <v>-1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U991">
        <v>0</v>
      </c>
      <c r="V991" s="19" t="s">
        <v>2158</v>
      </c>
      <c r="W991" s="19" t="s">
        <v>990</v>
      </c>
      <c r="X991">
        <v>0</v>
      </c>
      <c r="Y991">
        <v>0</v>
      </c>
      <c r="AA991">
        <v>2</v>
      </c>
      <c r="AB991">
        <v>1</v>
      </c>
      <c r="AC991">
        <v>0</v>
      </c>
      <c r="AD991">
        <v>1</v>
      </c>
      <c r="AE991" s="19" t="s">
        <v>60</v>
      </c>
    </row>
    <row r="992" spans="1:31" x14ac:dyDescent="0.2">
      <c r="A992">
        <v>937</v>
      </c>
      <c r="B992" s="19" t="s">
        <v>1597</v>
      </c>
      <c r="C992">
        <v>27</v>
      </c>
      <c r="D992" s="19" t="s">
        <v>327</v>
      </c>
      <c r="E992" s="19" t="s">
        <v>348</v>
      </c>
      <c r="F992">
        <v>4</v>
      </c>
      <c r="G992">
        <v>0</v>
      </c>
      <c r="H992">
        <v>0</v>
      </c>
      <c r="I992">
        <v>0</v>
      </c>
      <c r="J992">
        <v>1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4</v>
      </c>
      <c r="V992" s="19" t="s">
        <v>1875</v>
      </c>
      <c r="W992" s="19" t="s">
        <v>1735</v>
      </c>
      <c r="X992">
        <v>0</v>
      </c>
      <c r="Y992">
        <v>0</v>
      </c>
      <c r="AA992">
        <v>4</v>
      </c>
      <c r="AB992">
        <v>7</v>
      </c>
      <c r="AC992">
        <v>0</v>
      </c>
      <c r="AD992">
        <v>2</v>
      </c>
      <c r="AE992" s="19" t="s">
        <v>60</v>
      </c>
    </row>
    <row r="993" spans="1:31" x14ac:dyDescent="0.2">
      <c r="A993">
        <v>938</v>
      </c>
      <c r="B993" s="19" t="s">
        <v>1478</v>
      </c>
      <c r="C993">
        <v>32</v>
      </c>
      <c r="D993" s="19" t="s">
        <v>358</v>
      </c>
      <c r="E993" s="19" t="s">
        <v>3</v>
      </c>
      <c r="F993">
        <v>14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U993">
        <v>0</v>
      </c>
      <c r="V993" s="19" t="s">
        <v>2260</v>
      </c>
      <c r="W993" s="19" t="s">
        <v>1900</v>
      </c>
      <c r="X993">
        <v>0</v>
      </c>
      <c r="Y993">
        <v>0</v>
      </c>
      <c r="AA993">
        <v>0</v>
      </c>
      <c r="AB993">
        <v>0</v>
      </c>
      <c r="AC993">
        <v>0</v>
      </c>
      <c r="AD993">
        <v>2</v>
      </c>
      <c r="AE993" s="19" t="s">
        <v>60</v>
      </c>
    </row>
    <row r="994" spans="1:31" x14ac:dyDescent="0.2">
      <c r="A994">
        <v>939</v>
      </c>
      <c r="B994" s="19" t="s">
        <v>1851</v>
      </c>
      <c r="C994">
        <v>22</v>
      </c>
      <c r="D994" s="19" t="s">
        <v>436</v>
      </c>
      <c r="E994" s="19" t="s">
        <v>339</v>
      </c>
      <c r="F994">
        <v>3</v>
      </c>
      <c r="G994">
        <v>0</v>
      </c>
      <c r="H994">
        <v>0</v>
      </c>
      <c r="I994">
        <v>0</v>
      </c>
      <c r="J994">
        <v>-1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2</v>
      </c>
      <c r="T994">
        <v>0</v>
      </c>
      <c r="U994">
        <v>2</v>
      </c>
      <c r="V994" s="19" t="s">
        <v>1930</v>
      </c>
      <c r="W994" s="19" t="s">
        <v>1858</v>
      </c>
      <c r="X994">
        <v>0</v>
      </c>
      <c r="Y994">
        <v>0</v>
      </c>
      <c r="AA994">
        <v>0</v>
      </c>
      <c r="AB994">
        <v>0</v>
      </c>
      <c r="AC994">
        <v>0</v>
      </c>
      <c r="AD994">
        <v>0</v>
      </c>
      <c r="AE994" s="19" t="s">
        <v>60</v>
      </c>
    </row>
    <row r="995" spans="1:31" x14ac:dyDescent="0.2">
      <c r="A995">
        <v>940</v>
      </c>
      <c r="B995" s="19" t="s">
        <v>1479</v>
      </c>
      <c r="C995">
        <v>26</v>
      </c>
      <c r="D995" s="19" t="s">
        <v>372</v>
      </c>
      <c r="E995" s="19" t="s">
        <v>322</v>
      </c>
      <c r="F995">
        <v>18</v>
      </c>
      <c r="G995">
        <v>0</v>
      </c>
      <c r="H995">
        <v>0</v>
      </c>
      <c r="I995">
        <v>0</v>
      </c>
      <c r="J995">
        <v>-6</v>
      </c>
      <c r="K995">
        <v>4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16</v>
      </c>
      <c r="T995">
        <v>0</v>
      </c>
      <c r="U995">
        <v>26</v>
      </c>
      <c r="V995" s="19" t="s">
        <v>1923</v>
      </c>
      <c r="W995" s="19" t="s">
        <v>1924</v>
      </c>
      <c r="X995">
        <v>22</v>
      </c>
      <c r="Y995">
        <v>36</v>
      </c>
      <c r="Z995">
        <v>37.9</v>
      </c>
      <c r="AA995">
        <v>6</v>
      </c>
      <c r="AB995">
        <v>19</v>
      </c>
      <c r="AC995">
        <v>2</v>
      </c>
      <c r="AD995">
        <v>3</v>
      </c>
      <c r="AE995" s="19" t="s">
        <v>60</v>
      </c>
    </row>
    <row r="996" spans="1:31" x14ac:dyDescent="0.2">
      <c r="A996">
        <v>941</v>
      </c>
      <c r="B996" s="19" t="s">
        <v>1480</v>
      </c>
      <c r="C996">
        <v>27</v>
      </c>
      <c r="D996" s="19" t="s">
        <v>354</v>
      </c>
      <c r="E996" s="19" t="s">
        <v>3</v>
      </c>
      <c r="F996">
        <v>36</v>
      </c>
      <c r="G996">
        <v>0</v>
      </c>
      <c r="H996">
        <v>0</v>
      </c>
      <c r="I996">
        <v>0</v>
      </c>
      <c r="J996">
        <v>0</v>
      </c>
      <c r="K996">
        <v>2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U996">
        <v>1</v>
      </c>
      <c r="V996" s="19" t="s">
        <v>2836</v>
      </c>
      <c r="W996" s="19" t="s">
        <v>2080</v>
      </c>
      <c r="X996">
        <v>0</v>
      </c>
      <c r="Y996">
        <v>0</v>
      </c>
      <c r="AA996">
        <v>0</v>
      </c>
      <c r="AB996">
        <v>0</v>
      </c>
      <c r="AC996">
        <v>0</v>
      </c>
      <c r="AD996">
        <v>13</v>
      </c>
      <c r="AE996" s="19" t="s">
        <v>60</v>
      </c>
    </row>
    <row r="997" spans="1:31" x14ac:dyDescent="0.2">
      <c r="A997">
        <v>942</v>
      </c>
      <c r="B997" s="19" t="s">
        <v>1876</v>
      </c>
      <c r="C997">
        <v>25</v>
      </c>
      <c r="D997" s="19" t="s">
        <v>416</v>
      </c>
      <c r="E997" s="19" t="s">
        <v>3</v>
      </c>
      <c r="F997">
        <v>2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U997">
        <v>0</v>
      </c>
      <c r="V997" s="19" t="s">
        <v>2376</v>
      </c>
      <c r="W997" s="19" t="s">
        <v>2377</v>
      </c>
      <c r="X997">
        <v>0</v>
      </c>
      <c r="Y997">
        <v>0</v>
      </c>
      <c r="AA997">
        <v>0</v>
      </c>
      <c r="AB997">
        <v>0</v>
      </c>
      <c r="AC997">
        <v>0</v>
      </c>
      <c r="AD997">
        <v>1</v>
      </c>
      <c r="AE997" s="19" t="s">
        <v>60</v>
      </c>
    </row>
    <row r="998" spans="1:31" x14ac:dyDescent="0.2">
      <c r="A998">
        <v>943</v>
      </c>
      <c r="B998" s="19" t="s">
        <v>1481</v>
      </c>
      <c r="C998">
        <v>26</v>
      </c>
      <c r="D998" s="19" t="s">
        <v>372</v>
      </c>
      <c r="E998" s="19" t="s">
        <v>3</v>
      </c>
      <c r="F998">
        <v>17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0</v>
      </c>
      <c r="V998" s="19" t="s">
        <v>2378</v>
      </c>
      <c r="W998" s="19" t="s">
        <v>1673</v>
      </c>
      <c r="X998">
        <v>0</v>
      </c>
      <c r="Y998">
        <v>0</v>
      </c>
      <c r="AA998">
        <v>0</v>
      </c>
      <c r="AB998">
        <v>0</v>
      </c>
      <c r="AC998">
        <v>0</v>
      </c>
      <c r="AD998">
        <v>10</v>
      </c>
      <c r="AE998" s="19" t="s">
        <v>60</v>
      </c>
    </row>
    <row r="999" spans="1:31" x14ac:dyDescent="0.2">
      <c r="A999">
        <v>944</v>
      </c>
      <c r="B999" s="19" t="s">
        <v>1553</v>
      </c>
      <c r="C999">
        <v>24</v>
      </c>
      <c r="D999" s="19" t="s">
        <v>358</v>
      </c>
      <c r="E999" s="19" t="s">
        <v>348</v>
      </c>
      <c r="F999">
        <v>4</v>
      </c>
      <c r="G999">
        <v>0</v>
      </c>
      <c r="H999">
        <v>0</v>
      </c>
      <c r="I999">
        <v>0</v>
      </c>
      <c r="J999">
        <v>-1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4</v>
      </c>
      <c r="T999">
        <v>0</v>
      </c>
      <c r="U999">
        <v>5</v>
      </c>
      <c r="V999" s="19" t="s">
        <v>1598</v>
      </c>
      <c r="W999" s="19" t="s">
        <v>1328</v>
      </c>
      <c r="X999">
        <v>0</v>
      </c>
      <c r="Y999">
        <v>0</v>
      </c>
      <c r="AA999">
        <v>4</v>
      </c>
      <c r="AB999">
        <v>3</v>
      </c>
      <c r="AC999">
        <v>0</v>
      </c>
      <c r="AD999">
        <v>1</v>
      </c>
      <c r="AE999" s="19" t="s">
        <v>60</v>
      </c>
    </row>
    <row r="1000" spans="1:31" x14ac:dyDescent="0.2">
      <c r="A1000">
        <v>945</v>
      </c>
      <c r="B1000" s="19" t="s">
        <v>1482</v>
      </c>
      <c r="C1000">
        <v>25</v>
      </c>
      <c r="D1000" s="19" t="s">
        <v>447</v>
      </c>
      <c r="E1000" s="19" t="s">
        <v>3</v>
      </c>
      <c r="F1000">
        <v>7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U1000">
        <v>0</v>
      </c>
      <c r="V1000" s="19" t="s">
        <v>2837</v>
      </c>
      <c r="W1000" s="19" t="s">
        <v>2838</v>
      </c>
      <c r="X1000">
        <v>0</v>
      </c>
      <c r="Y1000">
        <v>0</v>
      </c>
      <c r="AA1000">
        <v>0</v>
      </c>
      <c r="AB1000">
        <v>0</v>
      </c>
      <c r="AC1000">
        <v>0</v>
      </c>
      <c r="AD1000">
        <v>2</v>
      </c>
      <c r="AE1000" s="19" t="s">
        <v>60</v>
      </c>
    </row>
    <row r="1001" spans="1:31" x14ac:dyDescent="0.2">
      <c r="A1001">
        <v>946</v>
      </c>
      <c r="B1001" s="19" t="s">
        <v>1571</v>
      </c>
      <c r="C1001">
        <v>23</v>
      </c>
      <c r="D1001" s="19" t="s">
        <v>365</v>
      </c>
      <c r="E1001" s="19" t="s">
        <v>334</v>
      </c>
      <c r="F1001">
        <v>2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1</v>
      </c>
      <c r="T1001">
        <v>0</v>
      </c>
      <c r="U1001">
        <v>3</v>
      </c>
      <c r="V1001" s="19" t="s">
        <v>1509</v>
      </c>
      <c r="W1001" s="19" t="s">
        <v>1412</v>
      </c>
      <c r="X1001">
        <v>0</v>
      </c>
      <c r="Y1001">
        <v>0</v>
      </c>
      <c r="AA1001">
        <v>2</v>
      </c>
      <c r="AB1001">
        <v>1</v>
      </c>
      <c r="AC1001">
        <v>1</v>
      </c>
      <c r="AD1001">
        <v>1</v>
      </c>
      <c r="AE1001" s="19" t="s">
        <v>60</v>
      </c>
    </row>
    <row r="1002" spans="1:31" x14ac:dyDescent="0.2">
      <c r="A1002">
        <v>947</v>
      </c>
      <c r="B1002" s="19" t="s">
        <v>1903</v>
      </c>
      <c r="C1002">
        <v>33</v>
      </c>
      <c r="D1002" s="19" t="s">
        <v>321</v>
      </c>
      <c r="E1002" s="19" t="s">
        <v>322</v>
      </c>
      <c r="F1002">
        <v>1</v>
      </c>
      <c r="G1002">
        <v>0</v>
      </c>
      <c r="H1002">
        <v>0</v>
      </c>
      <c r="I1002">
        <v>0</v>
      </c>
      <c r="J1002">
        <v>1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1</v>
      </c>
      <c r="T1002">
        <v>0</v>
      </c>
      <c r="U1002">
        <v>1</v>
      </c>
      <c r="V1002" s="19" t="s">
        <v>1904</v>
      </c>
      <c r="W1002" s="19" t="s">
        <v>1904</v>
      </c>
      <c r="X1002">
        <v>4</v>
      </c>
      <c r="Y1002">
        <v>6</v>
      </c>
      <c r="Z1002">
        <v>40</v>
      </c>
      <c r="AA1002">
        <v>0</v>
      </c>
      <c r="AB1002">
        <v>0</v>
      </c>
      <c r="AC1002">
        <v>0</v>
      </c>
      <c r="AD1002">
        <v>0</v>
      </c>
      <c r="AE1002" s="19" t="s">
        <v>60</v>
      </c>
    </row>
    <row r="1003" spans="1:31" x14ac:dyDescent="0.2">
      <c r="A1003">
        <v>948</v>
      </c>
      <c r="B1003" s="19" t="s">
        <v>1483</v>
      </c>
      <c r="C1003">
        <v>32</v>
      </c>
      <c r="D1003" s="19" t="s">
        <v>416</v>
      </c>
      <c r="E1003" s="19" t="s">
        <v>3</v>
      </c>
      <c r="F1003">
        <v>28</v>
      </c>
      <c r="G1003">
        <v>0</v>
      </c>
      <c r="H1003">
        <v>0</v>
      </c>
      <c r="I1003">
        <v>0</v>
      </c>
      <c r="J1003">
        <v>0</v>
      </c>
      <c r="K1003">
        <v>2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U1003">
        <v>1</v>
      </c>
      <c r="V1003" s="19" t="s">
        <v>1693</v>
      </c>
      <c r="W1003" s="19" t="s">
        <v>1694</v>
      </c>
      <c r="X1003">
        <v>0</v>
      </c>
      <c r="Y1003">
        <v>0</v>
      </c>
      <c r="AA1003">
        <v>0</v>
      </c>
      <c r="AB1003">
        <v>0</v>
      </c>
      <c r="AC1003">
        <v>0</v>
      </c>
      <c r="AD1003">
        <v>6</v>
      </c>
      <c r="AE1003" s="19" t="s">
        <v>60</v>
      </c>
    </row>
    <row r="1004" spans="1:31" x14ac:dyDescent="0.2">
      <c r="A1004">
        <v>949</v>
      </c>
      <c r="B1004" s="19" t="s">
        <v>1486</v>
      </c>
      <c r="C1004">
        <v>28</v>
      </c>
      <c r="D1004" s="19" t="s">
        <v>406</v>
      </c>
      <c r="E1004" s="19" t="s">
        <v>3</v>
      </c>
      <c r="F1004">
        <v>29</v>
      </c>
      <c r="G1004">
        <v>0</v>
      </c>
      <c r="H1004">
        <v>0</v>
      </c>
      <c r="I1004">
        <v>0</v>
      </c>
      <c r="J1004">
        <v>0</v>
      </c>
      <c r="K1004">
        <v>2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U1004">
        <v>0</v>
      </c>
      <c r="V1004" s="19" t="s">
        <v>2950</v>
      </c>
      <c r="W1004" s="19" t="s">
        <v>2120</v>
      </c>
      <c r="X1004">
        <v>0</v>
      </c>
      <c r="Y1004">
        <v>0</v>
      </c>
      <c r="AA1004">
        <v>0</v>
      </c>
      <c r="AB1004">
        <v>0</v>
      </c>
      <c r="AC1004">
        <v>0</v>
      </c>
      <c r="AD1004">
        <v>7</v>
      </c>
      <c r="AE1004" s="19" t="s">
        <v>60</v>
      </c>
    </row>
    <row r="1005" spans="1:31" x14ac:dyDescent="0.2">
      <c r="A1005">
        <v>950</v>
      </c>
      <c r="B1005" s="19" t="s">
        <v>1487</v>
      </c>
      <c r="C1005">
        <v>23</v>
      </c>
      <c r="D1005" s="19" t="s">
        <v>356</v>
      </c>
      <c r="E1005" s="19" t="s">
        <v>3</v>
      </c>
      <c r="F1005">
        <v>22</v>
      </c>
      <c r="G1005">
        <v>0</v>
      </c>
      <c r="H1005">
        <v>0</v>
      </c>
      <c r="I1005">
        <v>0</v>
      </c>
      <c r="J1005">
        <v>0</v>
      </c>
      <c r="K1005">
        <v>2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U1005">
        <v>0</v>
      </c>
      <c r="V1005" s="19" t="s">
        <v>2839</v>
      </c>
      <c r="W1005" s="19" t="s">
        <v>1806</v>
      </c>
      <c r="X1005">
        <v>0</v>
      </c>
      <c r="Y1005">
        <v>0</v>
      </c>
      <c r="AA1005">
        <v>0</v>
      </c>
      <c r="AB1005">
        <v>0</v>
      </c>
      <c r="AC1005">
        <v>0</v>
      </c>
      <c r="AD1005">
        <v>14</v>
      </c>
      <c r="AE1005" s="19" t="s">
        <v>60</v>
      </c>
    </row>
    <row r="1006" spans="1:31" x14ac:dyDescent="0.2">
      <c r="A1006">
        <v>951</v>
      </c>
      <c r="B1006" s="19" t="s">
        <v>1489</v>
      </c>
      <c r="C1006">
        <v>24</v>
      </c>
      <c r="D1006" s="19" t="s">
        <v>436</v>
      </c>
      <c r="E1006" s="19" t="s">
        <v>3</v>
      </c>
      <c r="F1006">
        <v>39</v>
      </c>
      <c r="G1006">
        <v>0</v>
      </c>
      <c r="H1006">
        <v>0</v>
      </c>
      <c r="I1006">
        <v>0</v>
      </c>
      <c r="J1006">
        <v>0</v>
      </c>
      <c r="K1006">
        <v>2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U1006">
        <v>1</v>
      </c>
      <c r="V1006" s="19" t="s">
        <v>2379</v>
      </c>
      <c r="W1006" s="19" t="s">
        <v>2211</v>
      </c>
      <c r="X1006">
        <v>0</v>
      </c>
      <c r="Y1006">
        <v>0</v>
      </c>
      <c r="AA1006">
        <v>0</v>
      </c>
      <c r="AB1006">
        <v>0</v>
      </c>
      <c r="AC1006">
        <v>0</v>
      </c>
      <c r="AD1006">
        <v>20</v>
      </c>
      <c r="AE1006" s="19" t="s">
        <v>60</v>
      </c>
    </row>
    <row r="1007" spans="1:31" x14ac:dyDescent="0.2">
      <c r="A1007">
        <v>952</v>
      </c>
      <c r="B1007" s="19" t="s">
        <v>1490</v>
      </c>
      <c r="C1007">
        <v>27</v>
      </c>
      <c r="D1007" s="19" t="s">
        <v>358</v>
      </c>
      <c r="E1007" s="19" t="s">
        <v>3</v>
      </c>
      <c r="F1007">
        <v>23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U1007">
        <v>0</v>
      </c>
      <c r="V1007" s="19" t="s">
        <v>2840</v>
      </c>
      <c r="W1007" s="19" t="s">
        <v>2116</v>
      </c>
      <c r="X1007">
        <v>0</v>
      </c>
      <c r="Y1007">
        <v>0</v>
      </c>
      <c r="AA1007">
        <v>0</v>
      </c>
      <c r="AB1007">
        <v>0</v>
      </c>
      <c r="AC1007">
        <v>0</v>
      </c>
      <c r="AD1007">
        <v>10</v>
      </c>
      <c r="AE1007" s="19" t="s">
        <v>60</v>
      </c>
    </row>
    <row r="1008" spans="1:31" x14ac:dyDescent="0.2">
      <c r="A1008">
        <v>953</v>
      </c>
      <c r="B1008" s="19" t="s">
        <v>1878</v>
      </c>
      <c r="C1008">
        <v>22</v>
      </c>
      <c r="D1008" s="19" t="s">
        <v>345</v>
      </c>
      <c r="E1008" s="19" t="s">
        <v>322</v>
      </c>
      <c r="F1008">
        <v>4</v>
      </c>
      <c r="G1008">
        <v>0</v>
      </c>
      <c r="H1008">
        <v>0</v>
      </c>
      <c r="I1008">
        <v>0</v>
      </c>
      <c r="J1008">
        <v>2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2</v>
      </c>
      <c r="T1008">
        <v>0</v>
      </c>
      <c r="U1008">
        <v>5</v>
      </c>
      <c r="V1008" s="19" t="s">
        <v>1992</v>
      </c>
      <c r="W1008" s="19" t="s">
        <v>1993</v>
      </c>
      <c r="X1008">
        <v>6</v>
      </c>
      <c r="Y1008">
        <v>13</v>
      </c>
      <c r="Z1008">
        <v>31.6</v>
      </c>
      <c r="AA1008">
        <v>4</v>
      </c>
      <c r="AB1008">
        <v>3</v>
      </c>
      <c r="AC1008">
        <v>0</v>
      </c>
      <c r="AD1008">
        <v>1</v>
      </c>
      <c r="AE1008" s="19" t="s">
        <v>60</v>
      </c>
    </row>
    <row r="1009" spans="2:31" x14ac:dyDescent="0.2">
      <c r="B1009" s="19" t="s">
        <v>1491</v>
      </c>
      <c r="D1009" s="19" t="s">
        <v>60</v>
      </c>
      <c r="E1009" s="19" t="s">
        <v>60</v>
      </c>
      <c r="T1009">
        <v>11</v>
      </c>
      <c r="V1009" s="19" t="s">
        <v>60</v>
      </c>
      <c r="W1009" s="19" t="s">
        <v>399</v>
      </c>
      <c r="Z1009">
        <v>50</v>
      </c>
      <c r="AE1009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2026-01-29T19:00:28Z</dcterms:modified>
</cp:coreProperties>
</file>