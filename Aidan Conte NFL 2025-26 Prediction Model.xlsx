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2127" documentId="14_{B0EF10BA-63BD-B44A-90B9-BDFFA7D9E31B}" xr6:coauthVersionLast="47" xr6:coauthVersionMax="47" xr10:uidLastSave="{AF8FA953-72C8-DE4A-9FB5-E948DB514CD5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Model'!$D$1:$I$285</definedName>
    <definedName name="ExternalData_1" localSheetId="0" hidden="1">'NFL2025-26Results'!$A$1:$J$285</definedName>
    <definedName name="ExternalData_2" localSheetId="4" hidden="1">'ML Prediction Model'!$A$1:$P$91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5" i="6" l="1"/>
  <c r="D284" i="6"/>
  <c r="K284" i="6"/>
  <c r="K285" i="6"/>
  <c r="L285" i="6"/>
  <c r="L284" i="6"/>
  <c r="I284" i="6"/>
  <c r="I285" i="6"/>
  <c r="G285" i="6"/>
  <c r="G284" i="6"/>
  <c r="H284" i="6"/>
  <c r="H285" i="6"/>
  <c r="F284" i="6"/>
  <c r="F285" i="6"/>
  <c r="G287" i="1"/>
  <c r="I287" i="1" s="1"/>
  <c r="H287" i="1"/>
  <c r="J287" i="1"/>
  <c r="G288" i="1"/>
  <c r="I288" i="1" s="1"/>
  <c r="H288" i="1"/>
  <c r="J288" i="1"/>
  <c r="E287" i="1"/>
  <c r="F287" i="1"/>
  <c r="F288" i="1"/>
  <c r="E288" i="1"/>
  <c r="F283" i="6" s="1"/>
  <c r="G283" i="6" s="1"/>
  <c r="D289" i="1"/>
  <c r="D290" i="1"/>
  <c r="D288" i="1"/>
  <c r="D283" i="6" s="1"/>
  <c r="D287" i="1"/>
  <c r="D282" i="6" s="1"/>
  <c r="E290" i="1"/>
  <c r="F290" i="1"/>
  <c r="E289" i="1"/>
  <c r="F289" i="1"/>
  <c r="M285" i="6"/>
  <c r="N285" i="6" s="1"/>
  <c r="M284" i="6"/>
  <c r="N284" i="6" s="1"/>
  <c r="G285" i="1"/>
  <c r="H285" i="1"/>
  <c r="G286" i="1"/>
  <c r="H286" i="1"/>
  <c r="H283" i="6"/>
  <c r="I283" i="6" s="1"/>
  <c r="H282" i="6"/>
  <c r="I282" i="6" s="1"/>
  <c r="F282" i="6"/>
  <c r="G282" i="6" s="1"/>
  <c r="G284" i="1"/>
  <c r="H284" i="1"/>
  <c r="D285" i="1"/>
  <c r="D280" i="6" s="1"/>
  <c r="D286" i="1"/>
  <c r="D281" i="6" s="1"/>
  <c r="E286" i="1"/>
  <c r="F281" i="6" s="1"/>
  <c r="G281" i="6" s="1"/>
  <c r="F286" i="1"/>
  <c r="H281" i="6" s="1"/>
  <c r="I281" i="6" s="1"/>
  <c r="E285" i="1"/>
  <c r="F280" i="6" s="1"/>
  <c r="G280" i="6" s="1"/>
  <c r="F285" i="1"/>
  <c r="H280" i="6" s="1"/>
  <c r="I280" i="6" s="1"/>
  <c r="D280" i="1"/>
  <c r="D275" i="6" s="1"/>
  <c r="D281" i="1"/>
  <c r="D276" i="6" s="1"/>
  <c r="D282" i="1"/>
  <c r="D277" i="6" s="1"/>
  <c r="D283" i="1"/>
  <c r="D278" i="6" s="1"/>
  <c r="D284" i="1"/>
  <c r="D279" i="6" s="1"/>
  <c r="D279" i="1"/>
  <c r="D274" i="6" s="1"/>
  <c r="F284" i="1"/>
  <c r="H279" i="6" s="1"/>
  <c r="I279" i="6" s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K288" i="1" l="1"/>
  <c r="K287" i="1"/>
  <c r="I285" i="1"/>
  <c r="J286" i="1"/>
  <c r="K286" i="1" s="1"/>
  <c r="I286" i="1"/>
  <c r="J285" i="1"/>
  <c r="K285" i="1" s="1"/>
  <c r="J283" i="1"/>
  <c r="J284" i="1"/>
  <c r="I284" i="1"/>
  <c r="I282" i="1"/>
  <c r="J280" i="1"/>
  <c r="F275" i="6"/>
  <c r="G275" i="6" s="1"/>
  <c r="I283" i="1"/>
  <c r="J282" i="1"/>
  <c r="I280" i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82" i="1" l="1"/>
  <c r="K283" i="1"/>
  <c r="K284" i="1"/>
  <c r="K280" i="1"/>
  <c r="K276" i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5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J281" i="6" l="1"/>
  <c r="K281" i="6" s="1"/>
  <c r="M281" i="6" s="1"/>
  <c r="J284" i="6"/>
  <c r="J283" i="6"/>
  <c r="K283" i="6" s="1"/>
  <c r="M283" i="6" s="1"/>
  <c r="J280" i="6"/>
  <c r="J282" i="6"/>
  <c r="K282" i="6" s="1"/>
  <c r="M282" i="6" s="1"/>
  <c r="J276" i="6"/>
  <c r="K276" i="6" s="1"/>
  <c r="M276" i="6" s="1"/>
  <c r="J278" i="6"/>
  <c r="J274" i="6"/>
  <c r="K274" i="6" s="1"/>
  <c r="M274" i="6" s="1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80" i="6" l="1"/>
  <c r="M280" i="6" s="1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G27" i="7"/>
  <c r="K27" i="7" s="1"/>
  <c r="G28" i="7"/>
  <c r="K28" i="7" s="1"/>
  <c r="G29" i="7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K29" i="7" l="1"/>
  <c r="L283" i="6"/>
  <c r="N283" i="6" s="1"/>
  <c r="K26" i="7"/>
  <c r="L282" i="6"/>
  <c r="N282" i="6" s="1"/>
  <c r="L278" i="6"/>
  <c r="N278" i="6" s="1"/>
  <c r="L280" i="6"/>
  <c r="N280" i="6" s="1"/>
  <c r="L276" i="6"/>
  <c r="N276" i="6" s="1"/>
  <c r="L279" i="6"/>
  <c r="N279" i="6" s="1"/>
  <c r="L274" i="6"/>
  <c r="N274" i="6" s="1"/>
  <c r="L275" i="6"/>
  <c r="N275" i="6" s="1"/>
  <c r="L29" i="7"/>
  <c r="L277" i="6" s="1"/>
  <c r="N277" i="6" s="1"/>
  <c r="L12" i="7"/>
  <c r="B30" i="7"/>
  <c r="F30" i="7" s="1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L281" i="6" l="1"/>
  <c r="N281" i="6" s="1"/>
  <c r="I144" i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<sst xmlns="http://schemas.openxmlformats.org/spreadsheetml/2006/main" count="8209" uniqueCount="193">
  <si>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</si>
  <si>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</si>
  <si>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</si>
  <si>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</si>
  <si>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</si>
  <si>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</si>
  <si>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</si>
  <si>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</si>
  <si>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</si>
  <si>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</si>
  <si>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</si>
  <si>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</si>
  <si>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</si>
  <si>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</si>
  <si>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</si>
  <si>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</si>
  <si>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</si>
  <si>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</si>
  <si>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</si>
  <si>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</si>
  <si>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</si>
  <si>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</si>
  <si>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</si>
  <si>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</si>
  <si>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</si>
  <si>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</si>
  <si>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</si>
  <si>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</si>
  <si>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</si>
  <si>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</si>
  <si>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</si>
  <si>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</si>
  <si>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</si>
  <si>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</si>
  <si>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</si>
  <si>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</si>
  <si>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</si>
  <si>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</si>
  <si>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</si>
  <si>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</si>
  <si>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</si>
  <si>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</si>
  <si>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</si>
  <si>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</si>
  <si>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</si>
  <si>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</si>
  <si>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</si>
  <si>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</si>
  <si>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</si>
  <si>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</si>
  <si>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</si>
  <si>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</si>
  <si>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</si>
  <si>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</si>
  <si>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</si>
  <si>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</si>
  <si>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</si>
  <si>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</si>
  <si>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</si>
  <si>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</si>
  <si>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</si>
  <si>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</si>
  <si>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</si>
  <si>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</si>
  <si>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</si>
  <si>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</si>
  <si>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</si>
  <si>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</si>
  <si>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</si>
  <si>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</si>
  <si>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</si>
  <si>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</si>
  <si>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</si>
  <si>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</si>
  <si>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</si>
  <si>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</si>
  <si>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</si>
  <si>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</si>
  <si>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</si>
  <si>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</si>
  <si>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</si>
  <si>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</si>
  <si>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</si>
  <si>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</si>
  <si>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</si>
  <si>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</si>
  <si>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</si>
  <si>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</si>
  <si>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</si>
  <si>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</si>
  <si>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</si>
  <si>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</si>
  <si>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</si>
  <si>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</si>
  <si>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</si>
  <si>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</si>
  <si>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</si>
  <si>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</si>
  <si>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</si>
  <si>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</si>
  <si>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</si>
  <si>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</si>
  <si>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</si>
  <si>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</si>
  <si>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</si>
  <si>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</si>
  <si>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</si>
  <si>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</si>
  <si>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</si>
  <si>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</si>
  <si>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</si>
  <si>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</si>
  <si>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</si>
  <si>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</si>
  <si>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</si>
  <si>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</si>
  <si>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</si>
  <si>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</si>
  <si>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</si>
  <si>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</si>
  <si>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</si>
  <si>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</si>
  <si>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</si>
  <si>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</si>
  <si>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</si>
  <si>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</si>
  <si>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</si>
  <si>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</si>
  <si>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</si>
  <si>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</si>
  <si>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</si>
  <si>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</si>
  <si>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</si>
  <si>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</si>
  <si>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</si>
  <si>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</si>
  <si>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</si>
  <si>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</si>
  <si>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</si>
  <si>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</si>
  <si>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</si>
  <si>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</si>
  <si>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</si>
  <si>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</si>
  <si>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</si>
  <si>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</si>
  <si>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</si>
  <si>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</si>
  <si>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</si>
  <si>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</si>
  <si>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</si>
  <si>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</si>
  <si>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</si>
  <si>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</si>
  <si>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</si>
  <si>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</si>
  <si>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</si>
  <si>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</si>
  <si>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</si>
  <si>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</si>
  <si>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</si>
  <si>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</si>
  <si>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</si>
  <si>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</si>
  <si>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</si>
  <si>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</si>
  <si>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</si>
  <si>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</si>
  <si>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</si>
  <si>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</si>
  <si>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</si>
  <si>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</si>
  <si>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</si>
  <si>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</si>
  <si>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</si>
  <si>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</si>
  <si>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</si>
  <si>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</si>
  <si>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</si>
  <si>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</si>
  <si>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</si>
  <si>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</si>
  <si>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</si>
  <si>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</si>
  <si>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</si>
  <si>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</si>
  <si>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</si>
  <si>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</si>
  <si>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</si>
  <si>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</si>
  <si>
    <t>33.0</t>
  </si>
  <si>
    <t>ConfChamp</t>
  </si>
  <si>
    <t>Predicted 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</si>
</sst>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8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Font="1" applyFill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5" tableType="queryTable" totalsRowShown="0">
  <autoFilter ref="A1:J285" xr:uid="{76FE9920-BDC3-CB40-9186-A2752DAB5D0C}"/>
  <tableColumns count="10">
    <tableColumn id="1" xr3:uid="{7219B57C-65BD-0441-9B4C-C2A7BC63DB15}" uniqueName="1" name="Week" queryTableFieldId="1" dataDxfId="15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14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90" totalsRowShown="0" headerRowDxfId="47" dataDxfId="46">
  <autoFilter ref="D6:K290" xr:uid="{735E94D5-3D1F-5244-BAEC-4135905A0261}"/>
  <tableColumns count="8">
    <tableColumn id="1" xr3:uid="{3D68D38F-C269-534D-90A6-E26D89AC0D73}" name="Week" dataDxfId="45"/>
    <tableColumn id="2" xr3:uid="{E5B1CAAF-4330-6042-9AEE-1D13509CC91F}" name="Home Team" dataDxfId="44">
      <calculatedColumnFormula>'NFL2025-26Results'!B2</calculatedColumnFormula>
    </tableColumn>
    <tableColumn id="3" xr3:uid="{59EC39A4-D2BF-424E-B0D4-957ABE008051}" name="Away Team" dataDxfId="43">
      <calculatedColumnFormula>'NFL2025-26Results'!C2</calculatedColumnFormula>
    </tableColumn>
    <tableColumn id="4" xr3:uid="{25EBB420-14F9-BB48-AD70-BF466ECDF1C6}" name="Home Points" dataDxfId="42"/>
    <tableColumn id="5" xr3:uid="{6CD04D04-5F86-B449-B591-782764F464F5}" name="Loser Points" dataDxfId="41"/>
    <tableColumn id="6" xr3:uid="{A2ADBCB7-E597-5F48-8931-BADFA832CBAB}" name="Home Margin" dataDxfId="40"/>
    <tableColumn id="7" xr3:uid="{30FFA123-DE04-3E47-B685-D0CF025223B5}" name="Home Forecast" dataDxfId="39"/>
    <tableColumn id="8" xr3:uid="{53DDD323-569A-6346-8B10-6F26E949F782}" name="Squared Differenc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5" totalsRowShown="0">
  <autoFilter ref="D1:R285" xr:uid="{641AA156-6C02-7546-83EA-9CC5D602DB19}"/>
  <tableColumns count="15">
    <tableColumn id="1" xr3:uid="{64792045-50F8-5644-80F7-6B8F0583437F}" name="Week" dataDxfId="37"/>
    <tableColumn id="15" xr3:uid="{F765D036-1CE2-D34F-A2A6-B57C2BFFA189}" name="Date" dataDxfId="3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5"/>
    <tableColumn id="2" xr3:uid="{5364B833-0F69-B941-A975-B8A9D44DA780}" name="Away Differential"/>
    <tableColumn id="3" xr3:uid="{AFEEA8FE-3196-8444-9476-90CDD7F8F449}" name="HomeEdge Differential" dataDxfId="34">
      <calculatedColumnFormula>($B$1+NFL2025_26Results4[[#This Row],[Home Differential]])-NFL2025_26Results4[[#This Row],[Away Differential]]</calculatedColumnFormula>
    </tableColumn>
    <tableColumn id="7" xr3:uid="{D3F38F3C-50DD-D542-9C1E-A1970DB819AD}" name="Predicted Winner" dataDxfId="3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2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31">
      <calculatedColumnFormula>IF(OR((NFL2025_26Results[[#This Row],[Winner]]="")), "-", IF(NFL2025_26Results4[[#This Row],[Predicted Winner]]=NFL2025_26Results[[#This Row],[Winner]], "YES", "NO"))</calculatedColumnFormula>
    </tableColumn>
    <tableColumn id="10" xr3:uid="{C04D3E04-1300-3B48-8B7E-4EDA33C18AF7}" name="Error" dataDxfId="30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9"/>
    <tableColumn id="2" xr3:uid="{27003C78-FEDE-3B47-A959-B824B2E75D78}" name="GP" dataDxfId="28">
      <calculatedColumnFormula>SUM(C2:E2)</calculatedColumnFormula>
    </tableColumn>
    <tableColumn id="3" xr3:uid="{9DEB76B6-11DC-A64A-8DC5-02A7FA0D6CB7}" name="W" dataDxfId="27">
      <calculatedColumnFormula>COUNTIF(NFL2025_26Results[[#All],[Winner]],Table4[[#This Row],[Team]])</calculatedColumnFormula>
    </tableColumn>
    <tableColumn id="4" xr3:uid="{1AC4D238-FAC5-294B-AEBF-491C26E7392E}" name="L" dataDxfId="26">
      <calculatedColumnFormula>COUNTIF(NFL2025_26Results[Loser],Table4[[#This Row],[Team]])</calculatedColumnFormula>
    </tableColumn>
    <tableColumn id="16" xr3:uid="{07966F90-69CD-E449-9E79-6C0D0985BC58}" name="Ties" dataDxfId="25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4">
      <calculatedColumnFormula>Table4[[#This Row],[W]]/Table4[[#This Row],[GP]]</calculatedColumnFormula>
    </tableColumn>
    <tableColumn id="6" xr3:uid="{0B543992-AAAF-7342-95FF-C4EA3DDD0F6E}" name="HomeWins" dataDxfId="23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2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21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20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9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8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7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6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91" tableType="queryTable" totalsRowShown="0">
  <autoFilter ref="A1:P91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5"/>
  <sheetViews>
    <sheetView topLeftCell="A251" workbookViewId="0">
      <selection activeCell="A283" sqref="A283"/>
    </sheetView>
  </sheetViews>
  <sheetFormatPr baseColWidth="10" defaultRowHeight="16" x14ac:dyDescent="0.2"/>
  <cols>
    <col min="1" max="1" width="10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100</v>
      </c>
      <c r="G1" t="s">
        <v>117</v>
      </c>
      <c r="H1" t="s">
        <v>118</v>
      </c>
      <c r="I1" t="s">
        <v>119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121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121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121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121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121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121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121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121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121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121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121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121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121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121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121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121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121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121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121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121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121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121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121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121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121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121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121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121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121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121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121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121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121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121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121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121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121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121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121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121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121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121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121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121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121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121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121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121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121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121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121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121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121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121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121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121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121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121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121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121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121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122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121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121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121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121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121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121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121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121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121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121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121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121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121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121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121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121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121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121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121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121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121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121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121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121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121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121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121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121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121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121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121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121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121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121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121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121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121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121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121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121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121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121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121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121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121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121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121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121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121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121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121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121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121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121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121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121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121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121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121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121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121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121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121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121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121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121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121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121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121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121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121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121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121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121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121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121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121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121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121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121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121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121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121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121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121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121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121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121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121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121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121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121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121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121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121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121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121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121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121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121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121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121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121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121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121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121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121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121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121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121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121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121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121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121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121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121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121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121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121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121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121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121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121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121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121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121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121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121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121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121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121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121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121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121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121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121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121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121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121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121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121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121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121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121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121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121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121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121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121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121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121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121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121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121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121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121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121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121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121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121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121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121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121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121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121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121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121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121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121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121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121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121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121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121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121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121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121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121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121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121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121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121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121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121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121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121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121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121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121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121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121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121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121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121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121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121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121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121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121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121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121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121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121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121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121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121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121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121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121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121</v>
      </c>
    </row>
    <row r="274" spans="1:10" x14ac:dyDescent="0.2">
      <c r="A274" s="46" t="s">
        <v>186</v>
      </c>
      <c r="B274" t="s">
        <v>15</v>
      </c>
      <c r="C274" t="s">
        <v>39</v>
      </c>
      <c r="D274" s="46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121</v>
      </c>
    </row>
    <row r="275" spans="1:10" x14ac:dyDescent="0.2">
      <c r="A275" s="46" t="s">
        <v>186</v>
      </c>
      <c r="B275" t="s">
        <v>43</v>
      </c>
      <c r="C275" t="s">
        <v>35</v>
      </c>
      <c r="D275" s="46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121</v>
      </c>
    </row>
    <row r="276" spans="1:10" x14ac:dyDescent="0.2">
      <c r="A276" s="46" t="s">
        <v>186</v>
      </c>
      <c r="B276" t="s">
        <v>14</v>
      </c>
      <c r="C276" t="s">
        <v>41</v>
      </c>
      <c r="D276" s="4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121</v>
      </c>
    </row>
    <row r="277" spans="1:10" x14ac:dyDescent="0.2">
      <c r="A277" s="46" t="s">
        <v>186</v>
      </c>
      <c r="B277" t="s">
        <v>4</v>
      </c>
      <c r="C277" t="s">
        <v>34</v>
      </c>
      <c r="D277" s="46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121</v>
      </c>
    </row>
    <row r="278" spans="1:10" x14ac:dyDescent="0.2">
      <c r="A278" s="46" t="s">
        <v>186</v>
      </c>
      <c r="B278" t="s">
        <v>17</v>
      </c>
      <c r="C278" t="s">
        <v>6</v>
      </c>
      <c r="D278" s="46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121</v>
      </c>
    </row>
    <row r="279" spans="1:10" x14ac:dyDescent="0.2">
      <c r="A279" s="46" t="s">
        <v>186</v>
      </c>
      <c r="B279" t="s">
        <v>9</v>
      </c>
      <c r="C279" t="s">
        <v>40</v>
      </c>
      <c r="D279" s="46">
        <v>6</v>
      </c>
      <c r="E279">
        <v>30</v>
      </c>
      <c r="F279" s="36" t="s">
        <v>40</v>
      </c>
      <c r="G279" t="s">
        <v>9</v>
      </c>
      <c r="H279">
        <v>30</v>
      </c>
      <c r="I279">
        <v>6</v>
      </c>
      <c r="J279" t="s">
        <v>121</v>
      </c>
    </row>
    <row r="280" spans="1:10" x14ac:dyDescent="0.2">
      <c r="A280" s="46" t="s">
        <v>187</v>
      </c>
      <c r="B280" t="s">
        <v>31</v>
      </c>
      <c r="C280" t="s">
        <v>41</v>
      </c>
      <c r="D280" s="46">
        <v>33</v>
      </c>
      <c r="E280">
        <v>30</v>
      </c>
      <c r="F280" s="36" t="s">
        <v>31</v>
      </c>
      <c r="G280" t="s">
        <v>41</v>
      </c>
      <c r="H280">
        <v>33</v>
      </c>
      <c r="I280">
        <v>30</v>
      </c>
      <c r="J280" t="s">
        <v>121</v>
      </c>
    </row>
    <row r="281" spans="1:10" x14ac:dyDescent="0.2">
      <c r="A281" s="46" t="s">
        <v>187</v>
      </c>
      <c r="B281" t="s">
        <v>33</v>
      </c>
      <c r="C281" t="s">
        <v>34</v>
      </c>
      <c r="D281" s="46">
        <v>41</v>
      </c>
      <c r="E281">
        <v>6</v>
      </c>
      <c r="F281" s="36" t="s">
        <v>33</v>
      </c>
      <c r="G281" t="s">
        <v>34</v>
      </c>
      <c r="H281">
        <v>41</v>
      </c>
      <c r="I281">
        <v>6</v>
      </c>
      <c r="J281" t="s">
        <v>121</v>
      </c>
    </row>
    <row r="282" spans="1:10" x14ac:dyDescent="0.2">
      <c r="A282" s="46" t="s">
        <v>187</v>
      </c>
      <c r="B282" t="s">
        <v>17</v>
      </c>
      <c r="C282" t="s">
        <v>40</v>
      </c>
      <c r="D282" s="46">
        <v>28</v>
      </c>
      <c r="E282">
        <v>16</v>
      </c>
      <c r="F282" s="36" t="s">
        <v>17</v>
      </c>
      <c r="G282" t="s">
        <v>40</v>
      </c>
      <c r="H282">
        <v>28</v>
      </c>
      <c r="I282">
        <v>16</v>
      </c>
      <c r="J282" t="s">
        <v>121</v>
      </c>
    </row>
    <row r="283" spans="1:10" x14ac:dyDescent="0.2">
      <c r="A283" s="46" t="s">
        <v>187</v>
      </c>
      <c r="B283" t="s">
        <v>43</v>
      </c>
      <c r="C283" t="s">
        <v>39</v>
      </c>
      <c r="D283" s="46">
        <v>17</v>
      </c>
      <c r="E283">
        <v>20</v>
      </c>
      <c r="F283" s="36" t="s">
        <v>39</v>
      </c>
      <c r="G283" t="s">
        <v>43</v>
      </c>
      <c r="H283">
        <v>20</v>
      </c>
      <c r="I283">
        <v>17</v>
      </c>
      <c r="J283" t="s">
        <v>121</v>
      </c>
    </row>
    <row r="284" spans="1:10" x14ac:dyDescent="0.2">
      <c r="A284" s="46" t="s">
        <v>191</v>
      </c>
      <c r="B284" t="s">
        <v>31</v>
      </c>
      <c r="C284" t="s">
        <v>17</v>
      </c>
      <c r="D284" s="46"/>
      <c r="F284" s="36"/>
    </row>
    <row r="285" spans="1:10" x14ac:dyDescent="0.2">
      <c r="A285" s="46" t="s">
        <v>191</v>
      </c>
      <c r="B285" t="s">
        <v>33</v>
      </c>
      <c r="C285" t="s">
        <v>39</v>
      </c>
      <c r="D285" s="46"/>
      <c r="F285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90"/>
  <sheetViews>
    <sheetView topLeftCell="A272"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2.2573579614159485</v>
      </c>
    </row>
    <row r="2" spans="1:11" x14ac:dyDescent="0.2">
      <c r="K2" s="3" t="s">
        <v>61</v>
      </c>
    </row>
    <row r="3" spans="1:11" x14ac:dyDescent="0.2">
      <c r="B3">
        <f>AVERAGE(B7:B38)</f>
        <v>1.1180242315278477E-8</v>
      </c>
      <c r="K3">
        <f>SUM(K6:K290)</f>
        <v>35985.698702244772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-4.4372937423994516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8.8727827130778731</v>
      </c>
      <c r="K7">
        <f>('NFL 2025-26 Prediction Model'!$I7-'NFL 2025-26 Prediction Model'!$J7)^2</f>
        <v>23.744011368870559</v>
      </c>
    </row>
    <row r="8" spans="1:11" x14ac:dyDescent="0.2">
      <c r="A8" s="4" t="s">
        <v>19</v>
      </c>
      <c r="B8">
        <v>-2.5604045680422542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0.85502926821684788</v>
      </c>
      <c r="K8">
        <f>('NFL 2025-26 Prediction Model'!$I8-'NFL 2025-26 Prediction Model'!$J8)^2</f>
        <v>26.470723830905264</v>
      </c>
    </row>
    <row r="9" spans="1:11" x14ac:dyDescent="0.2">
      <c r="A9" s="4" t="s">
        <v>42</v>
      </c>
      <c r="B9">
        <v>1.0831376110890405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0.56444257734293857</v>
      </c>
      <c r="K9">
        <f>('NFL 2025-26 Prediction Model'!$I9-'NFL 2025-26 Prediction Model'!$J9)^2</f>
        <v>12.70525088717517</v>
      </c>
    </row>
    <row r="10" spans="1:11" x14ac:dyDescent="0.2">
      <c r="A10" s="4" t="s">
        <v>41</v>
      </c>
      <c r="B10">
        <v>5.0432515118016266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13.342863744931833</v>
      </c>
      <c r="K10">
        <f>('NFL 2025-26 Prediction Model'!$I10-'NFL 2025-26 Prediction Model'!$J10)^2</f>
        <v>7.0603730779976832</v>
      </c>
    </row>
    <row r="11" spans="1:11" x14ac:dyDescent="0.2">
      <c r="A11" s="4" t="s">
        <v>15</v>
      </c>
      <c r="B11">
        <v>-2.9040018867035289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-2.5569282544219973E-3</v>
      </c>
      <c r="K11">
        <f>('NFL 2025-26 Prediction Model'!$I11-'NFL 2025-26 Prediction Model'!$J11)^2</f>
        <v>0.99489268137325426</v>
      </c>
    </row>
    <row r="12" spans="1:11" x14ac:dyDescent="0.2">
      <c r="A12" s="4" t="s">
        <v>43</v>
      </c>
      <c r="B12">
        <v>0.76681137659771148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13.184214992505098</v>
      </c>
      <c r="K12">
        <f>('NFL 2025-26 Prediction Model'!$I12-'NFL 2025-26 Prediction Model'!$J12)^2</f>
        <v>139.61277534334133</v>
      </c>
    </row>
    <row r="13" spans="1:11" x14ac:dyDescent="0.2">
      <c r="A13" s="4" t="s">
        <v>24</v>
      </c>
      <c r="B13">
        <v>-5.1796551287168162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2.0400727140703712</v>
      </c>
      <c r="K13">
        <f>('NFL 2025-26 Prediction Model'!$I13-'NFL 2025-26 Prediction Model'!$J13)^2</f>
        <v>81.722914675679647</v>
      </c>
    </row>
    <row r="14" spans="1:11" x14ac:dyDescent="0.2">
      <c r="A14" s="4" t="s">
        <v>23</v>
      </c>
      <c r="B14">
        <v>-7.4395700183871867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19.366865708037128</v>
      </c>
      <c r="K14">
        <f>('NFL 2025-26 Prediction Model'!$I14-'NFL 2025-26 Prediction Model'!$J14)^2</f>
        <v>695.21160726566427</v>
      </c>
    </row>
    <row r="15" spans="1:11" x14ac:dyDescent="0.2">
      <c r="A15" s="4" t="s">
        <v>5</v>
      </c>
      <c r="B15">
        <v>-4.0998921723048447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0.23075896073582269</v>
      </c>
      <c r="K15">
        <f>('NFL 2025-26 Prediction Model'!$I15-'NFL 2025-26 Prediction Model'!$J15)^2</f>
        <v>218.13048087588518</v>
      </c>
    </row>
    <row r="16" spans="1:11" x14ac:dyDescent="0.2">
      <c r="A16" s="4" t="s">
        <v>31</v>
      </c>
      <c r="B16">
        <v>3.5039168201541746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-9.2986525104970994</v>
      </c>
      <c r="K16">
        <f>('NFL 2025-26 Prediction Model'!$I16-'NFL 2025-26 Prediction Model'!$J16)^2</f>
        <v>53.27032846898561</v>
      </c>
    </row>
    <row r="17" spans="1:11" x14ac:dyDescent="0.2">
      <c r="A17" s="4" t="s">
        <v>36</v>
      </c>
      <c r="B17">
        <v>3.7909136242090749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13.826256989926115</v>
      </c>
      <c r="K17">
        <f>('NFL 2025-26 Prediction Model'!$I17-'NFL 2025-26 Prediction Model'!$J17)^2</f>
        <v>33.945270512662916</v>
      </c>
    </row>
    <row r="18" spans="1:11" x14ac:dyDescent="0.2">
      <c r="A18" s="4" t="s">
        <v>35</v>
      </c>
      <c r="B18">
        <v>0.87728006623406896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11.362229940710169</v>
      </c>
      <c r="K18">
        <f>('NFL 2025-26 Prediction Model'!$I18-'NFL 2025-26 Prediction Model'!$J18)^2</f>
        <v>235.99810875125195</v>
      </c>
    </row>
    <row r="19" spans="1:11" x14ac:dyDescent="0.2">
      <c r="A19" s="4" t="s">
        <v>40</v>
      </c>
      <c r="B19">
        <v>8.7061293423747284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-0.65627559655905765</v>
      </c>
      <c r="K19">
        <f>('NFL 2025-26 Prediction Model'!$I19-'NFL 2025-26 Prediction Model'!$J19)^2</f>
        <v>214.80641436229254</v>
      </c>
    </row>
    <row r="20" spans="1:11" x14ac:dyDescent="0.2">
      <c r="A20" s="4" t="s">
        <v>28</v>
      </c>
      <c r="B20">
        <v>4.777081860274877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5.2117472641135389</v>
      </c>
      <c r="K20">
        <f>('NFL 2025-26 Prediction Model'!$I20-'NFL 2025-26 Prediction Model'!$J20)^2</f>
        <v>4.4836903859568816E-2</v>
      </c>
    </row>
    <row r="21" spans="1:11" x14ac:dyDescent="0.2">
      <c r="A21" s="4" t="s">
        <v>14</v>
      </c>
      <c r="B21">
        <v>8.1815038968123552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6.2174718621285345</v>
      </c>
      <c r="K21">
        <f>('NFL 2025-26 Prediction Model'!$I21-'NFL 2025-26 Prediction Model'!$J21)^2</f>
        <v>27.222012632102999</v>
      </c>
    </row>
    <row r="22" spans="1:11" x14ac:dyDescent="0.2">
      <c r="A22" s="4" t="s">
        <v>7</v>
      </c>
      <c r="B22">
        <v>1.8311675364577042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2.2750728577799348</v>
      </c>
      <c r="K22">
        <f>('NFL 2025-26 Prediction Model'!$I22-'NFL 2025-26 Prediction Model'!$J22)^2</f>
        <v>27.826393654886569</v>
      </c>
    </row>
    <row r="23" spans="1:11" x14ac:dyDescent="0.2">
      <c r="A23" s="4" t="s">
        <v>18</v>
      </c>
      <c r="B23">
        <v>-10.538035936677744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8.8126396144038921</v>
      </c>
      <c r="K23">
        <f>('NFL 2025-26 Prediction Model'!$I23-'NFL 2025-26 Prediction Model'!$J23)^2</f>
        <v>3.5103914090722235E-2</v>
      </c>
    </row>
    <row r="24" spans="1:11" x14ac:dyDescent="0.2">
      <c r="A24" s="4" t="s">
        <v>6</v>
      </c>
      <c r="B24">
        <v>0.42883884325860377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-15.142961540008564</v>
      </c>
      <c r="K24">
        <f>('NFL 2025-26 Prediction Model'!$I24-'NFL 2025-26 Prediction Model'!$J24)^2</f>
        <v>23.590822601835981</v>
      </c>
    </row>
    <row r="25" spans="1:11" x14ac:dyDescent="0.2">
      <c r="A25" s="4" t="s">
        <v>39</v>
      </c>
      <c r="B25">
        <v>11.660518645072319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5.2814602090273119</v>
      </c>
      <c r="K25">
        <f>('NFL 2025-26 Prediction Model'!$I25-'NFL 2025-26 Prediction Model'!$J25)^2</f>
        <v>661.44328897984553</v>
      </c>
    </row>
    <row r="26" spans="1:11" x14ac:dyDescent="0.2">
      <c r="A26" s="4" t="s">
        <v>29</v>
      </c>
      <c r="B26">
        <v>-6.1497751708142729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-11.103801064113224</v>
      </c>
      <c r="K26">
        <f>('NFL 2025-26 Prediction Model'!$I26-'NFL 2025-26 Prediction Model'!$J26)^2</f>
        <v>228.12480658430775</v>
      </c>
    </row>
    <row r="27" spans="1:11" x14ac:dyDescent="0.2">
      <c r="A27" s="4" t="s">
        <v>44</v>
      </c>
      <c r="B27">
        <v>0.74909648023372521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10.780065590892175</v>
      </c>
      <c r="K27">
        <f>('NFL 2025-26 Prediction Model'!$I27-'NFL 2025-26 Prediction Model'!$J27)^2</f>
        <v>174.76666578111306</v>
      </c>
    </row>
    <row r="28" spans="1:11" x14ac:dyDescent="0.2">
      <c r="A28" s="4" t="s">
        <v>17</v>
      </c>
      <c r="B28">
        <v>6.5714718099434357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1.8088683751848529</v>
      </c>
      <c r="K28">
        <f>('NFL 2025-26 Prediction Model'!$I28-'NFL 2025-26 Prediction Model'!$J28)^2</f>
        <v>1.4187945476347723</v>
      </c>
    </row>
    <row r="29" spans="1:11" x14ac:dyDescent="0.2">
      <c r="A29" s="4" t="s">
        <v>25</v>
      </c>
      <c r="B29">
        <v>-4.6545789897450289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-10.46388901934176</v>
      </c>
      <c r="K29">
        <f>('NFL 2025-26 Prediction Model'!$I29-'NFL 2025-26 Prediction Model'!$J29)^2</f>
        <v>19.926305176999943</v>
      </c>
    </row>
    <row r="30" spans="1:11" x14ac:dyDescent="0.2">
      <c r="A30" s="4" t="s">
        <v>12</v>
      </c>
      <c r="B30">
        <v>-3.6514025860737491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-7.2930635587689414</v>
      </c>
      <c r="K30">
        <f>('NFL 2025-26 Prediction Model'!$I30-'NFL 2025-26 Prediction Model'!$J30)^2</f>
        <v>5.2581404845540822</v>
      </c>
    </row>
    <row r="31" spans="1:11" x14ac:dyDescent="0.2">
      <c r="A31" s="4" t="s">
        <v>8</v>
      </c>
      <c r="B31">
        <v>-12.357067989622886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-17.468142892012363</v>
      </c>
      <c r="K31">
        <f>('NFL 2025-26 Prediction Model'!$I31-'NFL 2025-26 Prediction Model'!$J31)^2</f>
        <v>12.028015119415876</v>
      </c>
    </row>
    <row r="32" spans="1:11" x14ac:dyDescent="0.2">
      <c r="A32" s="4" t="s">
        <v>4</v>
      </c>
      <c r="B32">
        <v>2.5155325793570804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-12.54441406602797</v>
      </c>
      <c r="K32">
        <f>('NFL 2025-26 Prediction Model'!$I32-'NFL 2025-26 Prediction Model'!$J32)^2</f>
        <v>2.1187304111772258</v>
      </c>
    </row>
    <row r="33" spans="1:11" x14ac:dyDescent="0.2">
      <c r="A33" s="4" t="s">
        <v>9</v>
      </c>
      <c r="B33">
        <v>-0.80105751770983835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0.72406610572002572</v>
      </c>
      <c r="K33">
        <f>('NFL 2025-26 Prediction Model'!$I33-'NFL 2025-26 Prediction Model'!$J33)^2</f>
        <v>18.283610668252312</v>
      </c>
    </row>
    <row r="34" spans="1:11" x14ac:dyDescent="0.2">
      <c r="A34" s="4" t="s">
        <v>34</v>
      </c>
      <c r="B34">
        <v>4.895842530439861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3.5305230015366509</v>
      </c>
      <c r="K34">
        <f>('NFL 2025-26 Prediction Model'!$I34-'NFL 2025-26 Prediction Model'!$J34)^2</f>
        <v>6.403546661306061</v>
      </c>
    </row>
    <row r="35" spans="1:11" x14ac:dyDescent="0.2">
      <c r="A35" s="4" t="s">
        <v>33</v>
      </c>
      <c r="B35">
        <v>14.000714509734081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1.5729929185165719</v>
      </c>
      <c r="K35">
        <f>('NFL 2025-26 Prediction Model'!$I35-'NFL 2025-26 Prediction Model'!$J35)^2</f>
        <v>20.912264232802716</v>
      </c>
    </row>
    <row r="36" spans="1:11" x14ac:dyDescent="0.2">
      <c r="A36" s="4" t="s">
        <v>20</v>
      </c>
      <c r="B36">
        <v>-0.86748918396924435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5.5668590096919282</v>
      </c>
      <c r="K36">
        <f>('NFL 2025-26 Prediction Model'!$I36-'NFL 2025-26 Prediction Model'!$J36)^2</f>
        <v>465.12940754392991</v>
      </c>
    </row>
    <row r="37" spans="1:11" x14ac:dyDescent="0.2">
      <c r="A37" s="4" t="s">
        <v>32</v>
      </c>
      <c r="B37">
        <v>-8.0649822083559926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11.830976487759921</v>
      </c>
      <c r="K37">
        <f>('NFL 2025-26 Prediction Model'!$I37-'NFL 2025-26 Prediction Model'!$J37)^2</f>
        <v>164.63395762944791</v>
      </c>
    </row>
    <row r="38" spans="1:11" x14ac:dyDescent="0.2">
      <c r="A38" s="4" t="s">
        <v>11</v>
      </c>
      <c r="B38">
        <v>-5.6780015867538749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-8.7095168185203988</v>
      </c>
      <c r="K38">
        <f>('NFL 2025-26 Prediction Model'!$I38-'NFL 2025-26 Prediction Model'!$J38)^2</f>
        <v>5.2463132046409156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13.450384644031848</v>
      </c>
      <c r="K39">
        <f>('NFL 2025-26 Prediction Model'!$I39-'NFL 2025-26 Prediction Model'!$J39)^2</f>
        <v>11.905154191770782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1.9137606427546738</v>
      </c>
      <c r="K40">
        <f>('NFL 2025-26 Prediction Model'!$I40-'NFL 2025-26 Prediction Model'!$J40)^2</f>
        <v>788.83684123247633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8.1861095703664901</v>
      </c>
      <c r="K41">
        <f>('NFL 2025-26 Prediction Model'!$I41-'NFL 2025-26 Prediction Model'!$J41)^2</f>
        <v>888.86806255019258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-6.0594921232053069</v>
      </c>
      <c r="K42">
        <f>('NFL 2025-26 Prediction Model'!$I42-'NFL 2025-26 Prediction Model'!$J42)^2</f>
        <v>82.074397530418977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-10.58470610721492</v>
      </c>
      <c r="K43">
        <f>('NFL 2025-26 Prediction Model'!$I43-'NFL 2025-26 Prediction Model'!$J43)^2</f>
        <v>108.47834687308618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1.7327325158535754</v>
      </c>
      <c r="K44">
        <f>('NFL 2025-26 Prediction Model'!$I44-'NFL 2025-26 Prediction Model'!$J44)^2</f>
        <v>27.744106749546205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9.629887289069222</v>
      </c>
      <c r="K45">
        <f>('NFL 2025-26 Prediction Model'!$I45-'NFL 2025-26 Prediction Model'!$J45)^2</f>
        <v>276.55315124714616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13.74693676706959</v>
      </c>
      <c r="K46">
        <f>('NFL 2025-26 Prediction Model'!$I46-'NFL 2025-26 Prediction Model'!$J46)^2</f>
        <v>137.99052340953133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-6.8876281042992904</v>
      </c>
      <c r="K47">
        <f>('NFL 2025-26 Prediction Model'!$I47-'NFL 2025-26 Prediction Model'!$J47)^2</f>
        <v>192.86621436332351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7.1173923113398176</v>
      </c>
      <c r="K48">
        <f>('NFL 2025-26 Prediction Model'!$I48-'NFL 2025-26 Prediction Model'!$J48)^2</f>
        <v>97.665934727965364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-0.81772001547962248</v>
      </c>
      <c r="K49">
        <f>('NFL 2025-26 Prediction Model'!$I49-'NFL 2025-26 Prediction Model'!$J49)^2</f>
        <v>14.574986116593729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20.912651460895059</v>
      </c>
      <c r="K50">
        <f>('NFL 2025-26 Prediction Model'!$I50-'NFL 2025-26 Prediction Model'!$J50)^2</f>
        <v>101.75460054938259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7.124061510318505</v>
      </c>
      <c r="K51">
        <f>('NFL 2025-26 Prediction Model'!$I51-'NFL 2025-26 Prediction Model'!$J51)^2</f>
        <v>97.534161051972404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11.59049423425526</v>
      </c>
      <c r="K52">
        <f>('NFL 2025-26 Prediction Model'!$I52-'NFL 2025-26 Prediction Model'!$J52)^2</f>
        <v>112.15856812579391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-3.2252121611155049</v>
      </c>
      <c r="K53">
        <f>('NFL 2025-26 Prediction Model'!$I53-'NFL 2025-26 Prediction Model'!$J53)^2</f>
        <v>95.546477295204241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-0.45041805170408589</v>
      </c>
      <c r="K54">
        <f>('NFL 2025-26 Prediction Model'!$I54-'NFL 2025-26 Prediction Model'!$J54)^2</f>
        <v>56.99618759403554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-16.180650290717583</v>
      </c>
      <c r="K55">
        <f>('NFL 2025-26 Prediction Model'!$I55-'NFL 2025-26 Prediction Model'!$J55)^2</f>
        <v>173.7295420861935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0.70720396347238501</v>
      </c>
      <c r="K56">
        <f>('NFL 2025-26 Prediction Model'!$I56-'NFL 2025-26 Prediction Model'!$J56)^2</f>
        <v>5.2569136651167394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5.3749549801275691</v>
      </c>
      <c r="K57">
        <f>('NFL 2025-26 Prediction Model'!$I57-'NFL 2025-26 Prediction Model'!$J57)^2</f>
        <v>2.6407713166121893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11.955188462962603</v>
      </c>
      <c r="K58">
        <f>('NFL 2025-26 Prediction Model'!$I58-'NFL 2025-26 Prediction Model'!$J58)^2</f>
        <v>2.0080738516539969E-3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11.732831658062914</v>
      </c>
      <c r="K59">
        <f>('NFL 2025-26 Prediction Model'!$I59-'NFL 2025-26 Prediction Model'!$J59)^2</f>
        <v>298.15510254879433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13.48784160401221</v>
      </c>
      <c r="K60">
        <f>('NFL 2025-26 Prediction Model'!$I60-'NFL 2025-26 Prediction Model'!$J60)^2</f>
        <v>110.50547414233658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19.028469512146671</v>
      </c>
      <c r="K61">
        <f>('NFL 2025-26 Prediction Model'!$I61-'NFL 2025-26 Prediction Model'!$J61)^2</f>
        <v>48.602237343068474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-1.8228834679164043</v>
      </c>
      <c r="K62">
        <f>('NFL 2025-26 Prediction Model'!$I62-'NFL 2025-26 Prediction Model'!$J62)^2</f>
        <v>23.260204945101364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-1.1256638019103762</v>
      </c>
      <c r="K63">
        <f>('NFL 2025-26 Prediction Model'!$I63-'NFL 2025-26 Prediction Model'!$J63)^2</f>
        <v>23.759153372006814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9.1407947462133912</v>
      </c>
      <c r="K64">
        <f>('NFL 2025-26 Prediction Model'!$I64-'NFL 2025-26 Prediction Model'!$J64)^2</f>
        <v>4.5830021454148575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-1.0283034049565458</v>
      </c>
      <c r="K65">
        <f>('NFL 2025-26 Prediction Model'!$I65-'NFL 2025-26 Prediction Model'!$J65)^2</f>
        <v>15.774373843079768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-9.0474893518595074</v>
      </c>
      <c r="K66">
        <f>('NFL 2025-26 Prediction Model'!$I66-'NFL 2025-26 Prediction Model'!$J66)^2</f>
        <v>64.762084868292149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3.0053878867846118</v>
      </c>
      <c r="K67">
        <f>('NFL 2025-26 Prediction Model'!$I67-'NFL 2025-26 Prediction Model'!$J67)^2</f>
        <v>195.84916819935489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-2.719814277122965</v>
      </c>
      <c r="K68">
        <f>('NFL 2025-26 Prediction Model'!$I68-'NFL 2025-26 Prediction Model'!$J68)^2</f>
        <v>7.3973897020419166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8.4646507802245612</v>
      </c>
      <c r="K69">
        <f>('NFL 2025-26 Prediction Model'!$I69-'NFL 2025-26 Prediction Model'!$J69)^2</f>
        <v>6.074503468461538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10.94092991028694</v>
      </c>
      <c r="K70">
        <f>('NFL 2025-26 Prediction Model'!$I70-'NFL 2025-26 Prediction Model'!$J70)^2</f>
        <v>197.6574517874644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9.0220340760484063</v>
      </c>
      <c r="K71">
        <f>('NFL 2025-26 Prediction Model'!$I71-'NFL 2025-26 Prediction Model'!$J71)^2</f>
        <v>144.52930332566905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-5.9313085372049636</v>
      </c>
      <c r="K72">
        <f>('NFL 2025-26 Prediction Model'!$I72-'NFL 2025-26 Prediction Model'!$J72)^2</f>
        <v>3.7299526658807767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5.5031312455266921</v>
      </c>
      <c r="K73">
        <f>('NFL 2025-26 Prediction Model'!$I73-'NFL 2025-26 Prediction Model'!$J73)^2</f>
        <v>6.2656660323320086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17.572475758368569</v>
      </c>
      <c r="K74">
        <f>('NFL 2025-26 Prediction Model'!$I74-'NFL 2025-26 Prediction Model'!$J74)^2</f>
        <v>269.86355270938833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-5.9998178559020925</v>
      </c>
      <c r="K75">
        <f>('NFL 2025-26 Prediction Model'!$I75-'NFL 2025-26 Prediction Model'!$J75)^2</f>
        <v>81.003278626938808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1.2689737206188538</v>
      </c>
      <c r="K76">
        <f>('NFL 2025-26 Prediction Model'!$I76-'NFL 2025-26 Prediction Model'!$J76)^2</f>
        <v>27.762084068572094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-5.3656337698697394</v>
      </c>
      <c r="K77">
        <f>('NFL 2025-26 Prediction Model'!$I77-'NFL 2025-26 Prediction Model'!$J77)^2</f>
        <v>819.92692940122436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1.2541815577446687</v>
      </c>
      <c r="K78">
        <f>('NFL 2025-26 Prediction Model'!$I78-'NFL 2025-26 Prediction Model'!$J78)^2</f>
        <v>115.47261399391479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5.8850464273724894</v>
      </c>
      <c r="K79">
        <f>('NFL 2025-26 Prediction Model'!$I79-'NFL 2025-26 Prediction Model'!$J79)^2</f>
        <v>47.403864307074677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17.125561655119274</v>
      </c>
      <c r="K80">
        <f>('NFL 2025-26 Prediction Model'!$I80-'NFL 2025-26 Prediction Model'!$J80)^2</f>
        <v>405.03823193400723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-6.7132107915099422</v>
      </c>
      <c r="K81">
        <f>('NFL 2025-26 Prediction Model'!$I81-'NFL 2025-26 Prediction Model'!$J81)^2</f>
        <v>39.523718551987045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8.3641983914284275</v>
      </c>
      <c r="K82">
        <f>('NFL 2025-26 Prediction Model'!$I82-'NFL 2025-26 Prediction Model'!$J82)^2</f>
        <v>643.34256003974042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0.72913766327413931</v>
      </c>
      <c r="K83">
        <f>('NFL 2025-26 Prediction Model'!$I83-'NFL 2025-26 Prediction Model'!$J83)^2</f>
        <v>13.906467711649707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8.6076943217705999</v>
      </c>
      <c r="K84">
        <f>('NFL 2025-26 Prediction Model'!$I84-'NFL 2025-26 Prediction Model'!$J84)^2</f>
        <v>31.446235606418227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-3.9095772040148811</v>
      </c>
      <c r="K85">
        <f>('NFL 2025-26 Prediction Model'!$I85-'NFL 2025-26 Prediction Model'!$J85)^2</f>
        <v>437.21041885065875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-13.603626848361111</v>
      </c>
      <c r="K86">
        <f>('NFL 2025-26 Prediction Model'!$I86-'NFL 2025-26 Prediction Model'!$J86)^2</f>
        <v>134.64415603600682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3.4532482470172643</v>
      </c>
      <c r="K87">
        <f>('NFL 2025-26 Prediction Model'!$I87-'NFL 2025-26 Prediction Model'!$J87)^2</f>
        <v>0.20543397342422304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8.8958704620932973</v>
      </c>
      <c r="K88">
        <f>('NFL 2025-26 Prediction Model'!$I88-'NFL 2025-26 Prediction Model'!$J88)^2</f>
        <v>26.052138339731691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11.471733564090277</v>
      </c>
      <c r="K89">
        <f>('NFL 2025-26 Prediction Model'!$I89-'NFL 2025-26 Prediction Model'!$J89)^2</f>
        <v>55.826802452753192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-3.5618526515057773</v>
      </c>
      <c r="K90">
        <f>('NFL 2025-26 Prediction Model'!$I90-'NFL 2025-26 Prediction Model'!$J90)^2</f>
        <v>19.697151886946298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-4.3212560526569286</v>
      </c>
      <c r="K91">
        <f>('NFL 2025-26 Prediction Model'!$I91-'NFL 2025-26 Prediction Model'!$J91)^2</f>
        <v>5.3882296619964256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-8.9686928382725171</v>
      </c>
      <c r="K92">
        <f>('NFL 2025-26 Prediction Model'!$I92-'NFL 2025-26 Prediction Model'!$J92)^2</f>
        <v>8.8131371680105328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-8.3200230725673308</v>
      </c>
      <c r="K93">
        <f>('NFL 2025-26 Prediction Model'!$I93-'NFL 2025-26 Prediction Model'!$J93)^2</f>
        <v>32.262137896167467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-0.21569576690580305</v>
      </c>
      <c r="K94">
        <f>('NFL 2025-26 Prediction Model'!$I94-'NFL 2025-26 Prediction Model'!$J94)^2</f>
        <v>104.36044000197714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8.3142931563668334</v>
      </c>
      <c r="K95">
        <f>('NFL 2025-26 Prediction Model'!$I95-'NFL 2025-26 Prediction Model'!$J95)^2</f>
        <v>0.47019387540535995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-3.5059737529931567</v>
      </c>
      <c r="K96">
        <f>('NFL 2025-26 Prediction Model'!$I96-'NFL 2025-26 Prediction Model'!$J96)^2</f>
        <v>210.42327452252636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0.29761187366457742</v>
      </c>
      <c r="K97">
        <f>('NFL 2025-26 Prediction Model'!$I97-'NFL 2025-26 Prediction Model'!$J97)^2</f>
        <v>161.35066411206714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-5.3462981184279323</v>
      </c>
      <c r="K98">
        <f>('NFL 2025-26 Prediction Model'!$I98-'NFL 2025-26 Prediction Model'!$J98)^2</f>
        <v>235.50886593966467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-4.1874550019356382</v>
      </c>
      <c r="K99">
        <f>('NFL 2025-26 Prediction Model'!$I99-'NFL 2025-26 Prediction Model'!$J99)^2</f>
        <v>10.15986938936452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-2.1212396495910295</v>
      </c>
      <c r="K100">
        <f>('NFL 2025-26 Prediction Model'!$I100-'NFL 2025-26 Prediction Model'!$J100)^2</f>
        <v>16.984616249361189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-1.2216567868440151</v>
      </c>
      <c r="K101">
        <f>('NFL 2025-26 Prediction Model'!$I101-'NFL 2025-26 Prediction Model'!$J101)^2</f>
        <v>717.07966524157723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7.6787483277586883</v>
      </c>
      <c r="K102">
        <f>('NFL 2025-26 Prediction Model'!$I102-'NFL 2025-26 Prediction Model'!$J102)^2</f>
        <v>18.673216014848332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0.49092186229259349</v>
      </c>
      <c r="K103">
        <f>('NFL 2025-26 Prediction Model'!$I103-'NFL 2025-26 Prediction Model'!$J103)^2</f>
        <v>42.132066622387946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-7.1957081415034079</v>
      </c>
      <c r="K104">
        <f>('NFL 2025-26 Prediction Model'!$I104-'NFL 2025-26 Prediction Model'!$J104)^2</f>
        <v>3.8301676650717917E-2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0.96756311384303473</v>
      </c>
      <c r="K105">
        <f>('NFL 2025-26 Prediction Model'!$I105-'NFL 2025-26 Prediction Model'!$J105)^2</f>
        <v>577.55802268711784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14.626561434551396</v>
      </c>
      <c r="K106">
        <f>('NFL 2025-26 Prediction Model'!$I106-'NFL 2025-26 Prediction Model'!$J106)^2</f>
        <v>268.08949045651957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-12.37909605688348</v>
      </c>
      <c r="K107">
        <f>('NFL 2025-26 Prediction Model'!$I107-'NFL 2025-26 Prediction Model'!$J107)^2</f>
        <v>31.594561137742843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-2.0908850556003249</v>
      </c>
      <c r="K108">
        <f>('NFL 2025-26 Prediction Model'!$I108-'NFL 2025-26 Prediction Model'!$J108)^2</f>
        <v>141.82701875892369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9.4126773676438713</v>
      </c>
      <c r="K109">
        <f>('NFL 2025-26 Prediction Model'!$I109-'NFL 2025-26 Prediction Model'!$J109)^2</f>
        <v>70.773140492067412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-3.0572158472175719</v>
      </c>
      <c r="K110">
        <f>('NFL 2025-26 Prediction Model'!$I110-'NFL 2025-26 Prediction Model'!$J110)^2</f>
        <v>0.88884195873768079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3.8354673758649787</v>
      </c>
      <c r="K111">
        <f>('NFL 2025-26 Prediction Model'!$I111-'NFL 2025-26 Prediction Model'!$J111)^2</f>
        <v>329.9502454532655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9.7136050598980646</v>
      </c>
      <c r="K112">
        <f>('NFL 2025-26 Prediction Model'!$I112-'NFL 2025-26 Prediction Model'!$J112)^2</f>
        <v>8.202206171599119E-2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6.915760769594268</v>
      </c>
      <c r="K113">
        <f>('NFL 2025-26 Prediction Model'!$I113-'NFL 2025-26 Prediction Model'!$J113)^2</f>
        <v>65.354923934431056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7.5519431287753012</v>
      </c>
      <c r="K114">
        <f>('NFL 2025-26 Prediction Model'!$I114-'NFL 2025-26 Prediction Model'!$J114)^2</f>
        <v>0.20075495985166636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1.9371003244408269</v>
      </c>
      <c r="K115">
        <f>('NFL 2025-26 Prediction Model'!$I115-'NFL 2025-26 Prediction Model'!$J115)^2</f>
        <v>628.14894014714412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5.8467285641879672</v>
      </c>
      <c r="K116">
        <f>('NFL 2025-26 Prediction Model'!$I116-'NFL 2025-26 Prediction Model'!$J116)^2</f>
        <v>890.82720598431388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-5.6898954370892074</v>
      </c>
      <c r="K117">
        <f>('NFL 2025-26 Prediction Model'!$I117-'NFL 2025-26 Prediction Model'!$J117)^2</f>
        <v>640.60139298547779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2.5736841959072776</v>
      </c>
      <c r="K118">
        <f>('NFL 2025-26 Prediction Model'!$I118-'NFL 2025-26 Prediction Model'!$J118)^2</f>
        <v>130.5606928548591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6.0676447733508159</v>
      </c>
      <c r="K119">
        <f>('NFL 2025-26 Prediction Model'!$I119-'NFL 2025-26 Prediction Model'!$J119)^2</f>
        <v>24.328128081853524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9.4347708223220188</v>
      </c>
      <c r="K120">
        <f>('NFL 2025-26 Prediction Model'!$I120-'NFL 2025-26 Prediction Model'!$J120)^2</f>
        <v>108.88444211438294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16.268399789746571</v>
      </c>
      <c r="K121">
        <f>('NFL 2025-26 Prediction Model'!$I121-'NFL 2025-26 Prediction Model'!$J121)^2</f>
        <v>7.4616397086565787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8.4242931268467771</v>
      </c>
      <c r="K122">
        <f>('NFL 2025-26 Prediction Model'!$I122-'NFL 2025-26 Prediction Model'!$J122)^2</f>
        <v>91.694162120553869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-1.5297318443598362</v>
      </c>
      <c r="K123">
        <f>('NFL 2025-26 Prediction Model'!$I123-'NFL 2025-26 Prediction Model'!$J123)^2</f>
        <v>341.15080574125506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15.099422030046817</v>
      </c>
      <c r="K124">
        <f>('NFL 2025-26 Prediction Model'!$I124-'NFL 2025-26 Prediction Model'!$J124)^2</f>
        <v>79.220288199215915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9.8611669538749673</v>
      </c>
      <c r="K125">
        <f>('NFL 2025-26 Prediction Model'!$I125-'NFL 2025-26 Prediction Model'!$J125)^2</f>
        <v>102.79593553719701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0.57902037747204127</v>
      </c>
      <c r="K126">
        <f>('NFL 2025-26 Prediction Model'!$I126-'NFL 2025-26 Prediction Model'!$J126)^2</f>
        <v>111.91567214696869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9.7665270846275263</v>
      </c>
      <c r="K127">
        <f>('NFL 2025-26 Prediction Model'!$I127-'NFL 2025-26 Prediction Model'!$J127)^2</f>
        <v>126.19091374040694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-4.975554820487365</v>
      </c>
      <c r="K128">
        <f>('NFL 2025-26 Prediction Model'!$I128-'NFL 2025-26 Prediction Model'!$J128)^2</f>
        <v>289.83173367023102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11.389234339401639</v>
      </c>
      <c r="K129">
        <f>('NFL 2025-26 Prediction Model'!$I129-'NFL 2025-26 Prediction Model'!$J129)^2</f>
        <v>107.93619015900222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-3.6891085438985791</v>
      </c>
      <c r="K130">
        <f>('NFL 2025-26 Prediction Model'!$I130-'NFL 2025-26 Prediction Model'!$J130)^2</f>
        <v>1.7184364096797036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5.2991751053912983</v>
      </c>
      <c r="K131">
        <f>('NFL 2025-26 Prediction Model'!$I131-'NFL 2025-26 Prediction Model'!$J131)^2</f>
        <v>68.876307429946678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6.0386399143535456</v>
      </c>
      <c r="K132">
        <f>('NFL 2025-26 Prediction Model'!$I132-'NFL 2025-26 Prediction Model'!$J132)^2</f>
        <v>81.697011501345074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-3.3207814165687668</v>
      </c>
      <c r="K133">
        <f>('NFL 2025-26 Prediction Model'!$I133-'NFL 2025-26 Prediction Model'!$J133)^2</f>
        <v>106.5185290485912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7.4595704836365027</v>
      </c>
      <c r="K134">
        <f>('NFL 2025-26 Prediction Model'!$I134-'NFL 2025-26 Prediction Model'!$J134)^2</f>
        <v>109.40261470215994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-6.2898871550976612</v>
      </c>
      <c r="K135">
        <f>('NFL 2025-26 Prediction Model'!$I135-'NFL 2025-26 Prediction Model'!$J135)^2</f>
        <v>13.764937321909326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-6.2364630901986482</v>
      </c>
      <c r="K136">
        <f>('NFL 2025-26 Prediction Model'!$I136-'NFL 2025-26 Prediction Model'!$J136)^2</f>
        <v>0.58298861262899759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-16.462181872074151</v>
      </c>
      <c r="K137">
        <f>('NFL 2025-26 Prediction Model'!$I137-'NFL 2025-26 Prediction Model'!$J137)^2</f>
        <v>239.07906824509848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18.572455596233297</v>
      </c>
      <c r="K138">
        <f>('NFL 2025-26 Prediction Model'!$I138-'NFL 2025-26 Prediction Model'!$J138)^2</f>
        <v>29.458238254859253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5.4694419367598712</v>
      </c>
      <c r="K139">
        <f>('NFL 2025-26 Prediction Model'!$I139-'NFL 2025-26 Prediction Model'!$J139)^2</f>
        <v>2.3426079849493742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-17.421358135072008</v>
      </c>
      <c r="K140">
        <f>('NFL 2025-26 Prediction Model'!$I140-'NFL 2025-26 Prediction Model'!$J140)^2</f>
        <v>43.278528786983244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2.5947595315105554</v>
      </c>
      <c r="K141">
        <f>('NFL 2025-26 Prediction Model'!$I141-'NFL 2025-26 Prediction Model'!$J141)^2</f>
        <v>158.62796765657598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16.299310718247867</v>
      </c>
      <c r="K142">
        <f>('NFL 2025-26 Prediction Model'!$I142-'NFL 2025-26 Prediction Model'!$J142)^2</f>
        <v>176.87166558050259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9.5948443897330797</v>
      </c>
      <c r="K143">
        <f>('NFL 2025-26 Prediction Model'!$I143-'NFL 2025-26 Prediction Model'!$J143)^2</f>
        <v>12.922906186395398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-8.935668721199951</v>
      </c>
      <c r="K144">
        <f>('NFL 2025-26 Prediction Model'!$I144-'NFL 2025-26 Prediction Model'!$J144)^2</f>
        <v>672.65891201582963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6.675571924087409</v>
      </c>
      <c r="K145">
        <f>('NFL 2025-26 Prediction Model'!$I145-'NFL 2025-26 Prediction Model'!$J145)^2</f>
        <v>7.1586851209647993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-2.6601400098197505</v>
      </c>
      <c r="K146">
        <f>('NFL 2025-26 Prediction Model'!$I146-'NFL 2025-26 Prediction Model'!$J146)^2</f>
        <v>93.318305009320326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2.7819834069783216</v>
      </c>
      <c r="K147">
        <f>('NFL 2025-26 Prediction Model'!$I147-'NFL 2025-26 Prediction Model'!$J147)^2</f>
        <v>17.791663979006209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1.9233168305606334</v>
      </c>
      <c r="K148">
        <f>('NFL 2025-26 Prediction Model'!$I148-'NFL 2025-26 Prediction Model'!$J148)^2</f>
        <v>98.472216919687938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4.007935064457449</v>
      </c>
      <c r="K149">
        <f>('NFL 2025-26 Prediction Model'!$I149-'NFL 2025-26 Prediction Model'!$J149)^2</f>
        <v>196.22224477005651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-5.1816030324967315</v>
      </c>
      <c r="K150">
        <f>('NFL 2025-26 Prediction Model'!$I150-'NFL 2025-26 Prediction Model'!$J150)^2</f>
        <v>3.2979661412008913E-2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20.69536621354948</v>
      </c>
      <c r="K151">
        <f>('NFL 2025-26 Prediction Model'!$I151-'NFL 2025-26 Prediction Model'!$J151)^2</f>
        <v>1.7020693167482204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-7.2115572495470008</v>
      </c>
      <c r="K152">
        <f>('NFL 2025-26 Prediction Model'!$I152-'NFL 2025-26 Prediction Model'!$J152)^2</f>
        <v>218.69803898342587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-4.5073181532165094</v>
      </c>
      <c r="K153">
        <f>('NFL 2025-26 Prediction Model'!$I153-'NFL 2025-26 Prediction Model'!$J153)^2</f>
        <v>132.08173603138678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3.4872543223843904</v>
      </c>
      <c r="K154">
        <f>('NFL 2025-26 Prediction Model'!$I154-'NFL 2025-26 Prediction Model'!$J154)^2</f>
        <v>132.54331303745687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0.61910544829293679</v>
      </c>
      <c r="K155">
        <f>('NFL 2025-26 Prediction Model'!$I155-'NFL 2025-26 Prediction Model'!$J155)^2</f>
        <v>13.097924245863618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21.185897760982272</v>
      </c>
      <c r="K156">
        <f>('NFL 2025-26 Prediction Model'!$I156-'NFL 2025-26 Prediction Model'!$J156)^2</f>
        <v>67.008922153254574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1.7855843773555504</v>
      </c>
      <c r="K157">
        <f>('NFL 2025-26 Prediction Model'!$I157-'NFL 2025-26 Prediction Model'!$J157)^2</f>
        <v>1.4748053045229061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2.6009552800772231</v>
      </c>
      <c r="K158">
        <f>('NFL 2025-26 Prediction Model'!$I158-'NFL 2025-26 Prediction Model'!$J158)^2</f>
        <v>31.370700049424919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8.1680986571868193</v>
      </c>
      <c r="K159">
        <f>('NFL 2025-26 Prediction Model'!$I159-'NFL 2025-26 Prediction Model'!$J159)^2</f>
        <v>14.683467901053458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2.2396430650519625</v>
      </c>
      <c r="K160">
        <f>('NFL 2025-26 Prediction Model'!$I160-'NFL 2025-26 Prediction Model'!$J160)^2</f>
        <v>17.974573319043202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6.635955572422926</v>
      </c>
      <c r="K161">
        <f>('NFL 2025-26 Prediction Model'!$I161-'NFL 2025-26 Prediction Model'!$J161)^2</f>
        <v>236.05386117256214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-2.2713246908918698</v>
      </c>
      <c r="K162">
        <f>('NFL 2025-26 Prediction Model'!$I162-'NFL 2025-26 Prediction Model'!$J162)^2</f>
        <v>22.360370178968871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-14.513753589314772</v>
      </c>
      <c r="K163">
        <f>('NFL 2025-26 Prediction Model'!$I163-'NFL 2025-26 Prediction Model'!$J163)^2</f>
        <v>132.5665217154588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10.0100230149697</v>
      </c>
      <c r="K164">
        <f>('NFL 2025-26 Prediction Model'!$I164-'NFL 2025-26 Prediction Model'!$J164)^2</f>
        <v>360.61922589198048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-7.0757783114233641</v>
      </c>
      <c r="K165">
        <f>('NFL 2025-26 Prediction Model'!$I165-'NFL 2025-26 Prediction Model'!$J165)^2</f>
        <v>142.18706287832146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-8.2837903245813749E-2</v>
      </c>
      <c r="K166">
        <f>('NFL 2025-26 Prediction Model'!$I166-'NFL 2025-26 Prediction Model'!$J166)^2</f>
        <v>4.3382137311974178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-6.2653496680602787</v>
      </c>
      <c r="K167">
        <f>('NFL 2025-26 Prediction Model'!$I167-'NFL 2025-26 Prediction Model'!$J167)^2</f>
        <v>0.53971111021914264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3.9301072451124184</v>
      </c>
      <c r="K168">
        <f>('NFL 2025-26 Prediction Model'!$I168-'NFL 2025-26 Prediction Model'!$J168)^2</f>
        <v>0.86509948741061238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0.98197691656395358</v>
      </c>
      <c r="K169">
        <f>('NFL 2025-26 Prediction Model'!$I169-'NFL 2025-26 Prediction Model'!$J169)^2</f>
        <v>36.216601832769108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-4.1807858029569509</v>
      </c>
      <c r="K170">
        <f>('NFL 2025-26 Prediction Model'!$I170-'NFL 2025-26 Prediction Model'!$J170)^2</f>
        <v>164.33225262967008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5.9202357919890503</v>
      </c>
      <c r="K171">
        <f>('NFL 2025-26 Prediction Model'!$I171-'NFL 2025-26 Prediction Model'!$J171)^2</f>
        <v>3.687305496835815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3.8252268557234981</v>
      </c>
      <c r="K172">
        <f>('NFL 2025-26 Prediction Model'!$I172-'NFL 2025-26 Prediction Model'!$J172)^2</f>
        <v>0.68099936340729106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-9.4937689772443044</v>
      </c>
      <c r="K173">
        <f>('NFL 2025-26 Prediction Model'!$I173-'NFL 2025-26 Prediction Model'!$J173)^2</f>
        <v>12.206421666354712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-0.68855636240122475</v>
      </c>
      <c r="K174">
        <f>('NFL 2025-26 Prediction Model'!$I174-'NFL 2025-26 Prediction Model'!$J174)^2</f>
        <v>13.605448038610556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9.6996741716987724</v>
      </c>
      <c r="K175">
        <f>('NFL 2025-26 Prediction Model'!$I175-'NFL 2025-26 Prediction Model'!$J175)^2</f>
        <v>7.2882406333374528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2.3855415474162918</v>
      </c>
      <c r="K176">
        <f>('NFL 2025-26 Prediction Model'!$I176-'NFL 2025-26 Prediction Model'!$J176)^2</f>
        <v>213.58239586229539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15.697563562127876</v>
      </c>
      <c r="K177">
        <f>('NFL 2025-26 Prediction Model'!$I177-'NFL 2025-26 Prediction Model'!$J177)^2</f>
        <v>7.2768491717200323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-19.808338756674125</v>
      </c>
      <c r="K178">
        <f>('NFL 2025-26 Prediction Model'!$I178-'NFL 2025-26 Prediction Model'!$J178)^2</f>
        <v>190.67021921906871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-0.84110795687460893</v>
      </c>
      <c r="K179">
        <f>('NFL 2025-26 Prediction Model'!$I179-'NFL 2025-26 Prediction Model'!$J179)^2</f>
        <v>173.15643980262874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-10.361439677795858</v>
      </c>
      <c r="K180">
        <f>('NFL 2025-26 Prediction Model'!$I180-'NFL 2025-26 Prediction Model'!$J180)^2</f>
        <v>54.190794129827175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0.16318353971317379</v>
      </c>
      <c r="K181">
        <f>('NFL 2025-26 Prediction Model'!$I181-'NFL 2025-26 Prediction Model'!$J181)^2</f>
        <v>200.59576797960219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-4.3580667902459762</v>
      </c>
      <c r="K182">
        <f>('NFL 2025-26 Prediction Model'!$I182-'NFL 2025-26 Prediction Model'!$J182)^2</f>
        <v>54.141146889720723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14.785365790457512</v>
      </c>
      <c r="K183">
        <f>('NFL 2025-26 Prediction Model'!$I183-'NFL 2025-26 Prediction Model'!$J183)^2</f>
        <v>149.19728887292564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10.057202378559339</v>
      </c>
      <c r="K184">
        <f>('NFL 2025-26 Prediction Model'!$I184-'NFL 2025-26 Prediction Model'!$J184)^2</f>
        <v>0.88886735499416847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5.170991519390955</v>
      </c>
      <c r="K185">
        <f>('NFL 2025-26 Prediction Model'!$I185-'NFL 2025-26 Prediction Model'!$J185)^2</f>
        <v>148.13303456508658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-3.6737017473466005</v>
      </c>
      <c r="K186">
        <f>('NFL 2025-26 Prediction Model'!$I186-'NFL 2025-26 Prediction Model'!$J186)^2</f>
        <v>44.538295012537063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8.5201507012218052</v>
      </c>
      <c r="K187">
        <f>('NFL 2025-26 Prediction Model'!$I187-'NFL 2025-26 Prediction Model'!$J187)^2</f>
        <v>703.31839321551536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4.0060791641753166</v>
      </c>
      <c r="K188">
        <f>('NFL 2025-26 Prediction Model'!$I188-'NFL 2025-26 Prediction Model'!$J188)^2</f>
        <v>169.15809522479529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-7.5393054601646829</v>
      </c>
      <c r="K189">
        <f>('NFL 2025-26 Prediction Model'!$I189-'NFL 2025-26 Prediction Model'!$J189)^2</f>
        <v>111.07695958265712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-10.078054587411099</v>
      </c>
      <c r="K190">
        <f>('NFL 2025-26 Prediction Model'!$I190-'NFL 2025-26 Prediction Model'!$J190)^2</f>
        <v>62.757219120038329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-1.6716895206839029</v>
      </c>
      <c r="K191">
        <f>('NFL 2025-26 Prediction Model'!$I191-'NFL 2025-26 Prediction Model'!$J191)^2</f>
        <v>5.4210296880931539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5.8271625198461559</v>
      </c>
      <c r="K192">
        <f>('NFL 2025-26 Prediction Model'!$I192-'NFL 2025-26 Prediction Model'!$J192)^2</f>
        <v>7.9928479136228656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-13.989128143752399</v>
      </c>
      <c r="K193">
        <f>('NFL 2025-26 Prediction Model'!$I193-'NFL 2025-26 Prediction Model'!$J193)^2</f>
        <v>64.174067897219885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0.76216178034670445</v>
      </c>
      <c r="K194">
        <f>('NFL 2025-26 Prediction Model'!$I194-'NFL 2025-26 Prediction Model'!$J194)^2</f>
        <v>10.483596336647622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-12.3071625703599</v>
      </c>
      <c r="K195">
        <f>('NFL 2025-26 Prediction Model'!$I195-'NFL 2025-26 Prediction Model'!$J195)^2</f>
        <v>234.30922595542708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15.508975990916305</v>
      </c>
      <c r="K196">
        <f>('NFL 2025-26 Prediction Model'!$I196-'NFL 2025-26 Prediction Model'!$J196)^2</f>
        <v>110.06158475917053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-3.5869510680955163</v>
      </c>
      <c r="K197">
        <f>('NFL 2025-26 Prediction Model'!$I197-'NFL 2025-26 Prediction Model'!$J197)^2</f>
        <v>237.56207737728195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13.224232741352296</v>
      </c>
      <c r="K198">
        <f>('NFL 2025-26 Prediction Model'!$I198-'NFL 2025-26 Prediction Model'!$J198)^2</f>
        <v>14.256418391476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-6.9245604454921015</v>
      </c>
      <c r="K199">
        <f>('NFL 2025-26 Prediction Model'!$I199-'NFL 2025-26 Prediction Model'!$J199)^2</f>
        <v>35.100416472289567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12.480232357433133</v>
      </c>
      <c r="K200">
        <f>('NFL 2025-26 Prediction Model'!$I200-'NFL 2025-26 Prediction Model'!$J200)^2</f>
        <v>30.46783482792819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10.148163757929868</v>
      </c>
      <c r="K201">
        <f>('NFL 2025-26 Prediction Model'!$I201-'NFL 2025-26 Prediction Model'!$J201)^2</f>
        <v>14.836642435724952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-14.303761116360388</v>
      </c>
      <c r="K202">
        <f>('NFL 2025-26 Prediction Model'!$I202-'NFL 2025-26 Prediction Model'!$J202)^2</f>
        <v>187.58695955772166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12.48026460193439</v>
      </c>
      <c r="K203">
        <f>('NFL 2025-26 Prediction Model'!$I203-'NFL 2025-26 Prediction Model'!$J203)^2</f>
        <v>55.954358514952666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2.8827701513847543</v>
      </c>
      <c r="K204">
        <f>('NFL 2025-26 Prediction Model'!$I204-'NFL 2025-26 Prediction Model'!$J204)^2</f>
        <v>23.841444351253898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5.6617799979534267</v>
      </c>
      <c r="K205">
        <f>('NFL 2025-26 Prediction Model'!$I205-'NFL 2025-26 Prediction Model'!$J205)^2</f>
        <v>128.55523281480899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-3.9499348573926643</v>
      </c>
      <c r="K206">
        <f>('NFL 2025-26 Prediction Model'!$I206-'NFL 2025-26 Prediction Model'!$J206)^2</f>
        <v>402.00511222279778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8.6844560284035488</v>
      </c>
      <c r="K207">
        <f>('NFL 2025-26 Prediction Model'!$I207-'NFL 2025-26 Prediction Model'!$J207)^2</f>
        <v>497.98350274825469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6.0444477671917332</v>
      </c>
      <c r="K208">
        <f>('NFL 2025-26 Prediction Model'!$I208-'NFL 2025-26 Prediction Model'!$J208)^2</f>
        <v>100.89093094784302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4.1415530902148276</v>
      </c>
      <c r="K209">
        <f>('NFL 2025-26 Prediction Model'!$I209-'NFL 2025-26 Prediction Model'!$J209)^2</f>
        <v>83.567992901216272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-11.78459479541597</v>
      </c>
      <c r="K210">
        <f>('NFL 2025-26 Prediction Model'!$I210-'NFL 2025-26 Prediction Model'!$J210)^2</f>
        <v>22.892347356321586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2.3678266510523058</v>
      </c>
      <c r="K211">
        <f>('NFL 2025-26 Prediction Model'!$I211-'NFL 2025-26 Prediction Model'!$J211)^2</f>
        <v>21.457029934701293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-13.840454426055821</v>
      </c>
      <c r="K212">
        <f>('NFL 2025-26 Prediction Model'!$I212-'NFL 2025-26 Prediction Model'!$J212)^2</f>
        <v>200.49273086060219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-4.6176038445010761</v>
      </c>
      <c r="K213">
        <f>('NFL 2025-26 Prediction Model'!$I213-'NFL 2025-26 Prediction Model'!$J213)^2</f>
        <v>28.970188374729595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0.17066422531747172</v>
      </c>
      <c r="K214">
        <f>('NFL 2025-26 Prediction Model'!$I214-'NFL 2025-26 Prediction Model'!$J214)^2</f>
        <v>8.0051409258983828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3.9502733454889585</v>
      </c>
      <c r="K215">
        <f>('NFL 2025-26 Prediction Model'!$I215-'NFL 2025-26 Prediction Model'!$J215)^2</f>
        <v>24.505206195058445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3.7855782595577576</v>
      </c>
      <c r="K216">
        <f>('NFL 2025-26 Prediction Model'!$I216-'NFL 2025-26 Prediction Model'!$J216)^2</f>
        <v>60.615228835698403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10.463739356400847</v>
      </c>
      <c r="K217">
        <f>('NFL 2025-26 Prediction Model'!$I217-'NFL 2025-26 Prediction Model'!$J217)^2</f>
        <v>307.52043736024456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-4.0054347783899082</v>
      </c>
      <c r="K218">
        <f>('NFL 2025-26 Prediction Model'!$I218-'NFL 2025-26 Prediction Model'!$J218)^2</f>
        <v>399.7826384012198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15.400781046190129</v>
      </c>
      <c r="K219">
        <f>('NFL 2025-26 Prediction Model'!$I219-'NFL 2025-26 Prediction Model'!$J219)^2</f>
        <v>21.15281498508396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22.795929847851191</v>
      </c>
      <c r="K220">
        <f>('NFL 2025-26 Prediction Model'!$I220-'NFL 2025-26 Prediction Model'!$J220)^2</f>
        <v>27.082346148486128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3.6596866546150486</v>
      </c>
      <c r="K221">
        <f>('NFL 2025-26 Prediction Model'!$I221-'NFL 2025-26 Prediction Model'!$J221)^2</f>
        <v>44.351426337657784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4.2839569620960738</v>
      </c>
      <c r="K222">
        <f>('NFL 2025-26 Prediction Model'!$I222-'NFL 2025-26 Prediction Model'!$J222)^2</f>
        <v>150.8955986466286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15.310926477450773</v>
      </c>
      <c r="K223">
        <f>('NFL 2025-26 Prediction Model'!$I223-'NFL 2025-26 Prediction Model'!$J223)^2</f>
        <v>246.14702799595523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0.50678085837444842</v>
      </c>
      <c r="K224">
        <f>('NFL 2025-26 Prediction Model'!$I224-'NFL 2025-26 Prediction Model'!$J224)^2</f>
        <v>6.2161416881680527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11.480990610875153</v>
      </c>
      <c r="K225">
        <f>('NFL 2025-26 Prediction Model'!$I225-'NFL 2025-26 Prediction Model'!$J225)^2</f>
        <v>89.889182963502819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4.8839947153360539</v>
      </c>
      <c r="K226">
        <f>('NFL 2025-26 Prediction Model'!$I226-'NFL 2025-26 Prediction Model'!$J226)^2</f>
        <v>9.7094889340536401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10.126962982279192</v>
      </c>
      <c r="K227">
        <f>('NFL 2025-26 Prediction Model'!$I227-'NFL 2025-26 Prediction Model'!$J227)^2</f>
        <v>9.777897492544378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15.218182700211802</v>
      </c>
      <c r="K228">
        <f>('NFL 2025-26 Prediction Model'!$I228-'NFL 2025-26 Prediction Model'!$J228)^2</f>
        <v>4.9203344915189211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-2.5916306911226217</v>
      </c>
      <c r="K229">
        <f>('NFL 2025-26 Prediction Model'!$I229-'NFL 2025-26 Prediction Model'!$J229)^2</f>
        <v>29.250458581206772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7.6060756145203836</v>
      </c>
      <c r="K230">
        <f>('NFL 2025-26 Prediction Model'!$I230-'NFL 2025-26 Prediction Model'!$J230)^2</f>
        <v>29.094420276271656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4.5975538260777107</v>
      </c>
      <c r="K231">
        <f>('NFL 2025-26 Prediction Model'!$I231-'NFL 2025-26 Prediction Model'!$J231)^2</f>
        <v>12.942393531526376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-5.9361762046950073</v>
      </c>
      <c r="K232">
        <f>('NFL 2025-26 Prediction Model'!$I232-'NFL 2025-26 Prediction Model'!$J232)^2</f>
        <v>25.64231142989706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2.1468892717795907</v>
      </c>
      <c r="K233">
        <f>('NFL 2025-26 Prediction Model'!$I233-'NFL 2025-26 Prediction Model'!$J233)^2</f>
        <v>14.846462283927213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-10.225463568772865</v>
      </c>
      <c r="K234">
        <f>('NFL 2025-26 Prediction Model'!$I234-'NFL 2025-26 Prediction Model'!$J234)^2</f>
        <v>52.207323783663902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0.22084525868166394</v>
      </c>
      <c r="K235">
        <f>('NFL 2025-26 Prediction Model'!$I235-'NFL 2025-26 Prediction Model'!$J235)^2</f>
        <v>7.7237010761921878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1.2872379193184917</v>
      </c>
      <c r="K236">
        <f>('NFL 2025-26 Prediction Model'!$I236-'NFL 2025-26 Prediction Model'!$J236)^2</f>
        <v>639.44440158821908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-2.2713730541474999</v>
      </c>
      <c r="K237">
        <f>('NFL 2025-26 Prediction Model'!$I237-'NFL 2025-26 Prediction Model'!$J237)^2</f>
        <v>216.93245171009235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-7.6387917833977479</v>
      </c>
      <c r="K238">
        <f>('NFL 2025-26 Prediction Model'!$I238-'NFL 2025-26 Prediction Model'!$J238)^2</f>
        <v>607.07006054562851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-2.1431411048915257</v>
      </c>
      <c r="K239">
        <f>('NFL 2025-26 Prediction Model'!$I239-'NFL 2025-26 Prediction Model'!$J239)^2</f>
        <v>0.73420716612651549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9.9598469612938061</v>
      </c>
      <c r="K240">
        <f>('NFL 2025-26 Prediction Model'!$I240-'NFL 2025-26 Prediction Model'!$J240)^2</f>
        <v>170.04559127287837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0.38046878705875109</v>
      </c>
      <c r="K241">
        <f>('NFL 2025-26 Prediction Model'!$I241-'NFL 2025-26 Prediction Model'!$J241)^2</f>
        <v>54.471319516748473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-2.4202291152422326</v>
      </c>
      <c r="K242">
        <f>('NFL 2025-26 Prediction Model'!$I242-'NFL 2025-26 Prediction Model'!$J242)^2</f>
        <v>134.0910937434837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6.8493291033348624</v>
      </c>
      <c r="K243">
        <f>('NFL 2025-26 Prediction Model'!$I243-'NFL 2025-26 Prediction Model'!$J243)^2</f>
        <v>140.40660019913861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21.501523240468423</v>
      </c>
      <c r="K244">
        <f>('NFL 2025-26 Prediction Model'!$I244-'NFL 2025-26 Prediction Model'!$J244)^2</f>
        <v>380.30940869853004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-3.2309762374384468</v>
      </c>
      <c r="K245">
        <f>('NFL 2025-26 Prediction Model'!$I245-'NFL 2025-26 Prediction Model'!$J245)^2</f>
        <v>0.59139754738432826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2.1385972912509645</v>
      </c>
      <c r="K246">
        <f>('NFL 2025-26 Prediction Model'!$I246-'NFL 2025-26 Prediction Model'!$J246)^2</f>
        <v>535.39468460668638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0.67924854696691828</v>
      </c>
      <c r="K247">
        <f>('NFL 2025-26 Prediction Model'!$I247-'NFL 2025-26 Prediction Model'!$J247)^2</f>
        <v>58.970858246093528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-0.78445918255940095</v>
      </c>
      <c r="K248">
        <f>('NFL 2025-26 Prediction Model'!$I248-'NFL 2025-26 Prediction Model'!$J248)^2</f>
        <v>190.01131495564618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0.58460867771947767</v>
      </c>
      <c r="K249">
        <f>('NFL 2025-26 Prediction Model'!$I249-'NFL 2025-26 Prediction Model'!$J249)^2</f>
        <v>57.526288794137614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-6.0199325377001767</v>
      </c>
      <c r="K250">
        <f>('NFL 2025-26 Prediction Model'!$I250-'NFL 2025-26 Prediction Model'!$J250)^2</f>
        <v>4.0801274568598753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2.0515004165609767</v>
      </c>
      <c r="K251">
        <f>('NFL 2025-26 Prediction Model'!$I251-'NFL 2025-26 Prediction Model'!$J251)^2</f>
        <v>362.95966812222309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-14.647358435021662</v>
      </c>
      <c r="K252">
        <f>('NFL 2025-26 Prediction Model'!$I252-'NFL 2025-26 Prediction Model'!$J252)^2</f>
        <v>5.5349223332637241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1.5149965750985839</v>
      </c>
      <c r="K253">
        <f>('NFL 2025-26 Prediction Model'!$I253-'NFL 2025-26 Prediction Model'!$J253)^2</f>
        <v>461.6053721680255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-4.3811545392613995</v>
      </c>
      <c r="K254">
        <f>('NFL 2025-26 Prediction Model'!$I254-'NFL 2025-26 Prediction Model'!$J254)^2</f>
        <v>129.53067864655034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-1.1470640751215297</v>
      </c>
      <c r="K255">
        <f>('NFL 2025-26 Prediction Model'!$I255-'NFL 2025-26 Prediction Model'!$J255)^2</f>
        <v>23.550987090976054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-3.0249280254290802</v>
      </c>
      <c r="K256">
        <f>('NFL 2025-26 Prediction Model'!$I256-'NFL 2025-26 Prediction Model'!$J256)^2</f>
        <v>36.299757711600755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-1.1530452571950152</v>
      </c>
      <c r="K257">
        <f>('NFL 2025-26 Prediction Model'!$I257-'NFL 2025-26 Prediction Model'!$J257)^2</f>
        <v>46.880789250019674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-16.671181838150375</v>
      </c>
      <c r="K258">
        <f>('NFL 2025-26 Prediction Model'!$I258-'NFL 2025-26 Prediction Model'!$J258)^2</f>
        <v>234.97266623905094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-4.6292753891880469</v>
      </c>
      <c r="K259">
        <f>('NFL 2025-26 Prediction Model'!$I259-'NFL 2025-26 Prediction Model'!$J259)^2</f>
        <v>375.22497194791595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4.7850768938604951</v>
      </c>
      <c r="K260">
        <f>('NFL 2025-26 Prediction Model'!$I260-'NFL 2025-26 Prediction Model'!$J260)^2</f>
        <v>33.46711466787859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6.3863891152580976</v>
      </c>
      <c r="K261">
        <f>('NFL 2025-26 Prediction Model'!$I261-'NFL 2025-26 Prediction Model'!$J261)^2</f>
        <v>5.6948530094223262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-11.963565251698626</v>
      </c>
      <c r="K262">
        <f>('NFL 2025-26 Prediction Model'!$I262-'NFL 2025-26 Prediction Model'!$J262)^2</f>
        <v>223.90828504184256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4.2938706641502336</v>
      </c>
      <c r="K263">
        <f>('NFL 2025-26 Prediction Model'!$I263-'NFL 2025-26 Prediction Model'!$J263)^2</f>
        <v>5.2618426238490335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-6.8475140178782716</v>
      </c>
      <c r="K264">
        <f>('NFL 2025-26 Prediction Model'!$I264-'NFL 2025-26 Prediction Model'!$J264)^2</f>
        <v>9.9381678674739984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4.3515323831187231</v>
      </c>
      <c r="K265">
        <f>('NFL 2025-26 Prediction Model'!$I265-'NFL 2025-26 Prediction Model'!$J265)^2</f>
        <v>5.5297045488560217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4.5172728510863189</v>
      </c>
      <c r="K266">
        <f>('NFL 2025-26 Prediction Model'!$I266-'NFL 2025-26 Prediction Model'!$J266)^2</f>
        <v>42.474845415506799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6.1864054435157998</v>
      </c>
      <c r="K267">
        <f>('NFL 2025-26 Prediction Model'!$I267-'NFL 2025-26 Prediction Model'!$J267)^2</f>
        <v>3.2891252153091228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2.705847547647044</v>
      </c>
      <c r="K268">
        <f>('NFL 2025-26 Prediction Model'!$I268-'NFL 2025-26 Prediction Model'!$J268)^2</f>
        <v>204.32279433110801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2.1291743754156052</v>
      </c>
      <c r="K269">
        <f>('NFL 2025-26 Prediction Model'!$I269-'NFL 2025-26 Prediction Model'!$J269)^2</f>
        <v>118.17484976012069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18.503844066584296</v>
      </c>
      <c r="K270">
        <f>('NFL 2025-26 Prediction Model'!$I270-'NFL 2025-26 Prediction Model'!$J270)^2</f>
        <v>240.13084871273472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19.657677462840461</v>
      </c>
      <c r="K271">
        <f>('NFL 2025-26 Prediction Model'!$I271-'NFL 2025-26 Prediction Model'!$J271)^2</f>
        <v>53.909700239680895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-0.76674428619541501</v>
      </c>
      <c r="K272">
        <f>('NFL 2025-26 Prediction Model'!$I272-'NFL 2025-26 Prediction Model'!$J272)^2</f>
        <v>4.9874310832408266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18.355170348887718</v>
      </c>
      <c r="K273">
        <f>('NFL 2025-26 Prediction Model'!$I273-'NFL 2025-26 Prediction Model'!$J273)^2</f>
        <v>1.8364866745044595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5.3324359383115185</v>
      </c>
      <c r="K274">
        <f>('NFL 2025-26 Prediction Model'!$I274-'NFL 2025-26 Prediction Model'!$J274)^2</f>
        <v>113.79692301022763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-10.111845511719499</v>
      </c>
      <c r="K275">
        <f>('NFL 2025-26 Prediction Model'!$I275-'NFL 2025-26 Prediction Model'!$J275)^2</f>
        <v>146.69680169975979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14.978604942173657</v>
      </c>
      <c r="K276">
        <f>('NFL 2025-26 Prediction Model'!$I276-'NFL 2025-26 Prediction Model'!$J276)^2</f>
        <v>169.55672925198431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10.450892127526902</v>
      </c>
      <c r="K277">
        <f>('NFL 2025-26 Prediction Model'!$I277-'NFL 2025-26 Prediction Model'!$J277)^2</f>
        <v>304.5336360465804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0.37316283261706973</v>
      </c>
      <c r="K278">
        <f>('NFL 2025-26 Prediction Model'!$I278-'NFL 2025-26 Prediction Model'!$J278)^2</f>
        <v>2.6465991691785162</v>
      </c>
    </row>
    <row r="279" spans="4:11" x14ac:dyDescent="0.2">
      <c r="D279" t="str">
        <f>'NFL2025-26Results'!A274</f>
        <v>WildCard</v>
      </c>
      <c r="E279" t="str">
        <f>'NFL2025-26Results'!B274</f>
        <v>Carolina Panthers</v>
      </c>
      <c r="F279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-12.3071625703599</v>
      </c>
      <c r="K279">
        <f>('NFL 2025-26 Prediction Model'!$I279-'NFL 2025-26 Prediction Model'!$J279)^2</f>
        <v>86.623275111108299</v>
      </c>
    </row>
    <row r="280" spans="4:11" x14ac:dyDescent="0.2">
      <c r="D280" t="str">
        <f>'NFL2025-26Results'!A275</f>
        <v>WildCard</v>
      </c>
      <c r="E280" t="str">
        <f>'NFL2025-26Results'!B275</f>
        <v>Chicago Bears</v>
      </c>
      <c r="F280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2.1468892717795907</v>
      </c>
      <c r="K280">
        <f>('NFL 2025-26 Prediction Model'!$I280-'NFL 2025-26 Prediction Model'!$J280)^2</f>
        <v>3.4340193710455758</v>
      </c>
    </row>
    <row r="281" spans="4:11" x14ac:dyDescent="0.2">
      <c r="D281" t="str">
        <f>'NFL2025-26Results'!A276</f>
        <v>WildCard</v>
      </c>
      <c r="E281" t="str">
        <f>'NFL2025-26Results'!B276</f>
        <v>Jacksonville Jaguars</v>
      </c>
      <c r="F281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5.3956103464266771</v>
      </c>
      <c r="K281">
        <f>('NFL 2025-26 Prediction Model'!$I281-'NFL 2025-26 Prediction Model'!$J281)^2</f>
        <v>70.486273089026668</v>
      </c>
    </row>
    <row r="282" spans="4:11" x14ac:dyDescent="0.2">
      <c r="D282" t="str">
        <f>'NFL2025-26Results'!A277</f>
        <v>WildCard</v>
      </c>
      <c r="E282" t="str">
        <f>'NFL2025-26Results'!B277</f>
        <v>Philadelphia Eagles</v>
      </c>
      <c r="F282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-0.12295198966683252</v>
      </c>
      <c r="K282">
        <f>('NFL 2025-26 Prediction Model'!$I282-'NFL 2025-26 Prediction Model'!$J282)^2</f>
        <v>15.031501274428372</v>
      </c>
    </row>
    <row r="283" spans="4:11" x14ac:dyDescent="0.2">
      <c r="D283" t="str">
        <f>'NFL2025-26Results'!A278</f>
        <v>WildCard</v>
      </c>
      <c r="E283" t="str">
        <f>'NFL2025-26Results'!B278</f>
        <v>New England Patriots</v>
      </c>
      <c r="F283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8.399990928100781</v>
      </c>
      <c r="K283">
        <f>('NFL 2025-26 Prediction Model'!$I283-'NFL 2025-26 Prediction Model'!$J283)^2</f>
        <v>21.160083461555114</v>
      </c>
    </row>
    <row r="284" spans="4:11" x14ac:dyDescent="0.2">
      <c r="D284" t="str">
        <f>'NFL2025-26Results'!A279</f>
        <v>WildCard</v>
      </c>
      <c r="E284" t="str">
        <f>'NFL2025-26Results'!B279</f>
        <v>Pittsburgh Steelers</v>
      </c>
      <c r="F284" t="str">
        <f>'NFL2025-26Results'!C279</f>
        <v>Houston Texans</v>
      </c>
      <c r="G284">
        <f>'NFL2025-26Results'!D279</f>
        <v>6</v>
      </c>
      <c r="H284">
        <f>'NFL2025-26Results'!E279</f>
        <v>30</v>
      </c>
      <c r="I284">
        <f>'NFL 2025-26 Prediction Model'!$G284-'NFL 2025-26 Prediction Model'!$H284</f>
        <v>-24</v>
      </c>
      <c r="J284">
        <f>HomeEdge+VLOOKUP('NFL 2025-26 Prediction Model'!$E284,$A$7:$B$38,2,FALSE)-VLOOKUP('NFL 2025-26 Prediction Model'!$F284,$A$7:$B$38,2,FALSE)</f>
        <v>-7.2498288986686177</v>
      </c>
      <c r="K284">
        <f>('NFL 2025-26 Prediction Model'!$I284-'NFL 2025-26 Prediction Model'!$J284)^2</f>
        <v>280.56823192387697</v>
      </c>
    </row>
    <row r="285" spans="4:11" x14ac:dyDescent="0.2">
      <c r="D285" t="str">
        <f>'NFL2025-26Results'!A280</f>
        <v>Division</v>
      </c>
      <c r="E285" t="str">
        <f>'NFL2025-26Results'!B280</f>
        <v>Denver Broncos</v>
      </c>
      <c r="F285" t="str">
        <f>'NFL2025-26Results'!C280</f>
        <v>Buffalo Bills</v>
      </c>
      <c r="G285">
        <f>'NFL2025-26Results'!D280</f>
        <v>33</v>
      </c>
      <c r="H285">
        <f>'NFL2025-26Results'!E280</f>
        <v>30</v>
      </c>
      <c r="I285">
        <f>'NFL 2025-26 Prediction Model'!$G285-'NFL 2025-26 Prediction Model'!$H285</f>
        <v>3</v>
      </c>
      <c r="J285">
        <f>HomeEdge+VLOOKUP('NFL 2025-26 Prediction Model'!$E285,$A$7:$B$38,2,FALSE)-VLOOKUP('NFL 2025-26 Prediction Model'!$F285,$A$7:$B$38,2,FALSE)</f>
        <v>0.71802326976849606</v>
      </c>
      <c r="K285">
        <f>('NFL 2025-26 Prediction Model'!$I285-'NFL 2025-26 Prediction Model'!$J285)^2</f>
        <v>5.2074177973180662</v>
      </c>
    </row>
    <row r="286" spans="4:11" x14ac:dyDescent="0.2">
      <c r="D286" t="str">
        <f>'NFL2025-26Results'!A281</f>
        <v>Division</v>
      </c>
      <c r="E286" t="str">
        <f>'NFL2025-26Results'!B281</f>
        <v>Seattle Seahawks</v>
      </c>
      <c r="F286" t="str">
        <f>'NFL2025-26Results'!C281</f>
        <v>San Francisco 49ers</v>
      </c>
      <c r="G286">
        <f>'NFL2025-26Results'!D281</f>
        <v>41</v>
      </c>
      <c r="H286">
        <f>'NFL2025-26Results'!E281</f>
        <v>6</v>
      </c>
      <c r="I286">
        <f>'NFL 2025-26 Prediction Model'!$G286-'NFL 2025-26 Prediction Model'!$H286</f>
        <v>35</v>
      </c>
      <c r="J286">
        <f>HomeEdge+VLOOKUP('NFL 2025-26 Prediction Model'!$E286,$A$7:$B$38,2,FALSE)-VLOOKUP('NFL 2025-26 Prediction Model'!$F286,$A$7:$B$38,2,FALSE)</f>
        <v>11.362229940710169</v>
      </c>
      <c r="K286">
        <f>('NFL 2025-26 Prediction Model'!$I286-'NFL 2025-26 Prediction Model'!$J286)^2</f>
        <v>558.74417337585885</v>
      </c>
    </row>
    <row r="287" spans="4:11" x14ac:dyDescent="0.2">
      <c r="D287" t="str">
        <f>'NFL2025-26Results'!A282</f>
        <v>Division</v>
      </c>
      <c r="E287" t="str">
        <f>'NFL2025-26Results'!B282</f>
        <v>New England Patriots</v>
      </c>
      <c r="F287" t="str">
        <f>'NFL2025-26Results'!C282</f>
        <v>Houston Texans</v>
      </c>
      <c r="G287">
        <f>'NFL2025-26Results'!D282</f>
        <v>28</v>
      </c>
      <c r="H287">
        <f>'NFL2025-26Results'!E282</f>
        <v>16</v>
      </c>
      <c r="I287">
        <f>'NFL 2025-26 Prediction Model'!$G287-'NFL 2025-26 Prediction Model'!$H287</f>
        <v>12</v>
      </c>
      <c r="J287">
        <f>HomeEdge+VLOOKUP('NFL 2025-26 Prediction Model'!$E287,$A$7:$B$38,2,FALSE)-VLOOKUP('NFL 2025-26 Prediction Model'!$F287,$A$7:$B$38,2,FALSE)</f>
        <v>0.12270042898465583</v>
      </c>
      <c r="K287">
        <f>('NFL 2025-26 Prediction Model'!$I287-'NFL 2025-26 Prediction Model'!$J287)^2</f>
        <v>141.07024509964128</v>
      </c>
    </row>
    <row r="288" spans="4:11" x14ac:dyDescent="0.2">
      <c r="D288" t="str">
        <f>'NFL2025-26Results'!A283</f>
        <v>Division</v>
      </c>
      <c r="E288" t="str">
        <f>'NFL2025-26Results'!B283</f>
        <v>Chicago Bears</v>
      </c>
      <c r="F288" t="str">
        <f>'NFL2025-26Results'!C283</f>
        <v>Los Angeles Rams</v>
      </c>
      <c r="G288">
        <f>'NFL2025-26Results'!D283</f>
        <v>17</v>
      </c>
      <c r="H288">
        <f>'NFL2025-26Results'!E283</f>
        <v>20</v>
      </c>
      <c r="I288">
        <f>'NFL 2025-26 Prediction Model'!$G288-'NFL 2025-26 Prediction Model'!$H288</f>
        <v>-3</v>
      </c>
      <c r="J288">
        <f>HomeEdge+VLOOKUP('NFL 2025-26 Prediction Model'!$E288,$A$7:$B$38,2,FALSE)-VLOOKUP('NFL 2025-26 Prediction Model'!$F288,$A$7:$B$38,2,FALSE)</f>
        <v>-8.6363493070586586</v>
      </c>
      <c r="K288">
        <f>('NFL 2025-26 Prediction Model'!$I288-'NFL 2025-26 Prediction Model'!$J288)^2</f>
        <v>31.768433511180621</v>
      </c>
    </row>
    <row r="289" spans="4:11" x14ac:dyDescent="0.2">
      <c r="D289" t="str">
        <f>'NFL2025-26Results'!A284</f>
        <v>ConfChamp</v>
      </c>
      <c r="E289" s="47" t="str">
        <f>'NFL2025-26Results'!B284</f>
        <v>Denver Broncos</v>
      </c>
      <c r="F289" s="47" t="str">
        <f>'NFL2025-26Results'!C284</f>
        <v>New England Patriots</v>
      </c>
      <c r="G289" s="47"/>
      <c r="H289" s="47"/>
      <c r="I289" s="47"/>
      <c r="J289" s="47"/>
      <c r="K289" s="47"/>
    </row>
    <row r="290" spans="4:11" x14ac:dyDescent="0.2">
      <c r="D290" t="str">
        <f>'NFL2025-26Results'!A285</f>
        <v>ConfChamp</v>
      </c>
      <c r="E290" s="47" t="str">
        <f>'NFL2025-26Results'!B285</f>
        <v>Seattle Seahawks</v>
      </c>
      <c r="F290" s="47" t="str">
        <f>'NFL2025-26Results'!C285</f>
        <v>Los Angeles Rams</v>
      </c>
      <c r="G290" s="47"/>
      <c r="H290" s="47"/>
      <c r="I290" s="47"/>
      <c r="J290" s="47"/>
      <c r="K290" s="4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5"/>
  <sheetViews>
    <sheetView topLeftCell="A262" zoomScale="69" workbookViewId="0">
      <selection activeCell="F290" sqref="F290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12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2.2573579614159485</v>
      </c>
      <c r="D1" t="s">
        <v>0</v>
      </c>
      <c r="E1" t="s">
        <v>130</v>
      </c>
      <c r="F1" t="s">
        <v>1</v>
      </c>
      <c r="G1" t="s">
        <v>127</v>
      </c>
      <c r="H1" t="s">
        <v>2</v>
      </c>
      <c r="I1" s="35" t="s">
        <v>128</v>
      </c>
      <c r="J1" t="s">
        <v>99</v>
      </c>
      <c r="K1" s="35" t="s">
        <v>192</v>
      </c>
      <c r="L1" s="35" t="s">
        <v>89</v>
      </c>
      <c r="M1" t="s">
        <v>101</v>
      </c>
      <c r="N1" t="s">
        <v>102</v>
      </c>
      <c r="O1" t="s">
        <v>103</v>
      </c>
      <c r="P1" t="s">
        <v>104</v>
      </c>
      <c r="Q1" t="s">
        <v>105</v>
      </c>
      <c r="R1" t="s">
        <v>106</v>
      </c>
      <c r="T1" s="3" t="s">
        <v>125</v>
      </c>
      <c r="V1" s="3" t="s">
        <v>126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8.9286741162803125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0.69943797635021154</v>
      </c>
      <c r="M2" t="str">
        <f>IF(OR((NFL2025_26Results[[#This Row],[Winner]]="")), "-", IF(NFL2025_26Results4[[#This Row],[Predicted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9.0337530060456001E-2</v>
      </c>
      <c r="O2">
        <v>11.60021235595763</v>
      </c>
      <c r="P2" s="33"/>
      <c r="Q2" t="s">
        <v>4</v>
      </c>
      <c r="R2" t="s">
        <v>122</v>
      </c>
      <c r="T2">
        <f>COUNTIF(NFL2025_26Results4[Adjusted Correct],"YES")</f>
        <v>183</v>
      </c>
      <c r="V2">
        <f>COUNTIF(NFL2025_26Results4[Locked Correct],"YES")</f>
        <v>177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-5.1572052491435363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0.49630570957559073</v>
      </c>
      <c r="M3" t="str">
        <f>IF(OR((NFL2025_26Results[[#This Row],[Winner]]="")), "-", IF(NFL2025_26Results4[[#This Row],[Predicted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0.2463193573573306</v>
      </c>
      <c r="O3">
        <v>-9.2884832646466187E-2</v>
      </c>
      <c r="P3" s="33"/>
      <c r="Q3" t="s">
        <v>7</v>
      </c>
      <c r="R3" t="s">
        <v>121</v>
      </c>
      <c r="T3">
        <f>COUNTIF(NFL2025_26Results4[Adjusted Correct],"NO")</f>
        <v>99</v>
      </c>
      <c r="V3">
        <f>COUNTIF(NFL2025_26Results4[[#All],[Locked Correct]],"NO")</f>
        <v>105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-7.3659117012186321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0.58571924809288523</v>
      </c>
      <c r="M4" t="str">
        <f>IF(OR((NFL2025_26Results[[#This Row],[Winner]]="")), "-", IF(NFL2025_26Results4[[#This Row],[Predicted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0.17162854140072439</v>
      </c>
      <c r="O4">
        <v>-3.9123993202499352</v>
      </c>
      <c r="P4" s="33"/>
      <c r="Q4" t="s">
        <v>20</v>
      </c>
      <c r="R4" t="s">
        <v>122</v>
      </c>
      <c r="T4">
        <f>T2+T3</f>
        <v>282</v>
      </c>
      <c r="V4">
        <f>SUM(V2:V3)</f>
        <v>282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7.9536792761936805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0.73919937073462927</v>
      </c>
      <c r="M5" t="str">
        <f>IF(OR((NFL2025_26Results[[#This Row],[Winner]]="")), "-", IF(NFL2025_26Results4[[#This Row],[Predicted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6.8016968225213345E-2</v>
      </c>
      <c r="O5">
        <v>15.80077293822395</v>
      </c>
      <c r="P5" s="33"/>
      <c r="Q5" t="s">
        <v>14</v>
      </c>
      <c r="R5" t="s">
        <v>122</v>
      </c>
      <c r="T5" s="41">
        <f>T2/T4</f>
        <v>0.64893617021276595</v>
      </c>
      <c r="V5" s="41">
        <f>V2/V4</f>
        <v>0.62765957446808507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4.318897078922955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0.61371368479246402</v>
      </c>
      <c r="M6" t="str">
        <f>IF(OR((NFL2025_26Results[[#This Row],[Winner]]="")), "-", IF(NFL2025_26Results4[[#This Row],[Predicted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0.3766444869015439</v>
      </c>
      <c r="O6">
        <v>4.4371366331008879</v>
      </c>
      <c r="P6" s="33"/>
      <c r="Q6" t="s">
        <v>23</v>
      </c>
      <c r="R6" t="s">
        <v>121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19.840755119202605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0.93035223975120895</v>
      </c>
      <c r="M7" t="str">
        <f>IF(OR((NFL2025_26Results[[#This Row],[Winner]]="")), "-", IF(NFL2025_26Results4[[#This Row],[Predicted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4.8508105076730786E-3</v>
      </c>
      <c r="O7">
        <v>11.53851405596019</v>
      </c>
      <c r="P7" s="33"/>
      <c r="Q7" t="s">
        <v>28</v>
      </c>
      <c r="R7" t="s">
        <v>122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-6.3963515420426091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0.56917107603534323</v>
      </c>
      <c r="M8" t="str">
        <f>IF(OR((NFL2025_26Results[[#This Row],[Winner]]="")), "-", IF(NFL2025_26Results4[[#This Row],[Predicted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0.18561356172454402</v>
      </c>
      <c r="O8">
        <v>5.005168189694146</v>
      </c>
      <c r="P8" s="33"/>
      <c r="Q8" t="s">
        <v>25</v>
      </c>
      <c r="R8" t="s">
        <v>121</v>
      </c>
      <c r="U8">
        <f>SUM(NFL2025_26Results4[Error])</f>
        <v>54.752781956431647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13.270598166296013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0.83905615421660196</v>
      </c>
      <c r="M9" t="str">
        <f>IF(OR((NFL2025_26Results[[#This Row],[Winner]]="")), "-", IF(NFL2025_26Results4[[#This Row],[Predicted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0.70401522992875409</v>
      </c>
      <c r="O9">
        <v>1.4059574446058341</v>
      </c>
      <c r="P9" s="33"/>
      <c r="Q9" t="s">
        <v>17</v>
      </c>
      <c r="R9" t="s">
        <v>121</v>
      </c>
      <c r="U9" s="3" t="s">
        <v>124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2.2030236917169796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0.57760057047760294</v>
      </c>
      <c r="M10" t="str">
        <f>IF(OR((NFL2025_26Results[[#This Row],[Winner]]="")), "-", IF(NFL2025_26Results4[[#This Row],[Predicted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0.17842127806084648</v>
      </c>
      <c r="O10">
        <v>14.46745732879703</v>
      </c>
      <c r="P10" s="33"/>
      <c r="Q10" t="s">
        <v>11</v>
      </c>
      <c r="R10" t="s">
        <v>122</v>
      </c>
      <c r="U10">
        <v>1.7067710446771436E-2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-5.8178579012230607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0.58006674484776732</v>
      </c>
      <c r="M11" t="str">
        <f>IF(OR((NFL2025_26Results[[#This Row],[Winner]]="")), "-", IF(NFL2025_26Results4[[#This Row],[Predicted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0.17634393878275015</v>
      </c>
      <c r="O11">
        <v>-5.4100984773508483</v>
      </c>
      <c r="P11" s="33"/>
      <c r="Q11" t="s">
        <v>9</v>
      </c>
      <c r="R11" t="s">
        <v>122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17.60267680562951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0.96220209668893697</v>
      </c>
      <c r="M12" t="str">
        <f>IF(OR((NFL2025_26Results[[#This Row],[Winner]]="")), "-", IF(NFL2025_26Results4[[#This Row],[Predicted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1.4286814947124696E-3</v>
      </c>
      <c r="O12">
        <v>-0.61932180662315917</v>
      </c>
      <c r="P12" s="33"/>
      <c r="Q12" t="s">
        <v>32</v>
      </c>
      <c r="R12" t="s">
        <v>121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9.2156759910885491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0.67406901287709553</v>
      </c>
      <c r="M13" t="str">
        <f>IF(OR((NFL2025_26Results[[#This Row],[Winner]]="")), "-", IF(NFL2025_26Results4[[#This Row],[Predicted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0.45436903412110197</v>
      </c>
      <c r="O13">
        <v>2.838964677470631</v>
      </c>
      <c r="P13" s="33"/>
      <c r="Q13" t="s">
        <v>33</v>
      </c>
      <c r="R13" t="s">
        <v>121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-2.012150534610587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0.4583059363406029</v>
      </c>
      <c r="M14" t="str">
        <f>IF(OR((NFL2025_26Results[[#This Row],[Winner]]="")), "-", IF(NFL2025_26Results4[[#This Row],[Predicted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0.21004433128503677</v>
      </c>
      <c r="O14">
        <v>7.0778433087013148E-2</v>
      </c>
      <c r="P14" s="33"/>
      <c r="Q14" t="s">
        <v>35</v>
      </c>
      <c r="R14" t="s">
        <v>122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4.4580247465271476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0.66930861452131785</v>
      </c>
      <c r="M15" t="str">
        <f>IF(OR((NFL2025_26Results[[#This Row],[Winner]]="")), "-", IF(NFL2025_26Results4[[#This Row],[Predicted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0.10935679242981035</v>
      </c>
      <c r="O15">
        <v>-5.0847207057759247</v>
      </c>
      <c r="P15" s="33"/>
      <c r="Q15" t="s">
        <v>40</v>
      </c>
      <c r="R15" t="s">
        <v>121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6.945167277697986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0.6729935496446956</v>
      </c>
      <c r="M16" t="str">
        <f>IF(OR((NFL2025_26Results[[#This Row],[Winner]]="")), "-", IF(NFL2025_26Results4[[#This Row],[Predicted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0.10693321857397617</v>
      </c>
      <c r="O16">
        <v>9.343160173158612</v>
      </c>
      <c r="P16" s="33"/>
      <c r="Q16" t="s">
        <v>41</v>
      </c>
      <c r="R16" t="s">
        <v>122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-0.34182739235580795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0.44831208706169856</v>
      </c>
      <c r="M17" t="str">
        <f>IF(OR((NFL2025_26Results[[#This Row],[Winner]]="")), "-", IF(NFL2025_26Results4[[#This Row],[Predicted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0.30435955328221886</v>
      </c>
      <c r="O17">
        <v>3.0596414364313551</v>
      </c>
      <c r="P17" s="33"/>
      <c r="Q17" t="s">
        <v>43</v>
      </c>
      <c r="R17" t="s">
        <v>121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8.0362691176403711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0.71319758073166428</v>
      </c>
      <c r="M18" t="str">
        <f>IF(OR((NFL2025_26Results[[#This Row],[Winner]]="")), "-", IF(NFL2025_26Results4[[#This Row],[Predicted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8.2255627698170228E-2</v>
      </c>
      <c r="O18">
        <v>-0.86112210026283798</v>
      </c>
      <c r="P18" s="33"/>
      <c r="Q18" t="s">
        <v>11</v>
      </c>
      <c r="R18" t="s">
        <v>121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-10.965381274142128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0.71346974199919166</v>
      </c>
      <c r="M19" t="str">
        <f>IF(OR((NFL2025_26Results[[#This Row],[Winner]]="")), "-", IF(NFL2025_26Results4[[#This Row],[Predicted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8.2099588750009792E-2</v>
      </c>
      <c r="O19">
        <v>-4.7245702526673554</v>
      </c>
      <c r="P19" s="33"/>
      <c r="Q19" t="s">
        <v>41</v>
      </c>
      <c r="R19" t="s">
        <v>122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12.99471410568818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0.75120178240034463</v>
      </c>
      <c r="M20" t="str">
        <f>IF(OR((NFL2025_26Results[[#This Row],[Winner]]="")), "-", IF(NFL2025_26Results4[[#This Row],[Predicted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6.1900553080765461E-2</v>
      </c>
      <c r="O20">
        <v>13.910307375738871</v>
      </c>
      <c r="P20" s="33"/>
      <c r="Q20" t="s">
        <v>36</v>
      </c>
      <c r="R20" t="s">
        <v>122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-9.0344829992002698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0.73559328870383878</v>
      </c>
      <c r="M21" t="str">
        <f>IF(OR((NFL2025_26Results[[#This Row],[Winner]]="")), "-", IF(NFL2025_26Results4[[#This Row],[Predicted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0.54109748638612909</v>
      </c>
      <c r="O21">
        <v>-6.5813943339229084</v>
      </c>
      <c r="P21" s="33"/>
      <c r="Q21" t="s">
        <v>14</v>
      </c>
      <c r="R21" t="s">
        <v>121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10.79081870602746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0.72417456915808154</v>
      </c>
      <c r="M22" t="str">
        <f>IF(OR((NFL2025_26Results[[#This Row],[Winner]]="")), "-", IF(NFL2025_26Results4[[#This Row],[Predicted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7.6079668299129946E-2</v>
      </c>
      <c r="O22">
        <v>5.0065813660612424</v>
      </c>
      <c r="P22" s="33"/>
      <c r="Q22" t="s">
        <v>42</v>
      </c>
      <c r="R22" t="s">
        <v>122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4.6631933380432624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0.61959003365103604</v>
      </c>
      <c r="M23" t="str">
        <f>IF(OR((NFL2025_26Results[[#This Row],[Winner]]="")), "-", IF(NFL2025_26Results4[[#This Row],[Predicted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0.14471174249761989</v>
      </c>
      <c r="O23">
        <v>6.1099610023094151</v>
      </c>
      <c r="P23" s="33"/>
      <c r="Q23" t="s">
        <v>5</v>
      </c>
      <c r="R23" t="s">
        <v>122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-7.2671258342853919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0.76689034237697817</v>
      </c>
      <c r="M24" t="str">
        <f>IF(OR((NFL2025_26Results[[#This Row],[Winner]]="")), "-", IF(NFL2025_26Results4[[#This Row],[Predicted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5.4340112477122456E-2</v>
      </c>
      <c r="O24">
        <v>-2.854364017985846</v>
      </c>
      <c r="P24" s="33"/>
      <c r="Q24" t="s">
        <v>17</v>
      </c>
      <c r="R24" t="s">
        <v>122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-10.355668342775594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0.75063564057938592</v>
      </c>
      <c r="M25" t="str">
        <f>IF(OR((NFL2025_26Results[[#This Row],[Winner]]="")), "-", IF(NFL2025_26Results4[[#This Row],[Predicted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6.2182583749253201E-2</v>
      </c>
      <c r="O25">
        <v>0.36953327200556713</v>
      </c>
      <c r="P25" s="33"/>
      <c r="Q25" t="s">
        <v>25</v>
      </c>
      <c r="R25" t="s">
        <v>121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-18.728269109987828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0.86060694327202558</v>
      </c>
      <c r="M26" t="str">
        <f>IF(OR((NFL2025_26Results[[#This Row],[Winner]]="")), "-", IF(NFL2025_26Results4[[#This Row],[Predicted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1.9430424263968293E-2</v>
      </c>
      <c r="O26">
        <v>8.0722012755946189</v>
      </c>
      <c r="P26" s="33"/>
      <c r="Q26" t="s">
        <v>32</v>
      </c>
      <c r="R26" t="s">
        <v>121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-9.1016724325157305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0.75235963503267456</v>
      </c>
      <c r="M27" t="str">
        <f>IF(OR((NFL2025_26Results[[#This Row],[Winner]]="")), "-", IF(NFL2025_26Results4[[#This Row],[Predicted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6.132575036115015E-2</v>
      </c>
      <c r="O27">
        <v>-2.6347824991237379</v>
      </c>
      <c r="P27" s="33"/>
      <c r="Q27" t="s">
        <v>33</v>
      </c>
      <c r="R27" t="s">
        <v>122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7.2385196845850448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0.66354495803975289</v>
      </c>
      <c r="M28" t="str">
        <f>IF(OR((NFL2025_26Results[[#This Row],[Winner]]="")), "-", IF(NFL2025_26Results4[[#This Row],[Predicted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0.11320199526047164</v>
      </c>
      <c r="O28">
        <v>16.760104172473</v>
      </c>
      <c r="P28" s="33"/>
      <c r="Q28" t="s">
        <v>26</v>
      </c>
      <c r="R28" t="s">
        <v>122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6.060530711305165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0.57402761862843998</v>
      </c>
      <c r="M29" t="str">
        <f>IF(OR((NFL2025_26Results[[#This Row],[Winner]]="")), "-", IF(NFL2025_26Results4[[#This Row],[Predicted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0.18145246969135778</v>
      </c>
      <c r="O29">
        <v>2.4917925659736841</v>
      </c>
      <c r="P29" s="33"/>
      <c r="Q29" t="s">
        <v>28</v>
      </c>
      <c r="R29" t="s">
        <v>122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5.0869778057292612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0.54136851878279424</v>
      </c>
      <c r="M30" t="str">
        <f>IF(OR((NFL2025_26Results[[#This Row],[Winner]]="")), "-", IF(NFL2025_26Results4[[#This Row],[Predicted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0.29307987312907663</v>
      </c>
      <c r="O30">
        <v>1.604866046480953</v>
      </c>
      <c r="P30" s="33"/>
      <c r="Q30" t="s">
        <v>7</v>
      </c>
      <c r="R30" t="s">
        <v>121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5.2335813082575573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0.62932525036897524</v>
      </c>
      <c r="M31" t="str">
        <f>IF(OR((NFL2025_26Results[[#This Row],[Winner]]="")), "-", IF(NFL2025_26Results4[[#This Row],[Predicted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0.39605027075197335</v>
      </c>
      <c r="O31">
        <v>-2.0148436083183912</v>
      </c>
      <c r="P31" s="33"/>
      <c r="Q31" t="s">
        <v>19</v>
      </c>
      <c r="R31" t="s">
        <v>122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6.8467473177299061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0.74522454847705788</v>
      </c>
      <c r="M32" t="str">
        <f>IF(OR((NFL2025_26Results[[#This Row],[Winner]]="")), "-", IF(NFL2025_26Results4[[#This Row],[Predicted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0.55535962765283475</v>
      </c>
      <c r="O32">
        <v>1.009726803017386</v>
      </c>
      <c r="P32" s="33"/>
      <c r="Q32" t="s">
        <v>40</v>
      </c>
      <c r="R32" t="s">
        <v>121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-7.8511221988262951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0.64110007185251694</v>
      </c>
      <c r="M33" t="str">
        <f>IF(OR((NFL2025_26Results[[#This Row],[Winner]]="")), "-", IF(NFL2025_26Results4[[#This Row],[Predicted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0.12880915842426852</v>
      </c>
      <c r="O33">
        <v>0.3258581877405784</v>
      </c>
      <c r="P33" s="33"/>
      <c r="Q33" t="s">
        <v>18</v>
      </c>
      <c r="R33" t="s">
        <v>121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14.684082147930873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0.8789899100333245</v>
      </c>
      <c r="M34" t="str">
        <f>IF(OR((NFL2025_26Results[[#This Row],[Winner]]="")), "-", IF(NFL2025_26Results4[[#This Row],[Predicted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1.4643441873742899E-2</v>
      </c>
      <c r="O34">
        <v>14.08316366798859</v>
      </c>
      <c r="P34" s="33"/>
      <c r="Q34" t="s">
        <v>41</v>
      </c>
      <c r="R34" t="s">
        <v>122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1.9895857843408846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0.58100362593609911</v>
      </c>
      <c r="M35" t="str">
        <f>IF(OR((NFL2025_26Results[[#This Row],[Winner]]="")), "-", IF(NFL2025_26Results4[[#This Row],[Predicted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0.17555796147869634</v>
      </c>
      <c r="O35">
        <v>-8.5876659793600414</v>
      </c>
      <c r="P35" s="33"/>
      <c r="Q35" t="s">
        <v>19</v>
      </c>
      <c r="R35" t="s">
        <v>121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11.096873131171108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0.72939821746738642</v>
      </c>
      <c r="M36" t="str">
        <f>IF(OR((NFL2025_26Results[[#This Row],[Winner]]="")), "-", IF(NFL2025_26Results4[[#This Row],[Predicted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7.3225324709827885E-2</v>
      </c>
      <c r="O36">
        <v>7.9912393659358152</v>
      </c>
      <c r="P36" s="33"/>
      <c r="Q36" t="s">
        <v>44</v>
      </c>
      <c r="R36" t="s">
        <v>122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-8.3892803853061437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0.62395503924241513</v>
      </c>
      <c r="M37" t="str">
        <f>IF(OR((NFL2025_26Results[[#This Row],[Winner]]="")), "-", IF(NFL2025_26Results4[[#This Row],[Predicted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0.38931989099600378</v>
      </c>
      <c r="O37">
        <v>-6.4111025124985588</v>
      </c>
      <c r="P37" s="33"/>
      <c r="Q37" t="s">
        <v>35</v>
      </c>
      <c r="R37" t="s">
        <v>121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-16.891133632686831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0.74829297796042138</v>
      </c>
      <c r="M38" t="str">
        <f>IF(OR((NFL2025_26Results[[#This Row],[Winner]]="")), "-", IF(NFL2025_26Results4[[#This Row],[Predicted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6.3356424944032916E-2</v>
      </c>
      <c r="O38">
        <v>8.765324839844677</v>
      </c>
      <c r="P38" s="33"/>
      <c r="Q38" t="s">
        <v>32</v>
      </c>
      <c r="R38" t="s">
        <v>121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-6.5267519198299215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0.57293517346402822</v>
      </c>
      <c r="M39" t="str">
        <f>IF(OR((NFL2025_26Results[[#This Row],[Winner]]="")), "-", IF(NFL2025_26Results4[[#This Row],[Predicted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0.32825471299225611</v>
      </c>
      <c r="O39">
        <v>-1.2549510308018159</v>
      </c>
      <c r="P39" s="33"/>
      <c r="Q39" t="s">
        <v>40</v>
      </c>
      <c r="R39" t="s">
        <v>121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4.5026409435214312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0.66944236446239413</v>
      </c>
      <c r="M40" t="str">
        <f>IF(OR((NFL2025_26Results[[#This Row],[Winner]]="")), "-", IF(NFL2025_26Results4[[#This Row],[Predicted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0.44815307933700094</v>
      </c>
      <c r="O40">
        <v>-1.2765322754910371</v>
      </c>
      <c r="P40" s="33"/>
      <c r="Q40" t="s">
        <v>9</v>
      </c>
      <c r="R40" t="s">
        <v>122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15.6838495041216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0.80768740202708722</v>
      </c>
      <c r="M41" t="str">
        <f>IF(OR((NFL2025_26Results[[#This Row],[Winner]]="")), "-", IF(NFL2025_26Results4[[#This Row],[Predicted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3.698413533909118E-2</v>
      </c>
      <c r="O41">
        <v>21.131765573241161</v>
      </c>
      <c r="P41" s="33"/>
      <c r="Q41" t="s">
        <v>20</v>
      </c>
      <c r="R41" t="s">
        <v>122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-3.958507556362016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0.60146096585808928</v>
      </c>
      <c r="M42" t="str">
        <f>IF(OR((NFL2025_26Results[[#This Row],[Winner]]="")), "-", IF(NFL2025_26Results4[[#This Row],[Predicted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0.36175529345094565</v>
      </c>
      <c r="O42">
        <v>12.200452616383499</v>
      </c>
      <c r="P42" s="33"/>
      <c r="Q42" t="s">
        <v>4</v>
      </c>
      <c r="R42" t="s">
        <v>122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7.8192956867137173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0.67345747467851858</v>
      </c>
      <c r="M43" t="str">
        <f>IF(OR((NFL2025_26Results[[#This Row],[Winner]]="")), "-", IF(NFL2025_26Results4[[#This Row],[Predicted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0.10663002084333034</v>
      </c>
      <c r="O43">
        <v>12.649103900946921</v>
      </c>
      <c r="P43" s="33"/>
      <c r="Q43" t="s">
        <v>11</v>
      </c>
      <c r="R43" t="s">
        <v>122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-2.9031426954179729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0.57896176361693585</v>
      </c>
      <c r="M44" t="str">
        <f>IF(OR((NFL2025_26Results[[#This Row],[Winner]]="")), "-", IF(NFL2025_26Results4[[#This Row],[Predicted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0.33519672373043269</v>
      </c>
      <c r="O44">
        <v>6.2595543612465283</v>
      </c>
      <c r="P44" s="33"/>
      <c r="Q44" t="s">
        <v>6</v>
      </c>
      <c r="R44" t="s">
        <v>122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21.828702295280092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122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-0.89174817693160824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0.41177182381323607</v>
      </c>
      <c r="M46" t="str">
        <f>IF(OR((NFL2025_26Results[[#This Row],[Winner]]="")), "-", IF(NFL2025_26Results4[[#This Row],[Predicted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0.16955603488647872</v>
      </c>
      <c r="O46">
        <v>0.60715215019570046</v>
      </c>
      <c r="P46" s="33"/>
      <c r="Q46" t="s">
        <v>43</v>
      </c>
      <c r="R46" t="s">
        <v>122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6.2166747621489327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0.68214127114155676</v>
      </c>
      <c r="M47" t="str">
        <f>IF(OR((NFL2025_26Results[[#This Row],[Winner]]="")), "-", IF(NFL2025_26Results4[[#This Row],[Predicted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0.10103417151150534</v>
      </c>
      <c r="O47">
        <v>8.1815667840869803</v>
      </c>
      <c r="P47" s="33"/>
      <c r="Q47" t="s">
        <v>34</v>
      </c>
      <c r="R47" t="s">
        <v>122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-9.6494134143890413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0.6246933941379843</v>
      </c>
      <c r="M48" t="str">
        <f>IF(OR((NFL2025_26Results[[#This Row],[Winner]]="")), "-", IF(NFL2025_26Results4[[#This Row],[Predicted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0.14085504840366639</v>
      </c>
      <c r="O48">
        <v>-5.1313119391543989</v>
      </c>
      <c r="P48" s="33"/>
      <c r="Q48" t="s">
        <v>7</v>
      </c>
      <c r="R48" t="s">
        <v>122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-4.1253281367211674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0.53040990613547601</v>
      </c>
      <c r="M49" t="str">
        <f>IF(OR((NFL2025_26Results[[#This Row],[Winner]]="")), "-", IF(NFL2025_26Results4[[#This Row],[Predicted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0.22051485625569245</v>
      </c>
      <c r="O49">
        <v>-8.4256064461471052</v>
      </c>
      <c r="P49" s="33"/>
      <c r="Q49" t="s">
        <v>36</v>
      </c>
      <c r="R49" t="s">
        <v>122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-8.6602768689896372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0.76989507932626799</v>
      </c>
      <c r="M50" t="str">
        <f>IF(OR((NFL2025_26Results[[#This Row],[Winner]]="")), "-", IF(NFL2025_26Results4[[#This Row],[Predicted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5.2948274518264497E-2</v>
      </c>
      <c r="O50">
        <v>-0.38273586236240931</v>
      </c>
      <c r="P50" s="33"/>
      <c r="Q50" t="s">
        <v>33</v>
      </c>
      <c r="R50" t="s">
        <v>122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3.5531285971422779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0.57987453930693689</v>
      </c>
      <c r="M51" t="str">
        <f>IF(OR((NFL2025_26Results[[#This Row],[Winner]]="")), "-", IF(NFL2025_26Results4[[#This Row],[Predicted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0.17650540272255852</v>
      </c>
      <c r="O51">
        <v>7.9352351646700221</v>
      </c>
      <c r="P51" s="33"/>
      <c r="Q51" t="s">
        <v>9</v>
      </c>
      <c r="R51" t="s">
        <v>122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1.1913834763248223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0.56033418820498004</v>
      </c>
      <c r="M52" t="str">
        <f>IF(OR((NFL2025_26Results[[#This Row],[Winner]]="")), "-", IF(NFL2025_26Results4[[#This Row],[Predicted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0.1933060260613739</v>
      </c>
      <c r="O52">
        <v>-1.7032782716080781</v>
      </c>
      <c r="P52" s="33"/>
      <c r="Q52" t="s">
        <v>11</v>
      </c>
      <c r="R52" t="s">
        <v>121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15.61719527426748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0.89491601468771942</v>
      </c>
      <c r="M53" t="str">
        <f>IF(OR((NFL2025_26Results[[#This Row],[Winner]]="")), "-", IF(NFL2025_26Results4[[#This Row],[Predicted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1.1042643969111601E-2</v>
      </c>
      <c r="O53">
        <v>-0.85087931834216857</v>
      </c>
      <c r="P53" s="33"/>
      <c r="Q53" t="s">
        <v>25</v>
      </c>
      <c r="R53" t="s">
        <v>121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9.0424071031644342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0.76689061343744536</v>
      </c>
      <c r="M54" t="str">
        <f>IF(OR((NFL2025_26Results[[#This Row],[Winner]]="")), "-", IF(NFL2025_26Results4[[#This Row],[Predicted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5.4339986103570534E-2</v>
      </c>
      <c r="O54">
        <v>9.6855933938222343</v>
      </c>
      <c r="P54" s="33"/>
      <c r="Q54" t="s">
        <v>17</v>
      </c>
      <c r="R54" t="s">
        <v>122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17.173504804164576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0.8691492737131663</v>
      </c>
      <c r="M55" t="str">
        <f>IF(OR((NFL2025_26Results[[#This Row],[Winner]]="")), "-", IF(NFL2025_26Results4[[#This Row],[Predicted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1.7121912569791869E-2</v>
      </c>
      <c r="O55">
        <v>16.978119678606749</v>
      </c>
      <c r="P55" s="33"/>
      <c r="Q55" t="s">
        <v>36</v>
      </c>
      <c r="R55" t="s">
        <v>122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21.042318247708526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0.98751044273653887</v>
      </c>
      <c r="M56" t="str">
        <f>IF(OR((NFL2025_26Results[[#This Row],[Winner]]="")), "-", IF(NFL2025_26Results4[[#This Row],[Predicted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1.5598904063727456E-4</v>
      </c>
      <c r="O56">
        <v>7.6503150293765092</v>
      </c>
      <c r="P56" s="33"/>
      <c r="Q56" t="s">
        <v>40</v>
      </c>
      <c r="R56" t="s">
        <v>122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-2.2348502038295575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0.5452431676516013</v>
      </c>
      <c r="M57" t="str">
        <f>IF(OR((NFL2025_26Results[[#This Row],[Winner]]="")), "-", IF(NFL2025_26Results4[[#This Row],[Predicted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0.29729011187075222</v>
      </c>
      <c r="O57">
        <v>-1.4924952401095319</v>
      </c>
      <c r="P57" s="33"/>
      <c r="Q57" t="s">
        <v>6</v>
      </c>
      <c r="R57" t="s">
        <v>121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1.6831673377687562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0.47624162490919647</v>
      </c>
      <c r="M58" t="str">
        <f>IF(OR((NFL2025_26Results[[#This Row],[Winner]]="")), "-", IF(NFL2025_26Results4[[#This Row],[Predicted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0.22680608529615179</v>
      </c>
      <c r="O58">
        <v>6.0582687519686411</v>
      </c>
      <c r="P58" s="33"/>
      <c r="Q58" t="s">
        <v>20</v>
      </c>
      <c r="R58" t="s">
        <v>121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4.0944934387169472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0.72531434004871331</v>
      </c>
      <c r="M59" t="str">
        <f>IF(OR((NFL2025_26Results[[#This Row],[Winner]]="")), "-", IF(NFL2025_26Results4[[#This Row],[Predicted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7.545221178287391E-2</v>
      </c>
      <c r="O59">
        <v>4.2390554306484596</v>
      </c>
      <c r="P59" s="33"/>
      <c r="Q59" t="s">
        <v>39</v>
      </c>
      <c r="R59" t="s">
        <v>122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5.5015151705402978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0.5484437224947567</v>
      </c>
      <c r="M60" t="str">
        <f>IF(OR((NFL2025_26Results[[#This Row],[Winner]]="")), "-", IF(NFL2025_26Results4[[#This Row],[Predicted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0.30079051674390572</v>
      </c>
      <c r="O60">
        <v>9.1408980183360349</v>
      </c>
      <c r="P60" s="33"/>
      <c r="Q60" t="s">
        <v>34</v>
      </c>
      <c r="R60" t="s">
        <v>121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-2.6156432718605469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0.55174243347689189</v>
      </c>
      <c r="M61" t="str">
        <f>IF(OR((NFL2025_26Results[[#This Row],[Winner]]="")), "-", IF(NFL2025_26Results4[[#This Row],[Predicted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0.20093484594521868</v>
      </c>
      <c r="O61">
        <v>5.739035874540197</v>
      </c>
      <c r="P61" s="33"/>
      <c r="Q61" t="s">
        <v>18</v>
      </c>
      <c r="R61" t="s">
        <v>121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10.552730052806066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0.65069917625835461</v>
      </c>
      <c r="M62" t="str">
        <f>IF(OR((NFL2025_26Results[[#This Row],[Winner]]="")), "-", IF(NFL2025_26Results4[[#This Row],[Predicted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0.12201106546659202</v>
      </c>
      <c r="O62">
        <v>14.20508905544793</v>
      </c>
      <c r="P62" s="33"/>
      <c r="Q62" t="s">
        <v>7</v>
      </c>
      <c r="R62" t="s">
        <v>122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-1.0613835484821905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0.49888461784769156</v>
      </c>
      <c r="M63" t="str">
        <f>IF(OR((NFL2025_26Results[[#This Row],[Winner]]="")), "-", IF(NFL2025_26Results4[[#This Row],[Predicted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0.25111662622965414</v>
      </c>
      <c r="O63">
        <v>-0.40451049342797679</v>
      </c>
      <c r="P63" s="33"/>
      <c r="Q63" t="s">
        <v>35</v>
      </c>
      <c r="R63" t="s">
        <v>122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3.0533730104590999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0.59916003828845898</v>
      </c>
      <c r="M64" t="str">
        <f>IF(OR((NFL2025_26Results[[#This Row],[Winner]]="")), "-", IF(NFL2025_26Results4[[#This Row],[Predicted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0.16067267490490966</v>
      </c>
      <c r="O64">
        <v>1.279202183873966</v>
      </c>
      <c r="P64" s="33"/>
      <c r="Q64" t="s">
        <v>29</v>
      </c>
      <c r="R64" t="s">
        <v>122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18.893667361199022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0.98423634968091389</v>
      </c>
      <c r="M65" t="str">
        <f>IF(OR((NFL2025_26Results[[#This Row],[Winner]]="")), "-", IF(NFL2025_26Results4[[#This Row],[Predicted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2.4849267138242357E-4</v>
      </c>
      <c r="O65">
        <v>10.204504127920259</v>
      </c>
      <c r="P65" s="33"/>
      <c r="Q65" t="s">
        <v>31</v>
      </c>
      <c r="R65" t="s">
        <v>122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9.9979774186486701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0.7167418744149967</v>
      </c>
      <c r="M66" t="str">
        <f>IF(OR((NFL2025_26Results[[#This Row],[Winner]]="")), "-", IF(NFL2025_26Results4[[#This Row],[Predicted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0.51371891453992291</v>
      </c>
      <c r="O66">
        <v>-5.8788039605133404</v>
      </c>
      <c r="P66" s="33"/>
      <c r="Q66" t="s">
        <v>34</v>
      </c>
      <c r="R66" t="s">
        <v>122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-4.5206180908322038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0.58425599209549095</v>
      </c>
      <c r="M67" t="str">
        <f>IF(OR((NFL2025_26Results[[#This Row],[Winner]]="")), "-", IF(NFL2025_26Results4[[#This Row],[Predicted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0.17284308010850449</v>
      </c>
      <c r="O67">
        <v>-8.1708664365258699E-3</v>
      </c>
      <c r="P67" s="33"/>
      <c r="Q67" t="s">
        <v>44</v>
      </c>
      <c r="R67" t="s">
        <v>122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4.9967926153688031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0.63232976138163677</v>
      </c>
      <c r="M68" t="str">
        <f>IF(OR((NFL2025_26Results[[#This Row],[Winner]]="")), "-", IF(NFL2025_26Results4[[#This Row],[Predicted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0.13518140436568415</v>
      </c>
      <c r="O68">
        <v>3.806566223358816</v>
      </c>
      <c r="P68" s="33"/>
      <c r="Q68" t="s">
        <v>15</v>
      </c>
      <c r="R68" t="s">
        <v>122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21.329511528381332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0.95576190306884667</v>
      </c>
      <c r="M69" t="str">
        <f>IF(OR((NFL2025_26Results[[#This Row],[Winner]]="")), "-", IF(NFL2025_26Results4[[#This Row],[Predicted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1.9570092200901171E-3</v>
      </c>
      <c r="O69">
        <v>2.9982437497833798</v>
      </c>
      <c r="P69" s="33"/>
      <c r="Q69" t="s">
        <v>28</v>
      </c>
      <c r="R69" t="s">
        <v>122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-5.0720080500725313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0.54656756478233182</v>
      </c>
      <c r="M70" t="str">
        <f>IF(OR((NFL2025_26Results[[#This Row],[Winner]]="")), "-", IF(NFL2025_26Results4[[#This Row],[Predicted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0.20560097330742486</v>
      </c>
      <c r="O70">
        <v>-3.4732844653148831</v>
      </c>
      <c r="P70" s="33"/>
      <c r="Q70" t="s">
        <v>5</v>
      </c>
      <c r="R70" t="s">
        <v>122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1.6818006708281992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0.45423640177249869</v>
      </c>
      <c r="M71" t="str">
        <f>IF(OR((NFL2025_26Results[[#This Row],[Winner]]="")), "-", IF(NFL2025_26Results4[[#This Row],[Predicted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0.20633070869522685</v>
      </c>
      <c r="O71">
        <v>11.83943688020884</v>
      </c>
      <c r="P71" s="33"/>
      <c r="Q71" t="s">
        <v>4</v>
      </c>
      <c r="R71" t="s">
        <v>121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-7.2235930183276214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0.64960598349581977</v>
      </c>
      <c r="M72" t="str">
        <f>IF(OR((NFL2025_26Results[[#This Row],[Winner]]="")), "-", IF(NFL2025_26Results4[[#This Row],[Predicted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0.12277596680193173</v>
      </c>
      <c r="O72">
        <v>-9.0304229647577987</v>
      </c>
      <c r="P72" s="33"/>
      <c r="Q72" t="s">
        <v>40</v>
      </c>
      <c r="R72" t="s">
        <v>122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-2.8032707507386716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0.50784541347751122</v>
      </c>
      <c r="M73" t="str">
        <f>IF(OR((NFL2025_26Results[[#This Row],[Winner]]="")), "-", IF(NFL2025_26Results4[[#This Row],[Predicted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0.25790696399014434</v>
      </c>
      <c r="O73">
        <v>11.75805797440246</v>
      </c>
      <c r="P73" s="33"/>
      <c r="Q73" t="s">
        <v>25</v>
      </c>
      <c r="R73" t="s">
        <v>122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11.54304877485402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0.73701341416216826</v>
      </c>
      <c r="M74" t="str">
        <f>IF(OR((NFL2025_26Results[[#This Row],[Winner]]="")), "-", IF(NFL2025_26Results4[[#This Row],[Predicted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0.54318877265497578</v>
      </c>
      <c r="O74">
        <v>3.8087633664253451</v>
      </c>
      <c r="P74" s="33"/>
      <c r="Q74" t="s">
        <v>26</v>
      </c>
      <c r="R74" t="s">
        <v>121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8.2651126752809851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0.76943279770747108</v>
      </c>
      <c r="M75" t="str">
        <f>IF(OR((NFL2025_26Results[[#This Row],[Winner]]="")), "-", IF(NFL2025_26Results4[[#This Row],[Predicted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0.59202683018794611</v>
      </c>
      <c r="O75">
        <v>1.096842868827032</v>
      </c>
      <c r="P75" s="33"/>
      <c r="Q75" t="s">
        <v>33</v>
      </c>
      <c r="R75" t="s">
        <v>121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-14.720327998839686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0.71124229596569821</v>
      </c>
      <c r="M76" t="str">
        <f>IF(OR((NFL2025_26Results[[#This Row],[Winner]]="")), "-", IF(NFL2025_26Results4[[#This Row],[Predicted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8.3381011639161423E-2</v>
      </c>
      <c r="O76">
        <v>-10.777460712512431</v>
      </c>
      <c r="P76" s="33"/>
      <c r="Q76" t="s">
        <v>36</v>
      </c>
      <c r="R76" t="s">
        <v>122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6.8039003963604232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0.70784297820511399</v>
      </c>
      <c r="M77" t="str">
        <f>IF(OR((NFL2025_26Results[[#This Row],[Winner]]="")), "-", IF(NFL2025_26Results4[[#This Row],[Predicted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0.50104168179428543</v>
      </c>
      <c r="O77">
        <v>-2.3371664894922981</v>
      </c>
      <c r="P77" s="33"/>
      <c r="Q77" t="s">
        <v>11</v>
      </c>
      <c r="R77" t="s">
        <v>122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5.1595983522295326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0.5255625306974927</v>
      </c>
      <c r="M78" t="str">
        <f>IF(OR((NFL2025_26Results[[#This Row],[Winner]]="")), "-", IF(NFL2025_26Results4[[#This Row],[Predicted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0.27621597367315298</v>
      </c>
      <c r="O78">
        <v>7.682867783604344</v>
      </c>
      <c r="P78" s="33"/>
      <c r="Q78" t="s">
        <v>41</v>
      </c>
      <c r="R78" t="s">
        <v>121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-5.3411730314764689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0.48771331888527591</v>
      </c>
      <c r="M79" t="str">
        <f>IF(OR((NFL2025_26Results[[#This Row],[Winner]]="")), "-", IF(NFL2025_26Results4[[#This Row],[Predicted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0.23786428141809082</v>
      </c>
      <c r="O79">
        <v>0.79044503940234634</v>
      </c>
      <c r="P79" s="33"/>
      <c r="Q79" t="s">
        <v>14</v>
      </c>
      <c r="R79" t="s">
        <v>122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-6.8197935700757295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0.66888444980611006</v>
      </c>
      <c r="M80" t="str">
        <f>IF(OR((NFL2025_26Results[[#This Row],[Winner]]="")), "-", IF(NFL2025_26Results4[[#This Row],[Predicted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0.44740640719242258</v>
      </c>
      <c r="O80">
        <v>-6.9441793309743574</v>
      </c>
      <c r="P80" s="33"/>
      <c r="Q80" t="s">
        <v>4</v>
      </c>
      <c r="R80" t="s">
        <v>121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-12.318881495524643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0.7916504512309146</v>
      </c>
      <c r="M81" t="str">
        <f>IF(OR((NFL2025_26Results[[#This Row],[Winner]]="")), "-", IF(NFL2025_26Results4[[#This Row],[Predicted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4.3409534472281498E-2</v>
      </c>
      <c r="O81">
        <v>-3.1058615129661842</v>
      </c>
      <c r="P81" s="33"/>
      <c r="Q81" t="s">
        <v>31</v>
      </c>
      <c r="R81" t="s">
        <v>122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-1.5365583470765247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0.47917958109251568</v>
      </c>
      <c r="M82" t="str">
        <f>IF(OR((NFL2025_26Results[[#This Row],[Winner]]="")), "-", IF(NFL2025_26Results4[[#This Row],[Predicted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0.22961307093599881</v>
      </c>
      <c r="O82">
        <v>-5.3511813627814142</v>
      </c>
      <c r="P82" s="33"/>
      <c r="Q82" t="s">
        <v>5</v>
      </c>
      <c r="R82" t="s">
        <v>121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10.331104649390431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0.7423660386001466</v>
      </c>
      <c r="M83" t="str">
        <f>IF(OR((NFL2025_26Results[[#This Row],[Winner]]="")), "-", IF(NFL2025_26Results4[[#This Row],[Predicted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6.637525806658115E-2</v>
      </c>
      <c r="O83">
        <v>11.61753632560244</v>
      </c>
      <c r="P83" s="33"/>
      <c r="Q83" t="s">
        <v>9</v>
      </c>
      <c r="R83" t="s">
        <v>122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12.120158742080655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0.79857933631009903</v>
      </c>
      <c r="M84" t="str">
        <f>IF(OR((NFL2025_26Results[[#This Row],[Winner]]="")), "-", IF(NFL2025_26Results4[[#This Row],[Predicted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4.057028376128019E-2</v>
      </c>
      <c r="O84">
        <v>-1.8080941789773299</v>
      </c>
      <c r="P84" s="33"/>
      <c r="Q84" t="s">
        <v>26</v>
      </c>
      <c r="R84" t="s">
        <v>121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-7.9451172773810015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0.69504552059653946</v>
      </c>
      <c r="M85" t="str">
        <f>IF(OR((NFL2025_26Results[[#This Row],[Winner]]="")), "-", IF(NFL2025_26Results4[[#This Row],[Predicted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9.2997234508235646E-2</v>
      </c>
      <c r="O85">
        <v>-1.2138686685139739</v>
      </c>
      <c r="P85" s="33"/>
      <c r="Q85" t="s">
        <v>33</v>
      </c>
      <c r="R85" t="s">
        <v>122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-6.3623657896475709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0.60859101705414909</v>
      </c>
      <c r="M86" t="str">
        <f>IF(OR((NFL2025_26Results[[#This Row],[Winner]]="")), "-", IF(NFL2025_26Results4[[#This Row],[Predicted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0.15320099193070541</v>
      </c>
      <c r="O86">
        <v>-8.0862136903387469</v>
      </c>
      <c r="P86" s="33"/>
      <c r="Q86" t="s">
        <v>6</v>
      </c>
      <c r="R86" t="s">
        <v>122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-8.2002389606219985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0.78930995352487954</v>
      </c>
      <c r="M87" t="str">
        <f>IF(OR((NFL2025_26Results[[#This Row],[Winner]]="")), "-", IF(NFL2025_26Results4[[#This Row],[Predicted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4.4390295683688422E-2</v>
      </c>
      <c r="O87">
        <v>12.207877396442401</v>
      </c>
      <c r="P87" s="33"/>
      <c r="Q87" t="s">
        <v>25</v>
      </c>
      <c r="R87" t="s">
        <v>121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-9.4242598034388205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0.70180880643378041</v>
      </c>
      <c r="M88" t="str">
        <f>IF(OR((NFL2025_26Results[[#This Row],[Winner]]="")), "-", IF(NFL2025_26Results4[[#This Row],[Predicted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8.8917987920446639E-2</v>
      </c>
      <c r="O88">
        <v>-0.27157196448598259</v>
      </c>
      <c r="P88" s="33"/>
      <c r="Q88" t="s">
        <v>39</v>
      </c>
      <c r="R88" t="s">
        <v>122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2.3336959885533446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0.5798308474034205</v>
      </c>
      <c r="M89" t="str">
        <f>IF(OR((NFL2025_26Results[[#This Row],[Winner]]="")), "-", IF(NFL2025_26Results4[[#This Row],[Predicted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0.17654211679372772</v>
      </c>
      <c r="O89">
        <v>-0.99757456233536512</v>
      </c>
      <c r="P89" s="33"/>
      <c r="Q89" t="s">
        <v>32</v>
      </c>
      <c r="R89" t="s">
        <v>121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14.965535425645047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0.83146429168525704</v>
      </c>
      <c r="M90" t="str">
        <f>IF(OR((NFL2025_26Results[[#This Row],[Winner]]="")), "-", IF(NFL2025_26Results4[[#This Row],[Predicted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2.8404284977152118E-2</v>
      </c>
      <c r="O90">
        <v>14.522369440095339</v>
      </c>
      <c r="P90" s="33"/>
      <c r="Q90" t="s">
        <v>35</v>
      </c>
      <c r="R90" t="s">
        <v>122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3.2079212772235124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0.48086377967359345</v>
      </c>
      <c r="M91" t="str">
        <f>IF(OR((NFL2025_26Results[[#This Row],[Winner]]="")), "-", IF(NFL2025_26Results4[[#This Row],[Predicted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0.26950241525478724</v>
      </c>
      <c r="O91">
        <v>5.4162521031394899</v>
      </c>
      <c r="P91" s="33"/>
      <c r="Q91" t="s">
        <v>20</v>
      </c>
      <c r="R91" t="s">
        <v>122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4.1700439546689498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0.61821905462855564</v>
      </c>
      <c r="M92" t="str">
        <f>IF(OR((NFL2025_26Results[[#This Row],[Winner]]="")), "-", IF(NFL2025_26Results4[[#This Row],[Predicted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0.14575669024871379</v>
      </c>
      <c r="O92">
        <v>2.3617491709999099</v>
      </c>
      <c r="P92" s="33"/>
      <c r="Q92" t="s">
        <v>7</v>
      </c>
      <c r="R92" t="s">
        <v>122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-7.1621593940710575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0.64855745218531291</v>
      </c>
      <c r="M93" t="str">
        <f>IF(OR((NFL2025_26Results[[#This Row],[Winner]]="")), "-", IF(NFL2025_26Results4[[#This Row],[Predicted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0.42062676878510447</v>
      </c>
      <c r="O93">
        <v>5.532063596237081</v>
      </c>
      <c r="P93" s="33"/>
      <c r="Q93" t="s">
        <v>19</v>
      </c>
      <c r="R93" t="s">
        <v>122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2.946294453437222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0.54318710914146495</v>
      </c>
      <c r="M94" t="str">
        <f>IF(OR((NFL2025_26Results[[#This Row],[Winner]]="")), "-", IF(NFL2025_26Results4[[#This Row],[Predicted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0.29505223553746174</v>
      </c>
      <c r="O94">
        <v>14.97133923779873</v>
      </c>
      <c r="P94" s="33"/>
      <c r="Q94" t="s">
        <v>11</v>
      </c>
      <c r="R94" t="s">
        <v>121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-7.8779278440655407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0.61522742213229975</v>
      </c>
      <c r="M95" t="str">
        <f>IF(OR((NFL2025_26Results[[#This Row],[Winner]]="")), "-", IF(NFL2025_26Results4[[#This Row],[Predicted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0.37850478094355494</v>
      </c>
      <c r="O95">
        <v>-4.8120271525831413</v>
      </c>
      <c r="P95" s="33"/>
      <c r="Q95" t="s">
        <v>9</v>
      </c>
      <c r="R95" t="s">
        <v>121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-8.7274187049411207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0.62514753159414815</v>
      </c>
      <c r="M96" t="str">
        <f>IF(OR((NFL2025_26Results[[#This Row],[Winner]]="")), "-", IF(NFL2025_26Results4[[#This Row],[Predicted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0.14051437306996015</v>
      </c>
      <c r="O96">
        <v>7.8523533202000024</v>
      </c>
      <c r="P96" s="33"/>
      <c r="Q96" t="s">
        <v>14</v>
      </c>
      <c r="R96" t="s">
        <v>121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6.5747159118503262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0.71566362331531119</v>
      </c>
      <c r="M97" t="str">
        <f>IF(OR((NFL2025_26Results[[#This Row],[Winner]]="")), "-", IF(NFL2025_26Results4[[#This Row],[Predicted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8.0847175106177241E-2</v>
      </c>
      <c r="O97">
        <v>-4.5642930430698483</v>
      </c>
      <c r="P97" s="33"/>
      <c r="Q97" t="s">
        <v>25</v>
      </c>
      <c r="R97" t="s">
        <v>121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-4.9638789780242156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0.63720823693503692</v>
      </c>
      <c r="M98" t="str">
        <f>IF(OR((NFL2025_26Results[[#This Row],[Winner]]="")), "-", IF(NFL2025_26Results4[[#This Row],[Predicted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0.1316178633477843</v>
      </c>
      <c r="O98">
        <v>-6.484186130568995</v>
      </c>
      <c r="P98" s="33"/>
      <c r="Q98" t="s">
        <v>4</v>
      </c>
      <c r="R98" t="s">
        <v>122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-1.2780917415800577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0.48181409976969825</v>
      </c>
      <c r="M99" t="str">
        <f>IF(OR((NFL2025_26Results[[#This Row],[Winner]]="")), "-", IF(NFL2025_26Results4[[#This Row],[Predicted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0.26851662719748826</v>
      </c>
      <c r="O99">
        <v>6.0286789707899144</v>
      </c>
      <c r="P99" s="33"/>
      <c r="Q99" t="s">
        <v>8</v>
      </c>
      <c r="R99" t="s">
        <v>121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1.4628120870373236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0.5649668531395905</v>
      </c>
      <c r="M100" t="str">
        <f>IF(OR((NFL2025_26Results[[#This Row],[Winner]]="")), "-", IF(NFL2025_26Results4[[#This Row],[Predicted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0.18925383886727062</v>
      </c>
      <c r="O100">
        <v>7.3019376403930307</v>
      </c>
      <c r="P100" s="33"/>
      <c r="Q100" t="s">
        <v>23</v>
      </c>
      <c r="R100" t="s">
        <v>122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19.780401332217679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0.88465211431917967</v>
      </c>
      <c r="M101" t="str">
        <f>IF(OR((NFL2025_26Results[[#This Row],[Winner]]="")), "-", IF(NFL2025_26Results4[[#This Row],[Predicted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1.3305134731035595E-2</v>
      </c>
      <c r="O101">
        <v>10.881474022928581</v>
      </c>
      <c r="P101" s="33"/>
      <c r="Q101" t="s">
        <v>7</v>
      </c>
      <c r="R101" t="s">
        <v>122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-8.8322202706015123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0.80009642753138122</v>
      </c>
      <c r="M102" t="str">
        <f>IF(OR((NFL2025_26Results[[#This Row],[Winner]]="")), "-", IF(NFL2025_26Results4[[#This Row],[Predicted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3.9961438285716321E-2</v>
      </c>
      <c r="O102">
        <v>10.834262923849719</v>
      </c>
      <c r="P102" s="33"/>
      <c r="Q102" t="s">
        <v>32</v>
      </c>
      <c r="R102" t="s">
        <v>121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-6.7063154453071894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0.52274547385385328</v>
      </c>
      <c r="M103" t="str">
        <f>IF(OR((NFL2025_26Results[[#This Row],[Winner]]="")), "-", IF(NFL2025_26Results4[[#This Row],[Predicted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0.22777188272698304</v>
      </c>
      <c r="O103">
        <v>7.7903454404987373</v>
      </c>
      <c r="P103" s="33"/>
      <c r="Q103" t="s">
        <v>6</v>
      </c>
      <c r="R103" t="s">
        <v>121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11.910066783495378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0.86504227714476245</v>
      </c>
      <c r="M104" t="str">
        <f>IF(OR((NFL2025_26Results[[#This Row],[Winner]]="")), "-", IF(NFL2025_26Results4[[#This Row],[Predicted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1.8213586958271109E-2</v>
      </c>
      <c r="O104">
        <v>6.347388256885699</v>
      </c>
      <c r="P104" s="33"/>
      <c r="Q104" t="s">
        <v>31</v>
      </c>
      <c r="R104" t="s">
        <v>122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0.12586186619443218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0.52137894311926614</v>
      </c>
      <c r="M105" t="str">
        <f>IF(OR((NFL2025_26Results[[#This Row],[Winner]]="")), "-", IF(NFL2025_26Results4[[#This Row],[Predicted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0.27183600232816296</v>
      </c>
      <c r="O105">
        <v>4.2610019341968108</v>
      </c>
      <c r="P105" s="33"/>
      <c r="Q105" t="s">
        <v>26</v>
      </c>
      <c r="R105" t="s">
        <v>121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4.7175276077422321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0.62051739523359484</v>
      </c>
      <c r="M106" t="str">
        <f>IF(OR((NFL2025_26Results[[#This Row],[Winner]]="")), "-", IF(NFL2025_26Results4[[#This Row],[Predicted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0.14400704732029568</v>
      </c>
      <c r="O106">
        <v>-4.3349126812617236</v>
      </c>
      <c r="P106" s="33"/>
      <c r="Q106" t="s">
        <v>11</v>
      </c>
      <c r="R106" t="s">
        <v>121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10.930064308242965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0.76258803913712914</v>
      </c>
      <c r="M107" t="str">
        <f>IF(OR((NFL2025_26Results[[#This Row],[Winner]]="")), "-", IF(NFL2025_26Results4[[#This Row],[Predicted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5.636443916075333E-2</v>
      </c>
      <c r="O107">
        <v>9.7387930232306292</v>
      </c>
      <c r="P107" s="33"/>
      <c r="Q107" t="s">
        <v>34</v>
      </c>
      <c r="R107" t="s">
        <v>122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3.7484824361234521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0.64001487919401057</v>
      </c>
      <c r="M108" t="str">
        <f>IF(OR((NFL2025_26Results[[#This Row],[Winner]]="")), "-", IF(NFL2025_26Results4[[#This Row],[Predicted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0.12958928720170282</v>
      </c>
      <c r="O108">
        <v>0.88156206323418651</v>
      </c>
      <c r="P108" s="33"/>
      <c r="Q108" t="s">
        <v>36</v>
      </c>
      <c r="R108" t="s">
        <v>122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3.6757233189670284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0.62725231032283302</v>
      </c>
      <c r="M109" t="str">
        <f>IF(OR((NFL2025_26Results[[#This Row],[Winner]]="")), "-", IF(NFL2025_26Results4[[#This Row],[Predicted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0.13894084015966557</v>
      </c>
      <c r="O109">
        <v>4.1096997110355407</v>
      </c>
      <c r="P109" s="33"/>
      <c r="Q109" t="s">
        <v>33</v>
      </c>
      <c r="R109" t="s">
        <v>122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4.8936515346099405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0.6289779728746665</v>
      </c>
      <c r="M110" t="str">
        <f>IF(OR((NFL2025_26Results[[#This Row],[Winner]]="")), "-", IF(NFL2025_26Results4[[#This Row],[Predicted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0.1376573446121917</v>
      </c>
      <c r="O110">
        <v>9.3010194397873605</v>
      </c>
      <c r="P110" s="33"/>
      <c r="Q110" t="s">
        <v>6</v>
      </c>
      <c r="R110" t="s">
        <v>122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5.264564792443867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0.62985406750569928</v>
      </c>
      <c r="M111" t="str">
        <f>IF(OR((NFL2025_26Results[[#This Row],[Winner]]="")), "-", IF(NFL2025_26Results4[[#This Row],[Predicted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0.39671614635347396</v>
      </c>
      <c r="O111">
        <v>3.0103296960158001</v>
      </c>
      <c r="P111" s="33"/>
      <c r="Q111" t="s">
        <v>19</v>
      </c>
      <c r="R111" t="s">
        <v>121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-7.4299315711461213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0.64604268992641689</v>
      </c>
      <c r="M112" t="str">
        <f>IF(OR((NFL2025_26Results[[#This Row],[Winner]]="")), "-", IF(NFL2025_26Results4[[#This Row],[Predicted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0.12528577735452665</v>
      </c>
      <c r="O112">
        <v>-6.0397353709831556</v>
      </c>
      <c r="P112" s="33"/>
      <c r="Q112" t="s">
        <v>41</v>
      </c>
      <c r="R112" t="s">
        <v>122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6.6120280075510642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0.6057527880180944</v>
      </c>
      <c r="M113" t="str">
        <f>IF(OR((NFL2025_26Results[[#This Row],[Winner]]="")), "-", IF(NFL2025_26Results4[[#This Row],[Predicted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0.15543086415550561</v>
      </c>
      <c r="O113">
        <v>5.4396781778846766</v>
      </c>
      <c r="P113" s="33"/>
      <c r="Q113" t="s">
        <v>42</v>
      </c>
      <c r="R113" t="s">
        <v>122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7.79731063353747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0.64986076364668222</v>
      </c>
      <c r="M114" t="str">
        <f>IF(OR((NFL2025_26Results[[#This Row],[Winner]]="")), "-", IF(NFL2025_26Results4[[#This Row],[Predicted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0.12259748483408453</v>
      </c>
      <c r="O114">
        <v>10.82756503147375</v>
      </c>
      <c r="P114" s="33"/>
      <c r="Q114" t="s">
        <v>40</v>
      </c>
      <c r="R114" t="s">
        <v>122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0.19728801857346845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0.5433672547756293</v>
      </c>
      <c r="M115" t="str">
        <f>IF(OR((NFL2025_26Results[[#This Row],[Winner]]="")), "-", IF(NFL2025_26Results4[[#This Row],[Predicted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0.29524797356240362</v>
      </c>
      <c r="O115">
        <v>2.2118023477034461</v>
      </c>
      <c r="P115" s="33"/>
      <c r="Q115" t="s">
        <v>24</v>
      </c>
      <c r="R115" t="s">
        <v>121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12.576387631495914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0.82720756981953547</v>
      </c>
      <c r="M116" t="str">
        <f>IF(OR((NFL2025_26Results[[#This Row],[Winner]]="")), "-", IF(NFL2025_26Results4[[#This Row],[Predicted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2.985722392767071E-2</v>
      </c>
      <c r="O116">
        <v>14.5521375516817</v>
      </c>
      <c r="P116" s="33"/>
      <c r="Q116" t="s">
        <v>17</v>
      </c>
      <c r="R116" t="s">
        <v>122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11.334509492907626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0.74050007794108574</v>
      </c>
      <c r="M117" t="str">
        <f>IF(OR((NFL2025_26Results[[#This Row],[Winner]]="")), "-", IF(NFL2025_26Results4[[#This Row],[Predicted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6.734020954858258E-2</v>
      </c>
      <c r="O117">
        <v>11.390527813268671</v>
      </c>
      <c r="P117" s="33"/>
      <c r="Q117" t="s">
        <v>4</v>
      </c>
      <c r="R117" t="s">
        <v>122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-11.306231658583158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0.6529714881928177</v>
      </c>
      <c r="M118" t="str">
        <f>IF(OR((NFL2025_26Results[[#This Row],[Winner]]="")), "-", IF(NFL2025_26Results4[[#This Row],[Predicted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0.12042878800710767</v>
      </c>
      <c r="O118">
        <v>-10.23990517757181</v>
      </c>
      <c r="P118" s="33"/>
      <c r="Q118" t="s">
        <v>20</v>
      </c>
      <c r="R118" t="s">
        <v>122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21.405849555518728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0.95706481841210556</v>
      </c>
      <c r="M119" t="str">
        <f>IF(OR((NFL2025_26Results[[#This Row],[Winner]]="")), "-", IF(NFL2025_26Results4[[#This Row],[Predicted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1.8434298179854701E-3</v>
      </c>
      <c r="O119">
        <v>24.08284893748738</v>
      </c>
      <c r="P119" s="33"/>
      <c r="Q119" t="s">
        <v>28</v>
      </c>
      <c r="R119" t="s">
        <v>122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9.5042314068680618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0.82398017555388814</v>
      </c>
      <c r="M120" t="str">
        <f>IF(OR((NFL2025_26Results[[#This Row],[Winner]]="")), "-", IF(NFL2025_26Results4[[#This Row],[Predicted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3.0982978598040039E-2</v>
      </c>
      <c r="O120">
        <v>9.6104326753162521</v>
      </c>
      <c r="P120" s="33"/>
      <c r="Q120" t="s">
        <v>31</v>
      </c>
      <c r="R120" t="s">
        <v>122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-0.31553369733166114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0.45993089232771056</v>
      </c>
      <c r="M121" t="str">
        <f>IF(OR((NFL2025_26Results[[#This Row],[Winner]]="")), "-", IF(NFL2025_26Results4[[#This Row],[Predicted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0.29167464106194296</v>
      </c>
      <c r="O121">
        <v>-3.9360466745727298</v>
      </c>
      <c r="P121" s="33"/>
      <c r="Q121" t="s">
        <v>35</v>
      </c>
      <c r="R121" t="s">
        <v>122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14.218463606919908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0.78972257170082272</v>
      </c>
      <c r="M122" t="str">
        <f>IF(OR((NFL2025_26Results[[#This Row],[Winner]]="")), "-", IF(NFL2025_26Results4[[#This Row],[Predicted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4.4216596852115646E-2</v>
      </c>
      <c r="O122">
        <v>12.696740766620859</v>
      </c>
      <c r="P122" s="33"/>
      <c r="Q122" t="s">
        <v>7</v>
      </c>
      <c r="R122" t="s">
        <v>122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-5.4815569088169385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0.62296939082306935</v>
      </c>
      <c r="M123" t="str">
        <f>IF(OR((NFL2025_26Results[[#This Row],[Winner]]="")), "-", IF(NFL2025_26Results4[[#This Row],[Predicted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0.14215208025632742</v>
      </c>
      <c r="O123">
        <v>-5.1743763556553253</v>
      </c>
      <c r="P123" s="33"/>
      <c r="Q123" t="s">
        <v>42</v>
      </c>
      <c r="R123" t="s">
        <v>122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8.7746349260893695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0.76232035545342658</v>
      </c>
      <c r="M124" t="str">
        <f>IF(OR((NFL2025_26Results[[#This Row],[Winner]]="")), "-", IF(NFL2025_26Results4[[#This Row],[Predicted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5.6491613431785485E-2</v>
      </c>
      <c r="O124">
        <v>9.0818154792509844</v>
      </c>
      <c r="P124" s="33"/>
      <c r="Q124" t="s">
        <v>17</v>
      </c>
      <c r="R124" t="s">
        <v>122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-3.9829718545674542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0.57507960181212781</v>
      </c>
      <c r="M125" t="str">
        <f>IF(OR((NFL2025_26Results[[#This Row],[Winner]]="")), "-", IF(NFL2025_26Results4[[#This Row],[Predicted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0.18055734479613986</v>
      </c>
      <c r="O125">
        <v>-3.675791301405841</v>
      </c>
      <c r="P125" s="33"/>
      <c r="Q125" t="s">
        <v>43</v>
      </c>
      <c r="R125" t="s">
        <v>122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10.395528751916423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0.70683963938467909</v>
      </c>
      <c r="M126" t="str">
        <f>IF(OR((NFL2025_26Results[[#This Row],[Winner]]="")), "-", IF(NFL2025_26Results4[[#This Row],[Predicted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0.4996222758054632</v>
      </c>
      <c r="O126">
        <v>10.70270930507804</v>
      </c>
      <c r="P126" s="33"/>
      <c r="Q126" t="s">
        <v>36</v>
      </c>
      <c r="R126" t="s">
        <v>121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9.3700157798065611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0.73596158257086475</v>
      </c>
      <c r="M127" t="str">
        <f>IF(OR((NFL2025_26Results[[#This Row],[Winner]]="")), "-", IF(NFL2025_26Results4[[#This Row],[Predicted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0.54163945102021172</v>
      </c>
      <c r="O127">
        <v>9.6771963329681743</v>
      </c>
      <c r="P127" s="33"/>
      <c r="Q127" t="s">
        <v>35</v>
      </c>
      <c r="R127" t="s">
        <v>121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-8.0468383827748511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0.57130337168011114</v>
      </c>
      <c r="M128" t="str">
        <f>IF(OR((NFL2025_26Results[[#This Row],[Winner]]="")), "-", IF(NFL2025_26Results4[[#This Row],[Predicted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0.32638754249306323</v>
      </c>
      <c r="O128">
        <v>-7.7396578296132379</v>
      </c>
      <c r="P128" s="33"/>
      <c r="Q128" t="s">
        <v>28</v>
      </c>
      <c r="R128" t="s">
        <v>121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5.6969994034949645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0.60632564532519084</v>
      </c>
      <c r="M129" t="str">
        <f>IF(OR((NFL2025_26Results[[#This Row],[Winner]]="")), "-", IF(NFL2025_26Results4[[#This Row],[Predicted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0.36763078817900913</v>
      </c>
      <c r="O129">
        <v>6.0041799566565777</v>
      </c>
      <c r="P129" s="33"/>
      <c r="Q129" t="s">
        <v>40</v>
      </c>
      <c r="R129" t="s">
        <v>121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-5.2950396306209733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0.66426229504171297</v>
      </c>
      <c r="M130" t="str">
        <f>IF(OR((NFL2025_26Results[[#This Row],[Winner]]="")), "-", IF(NFL2025_26Results4[[#This Row],[Predicted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0.11271980653065779</v>
      </c>
      <c r="O130">
        <v>-4.9878590774593601</v>
      </c>
      <c r="P130" s="33"/>
      <c r="Q130" t="s">
        <v>34</v>
      </c>
      <c r="R130" t="s">
        <v>122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-7.9274602259636913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0.64240298719577582</v>
      </c>
      <c r="M131" t="str">
        <f>IF(OR((NFL2025_26Results[[#This Row],[Winner]]="")), "-", IF(NFL2025_26Results4[[#This Row],[Predicted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0.12787562356650448</v>
      </c>
      <c r="O131">
        <v>-7.6202796728020781</v>
      </c>
      <c r="P131" s="33"/>
      <c r="Q131" t="s">
        <v>6</v>
      </c>
      <c r="R131" t="s">
        <v>122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-7.6671544164933616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0.71225612036860286</v>
      </c>
      <c r="M132" t="str">
        <f>IF(OR((NFL2025_26Results[[#This Row],[Winner]]="")), "-", IF(NFL2025_26Results4[[#This Row],[Predicted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8.279654026532797E-2</v>
      </c>
      <c r="O132">
        <v>-7.3599738633317484</v>
      </c>
      <c r="P132" s="33"/>
      <c r="Q132" t="s">
        <v>14</v>
      </c>
      <c r="R132" t="s">
        <v>122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22.611003722840209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122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-1.3502048136921312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0.39467865704809946</v>
      </c>
      <c r="M134" t="str">
        <f>IF(OR((NFL2025_26Results[[#This Row],[Winner]]="")), "-", IF(NFL2025_26Results4[[#This Row],[Predicted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0.15577124232929132</v>
      </c>
      <c r="O134">
        <v>-1.043024260530518</v>
      </c>
      <c r="P134" s="33"/>
      <c r="Q134" t="s">
        <v>7</v>
      </c>
      <c r="R134" t="s">
        <v>121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-12.307691929992544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0.8321481034666588</v>
      </c>
      <c r="M135" t="str">
        <f>IF(OR((NFL2025_26Results[[#This Row],[Winner]]="")), "-", IF(NFL2025_26Results4[[#This Row],[Predicted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2.8174259169839483E-2</v>
      </c>
      <c r="O135">
        <v>-12.00051137683093</v>
      </c>
      <c r="P135" s="33"/>
      <c r="Q135" t="s">
        <v>33</v>
      </c>
      <c r="R135" t="s">
        <v>122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1.0701125467393255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0.55826437109320404</v>
      </c>
      <c r="M136" t="str">
        <f>IF(OR((NFL2025_26Results[[#This Row],[Winner]]="")), "-", IF(NFL2025_26Results4[[#This Row],[Predicted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0.31165910803209063</v>
      </c>
      <c r="O136">
        <v>1.377293099900939</v>
      </c>
      <c r="P136" s="33"/>
      <c r="Q136" t="s">
        <v>5</v>
      </c>
      <c r="R136" t="s">
        <v>121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17.526338778492114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0.96089918134567809</v>
      </c>
      <c r="M137" t="str">
        <f>IF(OR((NFL2025_26Results[[#This Row],[Winner]]="")), "-", IF(NFL2025_26Results4[[#This Row],[Predicted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1.5288740194381685E-3</v>
      </c>
      <c r="O137">
        <v>17.833519331653729</v>
      </c>
      <c r="P137" s="33"/>
      <c r="Q137" t="s">
        <v>31</v>
      </c>
      <c r="R137" t="s">
        <v>122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16.833548288174686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0.8790261043056713</v>
      </c>
      <c r="M138" t="str">
        <f>IF(OR((NFL2025_26Results[[#This Row],[Winner]]="")), "-", IF(NFL2025_26Results4[[#This Row],[Predicted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1.4634683439462321E-2</v>
      </c>
      <c r="O138">
        <v>17.151780185003265</v>
      </c>
      <c r="P138" s="33"/>
      <c r="Q138" t="s">
        <v>28</v>
      </c>
      <c r="R138" t="s">
        <v>122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-10.169366225098976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0.69279856738793566</v>
      </c>
      <c r="M139" t="str">
        <f>IF(OR((NFL2025_26Results[[#This Row],[Winner]]="")), "-", IF(NFL2025_26Results4[[#This Row],[Predicted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0.47996985497477601</v>
      </c>
      <c r="O139">
        <v>-9.8511343282703976</v>
      </c>
      <c r="P139" s="33"/>
      <c r="Q139" t="s">
        <v>41</v>
      </c>
      <c r="R139" t="s">
        <v>121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1.5140871996957062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0.62929027777763824</v>
      </c>
      <c r="M140" t="str">
        <f>IF(OR((NFL2025_26Results[[#This Row],[Winner]]="")), "-", IF(NFL2025_26Results4[[#This Row],[Predicted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0.1374256981501806</v>
      </c>
      <c r="O140">
        <v>2.5741206835800003</v>
      </c>
      <c r="P140" s="33"/>
      <c r="Q140" t="s">
        <v>8</v>
      </c>
      <c r="R140" t="s">
        <v>122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2.2558887867514219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0.57850285661239187</v>
      </c>
      <c r="M141" t="str">
        <f>IF(OR((NFL2025_26Results[[#This Row],[Winner]]="")), "-", IF(NFL2025_26Results4[[#This Row],[Predicted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0.1776598418839139</v>
      </c>
      <c r="O141">
        <v>11.359699739490397</v>
      </c>
      <c r="P141" s="33"/>
      <c r="Q141" t="s">
        <v>40</v>
      </c>
      <c r="R141" t="s">
        <v>122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11.041467842661818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0.6975434851367992</v>
      </c>
      <c r="M142" t="str">
        <f>IF(OR((NFL2025_26Results[[#This Row],[Winner]]="")), "-", IF(NFL2025_26Results4[[#This Row],[Predicted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9.147994338319361E-2</v>
      </c>
      <c r="O142">
        <v>6.2481376385339882</v>
      </c>
      <c r="P142" s="33"/>
      <c r="Q142" t="s">
        <v>15</v>
      </c>
      <c r="R142" t="s">
        <v>122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0.50187326905258944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0.47208514094188531</v>
      </c>
      <c r="M143" t="str">
        <f>IF(OR((NFL2025_26Results[[#This Row],[Winner]]="")), "-", IF(NFL2025_26Results4[[#This Row],[Predicted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0.22286438029811972</v>
      </c>
      <c r="O143">
        <v>5.6815825562056856</v>
      </c>
      <c r="P143" s="33"/>
      <c r="Q143" t="s">
        <v>20</v>
      </c>
      <c r="R143" t="s">
        <v>121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5.9299057417054097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0.64825586603603169</v>
      </c>
      <c r="M144" t="str">
        <f>IF(OR((NFL2025_26Results[[#This Row],[Winner]]="")), "-", IF(NFL2025_26Results4[[#This Row],[Predicted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0.42023566785012545</v>
      </c>
      <c r="O144">
        <v>1.8323190965242846</v>
      </c>
      <c r="P144" s="33"/>
      <c r="Q144" t="s">
        <v>43</v>
      </c>
      <c r="R144" t="s">
        <v>121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5.3633506593771072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0.44218946672809978</v>
      </c>
      <c r="M145" t="str">
        <f>IF(OR((NFL2025_26Results[[#This Row],[Winner]]="")), "-", IF(NFL2025_26Results4[[#This Row],[Predicted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0.19553152448528127</v>
      </c>
      <c r="O145">
        <v>0.82010516588116789</v>
      </c>
      <c r="P145" s="33"/>
      <c r="Q145" t="s">
        <v>44</v>
      </c>
      <c r="R145" t="s">
        <v>121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13.174992791821534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0.85323320986494555</v>
      </c>
      <c r="M146" t="str">
        <f>IF(OR((NFL2025_26Results[[#This Row],[Winner]]="")), "-", IF(NFL2025_26Results4[[#This Row],[Predicted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2.1540490686547117E-2</v>
      </c>
      <c r="O146">
        <v>13.493224688650113</v>
      </c>
      <c r="P146" s="33"/>
      <c r="Q146" t="s">
        <v>33</v>
      </c>
      <c r="R146" t="s">
        <v>122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-7.7910616908350097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0.59297558501210546</v>
      </c>
      <c r="M147" t="str">
        <f>IF(OR((NFL2025_26Results[[#This Row],[Winner]]="")), "-", IF(NFL2025_26Results4[[#This Row],[Predicted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0.16566887439623779</v>
      </c>
      <c r="O147">
        <v>-7.4728297940064312</v>
      </c>
      <c r="P147" s="33"/>
      <c r="Q147" t="s">
        <v>36</v>
      </c>
      <c r="R147" t="s">
        <v>122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-5.4832614958167722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0.59809122401903603</v>
      </c>
      <c r="M148" t="str">
        <f>IF(OR((NFL2025_26Results[[#This Row],[Winner]]="")), "-", IF(NFL2025_26Results4[[#This Row],[Predicted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0.16153066421051668</v>
      </c>
      <c r="O148">
        <v>-5.1650295989881938</v>
      </c>
      <c r="P148" s="33"/>
      <c r="Q148" t="s">
        <v>39</v>
      </c>
      <c r="R148" t="s">
        <v>122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3.5978808988836106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0.63283616083268668</v>
      </c>
      <c r="M149" t="str">
        <f>IF(OR((NFL2025_26Results[[#This Row],[Winner]]="")), "-", IF(NFL2025_26Results4[[#This Row],[Predicted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0.13480928479208074</v>
      </c>
      <c r="O149">
        <v>3.9161127957121891</v>
      </c>
      <c r="P149" s="33"/>
      <c r="Q149" t="s">
        <v>6</v>
      </c>
      <c r="R149" t="s">
        <v>122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-1.0952166835502757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0.53482187348937393</v>
      </c>
      <c r="M150" t="str">
        <f>IF(OR((NFL2025_26Results[[#This Row],[Winner]]="")), "-", IF(NFL2025_26Results4[[#This Row],[Predicted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0.21639068938393602</v>
      </c>
      <c r="O150">
        <v>-0.77698478672169724</v>
      </c>
      <c r="P150" s="33"/>
      <c r="Q150" t="s">
        <v>4</v>
      </c>
      <c r="R150" t="s">
        <v>122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12.57785680616044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0.82723264526730533</v>
      </c>
      <c r="M151" t="str">
        <f>IF(OR((NFL2025_26Results[[#This Row],[Winner]]="")), "-", IF(NFL2025_26Results4[[#This Row],[Predicted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2.9848558861332756E-2</v>
      </c>
      <c r="O151">
        <v>12.896088702989019</v>
      </c>
      <c r="P151" s="33">
        <v>0.81176022302984308</v>
      </c>
      <c r="Q151" t="s">
        <v>17</v>
      </c>
      <c r="R151" t="s">
        <v>122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-1.8158233547030962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0.4839459953806014</v>
      </c>
      <c r="M152" t="str">
        <f>IF(OR((NFL2025_26Results[[#This Row],[Winner]]="")), "-", IF(NFL2025_26Results4[[#This Row],[Predicted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0.23420372644492107</v>
      </c>
      <c r="O152">
        <v>-1.4975914578745178</v>
      </c>
      <c r="P152" s="33">
        <v>0.48853515560298022</v>
      </c>
      <c r="Q152" t="s">
        <v>11</v>
      </c>
      <c r="R152" t="s">
        <v>121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2.5251301384910123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0.58309819004418051</v>
      </c>
      <c r="M153" t="str">
        <f>IF(OR((NFL2025_26Results[[#This Row],[Winner]]="")), "-", IF(NFL2025_26Results4[[#This Row],[Predicted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0.34000349923279927</v>
      </c>
      <c r="O153">
        <v>2.8433620353195908</v>
      </c>
      <c r="P153" s="33">
        <v>0.59417751128776097</v>
      </c>
      <c r="Q153" t="s">
        <v>19</v>
      </c>
      <c r="R153" t="s">
        <v>121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2.0536056542683738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0.66341659443473999</v>
      </c>
      <c r="M154" t="str">
        <f>IF(OR((NFL2025_26Results[[#This Row],[Winner]]="")), "-", IF(NFL2025_26Results4[[#This Row],[Predicted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0.1132883889019083</v>
      </c>
      <c r="O154">
        <v>5.1747752120162831</v>
      </c>
      <c r="P154" s="33">
        <v>0.57228454315301402</v>
      </c>
      <c r="Q154" t="s">
        <v>44</v>
      </c>
      <c r="R154" t="s">
        <v>122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4.8565433151877047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0.57579068359509689</v>
      </c>
      <c r="M155" t="str">
        <f>IF(OR((NFL2025_26Results[[#This Row],[Winner]]="")), "-", IF(NFL2025_26Results4[[#This Row],[Predicted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0.33153491131490898</v>
      </c>
      <c r="O155">
        <v>12.710875663726016</v>
      </c>
      <c r="P155" s="33">
        <v>0.80823116784774984</v>
      </c>
      <c r="Q155" t="s">
        <v>9</v>
      </c>
      <c r="R155" t="s">
        <v>121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12.392643766897438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0.77755179133244889</v>
      </c>
      <c r="M156" t="str">
        <f>IF(OR((NFL2025_26Results[[#This Row],[Winner]]="")), "-", IF(NFL2025_26Results4[[#This Row],[Predicted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4.9483205539402358E-2</v>
      </c>
      <c r="O156">
        <v>-3.1489870282809265</v>
      </c>
      <c r="P156" s="33">
        <v>0.64139624852936783</v>
      </c>
      <c r="Q156" t="s">
        <v>35</v>
      </c>
      <c r="R156" t="s">
        <v>122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-3.4672189251095049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0.53994671943856587</v>
      </c>
      <c r="M157" t="str">
        <f>IF(OR((NFL2025_26Results[[#This Row],[Winner]]="")), "-", IF(NFL2025_26Results4[[#This Row],[Predicted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0.21164902095533764</v>
      </c>
      <c r="O157">
        <v>-16.20937042804805</v>
      </c>
      <c r="P157" s="33">
        <v>0.76885386328736149</v>
      </c>
      <c r="Q157" t="s">
        <v>40</v>
      </c>
      <c r="R157" t="s">
        <v>122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-16.527602324876629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0.80840412033406484</v>
      </c>
      <c r="M158" t="str">
        <f>IF(OR((NFL2025_26Results[[#This Row],[Winner]]="")), "-", IF(NFL2025_26Results4[[#This Row],[Predicted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3.6708981104963505E-2</v>
      </c>
      <c r="O158">
        <v>2.3916220759115938</v>
      </c>
      <c r="P158" s="33">
        <v>0.49001448807738429</v>
      </c>
      <c r="Q158" t="s">
        <v>14</v>
      </c>
      <c r="R158" t="s">
        <v>122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2.0733901790830154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0.59291014711357382</v>
      </c>
      <c r="M159" t="str">
        <f>IF(OR((NFL2025_26Results[[#This Row],[Winner]]="")), "-", IF(NFL2025_26Results4[[#This Row],[Predicted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0.16572214832309212</v>
      </c>
      <c r="O159">
        <v>2.3718375510969523</v>
      </c>
      <c r="P159" s="33">
        <v>0.54519306866346584</v>
      </c>
      <c r="Q159" t="s">
        <v>41</v>
      </c>
      <c r="R159" t="s">
        <v>122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-1.7019588393170362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0.60293663248388107</v>
      </c>
      <c r="M160" t="str">
        <f>IF(OR((NFL2025_26Results[[#This Row],[Winner]]="")), "-", IF(NFL2025_26Results4[[#This Row],[Predicted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0.15765931782324052</v>
      </c>
      <c r="O160">
        <v>3.3578912858046461</v>
      </c>
      <c r="P160" s="33">
        <v>0.49255279667719887</v>
      </c>
      <c r="Q160" t="s">
        <v>39</v>
      </c>
      <c r="R160" t="s">
        <v>122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3.0396593889760677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0.54794301843383797</v>
      </c>
      <c r="M161" t="str">
        <f>IF(OR((NFL2025_26Results[[#This Row],[Winner]]="")), "-", IF(NFL2025_26Results4[[#This Row],[Predicted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0.20435551458270937</v>
      </c>
      <c r="O161">
        <v>-1.3837269424884577</v>
      </c>
      <c r="P161" s="33">
        <v>0.57885176532528215</v>
      </c>
      <c r="Q161" t="s">
        <v>34</v>
      </c>
      <c r="R161" t="s">
        <v>122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-6.2761027831955634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0.64359939173303715</v>
      </c>
      <c r="M162" t="str">
        <f>IF(OR((NFL2025_26Results[[#This Row],[Winner]]="")), "-", IF(NFL2025_26Results4[[#This Row],[Predicted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0.12702139357306111</v>
      </c>
      <c r="O162">
        <v>0.32152730451896439</v>
      </c>
      <c r="P162" s="33">
        <v>0.69105789840744869</v>
      </c>
      <c r="Q162" t="s">
        <v>31</v>
      </c>
      <c r="R162" t="s">
        <v>122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3.2954076903859431E-3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0.66182095094661653</v>
      </c>
      <c r="M163" t="str">
        <f>IF(OR((NFL2025_26Results[[#This Row],[Winner]]="")), "-", IF(NFL2025_26Results4[[#This Row],[Predicted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0.11436506921865075</v>
      </c>
      <c r="O163">
        <v>-5.9578708863669849</v>
      </c>
      <c r="P163" s="33">
        <v>0.59429069345588048</v>
      </c>
      <c r="Q163" t="s">
        <v>42</v>
      </c>
      <c r="R163" t="s">
        <v>122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1.3404241103556371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0.56992392245137746</v>
      </c>
      <c r="M164" t="str">
        <f>IF(OR((NFL2025_26Results[[#This Row],[Winner]]="")), "-", IF(NFL2025_26Results4[[#This Row],[Predicted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0.18496543247960878</v>
      </c>
      <c r="O164">
        <v>1.6586560071842165</v>
      </c>
      <c r="P164" s="33">
        <v>0.58715964023963441</v>
      </c>
      <c r="Q164" t="s">
        <v>4</v>
      </c>
      <c r="R164" t="s">
        <v>122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-5.7647494102081041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0.55839107373162833</v>
      </c>
      <c r="M165" t="str">
        <f>IF(OR((NFL2025_26Results[[#This Row],[Winner]]="")), "-", IF(NFL2025_26Results4[[#This Row],[Predicted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0.19501844375990413</v>
      </c>
      <c r="O165">
        <v>-5.4465175133795256</v>
      </c>
      <c r="P165" s="33">
        <v>0.56377811914019604</v>
      </c>
      <c r="Q165" t="s">
        <v>5</v>
      </c>
      <c r="R165" t="s">
        <v>122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7.0504996248774807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0.68485201513473759</v>
      </c>
      <c r="M166" t="str">
        <f>IF(OR((NFL2025_26Results[[#This Row],[Winner]]="")), "-", IF(NFL2025_26Results4[[#This Row],[Predicted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9.9318252364635665E-2</v>
      </c>
      <c r="O166">
        <v>7.4691690821189818</v>
      </c>
      <c r="P166" s="33">
        <v>0.71301799130831101</v>
      </c>
      <c r="Q166" t="s">
        <v>40</v>
      </c>
      <c r="R166" t="s">
        <v>122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-1.6375980280821376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0.44461671563817651</v>
      </c>
      <c r="M167" t="str">
        <f>IF(OR((NFL2025_26Results[[#This Row],[Winner]]="")), "-", IF(NFL2025_26Results4[[#This Row],[Predicted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0.19768402382487912</v>
      </c>
      <c r="O167">
        <v>1.1269172224937964</v>
      </c>
      <c r="P167" s="33">
        <v>0.64066589244729033</v>
      </c>
      <c r="Q167" t="s">
        <v>7</v>
      </c>
      <c r="R167" t="s">
        <v>121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-10.123210826171023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0.82213068052335825</v>
      </c>
      <c r="M168" t="str">
        <f>IF(OR((NFL2025_26Results[[#This Row],[Winner]]="")), "-", IF(NFL2025_26Results4[[#This Row],[Predicted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3.1637494811083647E-2</v>
      </c>
      <c r="O168">
        <v>6.5446897131313895</v>
      </c>
      <c r="P168" s="33">
        <v>0.64682366248761791</v>
      </c>
      <c r="Q168" t="s">
        <v>35</v>
      </c>
      <c r="R168" t="s">
        <v>122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0.70824776525229538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0.55913411964185544</v>
      </c>
      <c r="M169" t="str">
        <f>IF(OR((NFL2025_26Results[[#This Row],[Winner]]="")), "-", IF(NFL2025_26Results4[[#This Row],[Predicted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0.19436272446396183</v>
      </c>
      <c r="O169">
        <v>-9.7045413689295223</v>
      </c>
      <c r="P169" s="33">
        <v>0.86706246900956685</v>
      </c>
      <c r="Q169" t="s">
        <v>17</v>
      </c>
      <c r="R169" t="s">
        <v>122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12.251443343967939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0.78514095390931704</v>
      </c>
      <c r="M170" t="str">
        <f>IF(OR((NFL2025_26Results[[#This Row],[Winner]]="")), "-", IF(NFL2025_26Results4[[#This Row],[Predicted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4.6164409686998226E-2</v>
      </c>
      <c r="O170">
        <v>12.670112801209438</v>
      </c>
      <c r="P170" s="33">
        <v>0.90407620226513929</v>
      </c>
      <c r="Q170" t="s">
        <v>36</v>
      </c>
      <c r="R170" t="s">
        <v>122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6.1260202558898884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0.63396890462446764</v>
      </c>
      <c r="M171" t="str">
        <f>IF(OR((NFL2025_26Results[[#This Row],[Winner]]="")), "-", IF(NFL2025_26Results4[[#This Row],[Predicted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0.13397876278181206</v>
      </c>
      <c r="O171">
        <v>11.210957337933488</v>
      </c>
      <c r="P171" s="33">
        <v>0.791506777020337</v>
      </c>
      <c r="Q171" t="s">
        <v>42</v>
      </c>
      <c r="R171" t="s">
        <v>122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10.792287880691987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0.7241996446058514</v>
      </c>
      <c r="M172" t="str">
        <f>IF(OR((NFL2025_26Results[[#This Row],[Winner]]="")), "-", IF(NFL2025_26Results4[[#This Row],[Predicted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7.6065836035538667E-2</v>
      </c>
      <c r="O172">
        <v>-1.2189285708406365</v>
      </c>
      <c r="P172" s="33">
        <v>0.42734546096548109</v>
      </c>
      <c r="Q172" t="s">
        <v>9</v>
      </c>
      <c r="R172" t="s">
        <v>122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-17.945967682427707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0.92838056142827452</v>
      </c>
      <c r="M173" t="str">
        <f>IF(OR((NFL2025_26Results[[#This Row],[Winner]]="")), "-", IF(NFL2025_26Results4[[#This Row],[Predicted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5.1293439813291592E-3</v>
      </c>
      <c r="O173">
        <v>-17.527298225186208</v>
      </c>
      <c r="P173" s="33">
        <v>0.99022258406032937</v>
      </c>
      <c r="Q173" t="s">
        <v>33</v>
      </c>
      <c r="R173" t="s">
        <v>122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1.5631474266158492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0.56667934766309525</v>
      </c>
      <c r="M174" t="str">
        <f>IF(OR((NFL2025_26Results[[#This Row],[Winner]]="")), "-", IF(NFL2025_26Results4[[#This Row],[Predicted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0.3211254830678712</v>
      </c>
      <c r="O174">
        <v>1.9818168838573502</v>
      </c>
      <c r="P174" s="33">
        <v>0.58446010827433292</v>
      </c>
      <c r="Q174" t="s">
        <v>18</v>
      </c>
      <c r="R174" t="s">
        <v>121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1.5421983698073127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0.44492644639014489</v>
      </c>
      <c r="M175" t="str">
        <f>IF(OR((NFL2025_26Results[[#This Row],[Winner]]="")), "-", IF(NFL2025_26Results4[[#This Row],[Predicted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0.19795954269736249</v>
      </c>
      <c r="O175">
        <v>1.9608678270488138</v>
      </c>
      <c r="P175" s="33">
        <v>0.56322090606549069</v>
      </c>
      <c r="Q175" t="s">
        <v>26</v>
      </c>
      <c r="R175" t="s">
        <v>121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-1.6829619959485767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0.48872430803977085</v>
      </c>
      <c r="M176" t="str">
        <f>IF(OR((NFL2025_26Results[[#This Row],[Winner]]="")), "-", IF(NFL2025_26Results4[[#This Row],[Predicted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0.26140283318941115</v>
      </c>
      <c r="O176">
        <v>-1.2642925387070756</v>
      </c>
      <c r="P176" s="33">
        <v>0.48836315686842935</v>
      </c>
      <c r="Q176" t="s">
        <v>19</v>
      </c>
      <c r="R176" t="s">
        <v>122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-4.4139581934484156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0.62782234821523575</v>
      </c>
      <c r="M177" t="str">
        <f>IF(OR((NFL2025_26Results[[#This Row],[Winner]]="")), "-", IF(NFL2025_26Results4[[#This Row],[Predicted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0.39416090091849271</v>
      </c>
      <c r="O177">
        <v>-3.995288736206914</v>
      </c>
      <c r="P177" s="33">
        <v>0.68664528993701179</v>
      </c>
      <c r="Q177" t="s">
        <v>4</v>
      </c>
      <c r="R177" t="s">
        <v>121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9.0474141028411061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0.80984935580981532</v>
      </c>
      <c r="M178" t="str">
        <f>IF(OR((NFL2025_26Results[[#This Row],[Winner]]="")), "-", IF(NFL2025_26Results4[[#This Row],[Predicted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3.6157267485942217E-2</v>
      </c>
      <c r="O178">
        <v>9.4660835600826054</v>
      </c>
      <c r="P178" s="33">
        <v>0.75781679922442935</v>
      </c>
      <c r="Q178" t="s">
        <v>39</v>
      </c>
      <c r="R178" t="s">
        <v>122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11.197836485318028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0.76715829712114791</v>
      </c>
      <c r="M179" t="str">
        <f>IF(OR((NFL2025_26Results[[#This Row],[Winner]]="")), "-", IF(NFL2025_26Results4[[#This Row],[Predicted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5.4215258599523634E-2</v>
      </c>
      <c r="O179">
        <v>11.616505942559531</v>
      </c>
      <c r="P179" s="33">
        <v>0.78585331512587153</v>
      </c>
      <c r="Q179" t="s">
        <v>34</v>
      </c>
      <c r="R179" t="s">
        <v>122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6.5268664574424839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0.66695422237592872</v>
      </c>
      <c r="M180" t="str">
        <f>IF(OR((NFL2025_26Results[[#This Row],[Winner]]="")), "-", IF(NFL2025_26Results4[[#This Row],[Predicted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0.44482793474507976</v>
      </c>
      <c r="O180">
        <v>6.9779657427276565</v>
      </c>
      <c r="P180" s="33">
        <v>0.65966434937212326</v>
      </c>
      <c r="Q180" t="s">
        <v>36</v>
      </c>
      <c r="R180" t="s">
        <v>121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-7.2435780377617274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0.58363129254710999</v>
      </c>
      <c r="M181" t="str">
        <f>IF(OR((NFL2025_26Results[[#This Row],[Winner]]="")), "-", IF(NFL2025_26Results4[[#This Row],[Predicted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0.34062548564021028</v>
      </c>
      <c r="O181">
        <v>-6.7924787524765549</v>
      </c>
      <c r="P181" s="33">
        <v>0.58938244542202656</v>
      </c>
      <c r="Q181" t="s">
        <v>7</v>
      </c>
      <c r="R181" t="s">
        <v>121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12.852357823534467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0.75936032189038383</v>
      </c>
      <c r="M182" t="str">
        <f>IF(OR((NFL2025_26Results[[#This Row],[Winner]]="")), "-", IF(NFL2025_26Results4[[#This Row],[Predicted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0.57662809846146734</v>
      </c>
      <c r="O182">
        <v>13.303457108819639</v>
      </c>
      <c r="P182" s="33">
        <v>0.84439929085254284</v>
      </c>
      <c r="Q182" t="s">
        <v>42</v>
      </c>
      <c r="R182" t="s">
        <v>121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12.077780254627868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0.70614005622572185</v>
      </c>
      <c r="M183" t="str">
        <f>IF(OR((NFL2025_26Results[[#This Row],[Winner]]="")), "-", IF(NFL2025_26Results4[[#This Row],[Predicted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0.49863377900646561</v>
      </c>
      <c r="O183">
        <v>12.350725364494016</v>
      </c>
      <c r="P183" s="33">
        <v>0.80782677008264359</v>
      </c>
      <c r="Q183" t="s">
        <v>4</v>
      </c>
      <c r="R183" t="s">
        <v>121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-1.5458639186551215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0.48638435775371708</v>
      </c>
      <c r="M184" t="str">
        <f>IF(OR((NFL2025_26Results[[#This Row],[Winner]]="")), "-", IF(NFL2025_26Results4[[#This Row],[Predicted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0.23656974346749585</v>
      </c>
      <c r="O184">
        <v>-1.374825788834146</v>
      </c>
      <c r="P184" s="33">
        <v>0.48851863118247729</v>
      </c>
      <c r="Q184" t="s">
        <v>19</v>
      </c>
      <c r="R184" t="s">
        <v>121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-10.217101090817611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0.74827061484556223</v>
      </c>
      <c r="M185" t="str">
        <f>IF(OR((NFL2025_26Results[[#This Row],[Winner]]="")), "-", IF(NFL2025_26Results4[[#This Row],[Predicted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6.3367683350231269E-2</v>
      </c>
      <c r="O185">
        <v>3.3615092175735306</v>
      </c>
      <c r="P185" s="33">
        <v>0.60972930124752134</v>
      </c>
      <c r="Q185" t="s">
        <v>29</v>
      </c>
      <c r="R185" t="s">
        <v>122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2.620889269226149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0.57104836863388653</v>
      </c>
      <c r="M186" t="str">
        <f>IF(OR((NFL2025_26Results[[#This Row],[Winner]]="")), "-", IF(NFL2025_26Results4[[#This Row],[Predicted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0.32609623931942316</v>
      </c>
      <c r="O186">
        <v>-10.046062960996636</v>
      </c>
      <c r="P186" s="33">
        <v>0.77786609530475803</v>
      </c>
      <c r="Q186" t="s">
        <v>34</v>
      </c>
      <c r="R186" t="s">
        <v>121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7.1672380779564966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0.6623283442176362</v>
      </c>
      <c r="M187" t="str">
        <f>IF(OR((NFL2025_26Results[[#This Row],[Winner]]="")), "-", IF(NFL2025_26Results4[[#This Row],[Predicted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0.11402214711880318</v>
      </c>
      <c r="O187">
        <v>-7.5724543138097822</v>
      </c>
      <c r="P187" s="33">
        <v>0.68339462337076384</v>
      </c>
      <c r="Q187" t="s">
        <v>14</v>
      </c>
      <c r="R187" t="s">
        <v>122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-7.7434924436307577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0.71355903571186174</v>
      </c>
      <c r="M188" t="str">
        <f>IF(OR((NFL2025_26Results[[#This Row],[Winner]]="")), "-", IF(NFL2025_26Results4[[#This Row],[Predicted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8.2048426022318502E-2</v>
      </c>
      <c r="O188">
        <v>-14.252701889897878</v>
      </c>
      <c r="P188" s="33">
        <v>0.86707879260785248</v>
      </c>
      <c r="Q188" t="s">
        <v>39</v>
      </c>
      <c r="R188" t="s">
        <v>122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3.1904710877525551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0.60149998857451281</v>
      </c>
      <c r="M189" t="str">
        <f>IF(OR((NFL2025_26Results[[#This Row],[Winner]]="")), "-", IF(NFL2025_26Results4[[#This Row],[Predicted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0.15880225910611342</v>
      </c>
      <c r="O189">
        <v>7.3382762077774721</v>
      </c>
      <c r="P189" s="33">
        <v>0.69222117186368859</v>
      </c>
      <c r="Q189" t="s">
        <v>20</v>
      </c>
      <c r="R189" t="s">
        <v>122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-14.423740019718853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0.7800785233008164</v>
      </c>
      <c r="M190" t="str">
        <f>IF(OR((NFL2025_26Results[[#This Row],[Winner]]="")), "-", IF(NFL2025_26Results4[[#This Row],[Predicted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0.60852250251518236</v>
      </c>
      <c r="O190">
        <v>2.7919273990471254</v>
      </c>
      <c r="P190" s="33">
        <v>0.74284571563732271</v>
      </c>
      <c r="Q190" t="s">
        <v>28</v>
      </c>
      <c r="R190" t="s">
        <v>121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14.912158991073957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0.83784974512920285</v>
      </c>
      <c r="M191" t="str">
        <f>IF(OR((NFL2025_26Results[[#This Row],[Winner]]="")), "-", IF(NFL2025_26Results4[[#This Row],[Predicted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2.6292705154664475E-2</v>
      </c>
      <c r="O191">
        <v>15.083197120894933</v>
      </c>
      <c r="P191" s="33">
        <v>0.85833210364188162</v>
      </c>
      <c r="Q191" t="s">
        <v>33</v>
      </c>
      <c r="R191" t="s">
        <v>122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-2.8901654115031188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0.54932850638680919</v>
      </c>
      <c r="M192" t="str">
        <f>IF(OR((NFL2025_26Results[[#This Row],[Winner]]="")), "-", IF(NFL2025_26Results4[[#This Row],[Predicted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0.20310479515554428</v>
      </c>
      <c r="O192">
        <v>-2.7191272816821432</v>
      </c>
      <c r="P192" s="33">
        <v>0.46468810679997458</v>
      </c>
      <c r="Q192" t="s">
        <v>41</v>
      </c>
      <c r="R192" t="s">
        <v>122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12.365838121658193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0.80277252082347084</v>
      </c>
      <c r="M193" t="str">
        <f>IF(OR((NFL2025_26Results[[#This Row],[Winner]]="")), "-", IF(NFL2025_26Results4[[#This Row],[Predicted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3.8898678542328244E-2</v>
      </c>
      <c r="O193">
        <v>12.536876251479168</v>
      </c>
      <c r="P193" s="33">
        <v>0.85177405270733764</v>
      </c>
      <c r="Q193" t="s">
        <v>6</v>
      </c>
      <c r="R193" t="s">
        <v>122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-7.4496851303624476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0.70854441756185427</v>
      </c>
      <c r="M194" t="str">
        <f>IF(OR((NFL2025_26Results[[#This Row],[Winner]]="")), "-", IF(NFL2025_26Results4[[#This Row],[Predicted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8.4946356534358766E-2</v>
      </c>
      <c r="O194">
        <v>-7.2786470005414721</v>
      </c>
      <c r="P194" s="33">
        <v>0.67730004580765391</v>
      </c>
      <c r="Q194" t="s">
        <v>31</v>
      </c>
      <c r="R194" t="s">
        <v>122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7.6543261712992754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0.74319925001568621</v>
      </c>
      <c r="M195" t="str">
        <f>IF(OR((NFL2025_26Results[[#This Row],[Winner]]="")), "-", IF(NFL2025_26Results4[[#This Row],[Predicted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6.5946625192506034E-2</v>
      </c>
      <c r="O195">
        <v>7.8748166732405211</v>
      </c>
      <c r="P195" s="33">
        <v>0.77343832418944969</v>
      </c>
      <c r="Q195" t="s">
        <v>17</v>
      </c>
      <c r="R195" t="s">
        <v>122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9.8456079673406229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0.74407885231844273</v>
      </c>
      <c r="M196" t="str">
        <f>IF(OR((NFL2025_26Results[[#This Row],[Winner]]="")), "-", IF(NFL2025_26Results4[[#This Row],[Predicted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6.5495633830645453E-2</v>
      </c>
      <c r="O196">
        <v>10.066098469281869</v>
      </c>
      <c r="P196" s="33">
        <v>0.80284157554326385</v>
      </c>
      <c r="Q196" t="s">
        <v>36</v>
      </c>
      <c r="R196" t="s">
        <v>122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-13.373666415083669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0.85034184732184037</v>
      </c>
      <c r="M197" t="str">
        <f>IF(OR((NFL2025_26Results[[#This Row],[Winner]]="")), "-", IF(NFL2025_26Results4[[#This Row],[Predicted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2.2397562663039338E-2</v>
      </c>
      <c r="O197">
        <v>16.069725402349754</v>
      </c>
      <c r="P197" s="33">
        <v>0.9032431222721824</v>
      </c>
      <c r="Q197" t="s">
        <v>20</v>
      </c>
      <c r="R197" t="s">
        <v>122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17.540167139816504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0.92773674168619802</v>
      </c>
      <c r="M198" t="str">
        <f>IF(OR((NFL2025_26Results[[#This Row],[Winner]]="")), "-", IF(NFL2025_26Results4[[#This Row],[Predicted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5.2219785021272716E-3</v>
      </c>
      <c r="O198">
        <v>1.710120733307499</v>
      </c>
      <c r="P198" s="33">
        <v>0.57588498921212639</v>
      </c>
      <c r="Q198" t="s">
        <v>8</v>
      </c>
      <c r="R198" t="s">
        <v>122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3.0279065233534439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0.59167943180048699</v>
      </c>
      <c r="M199" t="str">
        <f>IF(OR((NFL2025_26Results[[#This Row],[Winner]]="")), "-", IF(NFL2025_26Results4[[#This Row],[Predicted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0.35008455001574712</v>
      </c>
      <c r="O199">
        <v>3.2766843442881459</v>
      </c>
      <c r="P199" s="33">
        <v>0.60875759123679418</v>
      </c>
      <c r="Q199" t="s">
        <v>23</v>
      </c>
      <c r="R199" t="s">
        <v>121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-6.890283227640122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0.51415308316353836</v>
      </c>
      <c r="M200" t="str">
        <f>IF(OR((NFL2025_26Results[[#This Row],[Winner]]="")), "-", IF(NFL2025_26Results4[[#This Row],[Predicted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0.26435339292657239</v>
      </c>
      <c r="O200">
        <v>2.9658498389876793</v>
      </c>
      <c r="P200" s="33">
        <v>0.60223507346818561</v>
      </c>
      <c r="Q200" t="s">
        <v>42</v>
      </c>
      <c r="R200" t="s">
        <v>121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1.461342912372797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0.56494177769182063</v>
      </c>
      <c r="M201" t="str">
        <f>IF(OR((NFL2025_26Results[[#This Row],[Winner]]="")), "-", IF(NFL2025_26Results4[[#This Row],[Predicted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0.31915921218159449</v>
      </c>
      <c r="O201">
        <v>-6.6415054067054209</v>
      </c>
      <c r="P201" s="33">
        <v>0.54764865753922831</v>
      </c>
      <c r="Q201" t="s">
        <v>28</v>
      </c>
      <c r="R201" t="s">
        <v>121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4.1676068231664312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0.61113150651379367</v>
      </c>
      <c r="M202" t="str">
        <f>IF(OR((NFL2025_26Results[[#This Row],[Winner]]="")), "-", IF(NFL2025_26Results4[[#This Row],[Predicted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0.15121870522623171</v>
      </c>
      <c r="O202">
        <v>-13.124888594148969</v>
      </c>
      <c r="P202" s="33">
        <v>0.88220736463379434</v>
      </c>
      <c r="Q202" t="s">
        <v>33</v>
      </c>
      <c r="R202" t="s">
        <v>122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15.820947581415055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0.81002735231314105</v>
      </c>
      <c r="M203" t="str">
        <f>IF(OR((NFL2025_26Results[[#This Row],[Winner]]="")), "-", IF(NFL2025_26Results4[[#This Row],[Predicted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0.6561443114954375</v>
      </c>
      <c r="O203">
        <v>4.4163846441011332</v>
      </c>
      <c r="P203" s="33">
        <v>0.63267293953196757</v>
      </c>
      <c r="Q203" t="s">
        <v>44</v>
      </c>
      <c r="R203" t="s">
        <v>121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2.7170720180529777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0.56560496769792246</v>
      </c>
      <c r="M204" t="str">
        <f>IF(OR((NFL2025_26Results[[#This Row],[Winner]]="")), "-", IF(NFL2025_26Results4[[#This Row],[Predicted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0.31990897948456792</v>
      </c>
      <c r="O204">
        <v>17.788944960751206</v>
      </c>
      <c r="P204" s="33">
        <v>1</v>
      </c>
      <c r="Q204" t="s">
        <v>41</v>
      </c>
      <c r="R204" t="s">
        <v>121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-13.011622855660217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0.80347396018021122</v>
      </c>
      <c r="M205" t="str">
        <f>IF(OR((NFL2025_26Results[[#This Row],[Winner]]="")), "-", IF(NFL2025_26Results4[[#This Row],[Predicted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3.8622484327249205E-2</v>
      </c>
      <c r="O205">
        <v>-12.762845034725515</v>
      </c>
      <c r="P205" s="33">
        <v>0.82030035293139747</v>
      </c>
      <c r="Q205" t="s">
        <v>31</v>
      </c>
      <c r="R205" t="s">
        <v>122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8.7252056096616446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0.67833104764013319</v>
      </c>
      <c r="M206" t="str">
        <f>IF(OR((NFL2025_26Results[[#This Row],[Winner]]="")), "-", IF(NFL2025_26Results4[[#This Row],[Predicted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0.10347091491229427</v>
      </c>
      <c r="O206">
        <v>8.9739834305963448</v>
      </c>
      <c r="P206" s="33">
        <v>0.67106772210258214</v>
      </c>
      <c r="Q206" t="s">
        <v>35</v>
      </c>
      <c r="R206" t="s">
        <v>122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-9.4425782965497564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0.70212146117001906</v>
      </c>
      <c r="M207" t="str">
        <f>IF(OR((NFL2025_26Results[[#This Row],[Winner]]="")), "-", IF(NFL2025_26Results4[[#This Row],[Predicted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8.873162389548446E-2</v>
      </c>
      <c r="O207">
        <v>-9.1938004756150562</v>
      </c>
      <c r="P207" s="33">
        <v>0.74540790644689081</v>
      </c>
      <c r="Q207" t="s">
        <v>39</v>
      </c>
      <c r="R207" t="s">
        <v>122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1.0717790730624959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0.49906204565117063</v>
      </c>
      <c r="M208" t="str">
        <f>IF(OR((NFL2025_26Results[[#This Row],[Winner]]="")), "-", IF(NFL2025_26Results4[[#This Row],[Predicted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0.24906292540953112</v>
      </c>
      <c r="O208">
        <v>1.3205568939971979</v>
      </c>
      <c r="P208" s="33">
        <v>0.65271042358128506</v>
      </c>
      <c r="Q208" t="s">
        <v>7</v>
      </c>
      <c r="R208" t="s">
        <v>121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-2.3275854048302236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0.53972655372977352</v>
      </c>
      <c r="M209" t="str">
        <f>IF(OR((NFL2025_26Results[[#This Row],[Winner]]="")), "-", IF(NFL2025_26Results4[[#This Row],[Predicted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0.29130475280101809</v>
      </c>
      <c r="O209">
        <v>-2.3171057570230102</v>
      </c>
      <c r="P209" s="33">
        <v>0.52866879465465932</v>
      </c>
      <c r="Q209" t="s">
        <v>4</v>
      </c>
      <c r="R209" t="s">
        <v>121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11.880627624050529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0.74277511221320858</v>
      </c>
      <c r="M210" t="str">
        <f>IF(OR((NFL2025_26Results[[#This Row],[Winner]]="")), "-", IF(NFL2025_26Results4[[#This Row],[Predicted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0.55171486732334463</v>
      </c>
      <c r="O210">
        <v>11.903209549770029</v>
      </c>
      <c r="P210" s="33">
        <v>0.77806572322749878</v>
      </c>
      <c r="Q210" t="s">
        <v>20</v>
      </c>
      <c r="R210" t="s">
        <v>121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-0.64488242939763563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0.46306146109771734</v>
      </c>
      <c r="M211" t="str">
        <f>IF(OR((NFL2025_26Results[[#This Row],[Winner]]="")), "-", IF(NFL2025_26Results4[[#This Row],[Predicted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0.28830299455851816</v>
      </c>
      <c r="O211">
        <v>-0.65970831621551707</v>
      </c>
      <c r="P211" s="33">
        <v>0.42451156486007613</v>
      </c>
      <c r="Q211" t="s">
        <v>41</v>
      </c>
      <c r="R211" t="s">
        <v>122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6.4361486598923445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0.7132985975814875</v>
      </c>
      <c r="M212" t="str">
        <f>IF(OR((NFL2025_26Results[[#This Row],[Winner]]="")), "-", IF(NFL2025_26Results4[[#This Row],[Predicted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8.219769414874184E-2</v>
      </c>
      <c r="O212">
        <v>11.474303092371805</v>
      </c>
      <c r="P212" s="33">
        <v>0.82997855372687102</v>
      </c>
      <c r="Q212" t="s">
        <v>14</v>
      </c>
      <c r="R212" t="s">
        <v>122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-8.3376419007025699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0.67878514446533944</v>
      </c>
      <c r="M213" t="str">
        <f>IF(OR((NFL2025_26Results[[#This Row],[Winner]]="")), "-", IF(NFL2025_26Results4[[#This Row],[Predicted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0.10317898341615285</v>
      </c>
      <c r="O213">
        <v>16.935955601086484</v>
      </c>
      <c r="P213" s="33">
        <v>0.9189518658809267</v>
      </c>
      <c r="Q213" t="s">
        <v>4</v>
      </c>
      <c r="R213" t="s">
        <v>122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11.756627434270454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0.82902496063453235</v>
      </c>
      <c r="M214" t="str">
        <f>IF(OR((NFL2025_26Results[[#This Row],[Winner]]="")), "-", IF(NFL2025_26Results4[[#This Row],[Predicted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2.9232464086023213E-2</v>
      </c>
      <c r="O214">
        <v>11.741801547452573</v>
      </c>
      <c r="P214" s="33">
        <v>0.8185906189437101</v>
      </c>
      <c r="Q214" t="s">
        <v>40</v>
      </c>
      <c r="R214" t="s">
        <v>122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11.489128979189687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0.79954140256448925</v>
      </c>
      <c r="M215" t="str">
        <f>IF(OR((NFL2025_26Results[[#This Row],[Winner]]="")), "-", IF(NFL2025_26Results4[[#This Row],[Predicted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4.0183649285812161E-2</v>
      </c>
      <c r="O215">
        <v>-8.3524677875204514</v>
      </c>
      <c r="P215" s="33">
        <v>0.68770185417309837</v>
      </c>
      <c r="Q215" t="s">
        <v>42</v>
      </c>
      <c r="R215" t="s">
        <v>122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9.6719211719754341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0.66507755002727498</v>
      </c>
      <c r="M216" t="str">
        <f>IF(OR((NFL2025_26Results[[#This Row],[Winner]]="")), "-", IF(NFL2025_26Results4[[#This Row],[Predicted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0.44232814755028244</v>
      </c>
      <c r="O216">
        <v>6.4213227730744631</v>
      </c>
      <c r="P216" s="33">
        <v>0.75899318914940872</v>
      </c>
      <c r="Q216" t="s">
        <v>43</v>
      </c>
      <c r="R216" t="s">
        <v>121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2.3116922311149173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0.57945529364272053</v>
      </c>
      <c r="M217" t="str">
        <f>IF(OR((NFL2025_26Results[[#This Row],[Winner]]="")), "-", IF(NFL2025_26Results4[[#This Row],[Predicted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0.33576843733057149</v>
      </c>
      <c r="O217">
        <v>9.6570952851575527</v>
      </c>
      <c r="P217" s="33">
        <v>0.73007228842480498</v>
      </c>
      <c r="Q217" t="s">
        <v>7</v>
      </c>
      <c r="R217" t="s">
        <v>121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16.950781487904365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0.83635698214200149</v>
      </c>
      <c r="M218" t="str">
        <f>IF(OR((NFL2025_26Results[[#This Row],[Winner]]="")), "-", IF(NFL2025_26Results4[[#This Row],[Predicted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2.677903729367322E-2</v>
      </c>
      <c r="O218">
        <v>2.2968663442970363</v>
      </c>
      <c r="P218" s="33">
        <v>0.58437996408683801</v>
      </c>
      <c r="Q218" t="s">
        <v>12</v>
      </c>
      <c r="R218" t="s">
        <v>122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-1.4151898188735128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0.48415405005575207</v>
      </c>
      <c r="M219" t="str">
        <f>IF(OR((NFL2025_26Results[[#This Row],[Winner]]="")), "-", IF(NFL2025_26Results4[[#This Row],[Predicted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0.23440514418538769</v>
      </c>
      <c r="O219">
        <v>3.2973661243389465</v>
      </c>
      <c r="P219" s="33">
        <v>0.65542755908961026</v>
      </c>
      <c r="Q219" t="s">
        <v>33</v>
      </c>
      <c r="R219" t="s">
        <v>121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3.3121920111568279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0.68489778194636908</v>
      </c>
      <c r="M220" t="str">
        <f>IF(OR((NFL2025_26Results[[#This Row],[Winner]]="")), "-", IF(NFL2025_26Results4[[#This Row],[Predicted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9.9289407822317974E-2</v>
      </c>
      <c r="O220">
        <v>-1.4300157056913942</v>
      </c>
      <c r="P220" s="33">
        <v>0.48763070903963363</v>
      </c>
      <c r="Q220" t="s">
        <v>15</v>
      </c>
      <c r="R220" t="s">
        <v>122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6.1854898969699228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0.74842929339005559</v>
      </c>
      <c r="M221" t="str">
        <f>IF(OR((NFL2025_26Results[[#This Row],[Winner]]="")), "-", IF(NFL2025_26Results4[[#This Row],[Predicted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6.3287820424226732E-2</v>
      </c>
      <c r="O221">
        <v>15.487539688769123</v>
      </c>
      <c r="P221" s="33">
        <v>0.86528738826686524</v>
      </c>
      <c r="Q221" t="s">
        <v>34</v>
      </c>
      <c r="R221" t="s">
        <v>122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7.5562896281336016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0.7843992750354134</v>
      </c>
      <c r="M222" t="str">
        <f>IF(OR((NFL2025_26Results[[#This Row],[Winner]]="")), "-", IF(NFL2025_26Results4[[#This Row],[Predicted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4.6483672605255315E-2</v>
      </c>
      <c r="O222">
        <v>6.1706640101520414</v>
      </c>
      <c r="P222" s="33">
        <v>0.66468388060608852</v>
      </c>
      <c r="Q222" t="s">
        <v>31</v>
      </c>
      <c r="R222" t="s">
        <v>122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15.502365575587003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0.84062675324356317</v>
      </c>
      <c r="M223" t="str">
        <f>IF(OR((NFL2025_26Results[[#This Row],[Winner]]="")), "-", IF(NFL2025_26Results4[[#This Row],[Predicted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2.5399831781688101E-2</v>
      </c>
      <c r="O223">
        <v>7.5414637413157202</v>
      </c>
      <c r="P223" s="33">
        <v>0.77071587538508479</v>
      </c>
      <c r="Q223" t="s">
        <v>39</v>
      </c>
      <c r="R223" t="s">
        <v>122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2.8072787459917485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0.54081442929923251</v>
      </c>
      <c r="M224" t="str">
        <f>IF(OR((NFL2025_26Results[[#This Row],[Winner]]="")), "-", IF(NFL2025_26Results4[[#This Row],[Predicted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0.29248024693825458</v>
      </c>
      <c r="O224">
        <v>2.792452859173868</v>
      </c>
      <c r="P224" s="33">
        <v>0.64567164419685574</v>
      </c>
      <c r="Q224" t="s">
        <v>5</v>
      </c>
      <c r="R224" t="s">
        <v>121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9.5365587750118053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0.72880495967957537</v>
      </c>
      <c r="M225" t="str">
        <f>IF(OR((NFL2025_26Results[[#This Row],[Winner]]="")), "-", IF(NFL2025_26Results4[[#This Row],[Predicted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7.3546749894396746E-2</v>
      </c>
      <c r="O225">
        <v>9.4831099994875867</v>
      </c>
      <c r="P225" s="33">
        <v>0.7414621887153835</v>
      </c>
      <c r="Q225" t="s">
        <v>9</v>
      </c>
      <c r="R225" t="s">
        <v>122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1.4750565338558292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0.57517583781246961</v>
      </c>
      <c r="M226" t="str">
        <f>IF(OR((NFL2025_26Results[[#This Row],[Winner]]="")), "-", IF(NFL2025_26Results4[[#This Row],[Predicted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0.18047556877833712</v>
      </c>
      <c r="O226">
        <v>1.4539369732577609</v>
      </c>
      <c r="P226" s="33">
        <v>0.52900091178751107</v>
      </c>
      <c r="Q226" t="s">
        <v>33</v>
      </c>
      <c r="R226" t="s">
        <v>122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-6.8741278397746983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0.66981181138866885</v>
      </c>
      <c r="M227" t="str">
        <f>IF(OR((NFL2025_26Results[[#This Row],[Winner]]="")), "-", IF(NFL2025_26Results4[[#This Row],[Predicted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0.10902423989843199</v>
      </c>
      <c r="O227">
        <v>-6.8948202368204212</v>
      </c>
      <c r="P227" s="33">
        <v>0.65250252781953111</v>
      </c>
      <c r="Q227" t="s">
        <v>4</v>
      </c>
      <c r="R227" t="s">
        <v>122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-4.2104896868297477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0.48853008548059418</v>
      </c>
      <c r="M228" t="str">
        <f>IF(OR((NFL2025_26Results[[#This Row],[Winner]]="")), "-", IF(NFL2025_26Results4[[#This Row],[Predicted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0.23866164441967666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-10.9639120994776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0.7134446665514218</v>
      </c>
      <c r="M229" t="str">
        <f>IF(OR((NFL2025_26Results[[#This Row],[Winner]]="")), "-", IF(NFL2025_26Results4[[#This Row],[Predicted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8.2113959127825834E-2</v>
      </c>
      <c r="O229">
        <v>-10.984604496523319</v>
      </c>
      <c r="P229" s="33">
        <v>0.73457540357571172</v>
      </c>
      <c r="Q229" t="s">
        <v>41</v>
      </c>
      <c r="R229" t="s">
        <v>122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-7.633683878293696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0.58324355421694785</v>
      </c>
      <c r="M230" t="str">
        <f>IF(OR((NFL2025_26Results[[#This Row],[Winner]]="")), "-", IF(NFL2025_26Results4[[#This Row],[Predicted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0.34017304353561778</v>
      </c>
      <c r="O230">
        <v>-7.6543762753394189</v>
      </c>
      <c r="P230" s="33">
        <v>0.615144772567353</v>
      </c>
      <c r="Q230" t="s">
        <v>20</v>
      </c>
      <c r="R230" t="s">
        <v>121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5.1134429533015799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0.63432071557299152</v>
      </c>
      <c r="M231" t="str">
        <f>IF(OR((NFL2025_26Results[[#This Row],[Winner]]="")), "-", IF(NFL2025_26Results4[[#This Row],[Predicted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0.40236277020503203</v>
      </c>
      <c r="O231">
        <v>5.092750556255857</v>
      </c>
      <c r="P231" s="33">
        <v>0.65621679955920198</v>
      </c>
      <c r="Q231" t="s">
        <v>29</v>
      </c>
      <c r="R231" t="s">
        <v>121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0.17098517279775705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0.49581893393927307</v>
      </c>
      <c r="M232" t="str">
        <f>IF(OR((NFL2025_26Results[[#This Row],[Winner]]="")), "-", IF(NFL2025_26Results4[[#This Row],[Predicted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0.24583641525267722</v>
      </c>
      <c r="O232">
        <v>0.15029277575203409</v>
      </c>
      <c r="P232" s="33">
        <v>0.46455450334606629</v>
      </c>
      <c r="Q232" t="s">
        <v>5</v>
      </c>
      <c r="R232" t="s">
        <v>121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-15.342023436523176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0.72185321368215882</v>
      </c>
      <c r="M233" t="str">
        <f>IF(OR((NFL2025_26Results[[#This Row],[Winner]]="")), "-", IF(NFL2025_26Results4[[#This Row],[Predicted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0.5210720621032604</v>
      </c>
      <c r="O233">
        <v>-15.362715833568901</v>
      </c>
      <c r="P233" s="33">
        <v>0.76829554514878085</v>
      </c>
      <c r="Q233" t="s">
        <v>7</v>
      </c>
      <c r="R233" t="s">
        <v>121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0.40144336936443437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0.49975232770835826</v>
      </c>
      <c r="M234" t="str">
        <f>IF(OR((NFL2025_26Results[[#This Row],[Winner]]="")), "-", IF(NFL2025_26Results4[[#This Row],[Predicted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0.24975238904992231</v>
      </c>
      <c r="O234">
        <v>0.38075097231871152</v>
      </c>
      <c r="P234" s="33">
        <v>0.52687159458017996</v>
      </c>
      <c r="Q234" t="s">
        <v>12</v>
      </c>
      <c r="R234" t="s">
        <v>121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2.1202598841224933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0.5761879817741079</v>
      </c>
      <c r="M235" t="str">
        <f>IF(OR((NFL2025_26Results[[#This Row],[Winner]]="")), "-", IF(NFL2025_26Results4[[#This Row],[Predicted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0.1796166267927039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6.9707475075099801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0.65897470005573411</v>
      </c>
      <c r="M236" t="str">
        <f>IF(OR((NFL2025_26Results[[#This Row],[Winner]]="")), "-", IF(NFL2025_26Results4[[#This Row],[Predicted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0.43424765531354476</v>
      </c>
      <c r="O236">
        <v>6.9500551104642572</v>
      </c>
      <c r="P236" s="33">
        <v>0.67947215142863748</v>
      </c>
      <c r="Q236" t="s">
        <v>26</v>
      </c>
      <c r="R236" t="s">
        <v>121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7.6018264005828042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0.67520031732631558</v>
      </c>
      <c r="M237" t="str">
        <f>IF(OR((NFL2025_26Results[[#This Row],[Winner]]="")), "-", IF(NFL2025_26Results4[[#This Row],[Predicted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0.45589546851755725</v>
      </c>
      <c r="O237">
        <v>7.5811340035370796</v>
      </c>
      <c r="P237" s="33">
        <v>0.75213650150055955</v>
      </c>
      <c r="Q237" t="s">
        <v>31</v>
      </c>
      <c r="R237" t="s">
        <v>121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9.0997581161900936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0.71086759221834639</v>
      </c>
      <c r="M238" t="str">
        <f>IF(OR((NFL2025_26Results[[#This Row],[Winner]]="")), "-", IF(NFL2025_26Results4[[#This Row],[Predicted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0.50533273366630915</v>
      </c>
      <c r="O238">
        <v>9.0790657191443707</v>
      </c>
      <c r="P238" s="33">
        <v>0.77043195424261524</v>
      </c>
      <c r="Q238" t="s">
        <v>36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20.965980220571129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0.98620752739327999</v>
      </c>
      <c r="M239" t="str">
        <f>IF(OR((NFL2025_26Results[[#This Row],[Winner]]="")), "-", IF(NFL2025_26Results4[[#This Row],[Predicted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1.902323006071218E-4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0.47178903594749477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0.35870170930686396</v>
      </c>
      <c r="M240" t="str">
        <f>IF(OR((NFL2025_26Results[[#This Row],[Winner]]="")), "-", IF(NFL2025_26Results4[[#This Row],[Predicted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0.12866691625966592</v>
      </c>
      <c r="O240">
        <v>0.45109663890177187</v>
      </c>
      <c r="P240" s="33">
        <v>0.35970185710144043</v>
      </c>
      <c r="Q240" t="s">
        <v>42</v>
      </c>
      <c r="R240" t="s">
        <v>121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8.1608419413476696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0.61754775682200747</v>
      </c>
      <c r="M241" t="str">
        <f>IF(OR((NFL2025_26Results[[#This Row],[Winner]]="")), "-", IF(NFL2025_26Results4[[#This Row],[Predicted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0.38136523195589328</v>
      </c>
      <c r="O241">
        <v>8.1583518343002872</v>
      </c>
      <c r="P241" s="33">
        <v>0.6544927763443078</v>
      </c>
      <c r="Q241" t="s">
        <v>28</v>
      </c>
      <c r="R241" t="s">
        <v>121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-0.20281168491033474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0.46346153111327143</v>
      </c>
      <c r="M242" t="str">
        <f>IF(OR((NFL2025_26Results[[#This Row],[Winner]]="")), "-", IF(NFL2025_26Results4[[#This Row],[Predicted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0.28787352859531495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-5.880812829084527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0.56037201055847352</v>
      </c>
      <c r="M243" t="str">
        <f>IF(OR((NFL2025_26Results[[#This Row],[Winner]]="")), "-", IF(NFL2025_26Results4[[#This Row],[Predicted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0.31401679021734596</v>
      </c>
      <c r="O243">
        <v>9.0790657191443707</v>
      </c>
      <c r="P243" s="33">
        <v>0.77043195424261524</v>
      </c>
      <c r="Q243" t="s">
        <v>36</v>
      </c>
      <c r="R243" t="s">
        <v>121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4.5114205151415119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0.50253153394967676</v>
      </c>
      <c r="M244" t="str">
        <f>IF(OR((NFL2025_26Results[[#This Row],[Winner]]="")), "-", IF(NFL2025_26Results4[[#This Row],[Predicted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0.25253794261381513</v>
      </c>
      <c r="O244">
        <v>-15.362715833568901</v>
      </c>
      <c r="P244" s="33">
        <v>0.76829554514878085</v>
      </c>
      <c r="Q244" t="s">
        <v>7</v>
      </c>
      <c r="R244" t="s">
        <v>121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-6.3427841374969889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0.58194101361148931</v>
      </c>
      <c r="M245" t="str">
        <f>IF(OR((NFL2025_26Results[[#This Row],[Winner]]="")), "-", IF(NFL2025_26Results4[[#This Row],[Predicted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0.17477331610018895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4.3705355635265288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0.57459503549558777</v>
      </c>
      <c r="M246" t="str">
        <f>IF(OR((NFL2025_26Results[[#This Row],[Winner]]="")), "-", IF(NFL2025_26Results4[[#This Row],[Predicted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0.33015945481617576</v>
      </c>
      <c r="O246">
        <v>-4.2311820838754706</v>
      </c>
      <c r="P246" s="33">
        <v>0.546448877203496</v>
      </c>
      <c r="Q246" t="s">
        <v>35</v>
      </c>
      <c r="R246" t="s">
        <v>121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-13.641438592158734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0.84821273935299391</v>
      </c>
      <c r="M247" t="str">
        <f>IF(OR((NFL2025_26Results[[#This Row],[Winner]]="")), "-", IF(NFL2025_26Results4[[#This Row],[Predicted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2.3039372494722165E-2</v>
      </c>
      <c r="O247">
        <v>1.4539369732577609</v>
      </c>
      <c r="P247" s="33">
        <v>0.52900091178751107</v>
      </c>
      <c r="Q247" t="s">
        <v>33</v>
      </c>
      <c r="R247" t="s">
        <v>122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-8.319323407591634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0.60199180303382183</v>
      </c>
      <c r="M248" t="str">
        <f>IF(OR((NFL2025_26Results[[#This Row],[Winner]]="")), "-", IF(NFL2025_26Results4[[#This Row],[Predicted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0.36239413091991174</v>
      </c>
      <c r="O248">
        <v>6.9500551104642572</v>
      </c>
      <c r="P248" s="33">
        <v>0.67947215142863748</v>
      </c>
      <c r="Q248" t="s">
        <v>26</v>
      </c>
      <c r="R248" t="s">
        <v>121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-5.8163887265585341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0.58004166939999746</v>
      </c>
      <c r="M249" t="str">
        <f>IF(OR((NFL2025_26Results[[#This Row],[Winner]]="")), "-", IF(NFL2025_26Results4[[#This Row],[Predicted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0.33644833824033593</v>
      </c>
      <c r="O249">
        <v>-6.0822025566348223</v>
      </c>
      <c r="P249" s="33">
        <v>0.63609348798104581</v>
      </c>
      <c r="Q249" t="s">
        <v>9</v>
      </c>
      <c r="R249" t="s">
        <v>121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11.404999150472019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0.66524545844004834</v>
      </c>
      <c r="M250" t="str">
        <f>IF(OR((NFL2025_26Results[[#This Row],[Winner]]="")), "-", IF(NFL2025_26Results4[[#This Row],[Predicted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0.44255151997511011</v>
      </c>
      <c r="O250">
        <v>8.1583518343002872</v>
      </c>
      <c r="P250" s="33">
        <v>0.6544927763443078</v>
      </c>
      <c r="Q250" t="s">
        <v>28</v>
      </c>
      <c r="R250" t="s">
        <v>121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-10.373118532246551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0.62999943167846661</v>
      </c>
      <c r="M251" t="str">
        <f>IF(OR((NFL2025_26Results[[#This Row],[Winner]]="")), "-", IF(NFL2025_26Results4[[#This Row],[Predicted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0.39689928391519091</v>
      </c>
      <c r="O251">
        <v>-7.6543762753394189</v>
      </c>
      <c r="P251" s="33">
        <v>0.615144772567353</v>
      </c>
      <c r="Q251" t="s">
        <v>20</v>
      </c>
      <c r="R251" t="s">
        <v>121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1.6253766514364347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0.56774145805366005</v>
      </c>
      <c r="M252" t="str">
        <f>IF(OR((NFL2025_26Results[[#This Row],[Winner]]="")), "-", IF(NFL2025_26Results4[[#This Row],[Predicted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0.32233036319289582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-8.0631408833285434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0.78697000323882582</v>
      </c>
      <c r="M253" t="str">
        <f>IF(OR((NFL2025_26Results[[#This Row],[Winner]]="")), "-", IF(NFL2025_26Results4[[#This Row],[Predicted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4.5381779520065883E-2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-3.3589140335807892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0.51732897214075402</v>
      </c>
      <c r="M254" t="str">
        <f>IF(OR((NFL2025_26Results[[#This Row],[Winner]]="")), "-", IF(NFL2025_26Results4[[#This Row],[Predicted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0.23297132113470101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1.4794150306211815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0.56371176583478222</v>
      </c>
      <c r="M255" t="str">
        <f>IF(OR((NFL2025_26Results[[#This Row],[Winner]]="")), "-", IF(NFL2025_26Results4[[#This Row],[Predicted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0.31777095494056834</v>
      </c>
      <c r="O255">
        <v>-6.8948202368204212</v>
      </c>
      <c r="P255" s="33">
        <v>0.65250252781953111</v>
      </c>
      <c r="Q255" t="s">
        <v>4</v>
      </c>
      <c r="R255" t="s">
        <v>122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10.553026315173113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0.70952776219041636</v>
      </c>
      <c r="M256" t="str">
        <f>IF(OR((NFL2025_26Results[[#This Row],[Winner]]="")), "-", IF(NFL2025_26Results4[[#This Row],[Predicted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8.4374120938107311E-2</v>
      </c>
      <c r="O256">
        <v>10.28721248509682</v>
      </c>
      <c r="P256" s="33">
        <v>0.72239865207173892</v>
      </c>
      <c r="Q256" t="s">
        <v>34</v>
      </c>
      <c r="R256" t="s">
        <v>122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-14.15596784264379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0.78256822916559143</v>
      </c>
      <c r="M257" t="str">
        <f>IF(OR((NFL2025_26Results[[#This Row],[Winner]]="")), "-", IF(NFL2025_26Results4[[#This Row],[Predicted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0.61241303329936958</v>
      </c>
      <c r="O257">
        <v>-14.42178167272008</v>
      </c>
      <c r="P257" s="33">
        <v>0.8256528435820325</v>
      </c>
      <c r="Q257" t="s">
        <v>39</v>
      </c>
      <c r="R257" t="s">
        <v>121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12.148399801125592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0.74734537019722735</v>
      </c>
      <c r="M258" t="str">
        <f>IF(OR((NFL2025_26Results[[#This Row],[Winner]]="")), "-", IF(NFL2025_26Results4[[#This Row],[Predicted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6.383436196077609E-2</v>
      </c>
      <c r="O258">
        <v>11.807178829977602</v>
      </c>
      <c r="P258" s="33">
        <v>0.74100295722215082</v>
      </c>
      <c r="Q258" t="s">
        <v>20</v>
      </c>
      <c r="R258" t="s">
        <v>122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-4.700960068256653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0.66739058856959177</v>
      </c>
      <c r="M259" t="str">
        <f>IF(OR((NFL2025_26Results[[#This Row],[Winner]]="")), "-", IF(NFL2025_26Results4[[#This Row],[Predicted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0.11062902057208258</v>
      </c>
      <c r="O259">
        <v>-5.0421810394046451</v>
      </c>
      <c r="P259" s="33">
        <v>0.63639883929880492</v>
      </c>
      <c r="Q259" t="s">
        <v>33</v>
      </c>
      <c r="R259" t="s">
        <v>122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6.1976779187804736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0.6457801721600942</v>
      </c>
      <c r="M260" t="str">
        <f>IF(OR((NFL2025_26Results[[#This Row],[Winner]]="")), "-", IF(NFL2025_26Results4[[#This Row],[Predicted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0.12547168643493251</v>
      </c>
      <c r="O260">
        <v>-0.14540212723905022</v>
      </c>
      <c r="P260" s="33">
        <v>0.46247529557926548</v>
      </c>
      <c r="Q260" t="s">
        <v>23</v>
      </c>
      <c r="R260" t="s">
        <v>122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0.19581884390894189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0.54334217932785944</v>
      </c>
      <c r="M261" t="str">
        <f>IF(OR((NFL2025_26Results[[#This Row],[Winner]]="")), "-", IF(NFL2025_26Results4[[#This Row],[Predicted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0.29522072383674774</v>
      </c>
      <c r="O261">
        <v>1.5526056824577559</v>
      </c>
      <c r="P261" s="33">
        <v>0.6462659470338441</v>
      </c>
      <c r="Q261" t="s">
        <v>40</v>
      </c>
      <c r="R261" t="s">
        <v>122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1.893826653605748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0.66068953271595587</v>
      </c>
      <c r="M262" t="str">
        <f>IF(OR((NFL2025_26Results[[#This Row],[Winner]]="")), "-", IF(NFL2025_26Results4[[#This Row],[Predicted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0.11513159320851638</v>
      </c>
      <c r="O262">
        <v>-0.48969838635935803</v>
      </c>
      <c r="P262" s="33">
        <v>0.46833652350172233</v>
      </c>
      <c r="Q262" t="s">
        <v>5</v>
      </c>
      <c r="R262" t="s">
        <v>122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-0.14847741521136593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0.46253416953071269</v>
      </c>
      <c r="M263" t="str">
        <f>IF(OR((NFL2025_26Results[[#This Row],[Winner]]="")), "-", IF(NFL2025_26Results4[[#This Row],[Predicted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0.21393785798346607</v>
      </c>
      <c r="O263">
        <v>-1.9525253042059829</v>
      </c>
      <c r="P263" s="33">
        <v>0.56972007146685921</v>
      </c>
      <c r="Q263" t="s">
        <v>35</v>
      </c>
      <c r="R263" t="s">
        <v>121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-1.6113043330579908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0.50827050656749273</v>
      </c>
      <c r="M264" t="str">
        <f>IF(OR((NFL2025_26Results[[#This Row],[Winner]]="")), "-", IF(NFL2025_26Results4[[#This Row],[Predicted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0.2583389078463757</v>
      </c>
      <c r="O264">
        <v>5.8564569476324815</v>
      </c>
      <c r="P264" s="33">
        <v>0.63969910528750529</v>
      </c>
      <c r="Q264" t="s">
        <v>19</v>
      </c>
      <c r="R264" t="s">
        <v>121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12.258208366462656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0.81266782685704464</v>
      </c>
      <c r="M265" t="str">
        <f>IF(OR((NFL2025_26Results[[#This Row],[Winner]]="")), "-", IF(NFL2025_26Results4[[#This Row],[Predicted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3.5093343094462208E-2</v>
      </c>
      <c r="O265">
        <v>11.916987395314663</v>
      </c>
      <c r="P265" s="33">
        <v>0.82270702614870761</v>
      </c>
      <c r="Q265" t="s">
        <v>14</v>
      </c>
      <c r="R265" t="s">
        <v>122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15.480097196974025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0.89257606440166559</v>
      </c>
      <c r="M266" t="str">
        <f>IF(OR((NFL2025_26Results[[#This Row],[Winner]]="")), "-", IF(NFL2025_26Results4[[#This Row],[Predicted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1.1539901939435099E-2</v>
      </c>
      <c r="O266">
        <v>13.616073248233661</v>
      </c>
      <c r="P266" s="33">
        <v>0.88255641874679769</v>
      </c>
      <c r="Q266" t="s">
        <v>39</v>
      </c>
      <c r="R266" t="s">
        <v>122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-8.4799981828562832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0.54128587771207004</v>
      </c>
      <c r="M267" t="str">
        <f>IF(OR((NFL2025_26Results[[#This Row],[Winner]]="")), "-", IF(NFL2025_26Results4[[#This Row],[Predicted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0.21041864598638596</v>
      </c>
      <c r="O267">
        <v>-8.8212191540042753</v>
      </c>
      <c r="P267" s="33">
        <v>0.49941138150853881</v>
      </c>
      <c r="Q267" t="s">
        <v>36</v>
      </c>
      <c r="R267" t="s">
        <v>122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13.957294219381653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0.89364976796728979</v>
      </c>
      <c r="M268" t="str">
        <f>IF(OR((NFL2025_26Results[[#This Row],[Winner]]="")), "-", IF(NFL2025_26Results4[[#This Row],[Predicted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1.1310371853411301E-2</v>
      </c>
      <c r="O268">
        <v>-15.606906380533772</v>
      </c>
      <c r="P268" s="33">
        <v>0.725688728929203</v>
      </c>
      <c r="Q268" t="s">
        <v>7</v>
      </c>
      <c r="R268" t="s">
        <v>122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7.4178586182498707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0.74492647371839971</v>
      </c>
      <c r="M269" t="str">
        <f>IF(OR((NFL2025_26Results[[#This Row],[Winner]]="")), "-", IF(NFL2025_26Results4[[#This Row],[Predicted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6.5062503809730235E-2</v>
      </c>
      <c r="O269">
        <v>11.440620785969298</v>
      </c>
      <c r="P269" s="33">
        <v>0.77079961566231325</v>
      </c>
      <c r="Q269" t="s">
        <v>17</v>
      </c>
      <c r="R269" t="s">
        <v>122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-15.26568540938578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0.72055029833890005</v>
      </c>
      <c r="M270" t="str">
        <f>IF(OR((NFL2025_26Results[[#This Row],[Winner]]="")), "-", IF(NFL2025_26Results4[[#This Row],[Predicted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0.51919273243627784</v>
      </c>
      <c r="O270">
        <v>15.138876225826031</v>
      </c>
      <c r="P270" s="33">
        <v>0.87755579164123731</v>
      </c>
      <c r="Q270" t="s">
        <v>41</v>
      </c>
      <c r="R270" t="s">
        <v>121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11.781841757117288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0.81364649089896424</v>
      </c>
      <c r="M271" t="str">
        <f>IF(OR((NFL2025_26Results[[#This Row],[Winner]]="")), "-", IF(NFL2025_26Results4[[#This Row],[Predicted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3.4727630354269817E-2</v>
      </c>
      <c r="O271">
        <v>7.0766376471018777</v>
      </c>
      <c r="P271" s="33">
        <v>0.67103300554426226</v>
      </c>
      <c r="Q271" t="s">
        <v>31</v>
      </c>
      <c r="R271" t="s">
        <v>122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11.388843762606594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0.74142743952364454</v>
      </c>
      <c r="M272" t="str">
        <f>IF(OR((NFL2025_26Results[[#This Row],[Winner]]="")), "-", IF(NFL2025_26Results4[[#This Row],[Predicted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0.54971464807858761</v>
      </c>
      <c r="O272">
        <v>11.047622791458604</v>
      </c>
      <c r="P272" s="33">
        <v>0.79634493924686511</v>
      </c>
      <c r="Q272" t="s">
        <v>4</v>
      </c>
      <c r="R272" t="s">
        <v>121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1.797643904778919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0.52047758402051703</v>
      </c>
      <c r="M273" t="str">
        <f>IF(OR((NFL2025_26Results[[#This Row],[Winner]]="")), "-", IF(NFL2025_26Results4[[#This Row],[Predicted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0.22994174742680032</v>
      </c>
      <c r="O273">
        <v>1.4564229336309269</v>
      </c>
      <c r="P273" s="33">
        <v>0.49146050784087808</v>
      </c>
      <c r="Q273" t="s">
        <v>9</v>
      </c>
      <c r="R273" t="s">
        <v>122</v>
      </c>
    </row>
    <row r="274" spans="4:18" x14ac:dyDescent="0.2">
      <c r="D274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t="str">
        <f>'NFL 2025-26 Prediction Model'!F279</f>
        <v>Los Angeles Rams</v>
      </c>
      <c r="I274">
        <f>VLOOKUP(NFL2025_26Results4[[#This Row],[Away Team]],$A$3:$B$36,2,FALSE)</f>
        <v>11.691612540092581</v>
      </c>
      <c r="J274">
        <f>($B$1+NFL2025_26Results4[[#This Row],[Home Differential]])-NFL2025_26Results4[[#This Row],[Away Differential]]</f>
        <v>-14.423740019718853</v>
      </c>
      <c r="K274" t="str">
        <f>IF(NFL2025_26Results4[[#This Row],[HomeEdge Differential]]&gt;0,NFL2025_26Results4[[#This Row],[Home Team]],NFL2025_26Results4[[#This Row],[Away Team]])</f>
        <v>Los Angeles Rams</v>
      </c>
      <c r="L2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0.7800785233008164</v>
      </c>
      <c r="M274" t="str">
        <f>IF(OR((NFL2025_26Results[[#This Row],[Winner]]="")), "-", IF(NFL2025_26Results4[[#This Row],[Predicted Winner]]=NFL2025_26Results[[#This Row],[Winner]], "YES", "NO"))</f>
        <v>YES</v>
      </c>
      <c r="N274">
        <f>IF(NFL2025_26Results4[[#This Row],[Adjusted Correct]]="-", "",IF(NFL2025_26Results4[[#This Row],[Adjusted Correct]]="YES",(NFL2025_26Results4[[#This Row],[Strength of Win]]-1)^2,(NFL2025_26Results4[[#This Row],[Strength of Win]]-0)^2))</f>
        <v>4.8365455913549557E-2</v>
      </c>
      <c r="O274">
        <v>-14.540522447097707</v>
      </c>
      <c r="P274" s="33">
        <v>0.76480658926358502</v>
      </c>
      <c r="Q274" t="s">
        <v>39</v>
      </c>
      <c r="R274" t="s">
        <v>122</v>
      </c>
    </row>
    <row r="275" spans="4:18" x14ac:dyDescent="0.2">
      <c r="D275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t="str">
        <f>'NFL 2025-26 Prediction Model'!F280</f>
        <v>Green Bay Packers</v>
      </c>
      <c r="I275">
        <f>VLOOKUP(NFL2025_26Results4[[#This Row],[Away Team]],$A$3:$B$36,2,FALSE)</f>
        <v>2.1231723773483924</v>
      </c>
      <c r="J275">
        <f>($B$1+NFL2025_26Results4[[#This Row],[Home Differential]])-NFL2025_26Results4[[#This Row],[Away Differential]]</f>
        <v>-4.2104896868297477</v>
      </c>
      <c r="K275" t="str">
        <f>IF(NFL2025_26Results4[[#This Row],[HomeEdge Differential]]&gt;0,NFL2025_26Results4[[#This Row],[Home Team]],NFL2025_26Results4[[#This Row],[Away Team]])</f>
        <v>Green Bay Packers</v>
      </c>
      <c r="L2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0.48853008548059418</v>
      </c>
      <c r="M275" t="str">
        <f>IF(OR((NFL2025_26Results[[#This Row],[Winner]]="")), "-", IF(NFL2025_26Results4[[#This Row],[Predicted Winner]]=NFL2025_26Results[[#This Row],[Winner]], "YES", "NO"))</f>
        <v>NO</v>
      </c>
      <c r="N275">
        <f>IF(NFL2025_26Results4[[#This Row],[Adjusted Correct]]="-", "",IF(NFL2025_26Results4[[#This Row],[Adjusted Correct]]="YES",(NFL2025_26Results4[[#This Row],[Strength of Win]]-1)^2,(NFL2025_26Results4[[#This Row],[Strength of Win]]-0)^2))</f>
        <v>0.23866164441967666</v>
      </c>
      <c r="O275">
        <v>-4.3272721142086024</v>
      </c>
      <c r="P275" s="33">
        <v>0.49861549231101743</v>
      </c>
      <c r="Q275" t="s">
        <v>35</v>
      </c>
      <c r="R275" t="s">
        <v>121</v>
      </c>
    </row>
    <row r="276" spans="4:18" x14ac:dyDescent="0.2">
      <c r="D27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t="str">
        <f>'NFL 2025-26 Prediction Model'!F281</f>
        <v>Buffalo Bills</v>
      </c>
      <c r="I276">
        <f>VLOOKUP(NFL2025_26Results4[[#This Row],[Away Team]],$A$3:$B$36,2,FALSE)</f>
        <v>4.69780409151985</v>
      </c>
      <c r="J276">
        <f>($B$1+NFL2025_26Results4[[#This Row],[Home Differential]])-NFL2025_26Results4[[#This Row],[Away Differential]]</f>
        <v>-1.7336102563683897</v>
      </c>
      <c r="K276" t="str">
        <f>IF(NFL2025_26Results4[[#This Row],[HomeEdge Differential]]&gt;0,NFL2025_26Results4[[#This Row],[Home Team]],NFL2025_26Results4[[#This Row],[Away Team]])</f>
        <v>Buffalo Bills</v>
      </c>
      <c r="L2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0.49112721942171045</v>
      </c>
      <c r="M276" t="str">
        <f>IF(OR((NFL2025_26Results[[#This Row],[Winner]]="")), "-", IF(NFL2025_26Results4[[#This Row],[Predicted Winner]]=NFL2025_26Results[[#This Row],[Winner]], "YES", "NO"))</f>
        <v>YES</v>
      </c>
      <c r="N276">
        <f>IF(NFL2025_26Results4[[#This Row],[Adjusted Correct]]="-", "",IF(NFL2025_26Results4[[#This Row],[Adjusted Correct]]="YES",(NFL2025_26Results4[[#This Row],[Strength of Win]]-1)^2,(NFL2025_26Results4[[#This Row],[Strength of Win]]-0)^2))</f>
        <v>0.25895150681348</v>
      </c>
      <c r="O276">
        <v>-1.8503926837472444</v>
      </c>
      <c r="P276" s="33">
        <v>0.47679595565834065</v>
      </c>
      <c r="Q276" t="s">
        <v>41</v>
      </c>
      <c r="R276" t="s">
        <v>122</v>
      </c>
    </row>
    <row r="277" spans="4:18" x14ac:dyDescent="0.2">
      <c r="D277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t="str">
        <f>'NFL 2025-26 Prediction Model'!F282</f>
        <v>San Francisco 49ers</v>
      </c>
      <c r="I277">
        <f>VLOOKUP(NFL2025_26Results4[[#This Row],[Away Team]],$A$3:$B$36,2,FALSE)</f>
        <v>3.9509930828598607</v>
      </c>
      <c r="J277">
        <f>($B$1+NFL2025_26Results4[[#This Row],[Home Differential]])-NFL2025_26Results4[[#This Row],[Away Differential]]</f>
        <v>3.7821119008707047</v>
      </c>
      <c r="K277" t="str">
        <f>IF(NFL2025_26Results4[[#This Row],[HomeEdge Differential]]&gt;0,NFL2025_26Results4[[#This Row],[Home Team]],NFL2025_26Results4[[#This Row],[Away Team]])</f>
        <v>Philadelphia Eagles</v>
      </c>
      <c r="L2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0.49762285694308178</v>
      </c>
      <c r="M277" t="str">
        <f>IF(OR((NFL2025_26Results[[#This Row],[Winner]]="")), "-", IF(NFL2025_26Results4[[#This Row],[Predicted Winner]]=NFL2025_26Results[[#This Row],[Winner]], "YES", "NO"))</f>
        <v>NO</v>
      </c>
      <c r="N277">
        <f>IF(NFL2025_26Results4[[#This Row],[Adjusted Correct]]="-", "",IF(NFL2025_26Results4[[#This Row],[Adjusted Correct]]="YES",(NFL2025_26Results4[[#This Row],[Strength of Win]]-1)^2,(NFL2025_26Results4[[#This Row],[Strength of Win]]-0)^2))</f>
        <v>0.24762850775219483</v>
      </c>
      <c r="O277">
        <v>3.66532947349185</v>
      </c>
      <c r="P277" s="33">
        <v>0.50744853998403106</v>
      </c>
      <c r="Q277" t="s">
        <v>4</v>
      </c>
      <c r="R277" t="s">
        <v>121</v>
      </c>
    </row>
    <row r="278" spans="4:18" x14ac:dyDescent="0.2">
      <c r="D278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t="str">
        <f>'NFL 2025-26 Prediction Model'!F283</f>
        <v>Los Angeles Chargers</v>
      </c>
      <c r="I278">
        <f>VLOOKUP(NFL2025_26Results4[[#This Row],[Away Team]],$A$3:$B$36,2,FALSE)</f>
        <v>0.8908036560684448</v>
      </c>
      <c r="J278">
        <f>($B$1+NFL2025_26Results4[[#This Row],[Home Differential]])-NFL2025_26Results4[[#This Row],[Away Differential]]</f>
        <v>3.1621180060537695</v>
      </c>
      <c r="K278" t="str">
        <f>IF(NFL2025_26Results4[[#This Row],[HomeEdge Differential]]&gt;0,NFL2025_26Results4[[#This Row],[Home Team]],NFL2025_26Results4[[#This Row],[Away Team]])</f>
        <v>New England Patriots</v>
      </c>
      <c r="L2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0.6208992483841157</v>
      </c>
      <c r="M278" t="str">
        <f>IF(OR((NFL2025_26Results[[#This Row],[Winner]]="")), "-", IF(NFL2025_26Results4[[#This Row],[Predicted Winner]]=NFL2025_26Results[[#This Row],[Winner]], "YES", "NO"))</f>
        <v>YES</v>
      </c>
      <c r="N278">
        <f>IF(NFL2025_26Results4[[#This Row],[Adjusted Correct]]="-", "",IF(NFL2025_26Results4[[#This Row],[Adjusted Correct]]="YES",(NFL2025_26Results4[[#This Row],[Strength of Win]]-1)^2,(NFL2025_26Results4[[#This Row],[Strength of Win]]-0)^2))</f>
        <v>0.14371737987572841</v>
      </c>
      <c r="O278">
        <v>3.0453355786749148</v>
      </c>
      <c r="P278" s="33">
        <v>0.56756190096887726</v>
      </c>
      <c r="Q278" t="s">
        <v>17</v>
      </c>
      <c r="R278" t="s">
        <v>122</v>
      </c>
    </row>
    <row r="279" spans="4:18" x14ac:dyDescent="0.2">
      <c r="D279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t="str">
        <f>'NFL 2025-26 Prediction Model'!F284</f>
        <v>Houston Texans</v>
      </c>
      <c r="I279">
        <f>VLOOKUP(NFL2025_26Results4[[#This Row],[Away Team]],$A$3:$B$36,2,FALSE)</f>
        <v>9.4909457549813823</v>
      </c>
      <c r="J279">
        <f>($B$1+NFL2025_26Results4[[#This Row],[Home Differential]])-NFL2025_26Results4[[#This Row],[Away Differential]]</f>
        <v>-7.6833070749646506</v>
      </c>
      <c r="K279" t="str">
        <f>IF(NFL2025_26Results4[[#This Row],[HomeEdge Differential]]&gt;0,NFL2025_26Results4[[#This Row],[Home Team]],NFL2025_26Results4[[#This Row],[Away Team]])</f>
        <v>Houston Texans</v>
      </c>
      <c r="L2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0.63113646042912708</v>
      </c>
      <c r="M279" t="str">
        <f>IF(OR((NFL2025_26Results[[#This Row],[Winner]]="")), "-", IF(NFL2025_26Results4[[#This Row],[Predicted Winner]]=NFL2025_26Results[[#This Row],[Winner]], "YES", "NO"))</f>
        <v>YES</v>
      </c>
      <c r="N279">
        <f>IF(NFL2025_26Results4[[#This Row],[Adjusted Correct]]="-", "",IF(NFL2025_26Results4[[#This Row],[Adjusted Correct]]="YES",(NFL2025_26Results4[[#This Row],[Strength of Win]]-1)^2,(NFL2025_26Results4[[#This Row],[Strength of Win]]-0)^2))</f>
        <v>0.13606031082475292</v>
      </c>
      <c r="O279">
        <v>-7.8000895023435053</v>
      </c>
      <c r="P279" s="33">
        <v>0.61560718168036255</v>
      </c>
      <c r="Q279" t="s">
        <v>40</v>
      </c>
      <c r="R279" t="s">
        <v>122</v>
      </c>
    </row>
    <row r="280" spans="4:18" x14ac:dyDescent="0.2">
      <c r="D280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t="str">
        <f>'NFL 2025-26 Prediction Model'!F285</f>
        <v>Buffalo Bills</v>
      </c>
      <c r="I280">
        <f>VLOOKUP(NFL2025_26Results4[[#This Row],[Away Team]],$A$3:$B$36,2,FALSE)</f>
        <v>4.69780409151985</v>
      </c>
      <c r="J280">
        <f>($B$1+NFL2025_26Results4[[#This Row],[Home Differential]])-NFL2025_26Results4[[#This Row],[Away Differential]]</f>
        <v>3.6108581827984656</v>
      </c>
      <c r="K280" t="str">
        <f>IF(NFL2025_26Results4[[#This Row],[HomeEdge Differential]]&gt;0,NFL2025_26Results4[[#This Row],[Home Team]],NFL2025_26Results4[[#This Row],[Away Team]])</f>
        <v>Denver Broncos</v>
      </c>
      <c r="L2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0.66162908192835945</v>
      </c>
      <c r="M280" t="str">
        <f>IF(OR((NFL2025_26Results[[#This Row],[Winner]]="")), "-", IF(NFL2025_26Results4[[#This Row],[Predicted Winner]]=NFL2025_26Results[[#This Row],[Winner]], "YES", "NO"))</f>
        <v>YES</v>
      </c>
      <c r="N280">
        <f>IF(NFL2025_26Results4[[#This Row],[Adjusted Correct]]="-", "",IF(NFL2025_26Results4[[#This Row],[Adjusted Correct]]="YES",(NFL2025_26Results4[[#This Row],[Strength of Win]]-1)^2,(NFL2025_26Results4[[#This Row],[Strength of Win]]-0)^2))</f>
        <v>0.11449487819664488</v>
      </c>
      <c r="O280">
        <v>3.4644556940235267</v>
      </c>
      <c r="P280" s="33">
        <v>0.63030369522858043</v>
      </c>
      <c r="Q280" t="s">
        <v>31</v>
      </c>
      <c r="R280" t="s">
        <v>122</v>
      </c>
    </row>
    <row r="281" spans="4:18" x14ac:dyDescent="0.2">
      <c r="D281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t="str">
        <f>'NFL 2025-26 Prediction Model'!F286</f>
        <v>San Francisco 49ers</v>
      </c>
      <c r="I281">
        <f>VLOOKUP(NFL2025_26Results4[[#This Row],[Away Team]],$A$3:$B$36,2,FALSE)</f>
        <v>3.9509930828598607</v>
      </c>
      <c r="J281">
        <f>($B$1+NFL2025_26Results4[[#This Row],[Home Differential]])-NFL2025_26Results4[[#This Row],[Away Differential]]</f>
        <v>9.2156759910885491</v>
      </c>
      <c r="K281" t="str">
        <f>IF(NFL2025_26Results4[[#This Row],[HomeEdge Differential]]&gt;0,NFL2025_26Results4[[#This Row],[Home Team]],NFL2025_26Results4[[#This Row],[Away Team]])</f>
        <v>Seattle Seahawks</v>
      </c>
      <c r="L2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0.67406901287709553</v>
      </c>
      <c r="M281" t="str">
        <f>IF(OR((NFL2025_26Results[[#This Row],[Winner]]="")), "-", IF(NFL2025_26Results4[[#This Row],[Predicted Winner]]=NFL2025_26Results[[#This Row],[Winner]], "YES", "NO"))</f>
        <v>YES</v>
      </c>
      <c r="N281">
        <f>IF(NFL2025_26Results4[[#This Row],[Adjusted Correct]]="-", "",IF(NFL2025_26Results4[[#This Row],[Adjusted Correct]]="YES",(NFL2025_26Results4[[#This Row],[Strength of Win]]-1)^2,(NFL2025_26Results4[[#This Row],[Strength of Win]]-0)^2))</f>
        <v>0.10623100836691092</v>
      </c>
      <c r="O281">
        <v>9.0692735023136137</v>
      </c>
      <c r="P281" s="33">
        <v>0.63799463026877046</v>
      </c>
      <c r="Q281" t="s">
        <v>33</v>
      </c>
      <c r="R281" t="s">
        <v>122</v>
      </c>
    </row>
    <row r="282" spans="4:18" x14ac:dyDescent="0.2">
      <c r="D282" t="str">
        <f>'NFL 2025-26 Prediction Model'!D287</f>
        <v>Division</v>
      </c>
      <c r="E282" s="42">
        <v>46040</v>
      </c>
      <c r="F282" t="str">
        <f>'NFL 2025-26 Prediction Model'!E287</f>
        <v>New England Patriots</v>
      </c>
      <c r="G282">
        <f>VLOOKUP(NFL2025_26Results4[[#This Row],[Home Team]],$A$3:$B$36,2,FALSE)</f>
        <v>1.7955637007062657</v>
      </c>
      <c r="H282" t="str">
        <f>'NFL 2025-26 Prediction Model'!F287</f>
        <v>Houston Texans</v>
      </c>
      <c r="I282">
        <f>VLOOKUP(NFL2025_26Results4[[#This Row],[Away Team]],$A$3:$B$36,2,FALSE)</f>
        <v>9.4909457549813823</v>
      </c>
      <c r="J282">
        <f>($B$1+NFL2025_26Results4[[#This Row],[Home Differential]])-NFL2025_26Results4[[#This Row],[Away Differential]]</f>
        <v>-5.4380240928591679</v>
      </c>
      <c r="K282" t="str">
        <f>IF(NFL2025_26Results4[[#This Row],[HomeEdge Differential]]&gt;0,NFL2025_26Results4[[#This Row],[Home Team]],NFL2025_26Results4[[#This Row],[Away Team]])</f>
        <v>Houston Texans</v>
      </c>
      <c r="L2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0.54486941514003517</v>
      </c>
      <c r="M282" t="str">
        <f>IF(OR((NFL2025_26Results[[#This Row],[Winner]]="")), "-", IF(NFL2025_26Results4[[#This Row],[Predicted Winner]]=NFL2025_26Results[[#This Row],[Winner]], "YES", "NO"))</f>
        <v>NO</v>
      </c>
      <c r="N282">
        <f>IF(NFL2025_26Results4[[#This Row],[Adjusted Correct]]="-", "",IF(NFL2025_26Results4[[#This Row],[Adjusted Correct]]="YES",(NFL2025_26Results4[[#This Row],[Strength of Win]]-1)^2,(NFL2025_26Results4[[#This Row],[Strength of Win]]-0)^2))</f>
        <v>0.29688267955504399</v>
      </c>
      <c r="O282">
        <v>-5.5844265816341059</v>
      </c>
      <c r="P282" s="33">
        <v>0.58270688730609255</v>
      </c>
      <c r="Q282" t="s">
        <v>40</v>
      </c>
      <c r="R282" t="s">
        <v>121</v>
      </c>
    </row>
    <row r="283" spans="4:18" x14ac:dyDescent="0.2">
      <c r="D283" t="str">
        <f>'NFL 2025-26 Prediction Model'!D288</f>
        <v>Division</v>
      </c>
      <c r="E283" s="42">
        <v>46040</v>
      </c>
      <c r="F283" t="str">
        <f>'NFL 2025-26 Prediction Model'!E288</f>
        <v>Chicago Bears</v>
      </c>
      <c r="G283">
        <f>VLOOKUP(NFL2025_26Results4[[#This Row],[Home Team]],$A$3:$B$36,2,FALSE)</f>
        <v>-4.3446752708973033</v>
      </c>
      <c r="H283" t="str">
        <f>'NFL 2025-26 Prediction Model'!F288</f>
        <v>Los Angeles Rams</v>
      </c>
      <c r="I283">
        <f>VLOOKUP(NFL2025_26Results4[[#This Row],[Away Team]],$A$3:$B$36,2,FALSE)</f>
        <v>11.691612540092581</v>
      </c>
      <c r="J283">
        <f>($B$1+NFL2025_26Results4[[#This Row],[Home Differential]])-NFL2025_26Results4[[#This Row],[Away Differential]]</f>
        <v>-13.778929849573936</v>
      </c>
      <c r="K283" t="str">
        <f>IF(NFL2025_26Results4[[#This Row],[HomeEdge Differential]]&gt;0,NFL2025_26Results4[[#This Row],[Home Team]],NFL2025_26Results4[[#This Row],[Away Team]])</f>
        <v>Los Angeles Rams</v>
      </c>
      <c r="L2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0.71136526112938003</v>
      </c>
      <c r="M283" t="str">
        <f>IF(OR((NFL2025_26Results[[#This Row],[Winner]]="")), "-", IF(NFL2025_26Results4[[#This Row],[Predicted Winner]]=NFL2025_26Results[[#This Row],[Winner]], "YES", "NO"))</f>
        <v>YES</v>
      </c>
      <c r="N283">
        <f>IF(NFL2025_26Results4[[#This Row],[Adjusted Correct]]="-", "",IF(NFL2025_26Results4[[#This Row],[Adjusted Correct]]="YES",(NFL2025_26Results4[[#This Row],[Strength of Win]]-1)^2,(NFL2025_26Results4[[#This Row],[Strength of Win]]-0)^2))</f>
        <v>8.3310012482910978E-2</v>
      </c>
      <c r="O283">
        <v>-13.925332338348873</v>
      </c>
      <c r="P283" s="33">
        <v>0.67213162685934602</v>
      </c>
      <c r="Q283" t="s">
        <v>39</v>
      </c>
      <c r="R283" t="s">
        <v>122</v>
      </c>
    </row>
    <row r="284" spans="4:18" x14ac:dyDescent="0.2">
      <c r="D284" t="str">
        <f>'NFL 2025-26 Prediction Model'!D289</f>
        <v>ConfChamp</v>
      </c>
      <c r="E284" s="42">
        <v>46047</v>
      </c>
      <c r="F284" t="str">
        <f>'NFL 2025-26 Prediction Model'!E289</f>
        <v>Denver Broncos</v>
      </c>
      <c r="G284">
        <f>VLOOKUP(NFL2025_26Results4[[#This Row],[Home Team]],$A$3:$B$36,2,FALSE)</f>
        <v>6.0513043129023663</v>
      </c>
      <c r="H284" t="str">
        <f>'NFL 2025-26 Prediction Model'!F289</f>
        <v>New England Patriots</v>
      </c>
      <c r="I284">
        <f>VLOOKUP(NFL2025_26Results4[[#This Row],[Away Team]],$A$3:$B$36,2,FALSE)</f>
        <v>1.7955637007062657</v>
      </c>
      <c r="J284" s="46">
        <f>($B$1+NFL2025_26Results4[[#This Row],[Home Differential]])-NFL2025_26Results4[[#This Row],[Away Differential]]</f>
        <v>6.5130985736120497</v>
      </c>
      <c r="K284" t="str">
        <f>IF(NFL2025_26Results4[[#This Row],[HomeEdge Differential]]&gt;0,NFL2025_26Results4[[#This Row],[Home Team]],NFL2025_26Results4[[#This Row],[Away Team]])</f>
        <v>Denver Broncos</v>
      </c>
      <c r="L2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0.5848478910920063</v>
      </c>
      <c r="M284" s="46" t="str">
        <f>IF(OR((NFL2025_26Results[[#This Row],[Winner]]="")), "-", IF(NFL2025_26Results4[[#This Row],[Predicted Winner]]=NFL2025_26Results[[#This Row],[Winner]], "YES", "NO"))</f>
        <v>-</v>
      </c>
      <c r="N284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4">
        <v>6.5130985736120497</v>
      </c>
      <c r="P284" s="33">
        <v>0.5848478910920063</v>
      </c>
      <c r="Q284" t="s">
        <v>31</v>
      </c>
    </row>
    <row r="285" spans="4:18" x14ac:dyDescent="0.2">
      <c r="D285" t="str">
        <f>'NFL 2025-26 Prediction Model'!D290</f>
        <v>ConfChamp</v>
      </c>
      <c r="E285" s="42">
        <v>46047</v>
      </c>
      <c r="F285" t="str">
        <f>'NFL 2025-26 Prediction Model'!E290</f>
        <v>Seattle Seahawks</v>
      </c>
      <c r="G285">
        <f>VLOOKUP(NFL2025_26Results4[[#This Row],[Home Team]],$A$3:$B$36,2,FALSE)</f>
        <v>10.909311112532462</v>
      </c>
      <c r="H285" t="str">
        <f>'NFL 2025-26 Prediction Model'!F290</f>
        <v>Los Angeles Rams</v>
      </c>
      <c r="I285">
        <f>VLOOKUP(NFL2025_26Results4[[#This Row],[Away Team]],$A$3:$B$36,2,FALSE)</f>
        <v>11.691612540092581</v>
      </c>
      <c r="J285" s="46">
        <f>($B$1+NFL2025_26Results4[[#This Row],[Home Differential]])-NFL2025_26Results4[[#This Row],[Away Differential]]</f>
        <v>1.4750565338558292</v>
      </c>
      <c r="K285" t="str">
        <f>IF(NFL2025_26Results4[[#This Row],[HomeEdge Differential]]&gt;0,NFL2025_26Results4[[#This Row],[Home Team]],NFL2025_26Results4[[#This Row],[Away Team]])</f>
        <v>Seattle Seahawks</v>
      </c>
      <c r="L2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0.57517583781246961</v>
      </c>
      <c r="M285" s="46" t="str">
        <f>IF(OR((NFL2025_26Results[[#This Row],[Winner]]="")), "-", IF(NFL2025_26Results4[[#This Row],[Predicted Winner]]=NFL2025_26Results[[#This Row],[Winner]], "YES", "NO"))</f>
        <v>-</v>
      </c>
      <c r="N285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5">
        <v>1.4750565338558292</v>
      </c>
      <c r="P285" s="33">
        <v>0.57517583781246961</v>
      </c>
      <c r="Q285" t="s">
        <v>33</v>
      </c>
    </row>
  </sheetData>
  <conditionalFormatting sqref="J2:J285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5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85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107</v>
      </c>
      <c r="C1" t="s">
        <v>94</v>
      </c>
      <c r="D1" t="s">
        <v>82</v>
      </c>
      <c r="E1" t="s">
        <v>120</v>
      </c>
      <c r="F1" t="s">
        <v>123</v>
      </c>
      <c r="G1" t="s">
        <v>108</v>
      </c>
      <c r="H1" t="s">
        <v>109</v>
      </c>
      <c r="I1" t="s">
        <v>129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19</v>
      </c>
      <c r="C5">
        <f>COUNTIF(NFL2025_26Results[[#All],[Winner]],Table4[[#This Row],[Team]])</f>
        <v>13</v>
      </c>
      <c r="D5">
        <f>COUNTIF(NFL2025_26Results[Loser],Table4[[#This Row],[Team]])</f>
        <v>6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0.68421052631578949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4</v>
      </c>
      <c r="K5" s="33">
        <f t="shared" si="1"/>
        <v>0.77777777777777779</v>
      </c>
      <c r="L5" s="33">
        <f>Table4[[#This Row],[AwayWins]]/SUM(Table4[[#This Row],[AwayWins]:[AwayLoss]])</f>
        <v>0.6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25.7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21.1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19</v>
      </c>
      <c r="C7">
        <f>COUNTIF(NFL2025_26Results[[#All],[Winner]],Table4[[#This Row],[Team]])</f>
        <v>12</v>
      </c>
      <c r="D7">
        <f>COUNTIF(NFL2025_26Results[Loser],Table4[[#This Row],[Team]])</f>
        <v>7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0.63157894736842102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3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25.3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18</v>
      </c>
      <c r="C11">
        <f>COUNTIF(NFL2025_26Results[[#All],[Winner]],Table4[[#This Row],[Team]])</f>
        <v>15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0.83333333333333337</v>
      </c>
      <c r="G11">
        <f>COUNTIFS(NFL2025_26Results[[#All],[Winner]],Table4[[#This Row],[Team]],NFL2025_26Results[[#All],[Home Team]],Table4[[#This Row],[Team]])</f>
        <v>9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0.9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26.3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19</v>
      </c>
      <c r="C14">
        <f>COUNTIF(NFL2025_26Results[[#All],[Winner]],Table4[[#This Row],[Team]])</f>
        <v>13</v>
      </c>
      <c r="D14">
        <f>COUNTIF(NFL2025_26Results[Loser],Table4[[#This Row],[Team]])</f>
        <v>6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0.68421052631578949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6</v>
      </c>
      <c r="J14">
        <f>COUNTIFS(NFL2025_26Results[[#All],[Loser]],Table4[[#This Row],[Team]],NFL2025_26Results[[#All],[Away Team]],Table4[[#This Row],[Team]])</f>
        <v>4</v>
      </c>
      <c r="K14" s="33">
        <f t="shared" si="1"/>
        <v>0.77777777777777779</v>
      </c>
      <c r="L14" s="33">
        <f>Table4[[#This Row],[AwayWins]]/SUM(Table4[[#This Row],[AwayWins]:[AwayLoss]])</f>
        <v>0.6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20.399999999999999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15.7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19</v>
      </c>
      <c r="C20">
        <f>COUNTIF(NFL2025_26Results[[#All],[Winner]],Table4[[#This Row],[Team]])</f>
        <v>14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0.73684210526315785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7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0.63636363636363635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22.636363636363637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19</v>
      </c>
      <c r="C23">
        <f>COUNTIF(NFL2025_26Results[[#All],[Winner]],Table4[[#This Row],[Team]])</f>
        <v>16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0.84210526315789469</v>
      </c>
      <c r="G23">
        <f>COUNTIFS(NFL2025_26Results[[#All],[Winner]],Table4[[#This Row],[Team]],NFL2025_26Results[[#All],[Home Team]],Table4[[#This Row],[Team]])</f>
        <v>8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0.72727272727272729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27.09090909090909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16.636363636363637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18</v>
      </c>
      <c r="C28">
        <f>COUNTIF(NFL2025_26Results[[#All],[Winner]],Table4[[#This Row],[Team]])</f>
        <v>10</v>
      </c>
      <c r="D28">
        <f>COUNTIF(NFL2025_26Results[Loser],Table4[[#This Row],[Team]])</f>
        <v>8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0.55555555555555558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4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21.7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22.3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19</v>
      </c>
      <c r="C29">
        <f>COUNTIF(NFL2025_26Results[[#All],[Winner]],Table4[[#This Row],[Team]])</f>
        <v>13</v>
      </c>
      <c r="D29">
        <f>COUNTIF(NFL2025_26Results[Loser],Table4[[#This Row],[Team]])</f>
        <v>6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0.68421052631578949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3</v>
      </c>
      <c r="K29" s="33">
        <f t="shared" si="1"/>
        <v>0.625</v>
      </c>
      <c r="L29" s="33">
        <f>Table4[[#This Row],[AwayWins]]/SUM(Table4[[#This Row],[AwayWins]:[AwayLoss]])</f>
        <v>0.72727272727272729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25.545454545454547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23.09090909090909</v>
      </c>
    </row>
    <row r="30" spans="1:16" x14ac:dyDescent="0.2">
      <c r="A30" s="4" t="s">
        <v>33</v>
      </c>
      <c r="B30">
        <f t="shared" si="0"/>
        <v>18</v>
      </c>
      <c r="C30">
        <f>COUNTIF(NFL2025_26Results[[#All],[Winner]],Table4[[#This Row],[Team]])</f>
        <v>15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0.83333333333333337</v>
      </c>
      <c r="G30">
        <f>COUNTIFS(NFL2025_26Results[[#All],[Winner]],Table4[[#This Row],[Team]],NFL2025_26Results[[#All],[Home Team]],Table4[[#This Row],[Team]])</f>
        <v>7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0.77777777777777779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31.777777777777779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21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91"/>
  <sheetViews>
    <sheetView tabSelected="1" topLeftCell="A62" zoomScale="88" workbookViewId="0">
      <selection activeCell="K90" sqref="K90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131</v>
      </c>
      <c r="B1" t="s">
        <v>132</v>
      </c>
      <c r="C1" t="s">
        <v>133</v>
      </c>
      <c r="D1" t="s">
        <v>142</v>
      </c>
      <c r="E1" t="s">
        <v>136</v>
      </c>
      <c r="F1" t="s">
        <v>137</v>
      </c>
      <c r="G1" t="s">
        <v>135</v>
      </c>
      <c r="H1" t="s">
        <v>143</v>
      </c>
      <c r="I1" t="s">
        <v>134</v>
      </c>
      <c r="J1" t="s">
        <v>144</v>
      </c>
      <c r="K1" t="s">
        <v>138</v>
      </c>
      <c r="L1" t="s">
        <v>145</v>
      </c>
      <c r="M1" t="s">
        <v>146</v>
      </c>
      <c r="N1" t="s">
        <v>140</v>
      </c>
      <c r="O1" t="s">
        <v>139</v>
      </c>
      <c r="P1" t="s">
        <v>147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149</v>
      </c>
      <c r="M2" s="46" t="s">
        <v>150</v>
      </c>
      <c r="N2" s="46" t="s">
        <v>122</v>
      </c>
      <c r="O2" s="46" t="s">
        <v>122</v>
      </c>
      <c r="P2" s="46" t="s">
        <v>151</v>
      </c>
    </row>
    <row r="3" spans="1:16" x14ac:dyDescent="0.2">
      <c r="A3">
        <v>14</v>
      </c>
      <c r="B3" s="46" t="s">
        <v>7</v>
      </c>
      <c r="C3" s="46" t="s">
        <v>40</v>
      </c>
      <c r="D3" s="46" t="s">
        <v>7</v>
      </c>
      <c r="E3">
        <v>26</v>
      </c>
      <c r="F3">
        <v>18</v>
      </c>
      <c r="G3">
        <v>0.92</v>
      </c>
      <c r="H3" s="46" t="s">
        <v>7</v>
      </c>
      <c r="I3">
        <v>0.65210000000000001</v>
      </c>
      <c r="J3">
        <v>1.29</v>
      </c>
      <c r="K3" s="46" t="s">
        <v>40</v>
      </c>
      <c r="L3" s="46" t="s">
        <v>154</v>
      </c>
      <c r="M3" s="46" t="s">
        <v>152</v>
      </c>
      <c r="N3" s="46" t="s">
        <v>121</v>
      </c>
      <c r="O3" s="46" t="s">
        <v>121</v>
      </c>
      <c r="P3" s="46" t="s">
        <v>151</v>
      </c>
    </row>
    <row r="4" spans="1:16" x14ac:dyDescent="0.2">
      <c r="A4">
        <v>14</v>
      </c>
      <c r="B4" s="46" t="s">
        <v>35</v>
      </c>
      <c r="C4" s="46" t="s">
        <v>43</v>
      </c>
      <c r="D4" s="46" t="s">
        <v>43</v>
      </c>
      <c r="E4">
        <v>14</v>
      </c>
      <c r="F4">
        <v>19</v>
      </c>
      <c r="G4">
        <v>0.97</v>
      </c>
      <c r="H4" s="46" t="s">
        <v>35</v>
      </c>
      <c r="I4">
        <v>0.6704</v>
      </c>
      <c r="J4">
        <v>8.9499999999999993</v>
      </c>
      <c r="K4" s="46" t="s">
        <v>35</v>
      </c>
      <c r="L4" s="46" t="s">
        <v>168</v>
      </c>
      <c r="M4" s="46" t="s">
        <v>169</v>
      </c>
      <c r="N4" s="46" t="s">
        <v>121</v>
      </c>
      <c r="O4" s="46" t="s">
        <v>122</v>
      </c>
      <c r="P4" s="46" t="s">
        <v>151</v>
      </c>
    </row>
    <row r="5" spans="1:16" x14ac:dyDescent="0.2">
      <c r="A5">
        <v>14</v>
      </c>
      <c r="B5" s="46" t="s">
        <v>26</v>
      </c>
      <c r="C5" s="46" t="s">
        <v>39</v>
      </c>
      <c r="D5" s="46" t="s">
        <v>39</v>
      </c>
      <c r="E5">
        <v>22</v>
      </c>
      <c r="F5">
        <v>25</v>
      </c>
      <c r="G5">
        <v>0.96499999999999997</v>
      </c>
      <c r="H5" s="46" t="s">
        <v>39</v>
      </c>
      <c r="I5">
        <v>0.74590000000000001</v>
      </c>
      <c r="J5">
        <v>-9.2200000000000006</v>
      </c>
      <c r="K5" s="46" t="s">
        <v>39</v>
      </c>
      <c r="L5" s="46" t="s">
        <v>166</v>
      </c>
      <c r="M5" s="46" t="s">
        <v>167</v>
      </c>
      <c r="N5" s="46" t="s">
        <v>122</v>
      </c>
      <c r="O5" s="46" t="s">
        <v>122</v>
      </c>
      <c r="P5" s="46" t="s">
        <v>151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166</v>
      </c>
      <c r="M6" s="46" t="s">
        <v>153</v>
      </c>
      <c r="N6" s="46" t="s">
        <v>122</v>
      </c>
      <c r="O6" s="46" t="s">
        <v>122</v>
      </c>
      <c r="P6" s="46" t="s">
        <v>151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164</v>
      </c>
      <c r="M7" s="46" t="s">
        <v>165</v>
      </c>
      <c r="N7" s="46" t="s">
        <v>122</v>
      </c>
      <c r="O7" s="46" t="s">
        <v>122</v>
      </c>
      <c r="P7" s="46" t="s">
        <v>151</v>
      </c>
    </row>
    <row r="8" spans="1:16" x14ac:dyDescent="0.2">
      <c r="A8">
        <v>14</v>
      </c>
      <c r="B8" s="46" t="s">
        <v>6</v>
      </c>
      <c r="C8" s="46" t="s">
        <v>4</v>
      </c>
      <c r="D8" s="46" t="s">
        <v>6</v>
      </c>
      <c r="E8">
        <v>26</v>
      </c>
      <c r="F8">
        <v>21</v>
      </c>
      <c r="G8">
        <v>0.89949999999999997</v>
      </c>
      <c r="H8" s="46" t="s">
        <v>4</v>
      </c>
      <c r="I8">
        <v>0.52700000000000002</v>
      </c>
      <c r="J8">
        <v>-2.11</v>
      </c>
      <c r="K8" s="46" t="s">
        <v>6</v>
      </c>
      <c r="L8" s="46" t="s">
        <v>158</v>
      </c>
      <c r="M8" s="46" t="s">
        <v>163</v>
      </c>
      <c r="N8" s="46" t="s">
        <v>122</v>
      </c>
      <c r="O8" s="46" t="s">
        <v>121</v>
      </c>
      <c r="P8" s="46" t="s">
        <v>151</v>
      </c>
    </row>
    <row r="9" spans="1:16" x14ac:dyDescent="0.2">
      <c r="A9">
        <v>14</v>
      </c>
      <c r="B9" s="46" t="s">
        <v>41</v>
      </c>
      <c r="C9" s="46" t="s">
        <v>24</v>
      </c>
      <c r="D9" s="46" t="s">
        <v>41</v>
      </c>
      <c r="E9">
        <v>29</v>
      </c>
      <c r="F9">
        <v>21</v>
      </c>
      <c r="G9">
        <v>0.97670000000000001</v>
      </c>
      <c r="H9" s="46" t="s">
        <v>41</v>
      </c>
      <c r="I9">
        <v>1</v>
      </c>
      <c r="J9">
        <v>17.760000000000002</v>
      </c>
      <c r="K9" s="46" t="s">
        <v>41</v>
      </c>
      <c r="L9" s="46" t="s">
        <v>161</v>
      </c>
      <c r="M9" s="46" t="s">
        <v>155</v>
      </c>
      <c r="N9" s="46" t="s">
        <v>122</v>
      </c>
      <c r="O9" s="46" t="s">
        <v>122</v>
      </c>
      <c r="P9" s="46" t="s">
        <v>151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157</v>
      </c>
      <c r="M10" s="46" t="s">
        <v>160</v>
      </c>
      <c r="N10" s="46" t="s">
        <v>122</v>
      </c>
      <c r="O10" s="46" t="s">
        <v>122</v>
      </c>
      <c r="P10" s="46" t="s">
        <v>151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158</v>
      </c>
      <c r="M11" s="46" t="s">
        <v>159</v>
      </c>
      <c r="N11" s="46" t="s">
        <v>122</v>
      </c>
      <c r="O11" s="46" t="s">
        <v>121</v>
      </c>
      <c r="P11" s="46" t="s">
        <v>151</v>
      </c>
    </row>
    <row r="12" spans="1:16" x14ac:dyDescent="0.2">
      <c r="A12">
        <v>14</v>
      </c>
      <c r="B12" s="46" t="s">
        <v>14</v>
      </c>
      <c r="C12" s="46" t="s">
        <v>28</v>
      </c>
      <c r="D12" s="46" t="s">
        <v>14</v>
      </c>
      <c r="E12">
        <v>26</v>
      </c>
      <c r="F12">
        <v>15</v>
      </c>
      <c r="G12">
        <v>0.97619999999999996</v>
      </c>
      <c r="H12" s="46" t="s">
        <v>28</v>
      </c>
      <c r="I12">
        <v>0.54820000000000002</v>
      </c>
      <c r="J12">
        <v>-6.67</v>
      </c>
      <c r="K12" s="46" t="s">
        <v>14</v>
      </c>
      <c r="L12" s="46" t="s">
        <v>162</v>
      </c>
      <c r="M12" s="46" t="s">
        <v>163</v>
      </c>
      <c r="N12" s="46" t="s">
        <v>122</v>
      </c>
      <c r="O12" s="46" t="s">
        <v>121</v>
      </c>
      <c r="P12" s="46" t="s">
        <v>151</v>
      </c>
    </row>
    <row r="13" spans="1:16" x14ac:dyDescent="0.2">
      <c r="A13">
        <v>14</v>
      </c>
      <c r="B13" s="46" t="s">
        <v>23</v>
      </c>
      <c r="C13" s="46" t="s">
        <v>32</v>
      </c>
      <c r="D13" s="46" t="s">
        <v>23</v>
      </c>
      <c r="E13">
        <v>26</v>
      </c>
      <c r="F13">
        <v>12</v>
      </c>
      <c r="G13">
        <v>0.83779999999999999</v>
      </c>
      <c r="H13" s="46" t="s">
        <v>23</v>
      </c>
      <c r="I13">
        <v>0.60809999999999997</v>
      </c>
      <c r="J13">
        <v>3.25</v>
      </c>
      <c r="K13" s="46" t="s">
        <v>32</v>
      </c>
      <c r="L13" s="46" t="s">
        <v>156</v>
      </c>
      <c r="M13" s="46" t="s">
        <v>157</v>
      </c>
      <c r="N13" s="46" t="s">
        <v>121</v>
      </c>
      <c r="O13" s="46" t="s">
        <v>121</v>
      </c>
      <c r="P13" s="46" t="s">
        <v>151</v>
      </c>
    </row>
    <row r="14" spans="1:16" x14ac:dyDescent="0.2">
      <c r="A14">
        <v>14</v>
      </c>
      <c r="B14" s="46" t="s">
        <v>8</v>
      </c>
      <c r="C14" s="46" t="s">
        <v>29</v>
      </c>
      <c r="D14" s="46" t="s">
        <v>8</v>
      </c>
      <c r="E14">
        <v>23</v>
      </c>
      <c r="F14">
        <v>12</v>
      </c>
      <c r="G14">
        <v>0.78779999999999994</v>
      </c>
      <c r="H14" s="46" t="s">
        <v>8</v>
      </c>
      <c r="I14">
        <v>0.57530000000000003</v>
      </c>
      <c r="J14">
        <v>1.68</v>
      </c>
      <c r="K14" s="46" t="s">
        <v>29</v>
      </c>
      <c r="L14" s="46" t="s">
        <v>154</v>
      </c>
      <c r="M14" s="46" t="s">
        <v>155</v>
      </c>
      <c r="N14" s="46" t="s">
        <v>121</v>
      </c>
      <c r="O14" s="46" t="s">
        <v>121</v>
      </c>
      <c r="P14" s="46" t="s">
        <v>151</v>
      </c>
    </row>
    <row r="15" spans="1:16" x14ac:dyDescent="0.2">
      <c r="A15">
        <v>14</v>
      </c>
      <c r="B15" s="46" t="s">
        <v>20</v>
      </c>
      <c r="C15" s="46" t="s">
        <v>25</v>
      </c>
      <c r="D15" s="46" t="s">
        <v>20</v>
      </c>
      <c r="E15">
        <v>27</v>
      </c>
      <c r="F15">
        <v>18</v>
      </c>
      <c r="G15">
        <v>0.96109999999999995</v>
      </c>
      <c r="H15" s="46" t="s">
        <v>20</v>
      </c>
      <c r="I15">
        <v>0.90249999999999997</v>
      </c>
      <c r="J15">
        <v>16.04</v>
      </c>
      <c r="K15" s="46" t="s">
        <v>25</v>
      </c>
      <c r="L15" s="46" t="s">
        <v>152</v>
      </c>
      <c r="M15" s="46" t="s">
        <v>153</v>
      </c>
      <c r="N15" s="46" t="s">
        <v>121</v>
      </c>
      <c r="O15" s="46" t="s">
        <v>121</v>
      </c>
      <c r="P15" s="46" t="s">
        <v>151</v>
      </c>
    </row>
    <row r="16" spans="1:16" x14ac:dyDescent="0.2">
      <c r="A16">
        <v>15</v>
      </c>
      <c r="B16" s="46" t="s">
        <v>33</v>
      </c>
      <c r="C16" s="46" t="s">
        <v>28</v>
      </c>
      <c r="D16" s="46" t="s">
        <v>33</v>
      </c>
      <c r="E16">
        <v>38</v>
      </c>
      <c r="F16">
        <v>14</v>
      </c>
      <c r="G16">
        <v>1</v>
      </c>
      <c r="H16" s="46" t="s">
        <v>33</v>
      </c>
      <c r="I16">
        <v>0.65839999999999999</v>
      </c>
      <c r="J16">
        <v>3.33</v>
      </c>
      <c r="K16" s="46" t="s">
        <v>33</v>
      </c>
      <c r="L16" s="46" t="s">
        <v>170</v>
      </c>
      <c r="M16" s="46" t="s">
        <v>171</v>
      </c>
      <c r="N16" s="46" t="s">
        <v>122</v>
      </c>
      <c r="O16" s="46" t="s">
        <v>122</v>
      </c>
      <c r="P16" s="46" t="s">
        <v>151</v>
      </c>
    </row>
    <row r="17" spans="1:16" x14ac:dyDescent="0.2">
      <c r="A17">
        <v>15</v>
      </c>
      <c r="B17" s="46" t="s">
        <v>43</v>
      </c>
      <c r="C17" s="46" t="s">
        <v>23</v>
      </c>
      <c r="D17" s="46" t="s">
        <v>43</v>
      </c>
      <c r="E17">
        <v>34</v>
      </c>
      <c r="F17">
        <v>18</v>
      </c>
      <c r="G17">
        <v>1</v>
      </c>
      <c r="H17" s="46" t="s">
        <v>43</v>
      </c>
      <c r="I17">
        <v>0.7641</v>
      </c>
      <c r="J17">
        <v>6.46</v>
      </c>
      <c r="K17" s="46" t="s">
        <v>43</v>
      </c>
      <c r="L17" s="46" t="s">
        <v>157</v>
      </c>
      <c r="M17" s="46" t="s">
        <v>172</v>
      </c>
      <c r="N17" s="46" t="s">
        <v>122</v>
      </c>
      <c r="O17" s="46" t="s">
        <v>122</v>
      </c>
      <c r="P17" s="46" t="s">
        <v>151</v>
      </c>
    </row>
    <row r="18" spans="1:16" x14ac:dyDescent="0.2">
      <c r="A18">
        <v>15</v>
      </c>
      <c r="B18" s="46" t="s">
        <v>25</v>
      </c>
      <c r="C18" s="46" t="s">
        <v>15</v>
      </c>
      <c r="D18" s="46" t="s">
        <v>15</v>
      </c>
      <c r="E18">
        <v>15</v>
      </c>
      <c r="F18">
        <v>22</v>
      </c>
      <c r="G18">
        <v>0.60760000000000003</v>
      </c>
      <c r="H18" s="46" t="s">
        <v>15</v>
      </c>
      <c r="I18">
        <v>0.4879</v>
      </c>
      <c r="J18">
        <v>-1.39</v>
      </c>
      <c r="K18" s="46" t="s">
        <v>25</v>
      </c>
      <c r="L18" s="46" t="s">
        <v>152</v>
      </c>
      <c r="M18" s="46" t="s">
        <v>166</v>
      </c>
      <c r="N18" s="46" t="s">
        <v>121</v>
      </c>
      <c r="O18" s="46" t="s">
        <v>121</v>
      </c>
      <c r="P18" s="46" t="s">
        <v>151</v>
      </c>
    </row>
    <row r="19" spans="1:16" x14ac:dyDescent="0.2">
      <c r="A19">
        <v>15</v>
      </c>
      <c r="B19" s="46" t="s">
        <v>39</v>
      </c>
      <c r="C19" s="46" t="s">
        <v>36</v>
      </c>
      <c r="D19" s="46" t="s">
        <v>39</v>
      </c>
      <c r="E19">
        <v>31</v>
      </c>
      <c r="F19">
        <v>20</v>
      </c>
      <c r="G19">
        <v>0.94</v>
      </c>
      <c r="H19" s="46" t="s">
        <v>39</v>
      </c>
      <c r="I19">
        <v>0.77659999999999996</v>
      </c>
      <c r="J19">
        <v>7.58</v>
      </c>
      <c r="K19" s="46" t="s">
        <v>39</v>
      </c>
      <c r="L19" s="46" t="s">
        <v>174</v>
      </c>
      <c r="M19" s="46" t="s">
        <v>155</v>
      </c>
      <c r="N19" s="46" t="s">
        <v>122</v>
      </c>
      <c r="O19" s="46" t="s">
        <v>122</v>
      </c>
      <c r="P19" s="46" t="s">
        <v>151</v>
      </c>
    </row>
    <row r="20" spans="1:16" x14ac:dyDescent="0.2">
      <c r="A20">
        <v>15</v>
      </c>
      <c r="B20" s="46" t="s">
        <v>17</v>
      </c>
      <c r="C20" s="46" t="s">
        <v>41</v>
      </c>
      <c r="D20" s="46" t="s">
        <v>41</v>
      </c>
      <c r="E20">
        <v>16</v>
      </c>
      <c r="F20">
        <v>17</v>
      </c>
      <c r="G20">
        <v>0.68</v>
      </c>
      <c r="H20" s="46" t="s">
        <v>41</v>
      </c>
      <c r="I20">
        <v>0.42420000000000002</v>
      </c>
      <c r="J20">
        <v>-0.62</v>
      </c>
      <c r="K20" s="46" t="s">
        <v>41</v>
      </c>
      <c r="L20" s="46" t="s">
        <v>157</v>
      </c>
      <c r="M20" s="46" t="s">
        <v>175</v>
      </c>
      <c r="N20" s="46" t="s">
        <v>122</v>
      </c>
      <c r="O20" s="46" t="s">
        <v>122</v>
      </c>
      <c r="P20" s="46" t="s">
        <v>151</v>
      </c>
    </row>
    <row r="21" spans="1:16" x14ac:dyDescent="0.2">
      <c r="A21">
        <v>15</v>
      </c>
      <c r="B21" s="46" t="s">
        <v>31</v>
      </c>
      <c r="C21" s="46" t="s">
        <v>35</v>
      </c>
      <c r="D21" s="46" t="s">
        <v>35</v>
      </c>
      <c r="E21">
        <v>22</v>
      </c>
      <c r="F21">
        <v>27</v>
      </c>
      <c r="G21">
        <v>0.505</v>
      </c>
      <c r="H21" s="46" t="s">
        <v>31</v>
      </c>
      <c r="I21">
        <v>0.66959999999999997</v>
      </c>
      <c r="J21">
        <v>6.21</v>
      </c>
      <c r="K21" s="46" t="s">
        <v>31</v>
      </c>
      <c r="L21" s="46" t="s">
        <v>155</v>
      </c>
      <c r="M21" s="46" t="s">
        <v>173</v>
      </c>
      <c r="N21" s="46" t="s">
        <v>121</v>
      </c>
      <c r="O21" s="46" t="s">
        <v>122</v>
      </c>
      <c r="P21" s="46" t="s">
        <v>151</v>
      </c>
    </row>
    <row r="22" spans="1:16" x14ac:dyDescent="0.2">
      <c r="A22">
        <v>15</v>
      </c>
      <c r="B22" s="46" t="s">
        <v>34</v>
      </c>
      <c r="C22" s="46" t="s">
        <v>32</v>
      </c>
      <c r="D22" s="46" t="s">
        <v>34</v>
      </c>
      <c r="E22">
        <v>27</v>
      </c>
      <c r="F22">
        <v>13</v>
      </c>
      <c r="G22">
        <v>1</v>
      </c>
      <c r="H22" s="46" t="s">
        <v>34</v>
      </c>
      <c r="I22">
        <v>0.87649999999999995</v>
      </c>
      <c r="J22">
        <v>15.52</v>
      </c>
      <c r="K22" s="46" t="s">
        <v>34</v>
      </c>
      <c r="L22" s="46" t="s">
        <v>165</v>
      </c>
      <c r="M22" s="46" t="s">
        <v>153</v>
      </c>
      <c r="N22" s="46" t="s">
        <v>122</v>
      </c>
      <c r="O22" s="46" t="s">
        <v>122</v>
      </c>
      <c r="P22" s="46" t="s">
        <v>151</v>
      </c>
    </row>
    <row r="23" spans="1:16" x14ac:dyDescent="0.2">
      <c r="A23">
        <v>15</v>
      </c>
      <c r="B23" s="46" t="s">
        <v>7</v>
      </c>
      <c r="C23" s="46" t="s">
        <v>6</v>
      </c>
      <c r="D23" s="46" t="s">
        <v>7</v>
      </c>
      <c r="E23">
        <v>33</v>
      </c>
      <c r="F23">
        <v>19</v>
      </c>
      <c r="G23">
        <v>0.72929999999999995</v>
      </c>
      <c r="H23" s="46" t="s">
        <v>7</v>
      </c>
      <c r="I23">
        <v>0.73740000000000006</v>
      </c>
      <c r="J23">
        <v>9.69</v>
      </c>
      <c r="K23" s="46" t="s">
        <v>6</v>
      </c>
      <c r="L23" s="46" t="s">
        <v>176</v>
      </c>
      <c r="M23" s="46" t="s">
        <v>171</v>
      </c>
      <c r="N23" s="46" t="s">
        <v>121</v>
      </c>
      <c r="O23" s="46" t="s">
        <v>121</v>
      </c>
      <c r="P23" s="46" t="s">
        <v>151</v>
      </c>
    </row>
    <row r="24" spans="1:16" x14ac:dyDescent="0.2">
      <c r="A24">
        <v>15</v>
      </c>
      <c r="B24" s="46" t="s">
        <v>40</v>
      </c>
      <c r="C24" s="46" t="s">
        <v>26</v>
      </c>
      <c r="D24" s="46" t="s">
        <v>40</v>
      </c>
      <c r="E24">
        <v>29</v>
      </c>
      <c r="F24">
        <v>12</v>
      </c>
      <c r="G24">
        <v>0.99</v>
      </c>
      <c r="H24" s="46" t="s">
        <v>40</v>
      </c>
      <c r="I24">
        <v>0.82730000000000004</v>
      </c>
      <c r="J24">
        <v>11.78</v>
      </c>
      <c r="K24" s="46" t="s">
        <v>40</v>
      </c>
      <c r="L24" s="46" t="s">
        <v>177</v>
      </c>
      <c r="M24" s="46" t="s">
        <v>152</v>
      </c>
      <c r="N24" s="46" t="s">
        <v>122</v>
      </c>
      <c r="O24" s="46" t="s">
        <v>122</v>
      </c>
      <c r="P24" s="46" t="s">
        <v>151</v>
      </c>
    </row>
    <row r="25" spans="1:16" x14ac:dyDescent="0.2">
      <c r="A25">
        <v>15</v>
      </c>
      <c r="B25" s="46" t="s">
        <v>14</v>
      </c>
      <c r="C25" s="46" t="s">
        <v>8</v>
      </c>
      <c r="D25" s="46" t="s">
        <v>14</v>
      </c>
      <c r="E25">
        <v>30</v>
      </c>
      <c r="F25">
        <v>16</v>
      </c>
      <c r="G25">
        <v>0.99</v>
      </c>
      <c r="H25" s="46" t="s">
        <v>14</v>
      </c>
      <c r="I25">
        <v>0.83850000000000002</v>
      </c>
      <c r="J25">
        <v>11.51</v>
      </c>
      <c r="K25" s="46" t="s">
        <v>14</v>
      </c>
      <c r="L25" s="46" t="s">
        <v>178</v>
      </c>
      <c r="M25" s="46" t="s">
        <v>152</v>
      </c>
      <c r="N25" s="46" t="s">
        <v>122</v>
      </c>
      <c r="O25" s="46" t="s">
        <v>122</v>
      </c>
      <c r="P25" s="46" t="s">
        <v>151</v>
      </c>
    </row>
    <row r="26" spans="1:16" x14ac:dyDescent="0.2">
      <c r="A26">
        <v>15</v>
      </c>
      <c r="B26" s="46" t="s">
        <v>5</v>
      </c>
      <c r="C26" s="46" t="s">
        <v>44</v>
      </c>
      <c r="D26" s="46" t="s">
        <v>44</v>
      </c>
      <c r="E26">
        <v>25</v>
      </c>
      <c r="F26">
        <v>28</v>
      </c>
      <c r="G26">
        <v>0.52700000000000002</v>
      </c>
      <c r="H26" s="46" t="s">
        <v>5</v>
      </c>
      <c r="I26">
        <v>0.64829999999999999</v>
      </c>
      <c r="J26">
        <v>2.83</v>
      </c>
      <c r="K26" s="46" t="s">
        <v>44</v>
      </c>
      <c r="L26" s="46" t="s">
        <v>173</v>
      </c>
      <c r="M26" s="46" t="s">
        <v>155</v>
      </c>
      <c r="N26" s="46" t="s">
        <v>122</v>
      </c>
      <c r="O26" s="46" t="s">
        <v>121</v>
      </c>
      <c r="P26" s="46" t="s">
        <v>151</v>
      </c>
    </row>
    <row r="27" spans="1:16" x14ac:dyDescent="0.2">
      <c r="A27">
        <v>15</v>
      </c>
      <c r="B27" s="46" t="s">
        <v>12</v>
      </c>
      <c r="C27" s="46" t="s">
        <v>11</v>
      </c>
      <c r="D27" s="46" t="s">
        <v>11</v>
      </c>
      <c r="E27">
        <v>11</v>
      </c>
      <c r="F27">
        <v>21</v>
      </c>
      <c r="G27">
        <v>0.55000000000000004</v>
      </c>
      <c r="H27" s="46" t="s">
        <v>12</v>
      </c>
      <c r="I27">
        <v>0.5867</v>
      </c>
      <c r="J27">
        <v>2.33</v>
      </c>
      <c r="K27" s="46" t="s">
        <v>11</v>
      </c>
      <c r="L27" s="46" t="s">
        <v>169</v>
      </c>
      <c r="M27" s="46" t="s">
        <v>156</v>
      </c>
      <c r="N27" s="46" t="s">
        <v>122</v>
      </c>
      <c r="O27" s="46" t="s">
        <v>121</v>
      </c>
      <c r="P27" s="46" t="s">
        <v>151</v>
      </c>
    </row>
    <row r="28" spans="1:16" x14ac:dyDescent="0.2">
      <c r="A28">
        <v>15</v>
      </c>
      <c r="B28" s="46" t="s">
        <v>4</v>
      </c>
      <c r="C28" s="46" t="s">
        <v>18</v>
      </c>
      <c r="D28" s="46" t="s">
        <v>4</v>
      </c>
      <c r="E28">
        <v>29</v>
      </c>
      <c r="F28">
        <v>22</v>
      </c>
      <c r="G28">
        <v>1</v>
      </c>
      <c r="H28" s="46" t="s">
        <v>4</v>
      </c>
      <c r="I28">
        <v>0.93120000000000003</v>
      </c>
      <c r="J28">
        <v>16.97</v>
      </c>
      <c r="K28" s="46" t="s">
        <v>4</v>
      </c>
      <c r="L28" s="46" t="s">
        <v>157</v>
      </c>
      <c r="M28" s="46" t="s">
        <v>160</v>
      </c>
      <c r="N28" s="46" t="s">
        <v>122</v>
      </c>
      <c r="O28" s="46" t="s">
        <v>122</v>
      </c>
      <c r="P28" s="46" t="s">
        <v>151</v>
      </c>
    </row>
    <row r="29" spans="1:16" x14ac:dyDescent="0.2">
      <c r="A29">
        <v>15</v>
      </c>
      <c r="B29" s="46" t="s">
        <v>20</v>
      </c>
      <c r="C29" s="46" t="s">
        <v>19</v>
      </c>
      <c r="D29" s="46" t="s">
        <v>19</v>
      </c>
      <c r="E29">
        <v>24</v>
      </c>
      <c r="F29">
        <v>27</v>
      </c>
      <c r="G29">
        <v>0.69740000000000002</v>
      </c>
      <c r="H29" s="46" t="s">
        <v>20</v>
      </c>
      <c r="I29">
        <v>0.77810000000000001</v>
      </c>
      <c r="J29">
        <v>11.9</v>
      </c>
      <c r="K29" s="46" t="s">
        <v>19</v>
      </c>
      <c r="L29" s="46" t="s">
        <v>168</v>
      </c>
      <c r="M29" s="46" t="s">
        <v>156</v>
      </c>
      <c r="N29" s="46" t="s">
        <v>122</v>
      </c>
      <c r="O29" s="46" t="s">
        <v>121</v>
      </c>
      <c r="P29" s="46" t="s">
        <v>151</v>
      </c>
    </row>
    <row r="30" spans="1:16" x14ac:dyDescent="0.2">
      <c r="A30">
        <v>15</v>
      </c>
      <c r="B30" s="46" t="s">
        <v>24</v>
      </c>
      <c r="C30" s="46" t="s">
        <v>42</v>
      </c>
      <c r="D30" s="46" t="s">
        <v>42</v>
      </c>
      <c r="E30">
        <v>25</v>
      </c>
      <c r="F30">
        <v>29</v>
      </c>
      <c r="G30">
        <v>0.75280000000000002</v>
      </c>
      <c r="H30" s="46" t="s">
        <v>42</v>
      </c>
      <c r="I30">
        <v>0.69259999999999999</v>
      </c>
      <c r="J30">
        <v>-8.32</v>
      </c>
      <c r="K30" s="46" t="s">
        <v>42</v>
      </c>
      <c r="L30" s="46" t="s">
        <v>160</v>
      </c>
      <c r="M30" s="46" t="s">
        <v>153</v>
      </c>
      <c r="N30" s="46" t="s">
        <v>122</v>
      </c>
      <c r="O30" s="46" t="s">
        <v>122</v>
      </c>
      <c r="P30" s="46" t="s">
        <v>151</v>
      </c>
    </row>
    <row r="31" spans="1:16" x14ac:dyDescent="0.2">
      <c r="A31">
        <v>15</v>
      </c>
      <c r="B31" s="46" t="s">
        <v>9</v>
      </c>
      <c r="C31" s="46" t="s">
        <v>29</v>
      </c>
      <c r="D31" s="46" t="s">
        <v>9</v>
      </c>
      <c r="E31">
        <v>23</v>
      </c>
      <c r="F31">
        <v>20</v>
      </c>
      <c r="G31">
        <v>0.83979999999999999</v>
      </c>
      <c r="H31" s="46" t="s">
        <v>9</v>
      </c>
      <c r="I31">
        <v>0.74519999999999997</v>
      </c>
      <c r="J31">
        <v>9.56</v>
      </c>
      <c r="K31" s="46" t="s">
        <v>9</v>
      </c>
      <c r="L31" s="46" t="s">
        <v>168</v>
      </c>
      <c r="M31" s="46" t="s">
        <v>179</v>
      </c>
      <c r="N31" s="46" t="s">
        <v>122</v>
      </c>
      <c r="O31" s="46" t="s">
        <v>122</v>
      </c>
      <c r="P31" s="46" t="s">
        <v>151</v>
      </c>
    </row>
    <row r="32" spans="1:16" x14ac:dyDescent="0.2">
      <c r="A32">
        <v>16</v>
      </c>
      <c r="B32" s="46" t="s">
        <v>12</v>
      </c>
      <c r="C32" s="46" t="s">
        <v>44</v>
      </c>
      <c r="D32" s="46" t="s">
        <v>44</v>
      </c>
      <c r="E32">
        <v>24</v>
      </c>
      <c r="F32">
        <v>27</v>
      </c>
      <c r="G32">
        <v>0.66649999999999998</v>
      </c>
      <c r="H32" s="46" t="s">
        <v>12</v>
      </c>
      <c r="I32">
        <v>0.52680000000000005</v>
      </c>
      <c r="J32">
        <v>0.38</v>
      </c>
      <c r="K32" s="46" t="s">
        <v>44</v>
      </c>
      <c r="L32" s="46" t="s">
        <v>176</v>
      </c>
      <c r="M32" s="46" t="s">
        <v>171</v>
      </c>
      <c r="N32" s="46" t="s">
        <v>122</v>
      </c>
      <c r="O32" s="46" t="s">
        <v>121</v>
      </c>
      <c r="P32" s="46" t="s">
        <v>151</v>
      </c>
    </row>
    <row r="33" spans="1:16" x14ac:dyDescent="0.2">
      <c r="A33">
        <v>16</v>
      </c>
      <c r="B33" s="46" t="s">
        <v>33</v>
      </c>
      <c r="C33" s="46" t="s">
        <v>39</v>
      </c>
      <c r="D33" s="46" t="s">
        <v>39</v>
      </c>
      <c r="E33">
        <v>17</v>
      </c>
      <c r="F33">
        <v>28</v>
      </c>
      <c r="G33">
        <v>0.84230000000000005</v>
      </c>
      <c r="H33" s="46" t="s">
        <v>33</v>
      </c>
      <c r="I33">
        <v>0.52900000000000003</v>
      </c>
      <c r="J33">
        <v>1.45</v>
      </c>
      <c r="K33" s="46" t="s">
        <v>33</v>
      </c>
      <c r="L33" s="46" t="s">
        <v>180</v>
      </c>
      <c r="M33" s="46" t="s">
        <v>165</v>
      </c>
      <c r="N33" s="46" t="s">
        <v>121</v>
      </c>
      <c r="O33" s="46" t="s">
        <v>122</v>
      </c>
      <c r="P33" s="46" t="s">
        <v>151</v>
      </c>
    </row>
    <row r="34" spans="1:16" x14ac:dyDescent="0.2">
      <c r="A34">
        <v>16</v>
      </c>
      <c r="B34" s="46" t="s">
        <v>25</v>
      </c>
      <c r="C34" s="46" t="s">
        <v>8</v>
      </c>
      <c r="D34" s="46" t="s">
        <v>25</v>
      </c>
      <c r="E34">
        <v>22</v>
      </c>
      <c r="F34">
        <v>21</v>
      </c>
      <c r="G34">
        <v>0.6774</v>
      </c>
      <c r="H34" s="46" t="s">
        <v>25</v>
      </c>
      <c r="I34">
        <v>0.58189999999999997</v>
      </c>
      <c r="J34">
        <v>2.1</v>
      </c>
      <c r="K34" s="46" t="s">
        <v>25</v>
      </c>
      <c r="L34" s="46" t="s">
        <v>156</v>
      </c>
      <c r="M34" s="46" t="s">
        <v>182</v>
      </c>
      <c r="N34" s="46" t="s">
        <v>122</v>
      </c>
      <c r="O34" s="46" t="s">
        <v>122</v>
      </c>
      <c r="P34" s="46" t="s">
        <v>151</v>
      </c>
    </row>
    <row r="35" spans="1:16" x14ac:dyDescent="0.2">
      <c r="A35">
        <v>16</v>
      </c>
      <c r="B35" s="46" t="s">
        <v>11</v>
      </c>
      <c r="C35" s="46" t="s">
        <v>4</v>
      </c>
      <c r="D35" s="46" t="s">
        <v>4</v>
      </c>
      <c r="E35">
        <v>22</v>
      </c>
      <c r="F35">
        <v>27</v>
      </c>
      <c r="G35">
        <v>0.74590000000000001</v>
      </c>
      <c r="H35" s="46" t="s">
        <v>4</v>
      </c>
      <c r="I35">
        <v>0.65169999999999995</v>
      </c>
      <c r="J35">
        <v>-6.9</v>
      </c>
      <c r="K35" s="46" t="s">
        <v>4</v>
      </c>
      <c r="L35" s="46" t="s">
        <v>170</v>
      </c>
      <c r="M35" s="46" t="s">
        <v>156</v>
      </c>
      <c r="N35" s="46" t="s">
        <v>122</v>
      </c>
      <c r="O35" s="46" t="s">
        <v>122</v>
      </c>
      <c r="P35" s="46" t="s">
        <v>151</v>
      </c>
    </row>
    <row r="36" spans="1:16" x14ac:dyDescent="0.2">
      <c r="A36">
        <v>16</v>
      </c>
      <c r="B36" s="46" t="s">
        <v>15</v>
      </c>
      <c r="C36" s="46" t="s">
        <v>20</v>
      </c>
      <c r="D36" s="46" t="s">
        <v>20</v>
      </c>
      <c r="E36">
        <v>17</v>
      </c>
      <c r="F36">
        <v>29</v>
      </c>
      <c r="G36">
        <v>0.72640000000000005</v>
      </c>
      <c r="H36" s="46" t="s">
        <v>20</v>
      </c>
      <c r="I36">
        <v>0.61419999999999997</v>
      </c>
      <c r="J36">
        <v>-7.65</v>
      </c>
      <c r="K36" s="46" t="s">
        <v>15</v>
      </c>
      <c r="L36" s="46" t="s">
        <v>181</v>
      </c>
      <c r="M36" s="46" t="s">
        <v>152</v>
      </c>
      <c r="N36" s="46" t="s">
        <v>121</v>
      </c>
      <c r="O36" s="46" t="s">
        <v>121</v>
      </c>
      <c r="P36" s="46" t="s">
        <v>151</v>
      </c>
    </row>
    <row r="37" spans="1:16" x14ac:dyDescent="0.2">
      <c r="A37">
        <v>16</v>
      </c>
      <c r="B37" s="46" t="s">
        <v>31</v>
      </c>
      <c r="C37" s="46" t="s">
        <v>14</v>
      </c>
      <c r="D37" s="46" t="s">
        <v>31</v>
      </c>
      <c r="E37">
        <v>32</v>
      </c>
      <c r="F37">
        <v>27</v>
      </c>
      <c r="G37">
        <v>0.81830000000000003</v>
      </c>
      <c r="H37" s="46" t="s">
        <v>31</v>
      </c>
      <c r="I37">
        <v>0.75119999999999998</v>
      </c>
      <c r="J37">
        <v>7.58</v>
      </c>
      <c r="K37" s="46" t="s">
        <v>14</v>
      </c>
      <c r="L37" s="46" t="s">
        <v>152</v>
      </c>
      <c r="M37" s="46" t="s">
        <v>155</v>
      </c>
      <c r="N37" s="46" t="s">
        <v>121</v>
      </c>
      <c r="O37" s="46" t="s">
        <v>121</v>
      </c>
      <c r="P37" s="46" t="s">
        <v>151</v>
      </c>
    </row>
    <row r="38" spans="1:16" x14ac:dyDescent="0.2">
      <c r="A38">
        <v>16</v>
      </c>
      <c r="B38" s="46" t="s">
        <v>29</v>
      </c>
      <c r="C38" s="46" t="s">
        <v>24</v>
      </c>
      <c r="D38" s="46" t="s">
        <v>29</v>
      </c>
      <c r="E38">
        <v>23</v>
      </c>
      <c r="F38">
        <v>21</v>
      </c>
      <c r="G38">
        <v>0.5363</v>
      </c>
      <c r="H38" s="46" t="s">
        <v>29</v>
      </c>
      <c r="I38">
        <v>0.65559999999999996</v>
      </c>
      <c r="J38">
        <v>5.09</v>
      </c>
      <c r="K38" s="46" t="s">
        <v>24</v>
      </c>
      <c r="L38" s="46" t="s">
        <v>169</v>
      </c>
      <c r="M38" s="46" t="s">
        <v>167</v>
      </c>
      <c r="N38" s="46" t="s">
        <v>121</v>
      </c>
      <c r="O38" s="46" t="s">
        <v>121</v>
      </c>
      <c r="P38" s="46" t="s">
        <v>151</v>
      </c>
    </row>
    <row r="39" spans="1:16" x14ac:dyDescent="0.2">
      <c r="A39">
        <v>16</v>
      </c>
      <c r="B39" s="46" t="s">
        <v>40</v>
      </c>
      <c r="C39" s="46" t="s">
        <v>18</v>
      </c>
      <c r="D39" s="46" t="s">
        <v>40</v>
      </c>
      <c r="E39">
        <v>33</v>
      </c>
      <c r="F39">
        <v>7</v>
      </c>
      <c r="G39">
        <v>1</v>
      </c>
      <c r="H39" s="46" t="s">
        <v>40</v>
      </c>
      <c r="I39">
        <v>1</v>
      </c>
      <c r="J39">
        <v>20.94</v>
      </c>
      <c r="K39" s="46" t="s">
        <v>40</v>
      </c>
      <c r="L39" s="46" t="s">
        <v>181</v>
      </c>
      <c r="M39" s="46" t="s">
        <v>169</v>
      </c>
      <c r="N39" s="46" t="s">
        <v>122</v>
      </c>
      <c r="O39" s="46" t="s">
        <v>122</v>
      </c>
      <c r="P39" s="46" t="s">
        <v>151</v>
      </c>
    </row>
    <row r="40" spans="1:16" x14ac:dyDescent="0.2">
      <c r="A40">
        <v>16</v>
      </c>
      <c r="B40" s="46" t="s">
        <v>23</v>
      </c>
      <c r="C40" s="46" t="s">
        <v>41</v>
      </c>
      <c r="D40" s="46" t="s">
        <v>41</v>
      </c>
      <c r="E40">
        <v>14</v>
      </c>
      <c r="F40">
        <v>25</v>
      </c>
      <c r="G40">
        <v>0.88539999999999996</v>
      </c>
      <c r="H40" s="46" t="s">
        <v>41</v>
      </c>
      <c r="I40">
        <v>0.73329999999999995</v>
      </c>
      <c r="J40">
        <v>-10.99</v>
      </c>
      <c r="K40" s="46" t="s">
        <v>41</v>
      </c>
      <c r="L40" s="46" t="s">
        <v>152</v>
      </c>
      <c r="M40" s="46" t="s">
        <v>181</v>
      </c>
      <c r="N40" s="46" t="s">
        <v>122</v>
      </c>
      <c r="O40" s="46" t="s">
        <v>122</v>
      </c>
      <c r="P40" s="46" t="s">
        <v>151</v>
      </c>
    </row>
    <row r="41" spans="1:16" x14ac:dyDescent="0.2">
      <c r="A41">
        <v>16</v>
      </c>
      <c r="B41" s="46" t="s">
        <v>32</v>
      </c>
      <c r="C41" s="46" t="s">
        <v>7</v>
      </c>
      <c r="D41" s="46" t="s">
        <v>7</v>
      </c>
      <c r="E41">
        <v>17</v>
      </c>
      <c r="F41">
        <v>33</v>
      </c>
      <c r="G41">
        <v>0.81410000000000005</v>
      </c>
      <c r="H41" s="46" t="s">
        <v>7</v>
      </c>
      <c r="I41">
        <v>0.76639999999999997</v>
      </c>
      <c r="J41">
        <v>-15.36</v>
      </c>
      <c r="K41" s="46" t="s">
        <v>32</v>
      </c>
      <c r="L41" s="46" t="s">
        <v>173</v>
      </c>
      <c r="M41" s="46" t="s">
        <v>164</v>
      </c>
      <c r="N41" s="46" t="s">
        <v>121</v>
      </c>
      <c r="O41" s="46" t="s">
        <v>121</v>
      </c>
      <c r="P41" s="46" t="s">
        <v>151</v>
      </c>
    </row>
    <row r="42" spans="1:16" x14ac:dyDescent="0.2">
      <c r="A42">
        <v>16</v>
      </c>
      <c r="B42" s="46" t="s">
        <v>26</v>
      </c>
      <c r="C42" s="46" t="s">
        <v>19</v>
      </c>
      <c r="D42" s="46" t="s">
        <v>26</v>
      </c>
      <c r="E42">
        <v>27</v>
      </c>
      <c r="F42">
        <v>24</v>
      </c>
      <c r="G42">
        <v>0.72309999999999997</v>
      </c>
      <c r="H42" s="46" t="s">
        <v>26</v>
      </c>
      <c r="I42">
        <v>0.67859999999999998</v>
      </c>
      <c r="J42">
        <v>6.95</v>
      </c>
      <c r="K42" s="46" t="s">
        <v>19</v>
      </c>
      <c r="L42" s="46" t="s">
        <v>163</v>
      </c>
      <c r="M42" s="46" t="s">
        <v>173</v>
      </c>
      <c r="N42" s="46" t="s">
        <v>121</v>
      </c>
      <c r="O42" s="46" t="s">
        <v>121</v>
      </c>
      <c r="P42" s="46" t="s">
        <v>151</v>
      </c>
    </row>
    <row r="43" spans="1:16" x14ac:dyDescent="0.2">
      <c r="A43">
        <v>16</v>
      </c>
      <c r="B43" s="46" t="s">
        <v>42</v>
      </c>
      <c r="C43" s="46" t="s">
        <v>17</v>
      </c>
      <c r="D43" s="46" t="s">
        <v>17</v>
      </c>
      <c r="E43">
        <v>9</v>
      </c>
      <c r="F43">
        <v>28</v>
      </c>
      <c r="G43">
        <v>0.89</v>
      </c>
      <c r="H43" s="46" t="s">
        <v>42</v>
      </c>
      <c r="I43">
        <v>0.35959999999999998</v>
      </c>
      <c r="J43">
        <v>0.45</v>
      </c>
      <c r="K43" s="46" t="s">
        <v>17</v>
      </c>
      <c r="L43" s="46" t="s">
        <v>153</v>
      </c>
      <c r="M43" s="46" t="s">
        <v>168</v>
      </c>
      <c r="N43" s="46" t="s">
        <v>122</v>
      </c>
      <c r="O43" s="46" t="s">
        <v>121</v>
      </c>
      <c r="P43" s="46" t="s">
        <v>151</v>
      </c>
    </row>
    <row r="44" spans="1:16" x14ac:dyDescent="0.2">
      <c r="A44">
        <v>16</v>
      </c>
      <c r="B44" s="46" t="s">
        <v>36</v>
      </c>
      <c r="C44" s="46" t="s">
        <v>9</v>
      </c>
      <c r="D44" s="46" t="s">
        <v>9</v>
      </c>
      <c r="E44">
        <v>25</v>
      </c>
      <c r="F44">
        <v>28</v>
      </c>
      <c r="G44">
        <v>0.55389999999999995</v>
      </c>
      <c r="H44" s="46" t="s">
        <v>36</v>
      </c>
      <c r="I44">
        <v>0.76929999999999998</v>
      </c>
      <c r="J44">
        <v>9.08</v>
      </c>
      <c r="K44" s="46" t="s">
        <v>9</v>
      </c>
      <c r="L44" s="46" t="s">
        <v>153</v>
      </c>
      <c r="M44" s="46" t="s">
        <v>156</v>
      </c>
      <c r="N44" s="46" t="s">
        <v>122</v>
      </c>
      <c r="O44" s="46" t="s">
        <v>121</v>
      </c>
      <c r="P44" s="46" t="s">
        <v>151</v>
      </c>
    </row>
    <row r="45" spans="1:16" x14ac:dyDescent="0.2">
      <c r="A45">
        <v>16</v>
      </c>
      <c r="B45" s="46" t="s">
        <v>43</v>
      </c>
      <c r="C45" s="46" t="s">
        <v>35</v>
      </c>
      <c r="D45" s="46" t="s">
        <v>35</v>
      </c>
      <c r="E45">
        <v>28</v>
      </c>
      <c r="F45">
        <v>31</v>
      </c>
      <c r="G45">
        <v>0.58930000000000005</v>
      </c>
      <c r="H45" s="46" t="s">
        <v>35</v>
      </c>
      <c r="I45">
        <v>0.54590000000000005</v>
      </c>
      <c r="J45">
        <v>-4.2300000000000004</v>
      </c>
      <c r="K45" s="46" t="s">
        <v>43</v>
      </c>
      <c r="L45" s="46" t="s">
        <v>158</v>
      </c>
      <c r="M45" s="46" t="s">
        <v>171</v>
      </c>
      <c r="N45" s="46" t="s">
        <v>121</v>
      </c>
      <c r="O45" s="46" t="s">
        <v>121</v>
      </c>
      <c r="P45" s="46" t="s">
        <v>151</v>
      </c>
    </row>
    <row r="46" spans="1:16" x14ac:dyDescent="0.2">
      <c r="A46">
        <v>16</v>
      </c>
      <c r="B46" s="46" t="s">
        <v>5</v>
      </c>
      <c r="C46" s="46" t="s">
        <v>6</v>
      </c>
      <c r="D46" s="46" t="s">
        <v>6</v>
      </c>
      <c r="E46">
        <v>17</v>
      </c>
      <c r="F46">
        <v>30</v>
      </c>
      <c r="G46">
        <v>0.96230000000000004</v>
      </c>
      <c r="H46" s="46" t="s">
        <v>5</v>
      </c>
      <c r="I46">
        <v>0.46450000000000002</v>
      </c>
      <c r="J46">
        <v>0.15</v>
      </c>
      <c r="K46" s="46" t="s">
        <v>6</v>
      </c>
      <c r="L46" s="46" t="s">
        <v>166</v>
      </c>
      <c r="M46" s="46" t="s">
        <v>155</v>
      </c>
      <c r="N46" s="46" t="s">
        <v>122</v>
      </c>
      <c r="O46" s="46" t="s">
        <v>121</v>
      </c>
      <c r="P46" s="46" t="s">
        <v>151</v>
      </c>
    </row>
    <row r="47" spans="1:16" x14ac:dyDescent="0.2">
      <c r="A47">
        <v>16</v>
      </c>
      <c r="B47" s="46" t="s">
        <v>28</v>
      </c>
      <c r="C47" s="46" t="s">
        <v>34</v>
      </c>
      <c r="D47" s="46" t="s">
        <v>34</v>
      </c>
      <c r="E47">
        <v>27</v>
      </c>
      <c r="F47">
        <v>29</v>
      </c>
      <c r="G47">
        <v>0.52329999999999999</v>
      </c>
      <c r="H47" s="46" t="s">
        <v>28</v>
      </c>
      <c r="I47">
        <v>0.69569999999999999</v>
      </c>
      <c r="J47">
        <v>8.14</v>
      </c>
      <c r="K47" s="46" t="s">
        <v>34</v>
      </c>
      <c r="L47" s="46" t="s">
        <v>159</v>
      </c>
      <c r="M47" s="46" t="s">
        <v>178</v>
      </c>
      <c r="N47" s="46" t="s">
        <v>122</v>
      </c>
      <c r="O47" s="46" t="s">
        <v>121</v>
      </c>
      <c r="P47" s="46" t="s">
        <v>151</v>
      </c>
    </row>
    <row r="48" spans="1:16" x14ac:dyDescent="0.2">
      <c r="A48">
        <v>17</v>
      </c>
      <c r="B48" s="46" t="s">
        <v>11</v>
      </c>
      <c r="C48" s="46" t="s">
        <v>5</v>
      </c>
      <c r="D48" s="46" t="s">
        <v>5</v>
      </c>
      <c r="E48">
        <v>23</v>
      </c>
      <c r="F48">
        <v>29</v>
      </c>
      <c r="G48">
        <v>0.67869999999999997</v>
      </c>
      <c r="H48" s="46" t="s">
        <v>5</v>
      </c>
      <c r="I48">
        <v>0.46939999999999998</v>
      </c>
      <c r="J48">
        <v>-0.47</v>
      </c>
      <c r="K48" s="46" t="s">
        <v>5</v>
      </c>
      <c r="L48" s="46" t="s">
        <v>181</v>
      </c>
      <c r="M48" s="46" t="s">
        <v>150</v>
      </c>
      <c r="N48" s="46" t="s">
        <v>122</v>
      </c>
      <c r="O48" s="46" t="s">
        <v>122</v>
      </c>
      <c r="P48" s="46" t="s">
        <v>151</v>
      </c>
    </row>
    <row r="49" spans="1:16" x14ac:dyDescent="0.2">
      <c r="A49">
        <v>17</v>
      </c>
      <c r="B49" s="46" t="s">
        <v>44</v>
      </c>
      <c r="C49" s="46" t="s">
        <v>36</v>
      </c>
      <c r="D49" s="46" t="s">
        <v>36</v>
      </c>
      <c r="E49">
        <v>29</v>
      </c>
      <c r="F49">
        <v>32</v>
      </c>
      <c r="G49">
        <v>0.88</v>
      </c>
      <c r="H49" s="46" t="s">
        <v>36</v>
      </c>
      <c r="I49">
        <v>0.58320000000000005</v>
      </c>
      <c r="J49">
        <v>-6.15</v>
      </c>
      <c r="K49" s="46" t="s">
        <v>44</v>
      </c>
      <c r="L49" s="46" t="s">
        <v>181</v>
      </c>
      <c r="M49" s="46" t="s">
        <v>154</v>
      </c>
      <c r="N49" s="46" t="s">
        <v>121</v>
      </c>
      <c r="O49" s="46" t="s">
        <v>121</v>
      </c>
      <c r="P49" s="46" t="s">
        <v>151</v>
      </c>
    </row>
    <row r="50" spans="1:16" x14ac:dyDescent="0.2">
      <c r="A50">
        <v>17</v>
      </c>
      <c r="B50" s="46" t="s">
        <v>19</v>
      </c>
      <c r="C50" s="46" t="s">
        <v>39</v>
      </c>
      <c r="D50" s="46" t="s">
        <v>19</v>
      </c>
      <c r="E50">
        <v>24</v>
      </c>
      <c r="F50">
        <v>21</v>
      </c>
      <c r="G50">
        <v>0.82250000000000001</v>
      </c>
      <c r="H50" s="46" t="s">
        <v>39</v>
      </c>
      <c r="I50">
        <v>0.82569999999999999</v>
      </c>
      <c r="J50">
        <v>-14.42</v>
      </c>
      <c r="K50" s="46" t="s">
        <v>19</v>
      </c>
      <c r="L50" s="46" t="s">
        <v>159</v>
      </c>
      <c r="M50" s="46" t="s">
        <v>153</v>
      </c>
      <c r="N50" s="46" t="s">
        <v>122</v>
      </c>
      <c r="O50" s="46" t="s">
        <v>121</v>
      </c>
      <c r="P50" s="46" t="s">
        <v>151</v>
      </c>
    </row>
    <row r="51" spans="1:16" x14ac:dyDescent="0.2">
      <c r="A51">
        <v>17</v>
      </c>
      <c r="B51" s="46" t="s">
        <v>15</v>
      </c>
      <c r="C51" s="46" t="s">
        <v>33</v>
      </c>
      <c r="D51" s="46" t="s">
        <v>33</v>
      </c>
      <c r="E51">
        <v>21</v>
      </c>
      <c r="F51">
        <v>33</v>
      </c>
      <c r="G51">
        <v>0.79969999999999997</v>
      </c>
      <c r="H51" s="46" t="s">
        <v>33</v>
      </c>
      <c r="I51">
        <v>0.82430000000000003</v>
      </c>
      <c r="J51">
        <v>-13.91</v>
      </c>
      <c r="K51" s="46" t="s">
        <v>33</v>
      </c>
      <c r="L51" s="46" t="s">
        <v>154</v>
      </c>
      <c r="M51" s="46" t="s">
        <v>159</v>
      </c>
      <c r="N51" s="46" t="s">
        <v>122</v>
      </c>
      <c r="O51" s="46" t="s">
        <v>122</v>
      </c>
      <c r="P51" s="46" t="s">
        <v>151</v>
      </c>
    </row>
    <row r="52" spans="1:16" x14ac:dyDescent="0.2">
      <c r="A52">
        <v>17</v>
      </c>
      <c r="B52" s="46" t="s">
        <v>34</v>
      </c>
      <c r="C52" s="46" t="s">
        <v>43</v>
      </c>
      <c r="D52" s="46" t="s">
        <v>43</v>
      </c>
      <c r="E52">
        <v>22</v>
      </c>
      <c r="F52">
        <v>37</v>
      </c>
      <c r="G52">
        <v>0.8831</v>
      </c>
      <c r="H52" s="46" t="s">
        <v>34</v>
      </c>
      <c r="I52">
        <v>0.72240000000000004</v>
      </c>
      <c r="J52">
        <v>10.29</v>
      </c>
      <c r="K52" s="46" t="s">
        <v>34</v>
      </c>
      <c r="L52" s="46" t="s">
        <v>183</v>
      </c>
      <c r="M52" s="46" t="s">
        <v>180</v>
      </c>
      <c r="N52" s="46" t="s">
        <v>121</v>
      </c>
      <c r="O52" s="46" t="s">
        <v>122</v>
      </c>
      <c r="P52" s="46" t="s">
        <v>151</v>
      </c>
    </row>
    <row r="53" spans="1:16" x14ac:dyDescent="0.2">
      <c r="A53">
        <v>17</v>
      </c>
      <c r="B53" s="46" t="s">
        <v>7</v>
      </c>
      <c r="C53" s="46" t="s">
        <v>31</v>
      </c>
      <c r="D53" s="46" t="s">
        <v>31</v>
      </c>
      <c r="E53">
        <v>18</v>
      </c>
      <c r="F53">
        <v>21</v>
      </c>
      <c r="G53">
        <v>0.7843</v>
      </c>
      <c r="H53" s="46" t="s">
        <v>7</v>
      </c>
      <c r="I53">
        <v>0.55179999999999996</v>
      </c>
      <c r="J53">
        <v>4.25</v>
      </c>
      <c r="K53" s="46" t="s">
        <v>31</v>
      </c>
      <c r="L53" s="46" t="s">
        <v>176</v>
      </c>
      <c r="M53" s="46" t="s">
        <v>152</v>
      </c>
      <c r="N53" s="46" t="s">
        <v>122</v>
      </c>
      <c r="O53" s="46" t="s">
        <v>121</v>
      </c>
      <c r="P53" s="46" t="s">
        <v>151</v>
      </c>
    </row>
    <row r="54" spans="1:16" x14ac:dyDescent="0.2">
      <c r="A54">
        <v>17</v>
      </c>
      <c r="B54" s="46" t="s">
        <v>6</v>
      </c>
      <c r="C54" s="46" t="s">
        <v>40</v>
      </c>
      <c r="D54" s="46" t="s">
        <v>6</v>
      </c>
      <c r="E54">
        <v>22</v>
      </c>
      <c r="F54">
        <v>14</v>
      </c>
      <c r="G54">
        <v>0.93610000000000004</v>
      </c>
      <c r="H54" s="46" t="s">
        <v>40</v>
      </c>
      <c r="I54">
        <v>0.56489999999999996</v>
      </c>
      <c r="J54">
        <v>-6.61</v>
      </c>
      <c r="K54" s="46" t="s">
        <v>40</v>
      </c>
      <c r="L54" s="46" t="s">
        <v>171</v>
      </c>
      <c r="M54" s="46" t="s">
        <v>152</v>
      </c>
      <c r="N54" s="46" t="s">
        <v>121</v>
      </c>
      <c r="O54" s="46" t="s">
        <v>122</v>
      </c>
      <c r="P54" s="46" t="s">
        <v>151</v>
      </c>
    </row>
    <row r="55" spans="1:16" x14ac:dyDescent="0.2">
      <c r="A55">
        <v>17</v>
      </c>
      <c r="B55" s="46" t="s">
        <v>29</v>
      </c>
      <c r="C55" s="46" t="s">
        <v>20</v>
      </c>
      <c r="D55" s="46" t="s">
        <v>20</v>
      </c>
      <c r="E55">
        <v>24</v>
      </c>
      <c r="F55">
        <v>30</v>
      </c>
      <c r="G55">
        <v>0.88360000000000005</v>
      </c>
      <c r="H55" s="46" t="s">
        <v>20</v>
      </c>
      <c r="I55">
        <v>0.69410000000000005</v>
      </c>
      <c r="J55">
        <v>-10.64</v>
      </c>
      <c r="K55" s="46" t="s">
        <v>29</v>
      </c>
      <c r="L55" s="46" t="s">
        <v>152</v>
      </c>
      <c r="M55" s="46" t="s">
        <v>166</v>
      </c>
      <c r="N55" s="46" t="s">
        <v>121</v>
      </c>
      <c r="O55" s="46" t="s">
        <v>121</v>
      </c>
      <c r="P55" s="46" t="s">
        <v>151</v>
      </c>
    </row>
    <row r="56" spans="1:16" x14ac:dyDescent="0.2">
      <c r="A56">
        <v>17</v>
      </c>
      <c r="B56" s="46" t="s">
        <v>35</v>
      </c>
      <c r="C56" s="46" t="s">
        <v>42</v>
      </c>
      <c r="D56" s="46" t="s">
        <v>35</v>
      </c>
      <c r="E56">
        <v>26</v>
      </c>
      <c r="F56">
        <v>23</v>
      </c>
      <c r="G56">
        <v>0.64170000000000005</v>
      </c>
      <c r="H56" s="46" t="s">
        <v>35</v>
      </c>
      <c r="I56">
        <v>0.59950000000000003</v>
      </c>
      <c r="J56">
        <v>4.0999999999999996</v>
      </c>
      <c r="K56" s="46" t="s">
        <v>42</v>
      </c>
      <c r="L56" s="46" t="s">
        <v>153</v>
      </c>
      <c r="M56" s="46" t="s">
        <v>174</v>
      </c>
      <c r="N56" s="46" t="s">
        <v>121</v>
      </c>
      <c r="O56" s="46" t="s">
        <v>121</v>
      </c>
      <c r="P56" s="46" t="s">
        <v>151</v>
      </c>
    </row>
    <row r="57" spans="1:16" x14ac:dyDescent="0.2">
      <c r="A57">
        <v>17</v>
      </c>
      <c r="B57" s="46" t="s">
        <v>24</v>
      </c>
      <c r="C57" s="46" t="s">
        <v>26</v>
      </c>
      <c r="D57" s="46" t="s">
        <v>26</v>
      </c>
      <c r="E57">
        <v>26</v>
      </c>
      <c r="F57">
        <v>29</v>
      </c>
      <c r="G57">
        <v>0.68210000000000004</v>
      </c>
      <c r="H57" s="46" t="s">
        <v>26</v>
      </c>
      <c r="I57">
        <v>0.6321</v>
      </c>
      <c r="J57">
        <v>-8.59</v>
      </c>
      <c r="K57" s="46" t="s">
        <v>24</v>
      </c>
      <c r="L57" s="46" t="s">
        <v>165</v>
      </c>
      <c r="M57" s="46" t="s">
        <v>184</v>
      </c>
      <c r="N57" s="46" t="s">
        <v>121</v>
      </c>
      <c r="O57" s="46" t="s">
        <v>121</v>
      </c>
      <c r="P57" s="46" t="s">
        <v>151</v>
      </c>
    </row>
    <row r="58" spans="1:16" x14ac:dyDescent="0.2">
      <c r="A58">
        <v>17</v>
      </c>
      <c r="B58" s="46" t="s">
        <v>23</v>
      </c>
      <c r="C58" s="46" t="s">
        <v>9</v>
      </c>
      <c r="D58" s="46" t="s">
        <v>9</v>
      </c>
      <c r="E58">
        <v>16</v>
      </c>
      <c r="F58">
        <v>22</v>
      </c>
      <c r="G58">
        <v>0.76980000000000004</v>
      </c>
      <c r="H58" s="46" t="s">
        <v>9</v>
      </c>
      <c r="I58">
        <v>0.6361</v>
      </c>
      <c r="J58">
        <v>-6.08</v>
      </c>
      <c r="K58" s="46" t="s">
        <v>23</v>
      </c>
      <c r="L58" s="46" t="s">
        <v>176</v>
      </c>
      <c r="M58" s="46" t="s">
        <v>182</v>
      </c>
      <c r="N58" s="46" t="s">
        <v>121</v>
      </c>
      <c r="O58" s="46" t="s">
        <v>121</v>
      </c>
      <c r="P58" s="46" t="s">
        <v>151</v>
      </c>
    </row>
    <row r="59" spans="1:16" x14ac:dyDescent="0.2">
      <c r="A59">
        <v>17</v>
      </c>
      <c r="B59" s="46" t="s">
        <v>32</v>
      </c>
      <c r="C59" s="46" t="s">
        <v>25</v>
      </c>
      <c r="D59" s="46" t="s">
        <v>25</v>
      </c>
      <c r="E59">
        <v>20</v>
      </c>
      <c r="F59">
        <v>29</v>
      </c>
      <c r="G59">
        <v>0.89570000000000005</v>
      </c>
      <c r="H59" s="46" t="s">
        <v>32</v>
      </c>
      <c r="I59">
        <v>0.56730000000000003</v>
      </c>
      <c r="J59">
        <v>1.36</v>
      </c>
      <c r="K59" s="46" t="s">
        <v>25</v>
      </c>
      <c r="L59" s="46" t="s">
        <v>173</v>
      </c>
      <c r="M59" s="46" t="s">
        <v>155</v>
      </c>
      <c r="N59" s="46" t="s">
        <v>122</v>
      </c>
      <c r="O59" s="46" t="s">
        <v>121</v>
      </c>
      <c r="P59" s="46" t="s">
        <v>151</v>
      </c>
    </row>
    <row r="60" spans="1:16" x14ac:dyDescent="0.2">
      <c r="A60">
        <v>17</v>
      </c>
      <c r="B60" s="46" t="s">
        <v>18</v>
      </c>
      <c r="C60" s="46" t="s">
        <v>12</v>
      </c>
      <c r="D60" s="46" t="s">
        <v>18</v>
      </c>
      <c r="E60">
        <v>22</v>
      </c>
      <c r="F60">
        <v>14</v>
      </c>
      <c r="G60">
        <v>0.55500000000000005</v>
      </c>
      <c r="H60" s="46" t="s">
        <v>12</v>
      </c>
      <c r="I60">
        <v>0.53269999999999995</v>
      </c>
      <c r="J60">
        <v>-3.62</v>
      </c>
      <c r="K60" s="46" t="s">
        <v>12</v>
      </c>
      <c r="L60" s="46" t="s">
        <v>154</v>
      </c>
      <c r="M60" s="46" t="s">
        <v>155</v>
      </c>
      <c r="N60" s="46" t="s">
        <v>121</v>
      </c>
      <c r="O60" s="46" t="s">
        <v>122</v>
      </c>
      <c r="P60" s="46" t="s">
        <v>151</v>
      </c>
    </row>
    <row r="61" spans="1:16" x14ac:dyDescent="0.2">
      <c r="A61">
        <v>17</v>
      </c>
      <c r="B61" s="46" t="s">
        <v>41</v>
      </c>
      <c r="C61" s="46" t="s">
        <v>4</v>
      </c>
      <c r="D61" s="46" t="s">
        <v>41</v>
      </c>
      <c r="E61">
        <v>24</v>
      </c>
      <c r="F61">
        <v>19</v>
      </c>
      <c r="G61">
        <v>0.95220000000000005</v>
      </c>
      <c r="H61" s="46" t="s">
        <v>41</v>
      </c>
      <c r="I61">
        <v>0.60260000000000002</v>
      </c>
      <c r="J61">
        <v>1.21</v>
      </c>
      <c r="K61" s="46" t="s">
        <v>4</v>
      </c>
      <c r="L61" s="46" t="s">
        <v>185</v>
      </c>
      <c r="M61" s="46" t="s">
        <v>176</v>
      </c>
      <c r="N61" s="46" t="s">
        <v>121</v>
      </c>
      <c r="O61" s="46" t="s">
        <v>121</v>
      </c>
      <c r="P61" s="46" t="s">
        <v>151</v>
      </c>
    </row>
    <row r="62" spans="1:16" x14ac:dyDescent="0.2">
      <c r="A62">
        <v>17</v>
      </c>
      <c r="B62" s="46" t="s">
        <v>8</v>
      </c>
      <c r="C62" s="46" t="s">
        <v>17</v>
      </c>
      <c r="D62" s="46" t="s">
        <v>17</v>
      </c>
      <c r="E62">
        <v>18</v>
      </c>
      <c r="F62">
        <v>23</v>
      </c>
      <c r="G62">
        <v>0.99</v>
      </c>
      <c r="H62" s="46" t="s">
        <v>17</v>
      </c>
      <c r="I62">
        <v>0.81640000000000001</v>
      </c>
      <c r="J62">
        <v>-8.33</v>
      </c>
      <c r="K62" s="46" t="s">
        <v>17</v>
      </c>
      <c r="L62" s="46" t="s">
        <v>154</v>
      </c>
      <c r="M62" s="46" t="s">
        <v>183</v>
      </c>
      <c r="N62" s="46" t="s">
        <v>122</v>
      </c>
      <c r="O62" s="46" t="s">
        <v>122</v>
      </c>
      <c r="P62" s="46" t="s">
        <v>151</v>
      </c>
    </row>
    <row r="63" spans="1:16" x14ac:dyDescent="0.2">
      <c r="A63">
        <v>17</v>
      </c>
      <c r="B63" s="46" t="s">
        <v>28</v>
      </c>
      <c r="C63" s="46" t="s">
        <v>14</v>
      </c>
      <c r="D63" s="46" t="s">
        <v>28</v>
      </c>
      <c r="E63">
        <v>34</v>
      </c>
      <c r="F63">
        <v>31</v>
      </c>
      <c r="G63">
        <v>0.76170000000000004</v>
      </c>
      <c r="H63" s="46" t="s">
        <v>28</v>
      </c>
      <c r="I63">
        <v>0.73550000000000004</v>
      </c>
      <c r="J63">
        <v>11.14</v>
      </c>
      <c r="K63" s="46" t="s">
        <v>14</v>
      </c>
      <c r="L63" s="46" t="s">
        <v>166</v>
      </c>
      <c r="M63" s="46" t="s">
        <v>181</v>
      </c>
      <c r="N63" s="46" t="s">
        <v>121</v>
      </c>
      <c r="O63" s="46" t="s">
        <v>121</v>
      </c>
      <c r="P63" s="46" t="s">
        <v>151</v>
      </c>
    </row>
    <row r="64" spans="1:16" x14ac:dyDescent="0.2">
      <c r="A64">
        <v>18</v>
      </c>
      <c r="B64" s="46" t="s">
        <v>18</v>
      </c>
      <c r="C64" s="46" t="s">
        <v>7</v>
      </c>
      <c r="D64" s="46" t="s">
        <v>7</v>
      </c>
      <c r="E64">
        <v>13</v>
      </c>
      <c r="F64">
        <v>21</v>
      </c>
      <c r="G64">
        <v>0.83250000000000002</v>
      </c>
      <c r="H64" s="46" t="s">
        <v>7</v>
      </c>
      <c r="I64">
        <v>0.72570000000000001</v>
      </c>
      <c r="J64">
        <v>-15.61</v>
      </c>
      <c r="K64" s="46" t="s">
        <v>18</v>
      </c>
      <c r="L64" s="46" t="s">
        <v>184</v>
      </c>
      <c r="M64" s="46" t="s">
        <v>185</v>
      </c>
      <c r="N64" s="46" t="s">
        <v>121</v>
      </c>
      <c r="O64" s="46" t="s">
        <v>121</v>
      </c>
      <c r="P64" s="46" t="s">
        <v>151</v>
      </c>
    </row>
    <row r="65" spans="1:16" x14ac:dyDescent="0.2">
      <c r="A65">
        <v>18</v>
      </c>
      <c r="B65" s="46" t="s">
        <v>41</v>
      </c>
      <c r="C65" s="46" t="s">
        <v>8</v>
      </c>
      <c r="D65" s="46" t="s">
        <v>41</v>
      </c>
      <c r="E65">
        <v>31</v>
      </c>
      <c r="F65">
        <v>20</v>
      </c>
      <c r="G65">
        <v>1</v>
      </c>
      <c r="H65" s="46" t="s">
        <v>41</v>
      </c>
      <c r="I65">
        <v>0.87760000000000005</v>
      </c>
      <c r="J65">
        <v>15.14</v>
      </c>
      <c r="K65" s="46" t="s">
        <v>41</v>
      </c>
      <c r="L65" s="46" t="s">
        <v>175</v>
      </c>
      <c r="M65" s="46" t="s">
        <v>188</v>
      </c>
      <c r="N65" s="46" t="s">
        <v>122</v>
      </c>
      <c r="O65" s="46" t="s">
        <v>122</v>
      </c>
      <c r="P65" s="46" t="s">
        <v>151</v>
      </c>
    </row>
    <row r="66" spans="1:16" x14ac:dyDescent="0.2">
      <c r="A66">
        <v>18</v>
      </c>
      <c r="B66" s="46" t="s">
        <v>43</v>
      </c>
      <c r="C66" s="46" t="s">
        <v>36</v>
      </c>
      <c r="D66" s="46" t="s">
        <v>43</v>
      </c>
      <c r="E66">
        <v>31</v>
      </c>
      <c r="F66">
        <v>17</v>
      </c>
      <c r="G66">
        <v>1</v>
      </c>
      <c r="H66" s="46" t="s">
        <v>36</v>
      </c>
      <c r="I66">
        <v>0.49940000000000001</v>
      </c>
      <c r="J66">
        <v>-8.82</v>
      </c>
      <c r="K66" s="46" t="s">
        <v>36</v>
      </c>
      <c r="L66" s="46" t="s">
        <v>171</v>
      </c>
      <c r="M66" s="46" t="s">
        <v>163</v>
      </c>
      <c r="N66" s="46" t="s">
        <v>121</v>
      </c>
      <c r="O66" s="46" t="s">
        <v>122</v>
      </c>
      <c r="P66" s="46" t="s">
        <v>151</v>
      </c>
    </row>
    <row r="67" spans="1:16" x14ac:dyDescent="0.2">
      <c r="A67">
        <v>18</v>
      </c>
      <c r="B67" s="46" t="s">
        <v>39</v>
      </c>
      <c r="C67" s="46" t="s">
        <v>26</v>
      </c>
      <c r="D67" s="46" t="s">
        <v>39</v>
      </c>
      <c r="E67">
        <v>32</v>
      </c>
      <c r="F67">
        <v>20</v>
      </c>
      <c r="G67">
        <v>1</v>
      </c>
      <c r="H67" s="46" t="s">
        <v>39</v>
      </c>
      <c r="I67">
        <v>0.88260000000000005</v>
      </c>
      <c r="J67">
        <v>13.62</v>
      </c>
      <c r="K67" s="46" t="s">
        <v>39</v>
      </c>
      <c r="L67" s="46" t="s">
        <v>165</v>
      </c>
      <c r="M67" s="46" t="s">
        <v>152</v>
      </c>
      <c r="N67" s="46" t="s">
        <v>122</v>
      </c>
      <c r="O67" s="46" t="s">
        <v>122</v>
      </c>
      <c r="P67" s="46" t="s">
        <v>151</v>
      </c>
    </row>
    <row r="68" spans="1:16" x14ac:dyDescent="0.2">
      <c r="A68">
        <v>18</v>
      </c>
      <c r="B68" s="46" t="s">
        <v>9</v>
      </c>
      <c r="C68" s="46" t="s">
        <v>42</v>
      </c>
      <c r="D68" s="46" t="s">
        <v>42</v>
      </c>
      <c r="E68">
        <v>21</v>
      </c>
      <c r="F68">
        <v>34</v>
      </c>
      <c r="G68">
        <v>0.86609999999999998</v>
      </c>
      <c r="H68" s="46" t="s">
        <v>9</v>
      </c>
      <c r="I68">
        <v>0.49149999999999999</v>
      </c>
      <c r="J68">
        <v>1.46</v>
      </c>
      <c r="K68" s="46" t="s">
        <v>9</v>
      </c>
      <c r="L68" s="46" t="s">
        <v>173</v>
      </c>
      <c r="M68" s="46" t="s">
        <v>153</v>
      </c>
      <c r="N68" s="46" t="s">
        <v>121</v>
      </c>
      <c r="O68" s="46" t="s">
        <v>122</v>
      </c>
      <c r="P68" s="46" t="s">
        <v>151</v>
      </c>
    </row>
    <row r="69" spans="1:16" x14ac:dyDescent="0.2">
      <c r="A69">
        <v>18</v>
      </c>
      <c r="B69" s="46" t="s">
        <v>19</v>
      </c>
      <c r="C69" s="46" t="s">
        <v>25</v>
      </c>
      <c r="D69" s="46" t="s">
        <v>25</v>
      </c>
      <c r="E69">
        <v>30</v>
      </c>
      <c r="F69">
        <v>33</v>
      </c>
      <c r="G69">
        <v>0.84219999999999995</v>
      </c>
      <c r="H69" s="46" t="s">
        <v>19</v>
      </c>
      <c r="I69">
        <v>0.63970000000000005</v>
      </c>
      <c r="J69">
        <v>5.86</v>
      </c>
      <c r="K69" s="46" t="s">
        <v>19</v>
      </c>
      <c r="L69" s="46" t="s">
        <v>163</v>
      </c>
      <c r="M69" s="46" t="s">
        <v>166</v>
      </c>
      <c r="N69" s="46" t="s">
        <v>121</v>
      </c>
      <c r="O69" s="46" t="s">
        <v>122</v>
      </c>
      <c r="P69" s="46" t="s">
        <v>151</v>
      </c>
    </row>
    <row r="70" spans="1:16" x14ac:dyDescent="0.2">
      <c r="A70">
        <v>18</v>
      </c>
      <c r="B70" s="46" t="s">
        <v>31</v>
      </c>
      <c r="C70" s="46" t="s">
        <v>6</v>
      </c>
      <c r="D70" s="46" t="s">
        <v>31</v>
      </c>
      <c r="E70">
        <v>28</v>
      </c>
      <c r="F70">
        <v>21</v>
      </c>
      <c r="G70">
        <v>0.74439999999999995</v>
      </c>
      <c r="H70" s="46" t="s">
        <v>31</v>
      </c>
      <c r="I70">
        <v>0.67100000000000004</v>
      </c>
      <c r="J70">
        <v>7.08</v>
      </c>
      <c r="K70" s="46" t="s">
        <v>31</v>
      </c>
      <c r="L70" s="46" t="s">
        <v>163</v>
      </c>
      <c r="M70" s="46" t="s">
        <v>172</v>
      </c>
      <c r="N70" s="46" t="s">
        <v>122</v>
      </c>
      <c r="O70" s="46" t="s">
        <v>122</v>
      </c>
      <c r="P70" s="46" t="s">
        <v>151</v>
      </c>
    </row>
    <row r="71" spans="1:16" x14ac:dyDescent="0.2">
      <c r="A71">
        <v>18</v>
      </c>
      <c r="B71" s="46" t="s">
        <v>17</v>
      </c>
      <c r="C71" s="46" t="s">
        <v>29</v>
      </c>
      <c r="D71" s="46" t="s">
        <v>17</v>
      </c>
      <c r="E71">
        <v>40</v>
      </c>
      <c r="F71">
        <v>19</v>
      </c>
      <c r="G71">
        <v>0.8347</v>
      </c>
      <c r="H71" s="46" t="s">
        <v>17</v>
      </c>
      <c r="I71">
        <v>0.77080000000000004</v>
      </c>
      <c r="J71">
        <v>11.44</v>
      </c>
      <c r="K71" s="46" t="s">
        <v>17</v>
      </c>
      <c r="L71" s="46" t="s">
        <v>180</v>
      </c>
      <c r="M71" s="46" t="s">
        <v>154</v>
      </c>
      <c r="N71" s="46" t="s">
        <v>122</v>
      </c>
      <c r="O71" s="46" t="s">
        <v>122</v>
      </c>
      <c r="P71" s="46" t="s">
        <v>151</v>
      </c>
    </row>
    <row r="72" spans="1:16" x14ac:dyDescent="0.2">
      <c r="A72">
        <v>18</v>
      </c>
      <c r="B72" s="46" t="s">
        <v>44</v>
      </c>
      <c r="C72" s="46" t="s">
        <v>35</v>
      </c>
      <c r="D72" s="46" t="s">
        <v>35</v>
      </c>
      <c r="E72">
        <v>24</v>
      </c>
      <c r="F72">
        <v>25</v>
      </c>
      <c r="G72">
        <v>0.66379999999999995</v>
      </c>
      <c r="H72" s="46" t="s">
        <v>35</v>
      </c>
      <c r="I72">
        <v>0.56969999999999998</v>
      </c>
      <c r="J72">
        <v>-1.95</v>
      </c>
      <c r="K72" s="46" t="s">
        <v>44</v>
      </c>
      <c r="L72" s="46" t="s">
        <v>171</v>
      </c>
      <c r="M72" s="46" t="s">
        <v>172</v>
      </c>
      <c r="N72" s="46" t="s">
        <v>121</v>
      </c>
      <c r="O72" s="46" t="s">
        <v>121</v>
      </c>
      <c r="P72" s="46" t="s">
        <v>151</v>
      </c>
    </row>
    <row r="73" spans="1:16" x14ac:dyDescent="0.2">
      <c r="A73">
        <v>18</v>
      </c>
      <c r="B73" s="46" t="s">
        <v>24</v>
      </c>
      <c r="C73" s="46" t="s">
        <v>23</v>
      </c>
      <c r="D73" s="46" t="s">
        <v>24</v>
      </c>
      <c r="E73">
        <v>31</v>
      </c>
      <c r="F73">
        <v>22</v>
      </c>
      <c r="G73">
        <v>0.54849999999999999</v>
      </c>
      <c r="H73" s="46" t="s">
        <v>23</v>
      </c>
      <c r="I73">
        <v>0.46250000000000002</v>
      </c>
      <c r="J73">
        <v>-0.15</v>
      </c>
      <c r="K73" s="46" t="s">
        <v>23</v>
      </c>
      <c r="L73" s="46" t="s">
        <v>170</v>
      </c>
      <c r="M73" s="46" t="s">
        <v>152</v>
      </c>
      <c r="N73" s="46" t="s">
        <v>121</v>
      </c>
      <c r="O73" s="46" t="s">
        <v>122</v>
      </c>
      <c r="P73" s="46" t="s">
        <v>151</v>
      </c>
    </row>
    <row r="74" spans="1:16" x14ac:dyDescent="0.2">
      <c r="A74">
        <v>18</v>
      </c>
      <c r="B74" s="46" t="s">
        <v>34</v>
      </c>
      <c r="C74" s="46" t="s">
        <v>33</v>
      </c>
      <c r="D74" s="46" t="s">
        <v>33</v>
      </c>
      <c r="E74">
        <v>15</v>
      </c>
      <c r="F74">
        <v>23</v>
      </c>
      <c r="G74">
        <v>0.93500000000000005</v>
      </c>
      <c r="H74" s="46" t="s">
        <v>33</v>
      </c>
      <c r="I74">
        <v>0.63639999999999997</v>
      </c>
      <c r="J74">
        <v>-5.04</v>
      </c>
      <c r="K74" s="46" t="s">
        <v>33</v>
      </c>
      <c r="L74" s="46" t="s">
        <v>172</v>
      </c>
      <c r="M74" s="46" t="s">
        <v>176</v>
      </c>
      <c r="N74" s="46" t="s">
        <v>122</v>
      </c>
      <c r="O74" s="46" t="s">
        <v>122</v>
      </c>
      <c r="P74" s="46" t="s">
        <v>151</v>
      </c>
    </row>
    <row r="75" spans="1:16" x14ac:dyDescent="0.2">
      <c r="A75">
        <v>18</v>
      </c>
      <c r="B75" s="46" t="s">
        <v>20</v>
      </c>
      <c r="C75" s="46" t="s">
        <v>15</v>
      </c>
      <c r="D75" s="46" t="s">
        <v>15</v>
      </c>
      <c r="E75">
        <v>30</v>
      </c>
      <c r="F75">
        <v>33</v>
      </c>
      <c r="G75">
        <v>0.84219999999999995</v>
      </c>
      <c r="H75" s="46" t="s">
        <v>20</v>
      </c>
      <c r="I75">
        <v>0.74099999999999999</v>
      </c>
      <c r="J75">
        <v>11.81</v>
      </c>
      <c r="K75" s="46" t="s">
        <v>20</v>
      </c>
      <c r="L75" s="46" t="s">
        <v>171</v>
      </c>
      <c r="M75" s="46" t="s">
        <v>184</v>
      </c>
      <c r="N75" s="46" t="s">
        <v>121</v>
      </c>
      <c r="O75" s="46" t="s">
        <v>122</v>
      </c>
      <c r="P75" s="46" t="s">
        <v>151</v>
      </c>
    </row>
    <row r="76" spans="1:16" x14ac:dyDescent="0.2">
      <c r="A76">
        <v>18</v>
      </c>
      <c r="B76" s="46" t="s">
        <v>4</v>
      </c>
      <c r="C76" s="46" t="s">
        <v>11</v>
      </c>
      <c r="D76" s="46" t="s">
        <v>4</v>
      </c>
      <c r="E76">
        <v>34</v>
      </c>
      <c r="F76">
        <v>15</v>
      </c>
      <c r="G76">
        <v>0.99</v>
      </c>
      <c r="H76" s="46" t="s">
        <v>4</v>
      </c>
      <c r="I76">
        <v>0.79630000000000001</v>
      </c>
      <c r="J76">
        <v>11.05</v>
      </c>
      <c r="K76" s="46" t="s">
        <v>11</v>
      </c>
      <c r="L76" s="46" t="s">
        <v>166</v>
      </c>
      <c r="M76" s="46" t="s">
        <v>153</v>
      </c>
      <c r="N76" s="46" t="s">
        <v>121</v>
      </c>
      <c r="O76" s="46" t="s">
        <v>121</v>
      </c>
      <c r="P76" s="46" t="s">
        <v>151</v>
      </c>
    </row>
    <row r="77" spans="1:16" x14ac:dyDescent="0.2">
      <c r="A77">
        <v>18</v>
      </c>
      <c r="B77" s="46" t="s">
        <v>14</v>
      </c>
      <c r="C77" s="46" t="s">
        <v>32</v>
      </c>
      <c r="D77" s="46" t="s">
        <v>14</v>
      </c>
      <c r="E77">
        <v>31</v>
      </c>
      <c r="F77">
        <v>15</v>
      </c>
      <c r="G77">
        <v>0.99709999999999999</v>
      </c>
      <c r="H77" s="46" t="s">
        <v>14</v>
      </c>
      <c r="I77">
        <v>0.82269999999999999</v>
      </c>
      <c r="J77">
        <v>11.92</v>
      </c>
      <c r="K77" s="46" t="s">
        <v>14</v>
      </c>
      <c r="L77" s="46" t="s">
        <v>174</v>
      </c>
      <c r="M77" s="46" t="s">
        <v>189</v>
      </c>
      <c r="N77" s="46" t="s">
        <v>122</v>
      </c>
      <c r="O77" s="46" t="s">
        <v>122</v>
      </c>
      <c r="P77" s="46" t="s">
        <v>151</v>
      </c>
    </row>
    <row r="78" spans="1:16" x14ac:dyDescent="0.2">
      <c r="A78">
        <v>18</v>
      </c>
      <c r="B78" s="46" t="s">
        <v>40</v>
      </c>
      <c r="C78" s="46" t="s">
        <v>28</v>
      </c>
      <c r="D78" s="46" t="s">
        <v>40</v>
      </c>
      <c r="E78">
        <v>30</v>
      </c>
      <c r="F78">
        <v>16</v>
      </c>
      <c r="G78">
        <v>0.99709999999999999</v>
      </c>
      <c r="H78" s="46" t="s">
        <v>40</v>
      </c>
      <c r="I78">
        <v>0.64629999999999999</v>
      </c>
      <c r="J78">
        <v>1.55</v>
      </c>
      <c r="K78" s="46" t="s">
        <v>40</v>
      </c>
      <c r="L78" s="46" t="s">
        <v>180</v>
      </c>
      <c r="M78" s="46" t="s">
        <v>150</v>
      </c>
      <c r="N78" s="46" t="s">
        <v>122</v>
      </c>
      <c r="O78" s="46" t="s">
        <v>122</v>
      </c>
      <c r="P78" s="46" t="s">
        <v>151</v>
      </c>
    </row>
    <row r="79" spans="1:16" x14ac:dyDescent="0.2">
      <c r="A79">
        <v>18</v>
      </c>
      <c r="B79" s="46" t="s">
        <v>12</v>
      </c>
      <c r="C79" s="46" t="s">
        <v>5</v>
      </c>
      <c r="D79" s="46" t="s">
        <v>5</v>
      </c>
      <c r="E79">
        <v>20</v>
      </c>
      <c r="F79">
        <v>25</v>
      </c>
      <c r="G79">
        <v>0.65990000000000004</v>
      </c>
      <c r="H79" s="46" t="s">
        <v>5</v>
      </c>
      <c r="I79">
        <v>0.46829999999999999</v>
      </c>
      <c r="J79">
        <v>-0.49</v>
      </c>
      <c r="K79" s="46" t="s">
        <v>12</v>
      </c>
      <c r="L79" s="46" t="s">
        <v>155</v>
      </c>
      <c r="M79" s="46" t="s">
        <v>166</v>
      </c>
      <c r="N79" s="46" t="s">
        <v>121</v>
      </c>
      <c r="O79" s="46" t="s">
        <v>121</v>
      </c>
      <c r="P79" s="46" t="s">
        <v>151</v>
      </c>
    </row>
    <row r="80" spans="1:16" x14ac:dyDescent="0.2">
      <c r="A80">
        <v>19</v>
      </c>
      <c r="B80" s="46" t="s">
        <v>15</v>
      </c>
      <c r="C80" s="46" t="s">
        <v>39</v>
      </c>
      <c r="D80" s="46" t="s">
        <v>15</v>
      </c>
      <c r="E80">
        <v>30</v>
      </c>
      <c r="F80">
        <v>29</v>
      </c>
      <c r="G80">
        <v>0.67920000000000003</v>
      </c>
      <c r="H80" s="46" t="s">
        <v>39</v>
      </c>
      <c r="I80">
        <v>0.71619999999999995</v>
      </c>
      <c r="J80">
        <v>-14.54</v>
      </c>
      <c r="K80" s="46" t="s">
        <v>39</v>
      </c>
      <c r="L80" s="46" t="s">
        <v>157</v>
      </c>
      <c r="M80" s="46" t="s">
        <v>155</v>
      </c>
      <c r="N80" s="46" t="s">
        <v>121</v>
      </c>
      <c r="O80" s="46" t="s">
        <v>122</v>
      </c>
      <c r="P80" s="46" t="s">
        <v>151</v>
      </c>
    </row>
    <row r="81" spans="1:16" x14ac:dyDescent="0.2">
      <c r="A81">
        <v>19</v>
      </c>
      <c r="B81" s="46" t="s">
        <v>9</v>
      </c>
      <c r="C81" s="46" t="s">
        <v>40</v>
      </c>
      <c r="D81" s="46" t="s">
        <v>9</v>
      </c>
      <c r="E81">
        <v>23</v>
      </c>
      <c r="F81">
        <v>20</v>
      </c>
      <c r="G81">
        <v>0.50800000000000001</v>
      </c>
      <c r="H81" s="46" t="s">
        <v>40</v>
      </c>
      <c r="I81">
        <v>0.61560000000000004</v>
      </c>
      <c r="J81">
        <v>-7.8</v>
      </c>
      <c r="K81" s="46" t="s">
        <v>40</v>
      </c>
      <c r="L81" s="46" t="s">
        <v>182</v>
      </c>
      <c r="M81" s="46" t="s">
        <v>150</v>
      </c>
      <c r="N81" s="46" t="s">
        <v>121</v>
      </c>
      <c r="O81" s="46" t="s">
        <v>122</v>
      </c>
      <c r="P81" s="46" t="s">
        <v>151</v>
      </c>
    </row>
    <row r="82" spans="1:16" x14ac:dyDescent="0.2">
      <c r="A82">
        <v>19</v>
      </c>
      <c r="B82" s="46" t="s">
        <v>43</v>
      </c>
      <c r="C82" s="46" t="s">
        <v>35</v>
      </c>
      <c r="D82" s="46" t="s">
        <v>43</v>
      </c>
      <c r="E82">
        <v>23</v>
      </c>
      <c r="F82">
        <v>12</v>
      </c>
      <c r="G82">
        <v>0.73719999999999997</v>
      </c>
      <c r="H82" s="46" t="s">
        <v>35</v>
      </c>
      <c r="I82">
        <v>0.49859999999999999</v>
      </c>
      <c r="J82">
        <v>-4.33</v>
      </c>
      <c r="K82" s="46" t="s">
        <v>43</v>
      </c>
      <c r="L82" s="46" t="s">
        <v>157</v>
      </c>
      <c r="M82" s="46" t="s">
        <v>159</v>
      </c>
      <c r="N82" s="46" t="s">
        <v>122</v>
      </c>
      <c r="O82" s="46" t="s">
        <v>121</v>
      </c>
      <c r="P82" s="46" t="s">
        <v>151</v>
      </c>
    </row>
    <row r="83" spans="1:16" x14ac:dyDescent="0.2">
      <c r="A83">
        <v>19</v>
      </c>
      <c r="B83" s="46" t="s">
        <v>4</v>
      </c>
      <c r="C83" s="46" t="s">
        <v>34</v>
      </c>
      <c r="D83" s="46" t="s">
        <v>34</v>
      </c>
      <c r="E83">
        <v>17</v>
      </c>
      <c r="F83">
        <v>24</v>
      </c>
      <c r="G83">
        <v>0.94359999999999999</v>
      </c>
      <c r="H83" s="46" t="s">
        <v>4</v>
      </c>
      <c r="I83">
        <v>0.50739999999999996</v>
      </c>
      <c r="J83">
        <v>3.67</v>
      </c>
      <c r="K83" s="46" t="s">
        <v>34</v>
      </c>
      <c r="L83" s="46" t="s">
        <v>163</v>
      </c>
      <c r="M83" s="46" t="s">
        <v>181</v>
      </c>
      <c r="N83" s="46" t="s">
        <v>122</v>
      </c>
      <c r="O83" s="46" t="s">
        <v>121</v>
      </c>
      <c r="P83" s="46" t="s">
        <v>151</v>
      </c>
    </row>
    <row r="84" spans="1:16" x14ac:dyDescent="0.2">
      <c r="A84">
        <v>19</v>
      </c>
      <c r="B84" s="46" t="s">
        <v>17</v>
      </c>
      <c r="C84" s="46" t="s">
        <v>6</v>
      </c>
      <c r="D84" s="46" t="s">
        <v>6</v>
      </c>
      <c r="E84">
        <v>20</v>
      </c>
      <c r="F84">
        <v>23</v>
      </c>
      <c r="G84">
        <v>0.51680000000000004</v>
      </c>
      <c r="H84" s="46" t="s">
        <v>17</v>
      </c>
      <c r="I84">
        <v>0.56759999999999999</v>
      </c>
      <c r="J84">
        <v>3.05</v>
      </c>
      <c r="K84" s="46" t="s">
        <v>17</v>
      </c>
      <c r="L84" s="46" t="s">
        <v>171</v>
      </c>
      <c r="M84" s="46" t="s">
        <v>172</v>
      </c>
      <c r="N84" s="46" t="s">
        <v>121</v>
      </c>
      <c r="O84" s="46" t="s">
        <v>122</v>
      </c>
      <c r="P84" s="46" t="s">
        <v>151</v>
      </c>
    </row>
    <row r="85" spans="1:16" x14ac:dyDescent="0.2">
      <c r="A85">
        <v>19</v>
      </c>
      <c r="B85" s="46" t="s">
        <v>14</v>
      </c>
      <c r="C85" s="46" t="s">
        <v>41</v>
      </c>
      <c r="D85" s="46" t="s">
        <v>14</v>
      </c>
      <c r="E85">
        <v>26</v>
      </c>
      <c r="F85">
        <v>17</v>
      </c>
      <c r="G85">
        <v>0.88180000000000003</v>
      </c>
      <c r="H85" s="46" t="s">
        <v>41</v>
      </c>
      <c r="I85">
        <v>0.4768</v>
      </c>
      <c r="J85">
        <v>-1.85</v>
      </c>
      <c r="K85" s="46" t="s">
        <v>41</v>
      </c>
      <c r="L85" s="46" t="s">
        <v>153</v>
      </c>
      <c r="M85" s="46" t="s">
        <v>159</v>
      </c>
      <c r="N85" s="46" t="s">
        <v>121</v>
      </c>
      <c r="O85" s="46" t="s">
        <v>122</v>
      </c>
      <c r="P85" s="46" t="s">
        <v>151</v>
      </c>
    </row>
    <row r="86" spans="1:16" x14ac:dyDescent="0.2">
      <c r="B86" s="46" t="s">
        <v>33</v>
      </c>
      <c r="C86" s="46" t="s">
        <v>34</v>
      </c>
      <c r="D86" s="46" t="s">
        <v>34</v>
      </c>
      <c r="E86">
        <v>17</v>
      </c>
      <c r="F86">
        <v>23</v>
      </c>
      <c r="G86">
        <v>0.81899999999999995</v>
      </c>
      <c r="H86" s="46" t="s">
        <v>33</v>
      </c>
      <c r="I86">
        <v>0.63800000000000001</v>
      </c>
      <c r="J86">
        <v>9.07</v>
      </c>
      <c r="K86" s="46" t="s">
        <v>33</v>
      </c>
      <c r="L86" s="46" t="s">
        <v>174</v>
      </c>
      <c r="M86" s="46" t="s">
        <v>182</v>
      </c>
      <c r="N86" s="46" t="s">
        <v>121</v>
      </c>
      <c r="O86" s="46" t="s">
        <v>122</v>
      </c>
      <c r="P86" s="46" t="s">
        <v>151</v>
      </c>
    </row>
    <row r="87" spans="1:16" x14ac:dyDescent="0.2">
      <c r="B87" s="46" t="s">
        <v>17</v>
      </c>
      <c r="C87" s="46" t="s">
        <v>40</v>
      </c>
      <c r="D87" s="46" t="s">
        <v>40</v>
      </c>
      <c r="E87">
        <v>17</v>
      </c>
      <c r="F87">
        <v>25</v>
      </c>
      <c r="G87">
        <v>0.68330000000000002</v>
      </c>
      <c r="H87" s="46" t="s">
        <v>40</v>
      </c>
      <c r="I87">
        <v>0.5827</v>
      </c>
      <c r="J87">
        <v>-5.58</v>
      </c>
      <c r="K87" s="46" t="s">
        <v>17</v>
      </c>
      <c r="L87" s="46" t="s">
        <v>168</v>
      </c>
      <c r="M87" s="46" t="s">
        <v>171</v>
      </c>
      <c r="N87" s="46" t="s">
        <v>121</v>
      </c>
      <c r="O87" s="46" t="s">
        <v>121</v>
      </c>
      <c r="P87" s="46" t="s">
        <v>151</v>
      </c>
    </row>
    <row r="88" spans="1:16" x14ac:dyDescent="0.2">
      <c r="B88" s="46" t="s">
        <v>31</v>
      </c>
      <c r="C88" s="46" t="s">
        <v>41</v>
      </c>
      <c r="D88" s="46" t="s">
        <v>31</v>
      </c>
      <c r="E88">
        <v>19</v>
      </c>
      <c r="F88">
        <v>18</v>
      </c>
      <c r="G88">
        <v>0.79</v>
      </c>
      <c r="H88" s="46" t="s">
        <v>31</v>
      </c>
      <c r="I88">
        <v>0.63029999999999997</v>
      </c>
      <c r="J88">
        <v>3.46</v>
      </c>
      <c r="K88" s="46" t="s">
        <v>31</v>
      </c>
      <c r="L88" s="46" t="s">
        <v>190</v>
      </c>
      <c r="M88" s="46" t="s">
        <v>150</v>
      </c>
      <c r="N88" s="46" t="s">
        <v>122</v>
      </c>
      <c r="O88" s="46" t="s">
        <v>122</v>
      </c>
      <c r="P88" s="46" t="s">
        <v>151</v>
      </c>
    </row>
    <row r="89" spans="1:16" x14ac:dyDescent="0.2">
      <c r="B89" s="46" t="s">
        <v>43</v>
      </c>
      <c r="C89" s="46" t="s">
        <v>39</v>
      </c>
      <c r="D89" s="46" t="s">
        <v>43</v>
      </c>
      <c r="E89">
        <v>39</v>
      </c>
      <c r="F89">
        <v>35</v>
      </c>
      <c r="G89">
        <v>0.79500000000000004</v>
      </c>
      <c r="H89" s="46" t="s">
        <v>39</v>
      </c>
      <c r="I89">
        <v>0.67210000000000003</v>
      </c>
      <c r="J89">
        <v>-13.93</v>
      </c>
      <c r="K89" s="46" t="s">
        <v>39</v>
      </c>
      <c r="L89" s="46" t="s">
        <v>166</v>
      </c>
      <c r="M89" s="46" t="s">
        <v>152</v>
      </c>
      <c r="N89" s="46" t="s">
        <v>121</v>
      </c>
      <c r="O89" s="46" t="s">
        <v>122</v>
      </c>
      <c r="P89" s="46" t="s">
        <v>151</v>
      </c>
    </row>
    <row r="90" spans="1:16" x14ac:dyDescent="0.2">
      <c r="B90" s="46" t="s">
        <v>31</v>
      </c>
      <c r="C90" s="46" t="s">
        <v>17</v>
      </c>
      <c r="D90" s="46" t="s">
        <v>17</v>
      </c>
      <c r="E90">
        <v>22</v>
      </c>
      <c r="F90">
        <v>26</v>
      </c>
      <c r="G90">
        <v>0.52549999999999997</v>
      </c>
      <c r="H90" s="46" t="s">
        <v>141</v>
      </c>
      <c r="K90" s="46" t="s">
        <v>141</v>
      </c>
      <c r="L90" s="46" t="s">
        <v>141</v>
      </c>
      <c r="M90" s="46" t="s">
        <v>141</v>
      </c>
      <c r="N90" s="46" t="s">
        <v>141</v>
      </c>
      <c r="O90" s="46" t="s">
        <v>141</v>
      </c>
      <c r="P90" s="46" t="s">
        <v>148</v>
      </c>
    </row>
    <row r="91" spans="1:16" x14ac:dyDescent="0.2">
      <c r="B91" s="46" t="s">
        <v>33</v>
      </c>
      <c r="C91" s="46" t="s">
        <v>39</v>
      </c>
      <c r="D91" s="46" t="s">
        <v>33</v>
      </c>
      <c r="E91">
        <v>35</v>
      </c>
      <c r="F91">
        <v>31</v>
      </c>
      <c r="G91">
        <v>0.76380000000000003</v>
      </c>
      <c r="H91" s="46" t="s">
        <v>141</v>
      </c>
      <c r="K91" s="46" t="s">
        <v>141</v>
      </c>
      <c r="L91" s="46" t="s">
        <v>141</v>
      </c>
      <c r="M91" s="46" t="s">
        <v>141</v>
      </c>
      <c r="N91" s="46" t="s">
        <v>141</v>
      </c>
      <c r="O91" s="46" t="s">
        <v>141</v>
      </c>
      <c r="P91" s="46" t="s">
        <v>148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2026-01-20T21:23:56Z</dcterms:modified>
</cp:coreProperties>
</file>